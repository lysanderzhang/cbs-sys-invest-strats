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964e1c706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adeb06ae74459d"/>
    <x:sheet xmlns:r="http://schemas.openxmlformats.org/officeDocument/2006/relationships" name="Sensitivity" sheetId="2" r:id="Rb8fda5343d4747ec"/>
    <x:sheet xmlns:r="http://schemas.openxmlformats.org/officeDocument/2006/relationships" name="Concentration" sheetId="3" r:id="R3927746ac5364bc5"/>
    <x:sheet xmlns:r="http://schemas.openxmlformats.org/officeDocument/2006/relationships" name="Trades" sheetId="4" r:id="R6b742915ed654033"/>
    <x:sheet xmlns:r="http://schemas.openxmlformats.org/officeDocument/2006/relationships" name="Decisions" sheetId="5" r:id="R8798166aae8543cd"/>
    <x:sheet xmlns:r="http://schemas.openxmlformats.org/officeDocument/2006/relationships" name="VWAP" sheetId="6" r:id="R25f0e3778aea4047"/>
    <x:sheet xmlns:r="http://schemas.openxmlformats.org/officeDocument/2006/relationships" name="Noise" sheetId="7" r:id="Rf495b23bb3144e49"/>
    <x:sheet xmlns:r="http://schemas.openxmlformats.org/officeDocument/2006/relationships" name="Volatility" sheetId="8" r:id="R7d54503d31ec4e19"/>
    <x:sheet xmlns:r="http://schemas.openxmlformats.org/officeDocument/2006/relationships" name="Daily Equity" sheetId="9" r:id="R2a46e6af9a9a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000;[Red](#,##0.00000);0.00000"/>
    <x:numFmt numFmtId="201" formatCode="0.00000%;[Red](0.00000%);0.00000%"/>
    <x:numFmt numFmtId="202" formatCode="0"/>
    <x:numFmt numFmtId="203" formatCode="yyyy-mm-dd"/>
    <x:numFmt numFmtId="204" formatCode="yyyy-mm-dd hh:mm"/>
    <x:numFmt numFmtId="205" formatCode="0.0000000000"/>
    <x:numFmt numFmtId="206" formatCode="#,##0.00000"/>
    <x:numFmt numFmtId="207" formatCode="hh:mm"/>
  </x:numFmts>
  <x:fonts count="5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91109344e4a67" /><Relationship Type="http://schemas.openxmlformats.org/officeDocument/2006/relationships/theme" Target="/xl/theme/theme1.xml" Id="R599c61784dfa4357" /><Relationship Type="http://schemas.openxmlformats.org/officeDocument/2006/relationships/sharedStrings" Target="/xl/sharedStrings.xml" Id="R3110afa96c504221" /><Relationship Type="http://schemas.openxmlformats.org/officeDocument/2006/relationships/worksheet" Target="/xl/worksheets/sheet1.xml" Id="R3aadeb06ae74459d" /><Relationship Type="http://schemas.openxmlformats.org/officeDocument/2006/relationships/worksheet" Target="/xl/worksheets/sheet2.xml" Id="Rb8fda5343d4747ec" /><Relationship Type="http://schemas.openxmlformats.org/officeDocument/2006/relationships/worksheet" Target="/xl/worksheets/sheet3.xml" Id="R3927746ac5364bc5" /><Relationship Type="http://schemas.openxmlformats.org/officeDocument/2006/relationships/worksheet" Target="/xl/worksheets/sheet4.xml" Id="R6b742915ed654033" /><Relationship Type="http://schemas.openxmlformats.org/officeDocument/2006/relationships/worksheet" Target="/xl/worksheets/sheet5.xml" Id="R8798166aae8543cd" /><Relationship Type="http://schemas.openxmlformats.org/officeDocument/2006/relationships/worksheet" Target="/xl/worksheets/sheet6.xml" Id="R25f0e3778aea4047" /><Relationship Type="http://schemas.openxmlformats.org/officeDocument/2006/relationships/worksheet" Target="/xl/worksheets/sheet7.xml" Id="Rf495b23bb3144e49" /><Relationship Type="http://schemas.openxmlformats.org/officeDocument/2006/relationships/worksheet" Target="/xl/worksheets/sheet8.xml" Id="R7d54503d31ec4e19" /><Relationship Type="http://schemas.openxmlformats.org/officeDocument/2006/relationships/worksheet" Target="/xl/worksheets/sheet9.xml" Id="R2a46e6af9a9a4b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Model C: manual reconstruction and validation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Frozen baseline preserved. Formula tables reconstruct four selected days from source observations.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6" customHeight="1">
      <x:c r="A6" s="8" t="str">
        <x:v>Date</x:v>
      </x:c>
      <x:c r="B6" s="8" t="str">
        <x:v>Start equity ($)</x:v>
      </x:c>
      <x:c r="C6" s="8" t="str">
        <x:v>Leverage</x:v>
      </x:c>
      <x:c r="D6" s="8" t="str">
        <x:v>Shares</x:v>
      </x:c>
      <x:c r="E6" s="8" t="str">
        <x:v>Gross P&amp;L ($)</x:v>
      </x:c>
      <x:c r="F6" s="8" t="str">
        <x:v>Commission ($)</x:v>
      </x:c>
      <x:c r="G6" s="8" t="str">
        <x:v>Slippage ($)</x:v>
      </x:c>
      <x:c r="H6" s="8" t="str">
        <x:v>Net P&amp;L ($)</x:v>
      </x:c>
      <x:c r="I6" s="8" t="str">
        <x:v>Daily return</x:v>
      </x:c>
      <x:c r="J6" s="8" t="str">
        <x:v>Vs. replay ($)</x:v>
      </x:c>
    </x:row>
    <x:row r="7" ht="22" customHeight="1">
      <x:c r="A7" s="12" t="n">
        <x:v>45749</x:v>
      </x:c>
      <x:c r="B7" s="9" t="n">
        <x:f>'Volatility'!B7</x:f>
        <x:v>100000</x:v>
      </x:c>
      <x:c r="C7" s="9" t="n">
        <x:f>'Volatility'!H7</x:f>
        <x:v>1.6819329299852235</x:v>
      </x:c>
      <x:c r="D7" s="11" t="n">
        <x:f>'Volatility'!J7</x:f>
        <x:v>302</x:v>
      </x:c>
      <x:c r="E7" s="9" t="n">
        <x:f>SUMIFS('Trades'!I$7:I$12,'Trades'!A$7:A$12,A7)</x:f>
        <x:v>-1285.1911999999875</x:v>
      </x:c>
      <x:c r="F7" s="9" t="n">
        <x:f>SUMIFS('Trades'!J$7:J$12,'Trades'!A$7:A$12,A7)</x:f>
        <x:v>4.228</x:v>
      </x:c>
      <x:c r="G7" s="9" t="n">
        <x:f>SUMIFS('Trades'!K$7:K$12,'Trades'!A$7:A$12,A7)</x:f>
        <x:v>1.208</x:v>
      </x:c>
      <x:c r="H7" s="9" t="n">
        <x:f>SUMIFS('Trades'!L$7:L$12,'Trades'!A$7:A$12,A7)</x:f>
        <x:v>-1290.6271999999876</x:v>
      </x:c>
      <x:c r="I7" s="10" t="n">
        <x:f>H7/B7</x:f>
        <x:v>-0.012906271999999877</x:v>
      </x:c>
      <x:c r="J7" s="9" t="n">
        <x:f>ROUND(H7-'Daily Equity'!G7,8)</x:f>
        <x:v>0</x:v>
      </x:c>
    </x:row>
    <x:row r="8" ht="22" customHeight="1">
      <x:c r="A8" s="12" t="n">
        <x:v>45841</x:v>
      </x:c>
      <x:c r="B8" s="9" t="n">
        <x:f>'Volatility'!B8</x:f>
        <x:v>103627.93779999975</x:v>
      </x:c>
      <x:c r="C8" s="9" t="n">
        <x:f>'Volatility'!H8</x:f>
        <x:v>3.009798903469488</x:v>
      </x:c>
      <x:c r="D8" s="11" t="n">
        <x:f>'Volatility'!J8</x:f>
        <x:v>501</x:v>
      </x:c>
      <x:c r="E8" s="9" t="n">
        <x:f>SUMIFS('Trades'!I$7:I$12,'Trades'!A$7:A$12,A8)</x:f>
        <x:v>19.98989999999435</x:v>
      </x:c>
      <x:c r="F8" s="9" t="n">
        <x:f>SUMIFS('Trades'!J$7:J$12,'Trades'!A$7:A$12,A8)</x:f>
        <x:v>3.507</x:v>
      </x:c>
      <x:c r="G8" s="9" t="n">
        <x:f>SUMIFS('Trades'!K$7:K$12,'Trades'!A$7:A$12,A8)</x:f>
        <x:v>1.002</x:v>
      </x:c>
      <x:c r="H8" s="9" t="n">
        <x:f>SUMIFS('Trades'!L$7:L$12,'Trades'!A$7:A$12,A8)</x:f>
        <x:v>15.480899999994348</x:v>
      </x:c>
      <x:c r="I8" s="10" t="n">
        <x:f>H8/B8</x:f>
        <x:v>0.00014938925089749672</x:v>
      </x:c>
      <x:c r="J8" s="9" t="n">
        <x:f>ROUND(H8-'Daily Equity'!G70,8)</x:f>
        <x:v>0</x:v>
      </x:c>
    </x:row>
    <x:row r="9" ht="22" customHeight="1">
      <x:c r="A9" s="12" t="n">
        <x:v>45940</x:v>
      </x:c>
      <x:c r="B9" s="9" t="n">
        <x:f>'Volatility'!B9</x:f>
        <x:v>101698.91599999998</x:v>
      </x:c>
      <x:c r="C9" s="9" t="n">
        <x:f>'Volatility'!H9</x:f>
        <x:v>4</x:v>
      </x:c>
      <x:c r="D9" s="11" t="n">
        <x:f>'Volatility'!J9</x:f>
        <x:v>604</x:v>
      </x:c>
      <x:c r="E9" s="9" t="n">
        <x:f>SUMIFS('Trades'!I$7:I$12,'Trades'!A$7:A$12,A9)</x:f>
        <x:v>9485.820000000025</x:v>
      </x:c>
      <x:c r="F9" s="9" t="n">
        <x:f>SUMIFS('Trades'!J$7:J$12,'Trades'!A$7:A$12,A9)</x:f>
        <x:v>4.228</x:v>
      </x:c>
      <x:c r="G9" s="9" t="n">
        <x:f>SUMIFS('Trades'!K$7:K$12,'Trades'!A$7:A$12,A9)</x:f>
        <x:v>1.208</x:v>
      </x:c>
      <x:c r="H9" s="9" t="n">
        <x:f>SUMIFS('Trades'!L$7:L$12,'Trades'!A$7:A$12,A9)</x:f>
        <x:v>9480.384000000025</x:v>
      </x:c>
      <x:c r="I9" s="10" t="n">
        <x:f>H9/B9</x:f>
        <x:v>0.09322010865877889</x:v>
      </x:c>
      <x:c r="J9" s="9" t="n">
        <x:f>ROUND(H9-'Daily Equity'!G139,8)</x:f>
        <x:v>0</x:v>
      </x:c>
    </x:row>
    <x:row r="10" ht="22" customHeight="1">
      <x:c r="A10" s="12" t="n">
        <x:v>45982</x:v>
      </x:c>
      <x:c r="B10" s="9" t="n">
        <x:f>'Volatility'!B10</x:f>
        <x:v>112150.37900000006</x:v>
      </x:c>
      <x:c r="C10" s="9" t="n">
        <x:f>'Volatility'!H10</x:f>
        <x:v>2.209682442333581</x:v>
      </x:c>
      <x:c r="D10" s="11" t="n">
        <x:f>'Volatility'!J10</x:f>
        <x:v>378</x:v>
      </x:c>
      <x:c r="E10" s="9" t="n">
        <x:f>SUMIFS('Trades'!I$7:I$12,'Trades'!A$7:A$12,A10)</x:f>
        <x:v>-2249.100000000017</x:v>
      </x:c>
      <x:c r="F10" s="9" t="n">
        <x:f>SUMIFS('Trades'!J$7:J$12,'Trades'!A$7:A$12,A10)</x:f>
        <x:v>5.292</x:v>
      </x:c>
      <x:c r="G10" s="9" t="n">
        <x:f>SUMIFS('Trades'!K$7:K$12,'Trades'!A$7:A$12,A10)</x:f>
        <x:v>1.512</x:v>
      </x:c>
      <x:c r="H10" s="9" t="n">
        <x:f>SUMIFS('Trades'!L$7:L$12,'Trades'!A$7:A$12,A10)</x:f>
        <x:v>-2255.9040000000173</x:v>
      </x:c>
      <x:c r="I10" s="10" t="n">
        <x:f>H10/B10</x:f>
        <x:v>-0.020114992210592673</x:v>
      </x:c>
      <x:c r="J10" s="9" t="n">
        <x:f>ROUND(H10-'Daily Equity'!G169,8)</x:f>
        <x:v>0</x:v>
      </x:c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36" customHeight="1">
      <x:c r="A15" s="8" t="str">
        <x:v>Baseline constant</x:v>
      </x:c>
      <x:c r="B15" s="8" t="str">
        <x:v>Value</x:v>
      </x:c>
      <x:c r="C15" s="2"/>
      <x:c r="D15" s="2"/>
      <x:c r="E15" s="2"/>
      <x:c r="F15" s="2"/>
      <x:c r="G15" s="2"/>
      <x:c r="H15" s="2"/>
      <x:c r="I15" s="2"/>
      <x:c r="J15" s="2"/>
    </x:row>
    <x:row r="16" ht="22" customHeight="1">
      <x:c r="A16" s="2" t="str">
        <x:v>Initial equity ($)</x:v>
      </x:c>
      <x:c r="B16" s="9" t="n">
        <x:v>100000</x:v>
      </x:c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A17" s="2" t="str">
        <x:v>Lookback sessions</x:v>
      </x:c>
      <x:c r="B17" s="11" t="n">
        <x:v>14</x:v>
      </x:c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A18" s="2" t="str">
        <x:v>Daily target volatility</x:v>
      </x:c>
      <x:c r="B18" s="10" t="n">
        <x:v>0.02</x:v>
      </x:c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A19" s="2" t="str">
        <x:v>Sizing leverage cap</x:v>
      </x:c>
      <x:c r="B19" s="11" t="n">
        <x:v>4</x:v>
      </x:c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A20" s="2" t="str">
        <x:v>Commission / share ($)</x:v>
      </x:c>
      <x:c r="B20" s="9" t="n">
        <x:v>0.0035</x:v>
      </x:c>
      <x:c r="C20" s="2"/>
      <x:c r="D20" s="2"/>
      <x:c r="E20" s="2"/>
      <x:c r="F20" s="2"/>
      <x:c r="G20" s="2"/>
      <x:c r="H20" s="2"/>
      <x:c r="I20" s="2"/>
      <x:c r="J20" s="2"/>
    </x:row>
    <x:row r="21" ht="22" customHeight="1">
      <x:c r="A21" s="2" t="str">
        <x:v>Slippage / share ($)</x:v>
      </x:c>
      <x:c r="B21" s="9" t="n">
        <x:v>0.001</x:v>
      </x:c>
      <x:c r="C21" s="2"/>
      <x:c r="D21" s="2"/>
      <x:c r="E21" s="2"/>
      <x:c r="F21" s="2"/>
      <x:c r="G21" s="2"/>
      <x:c r="H21" s="2"/>
      <x:c r="I21" s="2"/>
      <x:c r="J21" s="2"/>
    </x:row>
    <x:row r="22" ht="22" customHeight="1">
      <x:c r="A22" s="2" t="str">
        <x:v>Sessions per year</x:v>
      </x:c>
      <x:c r="B22" s="11" t="n">
        <x:v>252</x:v>
      </x:c>
      <x:c r="C22" s="2"/>
      <x:c r="D22" s="2"/>
      <x:c r="E22" s="2"/>
      <x:c r="F22" s="2"/>
      <x:c r="G22" s="2"/>
      <x:c r="H22" s="2"/>
      <x:c r="I22" s="2"/>
      <x:c r="J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2" customHeight="1">
      <x:c r="A25" s="2" t="str">
        <x:v>Read the formulas in Noise, Volatility, VWAP and Decisions, then reconcile Trades.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2" customHeight="1">
      <x:c r="A26" s="2" t="str">
        <x:v>Daily Equity preserves all 168 sessions and independently reconstructed starting capital.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2" customHeight="1">
      <x:c r="A27" s="2" t="str">
        <x:v>Sensitivity tables are fixed run results, not an Excel backtester or a specification ranking.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2" customHeight="1">
      <x:c r="A28" s="2" t="str">
        <x:v>Local formula edits recalculate the manual arithmetic; they do not rerun all historical trading.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2" customHeight="1">
      <x:c r="A29" s="2" t="str">
        <x:v>All prices use the unchanged first-interval open proxy and inferred start-labeled timestamps.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2" customHeight="1">
      <x:c r="A30" s="2" t="str">
        <x:v>Separate source-row arithmetic and inventory P&amp;L agree with the frozen baseline.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2" customHeight="1">
      <x:c r="A31" s="2" t="str">
        <x:v>Same AI and known conventions: this is not blind third-party or vendor-data validation.</x:v>
      </x:c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2" customHeight="1">
      <x:c r="A32" s="2" t="str">
        <x:v>Source: supplied SPY workbook; exact sheet/cell addresses accompany all manual raw observations.</x:v>
      </x:c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One-change-at-a-time implementation sensitivity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Fixed independent-run results; no combined changes, optimization, ranking or baseline replacement.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6" customHeight="1">
      <x:c r="A6" s="8" t="str">
        <x:v>Case</x:v>
      </x:c>
      <x:c r="B6" s="8" t="str">
        <x:v>Model</x:v>
      </x:c>
      <x:c r="C6" s="8" t="str">
        <x:v>Cumulative return</x:v>
      </x:c>
      <x:c r="D6" s="8" t="str">
        <x:v>Annual volatility</x:v>
      </x:c>
      <x:c r="E6" s="8" t="str">
        <x:v>Sharpe</x:v>
      </x:c>
      <x:c r="F6" s="8" t="str">
        <x:v>Max drawdown</x:v>
      </x:c>
      <x:c r="G6" s="8" t="str">
        <x:v>Round trips</x:v>
      </x:c>
      <x:c r="H6" s="8" t="str">
        <x:v>Total costs ($)</x:v>
      </x:c>
      <x:c r="I6" s="8" t="str">
        <x:v>Baseline trades changed</x:v>
      </x:c>
      <x:c r="J6" s="8" t="str">
        <x:v>Baseline trades unchanged</x:v>
      </x:c>
      <x:c r="K6" s="8" t="str">
        <x:v>New/changed variant trades</x:v>
      </x:c>
      <x:c r="L6" s="8" t="str">
        <x:v>Quantity-only changes</x:v>
      </x:c>
    </x:row>
    <x:row r="7" ht="22" customHeight="1">
      <x:c r="A7" s="2" t="str">
        <x:v>Baseline replay</x:v>
      </x:c>
      <x:c r="B7" s="2" t="str">
        <x:v>A</x:v>
      </x:c>
      <x:c r="C7" s="10" t="n">
        <x:v>0.035942128</x:v>
      </x:c>
      <x:c r="D7" s="10" t="n">
        <x:v>0.066493850282573</x:v>
      </x:c>
      <x:c r="E7" s="9" t="n">
        <x:v>0.82962628873822</x:v>
      </x:c>
      <x:c r="F7" s="10" t="n">
        <x:v>-0.050594849991423</x:v>
      </x:c>
      <x:c r="G7" s="2" t="n">
        <x:v>95</x:v>
      </x:c>
      <x:c r="H7" s="9" t="n">
        <x:v>138.33</x:v>
      </x:c>
      <x:c r="I7" s="2" t="n">
        <x:v>0</x:v>
      </x:c>
      <x:c r="J7" s="2" t="n">
        <x:v>95</x:v>
      </x:c>
      <x:c r="K7" s="2" t="n">
        <x:v>0</x:v>
      </x:c>
      <x:c r="L7" s="2" t="n">
        <x:v>0</x:v>
      </x:c>
    </x:row>
    <x:row r="8" ht="22" customHeight="1">
      <x:c r="A8" s="2" t="str">
        <x:v>Baseline replay</x:v>
      </x:c>
      <x:c r="B8" s="2" t="str">
        <x:v>B</x:v>
      </x:c>
      <x:c r="C8" s="10" t="n">
        <x:v>0.044740410000004</x:v>
      </x:c>
      <x:c r="D8" s="10" t="n">
        <x:v>0.072406091399646</x:v>
      </x:c>
      <x:c r="E8" s="9" t="n">
        <x:v>0.942373235475263</x:v>
      </x:c>
      <x:c r="F8" s="10" t="n">
        <x:v>-0.028361244176377</x:v>
      </x:c>
      <x:c r="G8" s="2" t="n">
        <x:v>135</x:v>
      </x:c>
      <x:c r="H8" s="9" t="n">
        <x:v>201.42000000000002</x:v>
      </x:c>
      <x:c r="I8" s="2" t="n">
        <x:v>0</x:v>
      </x:c>
      <x:c r="J8" s="2" t="n">
        <x:v>135</x:v>
      </x:c>
      <x:c r="K8" s="2" t="n">
        <x:v>0</x:v>
      </x:c>
      <x:c r="L8" s="2" t="n">
        <x:v>0</x:v>
      </x:c>
    </x:row>
    <x:row r="9" ht="22" customHeight="1">
      <x:c r="A9" s="2" t="str">
        <x:v>Baseline replay</x:v>
      </x:c>
      <x:c r="B9" s="2" t="str">
        <x:v>C</x:v>
      </x:c>
      <x:c r="C9" s="10" t="n">
        <x:v>0.111392670000002</x:v>
      </x:c>
      <x:c r="D9" s="10" t="n">
        <x:v>0.154995413768185</x:v>
      </x:c>
      <x:c r="E9" s="9" t="n">
        <x:v>1.096885963307433</x:v>
      </x:c>
      <x:c r="F9" s="10" t="n">
        <x:v>-0.048169849644462</x:v>
      </x:c>
      <x:c r="G9" s="2" t="n">
        <x:v>135</x:v>
      </x:c>
      <x:c r="H9" s="9" t="n">
        <x:v>534.915</x:v>
      </x:c>
      <x:c r="I9" s="2" t="n">
        <x:v>0</x:v>
      </x:c>
      <x:c r="J9" s="2" t="n">
        <x:v>135</x:v>
      </x:c>
      <x:c r="K9" s="2" t="n">
        <x:v>0</x:v>
      </x:c>
      <x:c r="L9" s="2" t="n">
        <x:v>0</x:v>
      </x:c>
    </x:row>
    <x:row r="10" ht="22" customHeight="1">
      <x:c r="A10" s="2" t="str">
        <x:v>Midpoint VWAP</x:v>
      </x:c>
      <x:c r="B10" s="2" t="str">
        <x:v>A</x:v>
      </x:c>
      <x:c r="C10" s="10" t="n">
        <x:v>0.035942128</x:v>
      </x:c>
      <x:c r="D10" s="10" t="n">
        <x:v>0.066493850282573</x:v>
      </x:c>
      <x:c r="E10" s="9" t="n">
        <x:v>0.82962628873822</x:v>
      </x:c>
      <x:c r="F10" s="10" t="n">
        <x:v>-0.050594849991423</x:v>
      </x:c>
      <x:c r="G10" s="2" t="n">
        <x:v>95</x:v>
      </x:c>
      <x:c r="H10" s="9" t="n">
        <x:v>138.33</x:v>
      </x:c>
      <x:c r="I10" s="2" t="n">
        <x:v>0</x:v>
      </x:c>
      <x:c r="J10" s="2" t="n">
        <x:v>95</x:v>
      </x:c>
      <x:c r="K10" s="2" t="n">
        <x:v>0</x:v>
      </x:c>
      <x:c r="L10" s="2" t="n">
        <x:v>0</x:v>
      </x:c>
    </x:row>
    <x:row r="11" ht="22" customHeight="1">
      <x:c r="A11" s="2" t="str">
        <x:v>Midpoint VWAP</x:v>
      </x:c>
      <x:c r="B11" s="2" t="str">
        <x:v>B</x:v>
      </x:c>
      <x:c r="C11" s="10" t="n">
        <x:v>0.044740410000004</x:v>
      </x:c>
      <x:c r="D11" s="10" t="n">
        <x:v>0.072406091399646</x:v>
      </x:c>
      <x:c r="E11" s="9" t="n">
        <x:v>0.942373235475263</x:v>
      </x:c>
      <x:c r="F11" s="10" t="n">
        <x:v>-0.028361244176377</x:v>
      </x:c>
      <x:c r="G11" s="2" t="n">
        <x:v>135</x:v>
      </x:c>
      <x:c r="H11" s="9" t="n">
        <x:v>201.42000000000002</x:v>
      </x:c>
      <x:c r="I11" s="2" t="n">
        <x:v>0</x:v>
      </x:c>
      <x:c r="J11" s="2" t="n">
        <x:v>135</x:v>
      </x:c>
      <x:c r="K11" s="2" t="n">
        <x:v>0</x:v>
      </x:c>
      <x:c r="L11" s="2" t="n">
        <x:v>0</x:v>
      </x:c>
    </x:row>
    <x:row r="12" ht="22" customHeight="1">
      <x:c r="A12" s="2" t="str">
        <x:v>Midpoint VWAP</x:v>
      </x:c>
      <x:c r="B12" s="2" t="str">
        <x:v>C</x:v>
      </x:c>
      <x:c r="C12" s="10" t="n">
        <x:v>0.111392670000002</x:v>
      </x:c>
      <x:c r="D12" s="10" t="n">
        <x:v>0.154995413768185</x:v>
      </x:c>
      <x:c r="E12" s="9" t="n">
        <x:v>1.096885963307433</x:v>
      </x:c>
      <x:c r="F12" s="10" t="n">
        <x:v>-0.048169849644462</x:v>
      </x:c>
      <x:c r="G12" s="2" t="n">
        <x:v>135</x:v>
      </x:c>
      <x:c r="H12" s="9" t="n">
        <x:v>534.915</x:v>
      </x:c>
      <x:c r="I12" s="2" t="n">
        <x:v>0</x:v>
      </x:c>
      <x:c r="J12" s="2" t="n">
        <x:v>135</x:v>
      </x:c>
      <x:c r="K12" s="2" t="n">
        <x:v>0</x:v>
      </x:c>
      <x:c r="L12" s="2" t="n">
        <x:v>0</x:v>
      </x:c>
    </x:row>
    <x:row r="13" ht="22" customHeight="1">
      <x:c r="A13" s="2" t="str">
        <x:v>30-minute delay</x:v>
      </x:c>
      <x:c r="B13" s="2" t="str">
        <x:v>A</x:v>
      </x:c>
      <x:c r="C13" s="10" t="n">
        <x:v>-0.031750348000001</x:v>
      </x:c>
      <x:c r="D13" s="10" t="n">
        <x:v>0.082488973715379</x:v>
      </x:c>
      <x:c r="E13" s="9" t="n">
        <x:v>-0.544976797631832</x:v>
      </x:c>
      <x:c r="F13" s="10" t="n">
        <x:v>-0.086253368248381</x:v>
      </x:c>
      <x:c r="G13" s="2" t="n">
        <x:v>89</x:v>
      </x:c>
      <x:c r="H13" s="9" t="n">
        <x:v>123.615</x:v>
      </x:c>
      <x:c r="I13" s="2" t="n">
        <x:v>95</x:v>
      </x:c>
      <x:c r="J13" s="2" t="n">
        <x:v>0</x:v>
      </x:c>
      <x:c r="K13" s="2" t="n">
        <x:v>89</x:v>
      </x:c>
      <x:c r="L13" s="2" t="n">
        <x:v>0</x:v>
      </x:c>
    </x:row>
    <x:row r="14" ht="22" customHeight="1">
      <x:c r="A14" s="2" t="str">
        <x:v>30-minute delay</x:v>
      </x:c>
      <x:c r="B14" s="2" t="str">
        <x:v>B</x:v>
      </x:c>
      <x:c r="C14" s="10" t="n">
        <x:v>0.012134245000003</x:v>
      </x:c>
      <x:c r="D14" s="10" t="n">
        <x:v>0.066119544194011</x:v>
      </x:c>
      <x:c r="E14" s="9" t="n">
        <x:v>0.306283759523533</x:v>
      </x:c>
      <x:c r="F14" s="10" t="n">
        <x:v>-0.039744441080134</x:v>
      </x:c>
      <x:c r="G14" s="2" t="n">
        <x:v>121</x:v>
      </x:c>
      <x:c r="H14" s="9" t="n">
        <x:v>176.31</x:v>
      </x:c>
      <x:c r="I14" s="2" t="n">
        <x:v>135</x:v>
      </x:c>
      <x:c r="J14" s="2" t="n">
        <x:v>0</x:v>
      </x:c>
      <x:c r="K14" s="2" t="n">
        <x:v>121</x:v>
      </x:c>
      <x:c r="L14" s="2" t="n">
        <x:v>0</x:v>
      </x:c>
    </x:row>
    <x:row r="15" ht="22" customHeight="1">
      <x:c r="A15" s="2" t="str">
        <x:v>30-minute delay</x:v>
      </x:c>
      <x:c r="B15" s="2" t="str">
        <x:v>C</x:v>
      </x:c>
      <x:c r="C15" s="10" t="n">
        <x:v>0.039019361999999</x:v>
      </x:c>
      <x:c r="D15" s="10" t="n">
        <x:v>0.117471268497193</x:v>
      </x:c>
      <x:c r="E15" s="9" t="n">
        <x:v>0.54639422472104</x:v>
      </x:c>
      <x:c r="F15" s="10" t="n">
        <x:v>-0.054998749730232</x:v>
      </x:c>
      <x:c r="G15" s="2" t="n">
        <x:v>121</x:v>
      </x:c>
      <x:c r="H15" s="9" t="n">
        <x:v>459.234</x:v>
      </x:c>
      <x:c r="I15" s="2" t="n">
        <x:v>135</x:v>
      </x:c>
      <x:c r="J15" s="2" t="n">
        <x:v>0</x:v>
      </x:c>
      <x:c r="K15" s="2" t="n">
        <x:v>121</x:v>
      </x:c>
      <x:c r="L15" s="2" t="n">
        <x:v>0</x:v>
      </x:c>
    </x:row>
    <x:row r="16" ht="22" customHeight="1">
      <x:c r="A16" s="2" t="str">
        <x:v>VWAP entry gate</x:v>
      </x:c>
      <x:c r="B16" s="2" t="str">
        <x:v>A</x:v>
      </x:c>
      <x:c r="C16" s="10" t="n">
        <x:v>0.035942128</x:v>
      </x:c>
      <x:c r="D16" s="10" t="n">
        <x:v>0.066493850282573</x:v>
      </x:c>
      <x:c r="E16" s="9" t="n">
        <x:v>0.82962628873822</x:v>
      </x:c>
      <x:c r="F16" s="10" t="n">
        <x:v>-0.050594849991423</x:v>
      </x:c>
      <x:c r="G16" s="2" t="n">
        <x:v>95</x:v>
      </x:c>
      <x:c r="H16" s="9" t="n">
        <x:v>138.33</x:v>
      </x:c>
      <x:c r="I16" s="2" t="n">
        <x:v>0</x:v>
      </x:c>
      <x:c r="J16" s="2" t="n">
        <x:v>95</x:v>
      </x:c>
      <x:c r="K16" s="2" t="n">
        <x:v>0</x:v>
      </x:c>
      <x:c r="L16" s="2" t="n">
        <x:v>0</x:v>
      </x:c>
    </x:row>
    <x:row r="17" ht="22" customHeight="1">
      <x:c r="A17" s="2" t="str">
        <x:v>VWAP entry gate</x:v>
      </x:c>
      <x:c r="B17" s="2" t="str">
        <x:v>B</x:v>
      </x:c>
      <x:c r="C17" s="10" t="n">
        <x:v>0.044740410000004</x:v>
      </x:c>
      <x:c r="D17" s="10" t="n">
        <x:v>0.072406091399646</x:v>
      </x:c>
      <x:c r="E17" s="9" t="n">
        <x:v>0.942373235475263</x:v>
      </x:c>
      <x:c r="F17" s="10" t="n">
        <x:v>-0.028361244176377</x:v>
      </x:c>
      <x:c r="G17" s="2" t="n">
        <x:v>135</x:v>
      </x:c>
      <x:c r="H17" s="9" t="n">
        <x:v>201.42000000000002</x:v>
      </x:c>
      <x:c r="I17" s="2" t="n">
        <x:v>0</x:v>
      </x:c>
      <x:c r="J17" s="2" t="n">
        <x:v>135</x:v>
      </x:c>
      <x:c r="K17" s="2" t="n">
        <x:v>0</x:v>
      </x:c>
      <x:c r="L17" s="2" t="n">
        <x:v>0</x:v>
      </x:c>
    </x:row>
    <x:row r="18" ht="22" customHeight="1">
      <x:c r="A18" s="2" t="str">
        <x:v>VWAP entry gate</x:v>
      </x:c>
      <x:c r="B18" s="2" t="str">
        <x:v>C</x:v>
      </x:c>
      <x:c r="C18" s="10" t="n">
        <x:v>0.111392670000002</x:v>
      </x:c>
      <x:c r="D18" s="10" t="n">
        <x:v>0.154995413768185</x:v>
      </x:c>
      <x:c r="E18" s="9" t="n">
        <x:v>1.096885963307433</x:v>
      </x:c>
      <x:c r="F18" s="10" t="n">
        <x:v>-0.048169849644462</x:v>
      </x:c>
      <x:c r="G18" s="2" t="n">
        <x:v>135</x:v>
      </x:c>
      <x:c r="H18" s="9" t="n">
        <x:v>534.915</x:v>
      </x:c>
      <x:c r="I18" s="2" t="n">
        <x:v>0</x:v>
      </x:c>
      <x:c r="J18" s="2" t="n">
        <x:v>135</x:v>
      </x:c>
      <x:c r="K18" s="2" t="n">
        <x:v>0</x:v>
      </x:c>
      <x:c r="L18" s="2" t="n">
        <x:v>0</x:v>
      </x:c>
    </x:row>
    <x:row r="19" ht="22" customHeight="1">
      <x:c r="A19" s="2" t="str">
        <x:v>Exclude incomplete slots</x:v>
      </x:c>
      <x:c r="B19" s="2" t="str">
        <x:v>A</x:v>
      </x:c>
      <x:c r="C19" s="10" t="n">
        <x:v>0.036185910000001</x:v>
      </x:c>
      <x:c r="D19" s="10" t="n">
        <x:v>0.066494142708906</x:v>
      </x:c>
      <x:c r="E19" s="9" t="n">
        <x:v>0.834932008885604</x:v>
      </x:c>
      <x:c r="F19" s="10" t="n">
        <x:v>-0.050594849991423</x:v>
      </x:c>
      <x:c r="G19" s="2" t="n">
        <x:v>94</x:v>
      </x:c>
      <x:c r="H19" s="9" t="n">
        <x:v>136.92600000000002</x:v>
      </x:c>
      <x:c r="I19" s="2" t="n">
        <x:v>1</x:v>
      </x:c>
      <x:c r="J19" s="2" t="n">
        <x:v>94</x:v>
      </x:c>
      <x:c r="K19" s="2" t="n">
        <x:v>0</x:v>
      </x:c>
      <x:c r="L19" s="2" t="n">
        <x:v>4</x:v>
      </x:c>
    </x:row>
    <x:row r="20" ht="22" customHeight="1">
      <x:c r="A20" s="2" t="str">
        <x:v>Exclude incomplete slots</x:v>
      </x:c>
      <x:c r="B20" s="2" t="str">
        <x:v>B</x:v>
      </x:c>
      <x:c r="C20" s="10" t="n">
        <x:v>0.047457093000003</x:v>
      </x:c>
      <x:c r="D20" s="10" t="n">
        <x:v>0.072460907218387</x:v>
      </x:c>
      <x:c r="E20" s="9" t="n">
        <x:v>0.995487889155906</x:v>
      </x:c>
      <x:c r="F20" s="10" t="n">
        <x:v>-0.028361244176377</x:v>
      </x:c>
      <x:c r="G20" s="2" t="n">
        <x:v>132</x:v>
      </x:c>
      <x:c r="H20" s="9" t="n">
        <x:v>197.20800000000003</x:v>
      </x:c>
      <x:c r="I20" s="2" t="n">
        <x:v>4</x:v>
      </x:c>
      <x:c r="J20" s="2" t="n">
        <x:v>131</x:v>
      </x:c>
      <x:c r="K20" s="2" t="n">
        <x:v>1</x:v>
      </x:c>
      <x:c r="L20" s="2" t="n">
        <x:v>25</x:v>
      </x:c>
    </x:row>
    <x:row r="21" ht="22" customHeight="1">
      <x:c r="A21" s="2" t="str">
        <x:v>Exclude incomplete slots</x:v>
      </x:c>
      <x:c r="B21" s="2" t="str">
        <x:v>C</x:v>
      </x:c>
      <x:c r="C21" s="10" t="n">
        <x:v>0.122188988999999</x:v>
      </x:c>
      <x:c r="D21" s="10" t="n">
        <x:v>0.155057760366582</x:v>
      </x:c>
      <x:c r="E21" s="9" t="n">
        <x:v>1.190091160482905</x:v>
      </x:c>
      <x:c r="F21" s="10" t="n">
        <x:v>-0.048147198195869</x:v>
      </x:c>
      <x:c r="G21" s="2" t="n">
        <x:v>132</x:v>
      </x:c>
      <x:c r="H21" s="9" t="n">
        <x:v>520.776</x:v>
      </x:c>
      <x:c r="I21" s="2" t="n">
        <x:v>4</x:v>
      </x:c>
      <x:c r="J21" s="2" t="n">
        <x:v>131</x:v>
      </x:c>
      <x:c r="K21" s="2" t="n">
        <x:v>1</x:v>
      </x:c>
      <x:c r="L21" s="2" t="n">
        <x:v>82</x:v>
      </x:c>
    </x:row>
    <x:row r="22" ht="22" customHeight="1">
      <x:c r="A22" s="2" t="str">
        <x:v>Higher costs</x:v>
      </x:c>
      <x:c r="B22" s="2" t="str">
        <x:v>A</x:v>
      </x:c>
      <x:c r="C22" s="10" t="n">
        <x:v>0.035155628999998</x:v>
      </x:c>
      <x:c r="D22" s="10" t="n">
        <x:v>0.06651853470671</x:v>
      </x:c>
      <x:c r="E22" s="9" t="n">
        <x:v>0.812213005814825</x:v>
      </x:c>
      <x:c r="F22" s="10" t="n">
        <x:v>-0.050829014850724</x:v>
      </x:c>
      <x:c r="G22" s="2" t="n">
        <x:v>95</x:v>
      </x:c>
      <x:c r="H22" s="9" t="n">
        <x:v>215.06799999999998</x:v>
      </x:c>
      <x:c r="I22" s="2" t="n">
        <x:v>0</x:v>
      </x:c>
      <x:c r="J22" s="2" t="n">
        <x:v>95</x:v>
      </x:c>
      <x:c r="K22" s="2" t="n">
        <x:v>0</x:v>
      </x:c>
      <x:c r="L22" s="2" t="n">
        <x:v>8</x:v>
      </x:c>
    </x:row>
    <x:row r="23" ht="22" customHeight="1">
      <x:c r="A23" s="2" t="str">
        <x:v>Higher costs</x:v>
      </x:c>
      <x:c r="B23" s="2" t="str">
        <x:v>B</x:v>
      </x:c>
      <x:c r="C23" s="10" t="n">
        <x:v>0.043680524000002</x:v>
      </x:c>
      <x:c r="D23" s="10" t="n">
        <x:v>0.072413407011342</x:v>
      </x:c>
      <x:c r="E23" s="9" t="n">
        <x:v>0.921255010450541</x:v>
      </x:c>
      <x:c r="F23" s="10" t="n">
        <x:v>-0.028502798651338</x:v>
      </x:c>
      <x:c r="G23" s="2" t="n">
        <x:v>135</x:v>
      </x:c>
      <x:c r="H23" s="9" t="n">
        <x:v>313.03999999999996</x:v>
      </x:c>
      <x:c r="I23" s="2" t="n">
        <x:v>0</x:v>
      </x:c>
      <x:c r="J23" s="2" t="n">
        <x:v>135</x:v>
      </x:c>
      <x:c r="K23" s="2" t="n">
        <x:v>0</x:v>
      </x:c>
      <x:c r="L23" s="2" t="n">
        <x:v>20</x:v>
      </x:c>
    </x:row>
    <x:row r="24" ht="22" customHeight="1">
      <x:c r="A24" s="2" t="str">
        <x:v>Higher costs</x:v>
      </x:c>
      <x:c r="B24" s="2" t="str">
        <x:v>C</x:v>
      </x:c>
      <x:c r="C24" s="10" t="n">
        <x:v>0.108073356999999</x:v>
      </x:c>
      <x:c r="D24" s="10" t="n">
        <x:v>0.154943966244879</x:v>
      </x:c>
      <x:c r="E24" s="9" t="n">
        <x:v>1.068234702344223</x:v>
      </x:c>
      <x:c r="F24" s="10" t="n">
        <x:v>-0.048668211400493</x:v>
      </x:c>
      <x:c r="G24" s="2" t="n">
        <x:v>135</x:v>
      </x:c>
      <x:c r="H24" s="9" t="n">
        <x:v>830.8720000000001</x:v>
      </x:c>
      <x:c r="I24" s="2" t="n">
        <x:v>0</x:v>
      </x:c>
      <x:c r="J24" s="2" t="n">
        <x:v>135</x:v>
      </x:c>
      <x:c r="K24" s="2" t="n">
        <x:v>0</x:v>
      </x:c>
      <x:c r="L24" s="2" t="n">
        <x:v>75</x:v>
      </x:c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36" customHeight="1">
      <x:c r="A28" s="8" t="str">
        <x:v>Case</x:v>
      </x:c>
      <x:c r="B28" s="8" t="str">
        <x:v>VWAP</x:v>
      </x:c>
      <x:c r="C28" s="8" t="str">
        <x:v>Delay intervals</x:v>
      </x:c>
      <x:c r="D28" s="8" t="str">
        <x:v>Entry VWAP gate</x:v>
      </x:c>
      <x:c r="E28" s="8" t="str">
        <x:v>Full 14 slots?</x:v>
      </x:c>
      <x:c r="F28" s="8" t="str">
        <x:v>Commission/share</x:v>
      </x:c>
      <x:c r="G28" s="8" t="str">
        <x:v>Slippage/share</x:v>
      </x:c>
      <x:c r="H28" s="2"/>
      <x:c r="I28" s="2"/>
      <x:c r="J28" s="2"/>
      <x:c r="K28" s="2"/>
      <x:c r="L28" s="2"/>
    </x:row>
    <x:row r="29" ht="22" customHeight="1">
      <x:c r="A29" s="2" t="str">
        <x:v>Baseline replay</x:v>
      </x:c>
      <x:c r="B29" s="2" t="str">
        <x:v>endpoint</x:v>
      </x:c>
      <x:c r="C29" s="2" t="n">
        <x:v>0</x:v>
      </x:c>
      <x:c r="D29" s="2" t="n">
        <x:v>0</x:v>
      </x:c>
      <x:c r="E29" s="2" t="n">
        <x:v>0</x:v>
      </x:c>
      <x:c r="F29" s="9" t="n">
        <x:v>0.0035</x:v>
      </x:c>
      <x:c r="G29" s="9" t="n">
        <x:v>0.001</x:v>
      </x:c>
      <x:c r="H29" s="2"/>
      <x:c r="I29" s="2"/>
      <x:c r="J29" s="2"/>
      <x:c r="K29" s="2"/>
      <x:c r="L29" s="2"/>
    </x:row>
    <x:row r="30" ht="22" customHeight="1">
      <x:c r="A30" s="2" t="str">
        <x:v>Midpoint VWAP</x:v>
      </x:c>
      <x:c r="B30" s="2" t="str">
        <x:v>midpoint</x:v>
      </x:c>
      <x:c r="C30" s="2" t="n">
        <x:v>0</x:v>
      </x:c>
      <x:c r="D30" s="2" t="n">
        <x:v>0</x:v>
      </x:c>
      <x:c r="E30" s="2" t="n">
        <x:v>0</x:v>
      </x:c>
      <x:c r="F30" s="9" t="n">
        <x:v>0.0035</x:v>
      </x:c>
      <x:c r="G30" s="9" t="n">
        <x:v>0.001</x:v>
      </x:c>
      <x:c r="H30" s="2"/>
      <x:c r="I30" s="2"/>
      <x:c r="J30" s="2"/>
      <x:c r="K30" s="2"/>
      <x:c r="L30" s="2"/>
    </x:row>
    <x:row r="31" ht="22" customHeight="1">
      <x:c r="A31" s="2" t="str">
        <x:v>30-minute delay</x:v>
      </x:c>
      <x:c r="B31" s="2" t="str">
        <x:v>endpoint</x:v>
      </x:c>
      <x:c r="C31" s="2" t="n">
        <x:v>1</x:v>
      </x:c>
      <x:c r="D31" s="2" t="n">
        <x:v>0</x:v>
      </x:c>
      <x:c r="E31" s="2" t="n">
        <x:v>0</x:v>
      </x:c>
      <x:c r="F31" s="9" t="n">
        <x:v>0.0035</x:v>
      </x:c>
      <x:c r="G31" s="9" t="n">
        <x:v>0.001</x:v>
      </x:c>
      <x:c r="H31" s="2"/>
      <x:c r="I31" s="2"/>
      <x:c r="J31" s="2"/>
      <x:c r="K31" s="2"/>
      <x:c r="L31" s="2"/>
    </x:row>
    <x:row r="32" ht="22" customHeight="1">
      <x:c r="A32" s="2" t="str">
        <x:v>VWAP entry gate</x:v>
      </x:c>
      <x:c r="B32" s="2" t="str">
        <x:v>endpoint</x:v>
      </x:c>
      <x:c r="C32" s="2" t="n">
        <x:v>0</x:v>
      </x:c>
      <x:c r="D32" s="2" t="n">
        <x:v>1</x:v>
      </x:c>
      <x:c r="E32" s="2" t="n">
        <x:v>0</x:v>
      </x:c>
      <x:c r="F32" s="9" t="n">
        <x:v>0.0035</x:v>
      </x:c>
      <x:c r="G32" s="9" t="n">
        <x:v>0.001</x:v>
      </x:c>
      <x:c r="H32" s="2"/>
      <x:c r="I32" s="2"/>
      <x:c r="J32" s="2"/>
      <x:c r="K32" s="2"/>
      <x:c r="L32" s="2"/>
    </x:row>
    <x:row r="33" ht="22" customHeight="1">
      <x:c r="A33" s="2" t="str">
        <x:v>Exclude incomplete slots</x:v>
      </x:c>
      <x:c r="B33" s="2" t="str">
        <x:v>endpoint</x:v>
      </x:c>
      <x:c r="C33" s="2" t="n">
        <x:v>0</x:v>
      </x:c>
      <x:c r="D33" s="2" t="n">
        <x:v>0</x:v>
      </x:c>
      <x:c r="E33" s="2" t="n">
        <x:v>1</x:v>
      </x:c>
      <x:c r="F33" s="9" t="n">
        <x:v>0.0035</x:v>
      </x:c>
      <x:c r="G33" s="9" t="n">
        <x:v>0.001</x:v>
      </x:c>
      <x:c r="H33" s="2"/>
      <x:c r="I33" s="2"/>
      <x:c r="J33" s="2"/>
      <x:c r="K33" s="2"/>
      <x:c r="L33" s="2"/>
    </x:row>
    <x:row r="34" ht="22" customHeight="1">
      <x:c r="A34" s="2" t="str">
        <x:v>Higher costs</x:v>
      </x:c>
      <x:c r="B34" s="2" t="str">
        <x:v>endpoint</x:v>
      </x:c>
      <x:c r="C34" s="2" t="n">
        <x:v>0</x:v>
      </x:c>
      <x:c r="D34" s="2" t="n">
        <x:v>0</x:v>
      </x:c>
      <x:c r="E34" s="2" t="n">
        <x:v>0</x:v>
      </x:c>
      <x:c r="F34" s="9" t="n">
        <x:v>0.005</x:v>
      </x:c>
      <x:c r="G34" s="9" t="n">
        <x:v>0.002</x:v>
      </x:c>
      <x:c r="H34" s="2"/>
      <x:c r="I34" s="2"/>
      <x:c r="J34" s="2"/>
      <x:c r="K34" s="2"/>
      <x:c r="L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 t="str">
        <x:v>Changed = baseline episode lacks exact same direction, entry/exit times and prices; removed trades count.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2" customHeight="1">
      <x:c r="A37" s="2" t="str">
        <x:v>Quantity-only changes exclude timing/price changes and reflect the changed daily equity path.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 t="str">
        <x:v>Full-14 case suppresses discretionary decisions at missing-history slots; forced closing exits remain.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 t="str">
        <x:v>Delay case queues decisions one grid step; closing liquidation overrides and cancels pending orders.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7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Model C: dependence on best and worst days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Rank by baseline daily return. Removal sets selected net returns to zero; all 168 dates remain, with no strategy rerun.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6" customHeight="1">
      <x:c r="A6" s="8" t="str">
        <x:v>Tail</x:v>
      </x:c>
      <x:c r="B6" s="8" t="str">
        <x:v>Days removed</x:v>
      </x:c>
      <x:c r="C6" s="8" t="str">
        <x:v>Selected net P&amp;L ($)</x:v>
      </x:c>
      <x:c r="D6" s="8" t="str">
        <x:v>Share of total profit</x:v>
      </x:c>
      <x:c r="E6" s="8" t="str">
        <x:v>Selected compounded return</x:v>
      </x:c>
      <x:c r="F6" s="8" t="str">
        <x:v>Return without days</x:v>
      </x:c>
      <x:c r="G6" s="8" t="str">
        <x:v>Return difference</x:v>
      </x:c>
      <x:c r="H6" s="8" t="str">
        <x:v>Difference / total return</x:v>
      </x:c>
      <x:c r="I6" s="8" t="str">
        <x:v>Selected dates</x:v>
      </x:c>
    </x:row>
    <x:row r="7" ht="34" customHeight="1">
      <x:c r="A7" s="2" t="str">
        <x:v>best</x:v>
      </x:c>
      <x:c r="B7" s="2" t="n">
        <x:v>1</x:v>
      </x:c>
      <x:c r="C7" s="9" t="n">
        <x:f>SUM(E20:E20)</x:f>
        <x:v>9480.384000000025</x:v>
      </x:c>
      <x:c r="D7" s="10" t="n">
        <x:f>C7/('Daily Equity'!H174-'Summary'!B16)</x:f>
        <x:v>0.8510779030613039</x:v>
      </x:c>
      <x:c r="E7" s="10" t="n">
        <x:f>PRODUCT(G20:G20)-1</x:f>
        <x:v>0.09322010865877894</x:v>
      </x:c>
      <x:c r="F7" s="10" t="n">
        <x:f>(1+$B$16)/(1+E7)-1</x:f>
        <x:v>0.016622966589515675</x:v>
      </x:c>
      <x:c r="G7" s="10" t="n">
        <x:f>$B$16-F7</x:f>
        <x:v>0.09476970341048485</x:v>
      </x:c>
      <x:c r="H7" s="10" t="n">
        <x:f>G7/$B$16</x:f>
        <x:v>0.8507714503161151</x:v>
      </x:c>
      <x:c r="I7" s="18" t="str">
        <x:v>2025-10-10</x:v>
      </x:c>
    </x:row>
    <x:row r="8" ht="34" customHeight="1">
      <x:c r="A8" s="2" t="str">
        <x:v>best</x:v>
      </x:c>
      <x:c r="B8" s="2" t="n">
        <x:v>3</x:v>
      </x:c>
      <x:c r="C8" s="9" t="n">
        <x:f>SUM(E20:E22)</x:f>
        <x:v>15760.743200000035</x:v>
      </x:c>
      <x:c r="D8" s="10" t="n">
        <x:f>C8/('Daily Equity'!H174-'Summary'!B16)</x:f>
        <x:v>1.4148815357419804</x:v>
      </x:c>
      <x:c r="E8" s="10" t="n">
        <x:f>PRODUCT(G20:G22)-1</x:f>
        <x:v>0.15994500384151045</x:v>
      </x:c>
      <x:c r="F8" s="10" t="n">
        <x:f>(1+$B$16)/(1+E8)-1</x:f>
        <x:v>-0.04185744468980346</x:v>
      </x:c>
      <x:c r="G8" s="10" t="n">
        <x:f>$B$16-F8</x:f>
        <x:v>0.15325011468980398</x:v>
      </x:c>
      <x:c r="H8" s="10" t="n">
        <x:f>G8/$B$16</x:f>
        <x:v>1.375764802924674</x:v>
      </x:c>
      <x:c r="I8" s="18" t="str">
        <x:v>2025-10-10; 2025-04-09; 2025-11-20</x:v>
      </x:c>
    </x:row>
    <x:row r="9" ht="34" customHeight="1">
      <x:c r="A9" s="2" t="str">
        <x:v>best</x:v>
      </x:c>
      <x:c r="B9" s="2" t="n">
        <x:v>5</x:v>
      </x:c>
      <x:c r="C9" s="9" t="n">
        <x:f>SUM(E20:E24)</x:f>
        <x:v>19903.235100000024</x:v>
      </x:c>
      <x:c r="D9" s="10" t="n">
        <x:f>C9/('Daily Equity'!H174-'Summary'!B16)</x:f>
        <x:v>1.7867634468228415</x:v>
      </x:c>
      <x:c r="E9" s="10" t="n">
        <x:f>PRODUCT(G20:G24)-1</x:f>
        <x:v>0.20740019347439276</x:v>
      </x:c>
      <x:c r="F9" s="10" t="n">
        <x:f>(1+$B$16)/(1+E9)-1</x:f>
        <x:v>-0.07951590863847946</x:v>
      </x:c>
      <x:c r="G9" s="10" t="n">
        <x:f>$B$16-F9</x:f>
        <x:v>0.19090857863848</x:v>
      </x:c>
      <x:c r="H9" s="10" t="n">
        <x:f>G9/$B$16</x:f>
        <x:v>1.713834300214539</x:v>
      </x:c>
      <x:c r="I9" s="18" t="str">
        <x:v>2025-10-10; 2025-04-09; 2025-11-20; 2025-04-04; 2025-11-13</x:v>
      </x:c>
    </x:row>
    <x:row r="10" ht="34" customHeight="1">
      <x:c r="A10" s="2" t="str">
        <x:v>worst</x:v>
      </x:c>
      <x:c r="B10" s="2" t="n">
        <x:v>1</x:v>
      </x:c>
      <x:c r="C10" s="9" t="n">
        <x:f>SUM(E25:E25)</x:f>
        <x:v>-2255.9040000000173</x:v>
      </x:c>
      <x:c r="D10" s="10" t="n">
        <x:f>C10/('Daily Equity'!H174-'Summary'!B16)</x:f>
        <x:v>-0.20251817287439172</x:v>
      </x:c>
      <x:c r="E10" s="10" t="n">
        <x:f>PRODUCT(G25:G25)-1</x:f>
        <x:v>-0.020114992210592653</x:v>
      </x:c>
      <x:c r="F10" s="10" t="n">
        <x:f>(1+$B$16)/(1+E10)-1</x:f>
        <x:v>0.13420723979364757</x:v>
      </x:c>
      <x:c r="G10" s="10" t="n">
        <x:f>$B$16-F10</x:f>
        <x:v>-0.022814569793647044</x:v>
      </x:c>
      <x:c r="H10" s="10" t="n">
        <x:f>G10/$B$16</x:f>
        <x:v>-0.20481212806593949</x:v>
      </x:c>
      <x:c r="I10" s="18" t="str">
        <x:v>2025-11-21</x:v>
      </x:c>
    </x:row>
    <x:row r="11" ht="34" customHeight="1">
      <x:c r="A11" s="2" t="str">
        <x:v>worst</x:v>
      </x:c>
      <x:c r="B11" s="2" t="n">
        <x:v>3</x:v>
      </x:c>
      <x:c r="C11" s="9" t="n">
        <x:f>SUM(E25:E27)</x:f>
        <x:v>-5829.469799999978</x:v>
      </x:c>
      <x:c r="D11" s="10" t="n">
        <x:f>C11/('Daily Equity'!H174-'Summary'!B16)</x:f>
        <x:v>-0.5233261578163044</x:v>
      </x:c>
      <x:c r="E11" s="10" t="n">
        <x:f>PRODUCT(G25:G27)-1</x:f>
        <x:v>-0.05352701658958403</x:v>
      </x:c>
      <x:c r="F11" s="10" t="n">
        <x:f>(1+$B$16)/(1+E11)-1</x:f>
        <x:v>0.17424658651674485</x:v>
      </x:c>
      <x:c r="G11" s="10" t="n">
        <x:f>$B$16-F11</x:f>
        <x:v>-0.06285391651674432</x:v>
      </x:c>
      <x:c r="H11" s="10" t="n">
        <x:f>G11/$B$16</x:f>
        <x:v>-0.5642554085178497</x:v>
      </x:c>
      <x:c r="I11" s="18" t="str">
        <x:v>2025-11-21; 2025-09-17; 2025-09-18</x:v>
      </x:c>
    </x:row>
    <x:row r="12" ht="34" customHeight="1">
      <x:c r="A12" s="2" t="str">
        <x:v>worst</x:v>
      </x:c>
      <x:c r="B12" s="2" t="n">
        <x:v>5</x:v>
      </x:c>
      <x:c r="C12" s="9" t="n">
        <x:f>SUM(E25:E29)</x:f>
        <x:v>-8720.941999999988</x:v>
      </x:c>
      <x:c r="D12" s="10" t="n">
        <x:f>C12/('Daily Equity'!H174-'Summary'!B16)</x:f>
        <x:v>-0.7829008856686843</x:v>
      </x:c>
      <x:c r="E12" s="10" t="n">
        <x:f>PRODUCT(G25:G29)-1</x:f>
        <x:v>-0.08023004128253697</x:v>
      </x:c>
      <x:c r="F12" s="10" t="n">
        <x:f>(1+$B$16)/(1+E12)-1</x:f>
        <x:v>0.2083376495028586</x:v>
      </x:c>
      <x:c r="G12" s="10" t="n">
        <x:f>$B$16-F12</x:f>
        <x:v>-0.09694497950285808</x:v>
      </x:c>
      <x:c r="H12" s="10" t="n">
        <x:f>G12/$B$16</x:f>
        <x:v>-0.8702994506088921</x:v>
      </x:c>
      <x:c r="I12" s="18" t="str">
        <x:v>2025-11-21; 2025-09-17; 2025-09-18; 2025-10-03; 2025-04-02</x:v>
      </x:c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2" customHeight="1">
      <x:c r="A16" s="2" t="str">
        <x:v>Baseline cumulative return</x:v>
      </x:c>
      <x:c r="B16" s="10" t="n">
        <x:f>'Daily Equity'!H174/'Summary'!B16-1</x:f>
        <x:v>0.11139267000000053</x:v>
      </x:c>
      <x:c r="C16" s="2"/>
      <x:c r="D16" s="2"/>
      <x:c r="E16" s="2"/>
      <x:c r="F16" s="2"/>
      <x:c r="G16" s="2"/>
      <x:c r="H16" s="2"/>
      <x:c r="I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6" customHeight="1">
      <x:c r="A19" s="8" t="str">
        <x:v>Tail</x:v>
      </x:c>
      <x:c r="B19" s="8" t="str">
        <x:v>Rank</x:v>
      </x:c>
      <x:c r="C19" s="8" t="str">
        <x:v>Date</x:v>
      </x:c>
      <x:c r="D19" s="8" t="str">
        <x:v>Daily return</x:v>
      </x:c>
      <x:c r="E19" s="8" t="str">
        <x:v>Net P&amp;L ($)</x:v>
      </x:c>
      <x:c r="F19" s="8" t="str">
        <x:v>Start equity ($)</x:v>
      </x:c>
      <x:c r="G19" s="8" t="str">
        <x:v>Growth factor</x:v>
      </x:c>
      <x:c r="H19" s="8" t="str">
        <x:v>Profit share</x:v>
      </x:c>
      <x:c r="I19" s="2"/>
    </x:row>
    <x:row r="20" ht="22" customHeight="1">
      <x:c r="A20" s="2" t="str">
        <x:v>best</x:v>
      </x:c>
      <x:c r="B20" s="2" t="n">
        <x:v>1</x:v>
      </x:c>
      <x:c r="C20" s="12" t="n">
        <x:v>45940</x:v>
      </x:c>
      <x:c r="D20" s="10" t="n">
        <x:f>'Daily Equity'!I139</x:f>
        <x:v>0.09322010865877889</x:v>
      </x:c>
      <x:c r="E20" s="9" t="n">
        <x:f>'Daily Equity'!G139</x:f>
        <x:v>9480.384000000025</x:v>
      </x:c>
      <x:c r="F20" s="9" t="n">
        <x:f>'Daily Equity'!B139</x:f>
        <x:v>101698.91599999998</x:v>
      </x:c>
      <x:c r="G20" s="9" t="n">
        <x:f>1+D20</x:f>
        <x:v>1.093220108658779</x:v>
      </x:c>
      <x:c r="H20" s="10" t="n">
        <x:f>E20/('Daily Equity'!H174-'Summary'!B16)</x:f>
        <x:v>0.8510779030613039</x:v>
      </x:c>
      <x:c r="I20" s="2"/>
    </x:row>
    <x:row r="21" ht="22" customHeight="1">
      <x:c r="A21" s="2" t="str">
        <x:v>best</x:v>
      </x:c>
      <x:c r="B21" s="2" t="n">
        <x:v>2</x:v>
      </x:c>
      <x:c r="C21" s="12" t="n">
        <x:v>45756</x:v>
      </x:c>
      <x:c r="D21" s="10" t="n">
        <x:f>'Daily Equity'!I12</x:f>
        <x:v>0.03497437889317571</x:v>
      </x:c>
      <x:c r="E21" s="9" t="n">
        <x:f>'Daily Equity'!G12</x:f>
        <x:v>3525.7571999999996</x:v>
      </x:c>
      <x:c r="F21" s="9" t="n">
        <x:f>'Daily Equity'!B12</x:f>
        <x:v>100809.7159</x:v>
      </x:c>
      <x:c r="G21" s="9" t="n">
        <x:f>1+D21</x:f>
        <x:v>1.0349743788931758</x:v>
      </x:c>
      <x:c r="H21" s="10" t="n">
        <x:f>E21/('Daily Equity'!H174-'Summary'!B16)</x:f>
        <x:v>0.31651608674071496</x:v>
      </x:c>
      <x:c r="I21" s="2"/>
    </x:row>
    <x:row r="22" ht="22" customHeight="1">
      <x:c r="A22" s="2" t="str">
        <x:v>best</x:v>
      </x:c>
      <x:c r="B22" s="2" t="n">
        <x:v>3</x:v>
      </x:c>
      <x:c r="C22" s="12" t="n">
        <x:v>45981</x:v>
      </x:c>
      <x:c r="D22" s="10" t="n">
        <x:f>'Daily Equity'!I168</x:f>
        <x:v>0.025180149321486232</x:v>
      </x:c>
      <x:c r="E22" s="9" t="n">
        <x:f>'Daily Equity'!G168</x:f>
        <x:v>2754.6020000000103</x:v>
      </x:c>
      <x:c r="F22" s="9" t="n">
        <x:f>'Daily Equity'!B168</x:f>
        <x:v>109395.77700000005</x:v>
      </x:c>
      <x:c r="G22" s="9" t="n">
        <x:f>1+D22</x:f>
        <x:v>1.0251801493214863</x:v>
      </x:c>
      <x:c r="H22" s="10" t="n">
        <x:f>E22/('Daily Equity'!H174-'Summary'!B16)</x:f>
        <x:v>0.24728754593996155</x:v>
      </x:c>
      <x:c r="I22" s="2"/>
    </x:row>
    <x:row r="23" ht="22" customHeight="1">
      <x:c r="A23" s="2" t="str">
        <x:v>best</x:v>
      </x:c>
      <x:c r="B23" s="2" t="n">
        <x:v>4</x:v>
      </x:c>
      <x:c r="C23" s="12" t="n">
        <x:v>45751</x:v>
      </x:c>
      <x:c r="D23" s="10" t="n">
        <x:f>'Daily Equity'!I9</x:f>
        <x:v>0.024978469658110784</x:v>
      </x:c>
      <x:c r="E23" s="9" t="n">
        <x:f>'Daily Equity'!G9</x:f>
        <x:v>2471.848899999993</x:v>
      </x:c>
      <x:c r="F23" s="9" t="n">
        <x:f>'Daily Equity'!B9</x:f>
        <x:v>98959.181</x:v>
      </x:c>
      <x:c r="G23" s="9" t="n">
        <x:f>1+D23</x:f>
        <x:v>1.0249784696581108</x:v>
      </x:c>
      <x:c r="H23" s="10" t="n">
        <x:f>E23/('Daily Equity'!H174-'Summary'!B16)</x:f>
        <x:v>0.22190408938038578</x:v>
      </x:c>
      <x:c r="I23" s="2"/>
    </x:row>
    <x:row r="24" ht="22" customHeight="1">
      <x:c r="A24" s="2" t="str">
        <x:v>best</x:v>
      </x:c>
      <x:c r="B24" s="2" t="n">
        <x:v>5</x:v>
      </x:c>
      <x:c r="C24" s="12" t="n">
        <x:v>45974</x:v>
      </x:c>
      <x:c r="D24" s="10" t="n">
        <x:f>'Daily Equity'!I163</x:f>
        <x:v>0.015544830146949839</x:v>
      </x:c>
      <x:c r="E24" s="9" t="n">
        <x:f>'Daily Equity'!G163</x:f>
        <x:v>1670.6429999999962</x:v>
      </x:c>
      <x:c r="F24" s="9" t="n">
        <x:f>'Daily Equity'!B163</x:f>
        <x:v>107472.57990000006</x:v>
      </x:c>
      <x:c r="G24" s="9" t="n">
        <x:f>1+D24</x:f>
        <x:v>1.0155448301469499</x:v>
      </x:c>
      <x:c r="H24" s="10" t="n">
        <x:f>E24/('Daily Equity'!H174-'Summary'!B16)</x:f>
        <x:v>0.14997782170047533</x:v>
      </x:c>
      <x:c r="I24" s="2"/>
    </x:row>
    <x:row r="25" ht="22" customHeight="1">
      <x:c r="A25" s="2" t="str">
        <x:v>worst</x:v>
      </x:c>
      <x:c r="B25" s="2" t="n">
        <x:v>1</x:v>
      </x:c>
      <x:c r="C25" s="12" t="n">
        <x:v>45982</x:v>
      </x:c>
      <x:c r="D25" s="10" t="n">
        <x:f>'Daily Equity'!I169</x:f>
        <x:v>-0.020114992210592673</x:v>
      </x:c>
      <x:c r="E25" s="9" t="n">
        <x:f>'Daily Equity'!G169</x:f>
        <x:v>-2255.9040000000173</x:v>
      </x:c>
      <x:c r="F25" s="9" t="n">
        <x:f>'Daily Equity'!B169</x:f>
        <x:v>112150.37900000006</x:v>
      </x:c>
      <x:c r="G25" s="9" t="n">
        <x:f>1+D25</x:f>
        <x:v>0.9798850077894073</x:v>
      </x:c>
      <x:c r="H25" s="10" t="n">
        <x:f>E25/('Daily Equity'!H174-'Summary'!B16)</x:f>
        <x:v>-0.20251817287439172</x:v>
      </x:c>
      <x:c r="I25" s="2"/>
    </x:row>
    <x:row r="26" ht="22" customHeight="1">
      <x:c r="A26" s="2" t="str">
        <x:v>worst</x:v>
      </x:c>
      <x:c r="B26" s="2" t="n">
        <x:v>2</x:v>
      </x:c>
      <x:c r="C26" s="12" t="n">
        <x:v>45917</x:v>
      </x:c>
      <x:c r="D26" s="10" t="n">
        <x:f>'Daily Equity'!I122</x:f>
        <x:v>-0.017813592309706763</x:v>
      </x:c>
      <x:c r="E26" s="9" t="n">
        <x:f>'Daily Equity'!G122</x:f>
        <x:v>-1866.9196000000297</x:v>
      </x:c>
      <x:c r="F26" s="9" t="n">
        <x:f>'Daily Equity'!B122</x:f>
        <x:v>104803.09459999995</x:v>
      </x:c>
      <x:c r="G26" s="9" t="n">
        <x:f>1+D26</x:f>
        <x:v>0.9821864076902932</x:v>
      </x:c>
      <x:c r="H26" s="10" t="n">
        <x:f>E26/('Daily Equity'!H174-'Summary'!B16)</x:f>
        <x:v>-0.16759806547414846</x:v>
      </x:c>
      <x:c r="I26" s="2"/>
    </x:row>
    <x:row r="27" ht="22" customHeight="1">
      <x:c r="A27" s="2" t="str">
        <x:v>worst</x:v>
      </x:c>
      <x:c r="B27" s="2" t="n">
        <x:v>3</x:v>
      </x:c>
      <x:c r="C27" s="12" t="n">
        <x:v>45918</x:v>
      </x:c>
      <x:c r="D27" s="10" t="n">
        <x:f>'Daily Equity'!I123</x:f>
        <x:v>-0.016579654334347785</x:v>
      </x:c>
      <x:c r="E27" s="9" t="n">
        <x:f>'Daily Equity'!G123</x:f>
        <x:v>-1706.646199999931</x:v>
      </x:c>
      <x:c r="F27" s="9" t="n">
        <x:f>'Daily Equity'!B123</x:f>
        <x:v>102936.17499999993</x:v>
      </x:c>
      <x:c r="G27" s="9" t="n">
        <x:f>1+D27</x:f>
        <x:v>0.9834203456656522</x:v>
      </x:c>
      <x:c r="H27" s="10" t="n">
        <x:f>E27/('Daily Equity'!H174-'Summary'!B16)</x:f>
        <x:v>-0.1532099194677642</x:v>
      </x:c>
      <x:c r="I27" s="2"/>
    </x:row>
    <x:row r="28" ht="22" customHeight="1">
      <x:c r="A28" s="2" t="str">
        <x:v>worst</x:v>
      </x:c>
      <x:c r="B28" s="2" t="n">
        <x:v>4</x:v>
      </x:c>
      <x:c r="C28" s="12" t="n">
        <x:v>45933</x:v>
      </x:c>
      <x:c r="D28" s="10" t="n">
        <x:f>'Daily Equity'!I134</x:f>
        <x:v>-0.015507059050180145</x:v>
      </x:c>
      <x:c r="E28" s="9" t="n">
        <x:f>'Daily Equity'!G134</x:f>
        <x:v>-1600.8450000000223</x:v>
      </x:c>
      <x:c r="F28" s="9" t="n">
        <x:f>'Daily Equity'!B134</x:f>
        <x:v>103233.30779999998</x:v>
      </x:c>
      <x:c r="G28" s="9" t="n">
        <x:f>1+D28</x:f>
        <x:v>0.9844929409498199</x:v>
      </x:c>
      <x:c r="H28" s="10" t="n">
        <x:f>E28/('Daily Equity'!H174-'Summary'!B16)</x:f>
        <x:v>-0.1437118797852691</x:v>
      </x:c>
      <x:c r="I28" s="2"/>
    </x:row>
    <x:row r="29" ht="22" customHeight="1">
      <x:c r="A29" s="2" t="str">
        <x:v>worst</x:v>
      </x:c>
      <x:c r="B29" s="2" t="n">
        <x:v>5</x:v>
      </x:c>
      <x:c r="C29" s="12" t="n">
        <x:v>45749</x:v>
      </x:c>
      <x:c r="D29" s="10" t="n">
        <x:f>'Daily Equity'!I7</x:f>
        <x:v>-0.012906271999999873</x:v>
      </x:c>
      <x:c r="E29" s="9" t="n">
        <x:f>'Daily Equity'!G7</x:f>
        <x:v>-1290.6271999999874</x:v>
      </x:c>
      <x:c r="F29" s="9" t="n">
        <x:f>'Daily Equity'!B7</x:f>
        <x:v>100000</x:v>
      </x:c>
      <x:c r="G29" s="9" t="n">
        <x:f>1+D29</x:f>
        <x:v>0.9870937280000002</x:v>
      </x:c>
      <x:c r="H29" s="10" t="n">
        <x:f>E29/('Daily Equity'!H174-'Summary'!B16)</x:f>
        <x:v>-0.11586284806711084</x:v>
      </x:c>
      <x:c r="I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2" customHeight="1">
      <x:c r="A32" s="2" t="str">
        <x:v>Dollar P&amp;L share is additive attribution on the actual equity path; it may exceed 100%.</x:v>
      </x:c>
      <x:c r="B32" s="2"/>
      <x:c r="C32" s="2"/>
      <x:c r="D32" s="2"/>
      <x:c r="E32" s="2"/>
      <x:c r="F32" s="2"/>
      <x:c r="G32" s="2"/>
      <x:c r="H32" s="2"/>
      <x:c r="I32" s="2"/>
    </x:row>
    <x:row r="33" ht="22" customHeight="1">
      <x:c r="A33" s="2" t="str">
        <x:v>Return difference is baseline cumulative return minus compounded return after zeroing selected days.</x:v>
      </x:c>
      <x:c r="B33" s="2"/>
      <x:c r="C33" s="2"/>
      <x:c r="D33" s="2"/>
      <x:c r="E33" s="2"/>
      <x:c r="F33" s="2"/>
      <x:c r="G33" s="2"/>
      <x:c r="H33" s="2"/>
      <x:c r="I33" s="2"/>
    </x:row>
    <x:row r="34" ht="22" customHeight="1">
      <x:c r="A34" s="2" t="str">
        <x:v>Day rankings are fixed baseline observations. Removing them is a hindsight stress, not a trading rule.</x:v>
      </x:c>
      <x:c r="B34" s="2"/>
      <x:c r="C34" s="2"/>
      <x:c r="D34" s="2"/>
      <x:c r="E34" s="2"/>
      <x:c r="F34" s="2"/>
      <x:c r="G34" s="2"/>
      <x:c r="H34" s="2"/>
      <x:c r="I3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Model C: selected completed trades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 t="str">
        <x:v>All arithmetic uses Decisions and Volatility formulas; commission and slippage include both execution legs.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6" customHeight="1">
      <x:c r="A6" s="8" t="str">
        <x:v>Day</x:v>
      </x:c>
      <x:c r="B6" s="8" t="str">
        <x:v>Trade ID</x:v>
      </x:c>
      <x:c r="C6" s="8" t="str">
        <x:v>Direction</x:v>
      </x:c>
      <x:c r="D6" s="8" t="str">
        <x:v>Entry time</x:v>
      </x:c>
      <x:c r="E6" s="8" t="str">
        <x:v>Exit time</x:v>
      </x:c>
      <x:c r="F6" s="8" t="str">
        <x:v>Shares</x:v>
      </x:c>
      <x:c r="G6" s="8" t="str">
        <x:v>Entry price ($)</x:v>
      </x:c>
      <x:c r="H6" s="8" t="str">
        <x:v>Exit price ($)</x:v>
      </x:c>
      <x:c r="I6" s="8" t="str">
        <x:v>Gross P&amp;L ($)</x:v>
      </x:c>
      <x:c r="J6" s="8" t="str">
        <x:v>Commission ($)</x:v>
      </x:c>
      <x:c r="K6" s="8" t="str">
        <x:v>Slippage ($)</x:v>
      </x:c>
      <x:c r="L6" s="8" t="str">
        <x:v>Net P&amp;L ($)</x:v>
      </x:c>
      <x:c r="M6" s="8" t="str">
        <x:v>Entry upper ($)</x:v>
      </x:c>
      <x:c r="N6" s="8" t="str">
        <x:v>Entry lower ($)</x:v>
      </x:c>
      <x:c r="O6" s="8" t="str">
        <x:v>Entry VWAP ($)</x:v>
      </x:c>
      <x:c r="P6" s="8" t="str">
        <x:v>Exit upper ($)</x:v>
      </x:c>
      <x:c r="Q6" s="8" t="str">
        <x:v>Exit lower ($)</x:v>
      </x:c>
      <x:c r="R6" s="8" t="str">
        <x:v>Exit VWAP ($)</x:v>
      </x:c>
    </x:row>
    <x:row r="7" ht="22" customHeight="1">
      <x:c r="A7" s="12" t="n">
        <x:v>45749</x:v>
      </x:c>
      <x:c r="B7" s="2" t="n">
        <x:v>1</x:v>
      </x:c>
      <x:c r="C7" s="2" t="n">
        <x:v>1</x:v>
      </x:c>
      <x:c r="D7" s="17" t="n">
        <x:v>45749.479166666664</x:v>
      </x:c>
      <x:c r="E7" s="17" t="n">
        <x:v>45749.5</x:v>
      </x:c>
      <x:c r="F7" s="2" t="n">
        <x:f>'Decisions'!Q10</x:f>
        <x:v>302</x:v>
      </x:c>
      <x:c r="G7" s="9" t="n">
        <x:f>'Decisions'!C10</x:f>
        <x:v>560.0867</x:v>
      </x:c>
      <x:c r="H7" s="9" t="n">
        <x:f>'Decisions'!C11</x:f>
        <x:v>559.1322</x:v>
      </x:c>
      <x:c r="I7" s="9" t="n">
        <x:f>C7*F7*(H7-G7)</x:f>
        <x:v>-288.2589999999816</x:v>
      </x:c>
      <x:c r="J7" s="9" t="n">
        <x:f>2*F7*'Summary'!$B$20</x:f>
        <x:v>2.114</x:v>
      </x:c>
      <x:c r="K7" s="9" t="n">
        <x:f>2*F7*'Summary'!$B$21</x:f>
        <x:v>0.604</x:v>
      </x:c>
      <x:c r="L7" s="9" t="n">
        <x:f>I7-J7-K7</x:f>
        <x:v>-290.97699999998156</x:v>
      </x:c>
      <x:c r="M7" s="9" t="n">
        <x:f>'Decisions'!G10</x:f>
        <x:v>559.5486438128803</x:v>
      </x:c>
      <x:c r="N7" s="9" t="n">
        <x:f>'Decisions'!H10</x:f>
        <x:v>553.6124659559202</x:v>
      </x:c>
      <x:c r="O7" s="9" t="n">
        <x:f>'Decisions'!I10</x:f>
        <x:v>557.4300935790885</x:v>
      </x:c>
      <x:c r="P7" s="9" t="n">
        <x:f>'Decisions'!G11</x:f>
        <x:v>560.00378763003</x:v>
      </x:c>
      <x:c r="Q7" s="9" t="n">
        <x:f>'Decisions'!H11</x:f>
        <x:v>553.1592692120294</x:v>
      </x:c>
      <x:c r="R7" s="9" t="n">
        <x:f>'Decisions'!I11</x:f>
        <x:v>557.7299880351084</x:v>
      </x:c>
    </x:row>
    <x:row r="8" ht="22" customHeight="1">
      <x:c r="A8" s="12" t="n">
        <x:v>45749</x:v>
      </x:c>
      <x:c r="B8" s="2" t="n">
        <x:v>2</x:v>
      </x:c>
      <x:c r="C8" s="2" t="n">
        <x:v>1</x:v>
      </x:c>
      <x:c r="D8" s="17" t="n">
        <x:v>45749.520833333336</x:v>
      </x:c>
      <x:c r="E8" s="17" t="n">
        <x:v>45749.604166666664</x:v>
      </x:c>
      <x:c r="F8" s="2" t="n">
        <x:f>'Decisions'!Q12</x:f>
        <x:v>302</x:v>
      </x:c>
      <x:c r="G8" s="9" t="n">
        <x:f>'Decisions'!C12</x:f>
        <x:v>561.1009</x:v>
      </x:c>
      <x:c r="H8" s="9" t="n">
        <x:f>'Decisions'!C16</x:f>
        <x:v>557.7998</x:v>
      </x:c>
      <x:c r="I8" s="9" t="n">
        <x:f>C8*F8*(H8-G8)</x:f>
        <x:v>-996.9322000000059</x:v>
      </x:c>
      <x:c r="J8" s="9" t="n">
        <x:f>2*F8*'Summary'!$B$20</x:f>
        <x:v>2.114</x:v>
      </x:c>
      <x:c r="K8" s="9" t="n">
        <x:f>2*F8*'Summary'!$B$21</x:f>
        <x:v>0.604</x:v>
      </x:c>
      <x:c r="L8" s="9" t="n">
        <x:f>I8-J8-K8</x:f>
        <x:v>-999.650200000006</x:v>
      </x:c>
      <x:c r="M8" s="9" t="n">
        <x:f>'Decisions'!G12</x:f>
        <x:v>559.9278813759963</x:v>
      </x:c>
      <x:c r="N8" s="9" t="n">
        <x:f>'Decisions'!H12</x:f>
        <x:v>553.2348507444435</x:v>
      </x:c>
      <x:c r="O8" s="9" t="n">
        <x:f>'Decisions'!I12</x:f>
        <x:v>558.1063537794519</x:v>
      </x:c>
      <x:c r="P8" s="9" t="n">
        <x:f>'Decisions'!G16</x:f>
        <x:v>560.2143381392553</x:v>
      </x:c>
      <x:c r="Q8" s="9" t="n">
        <x:f>'Decisions'!H16</x:f>
        <x:v>552.9496194230833</x:v>
      </x:c>
      <x:c r="R8" s="9" t="n">
        <x:f>'Decisions'!I16</x:f>
        <x:v>559.3122613011135</x:v>
      </x:c>
    </x:row>
    <x:row r="9" ht="22" customHeight="1">
      <x:c r="A9" s="12" t="n">
        <x:v>45841</x:v>
      </x:c>
      <x:c r="B9" s="2" t="n">
        <x:v>47</x:v>
      </x:c>
      <x:c r="C9" s="2" t="n">
        <x:v>1</x:v>
      </x:c>
      <x:c r="D9" s="17" t="n">
        <x:v>45841.458333333336</x:v>
      </x:c>
      <x:c r="E9" s="17" t="n">
        <x:v>45841.541666666664</x:v>
      </x:c>
      <x:c r="F9" s="2" t="n">
        <x:f>'Decisions'!Q22</x:f>
        <x:v>501</x:v>
      </x:c>
      <x:c r="G9" s="9" t="n">
        <x:f>'Decisions'!C22</x:f>
        <x:v>623.5711</x:v>
      </x:c>
      <x:c r="H9" s="9" t="n">
        <x:f>'Decisions'!C26</x:f>
        <x:v>623.611</x:v>
      </x:c>
      <x:c r="I9" s="9" t="n">
        <x:f>C9*F9*(H9-G9)</x:f>
        <x:v>19.98989999999435</x:v>
      </x:c>
      <x:c r="J9" s="9" t="n">
        <x:f>2*F9*'Summary'!$B$20</x:f>
        <x:v>3.507</x:v>
      </x:c>
      <x:c r="K9" s="9" t="n">
        <x:f>2*F9*'Summary'!$B$21</x:f>
        <x:v>1.002</x:v>
      </x:c>
      <x:c r="L9" s="9" t="n">
        <x:f>I9-J9-K9</x:f>
        <x:v>15.480899999994348</x:v>
      </x:c>
      <x:c r="M9" s="9" t="n">
        <x:f>'Decisions'!G22</x:f>
        <x:v>623.5599876846582</x:v>
      </x:c>
      <x:c r="N9" s="9" t="n">
        <x:f>'Decisions'!H22</x:f>
        <x:v>617.6947630400692</x:v>
      </x:c>
      <x:c r="O9" s="9" t="n">
        <x:f>'Decisions'!I22</x:f>
        <x:v>622.9699681577277</x:v>
      </x:c>
      <x:c r="P9" s="9" t="n">
        <x:f>'Decisions'!G26</x:f>
        <x:v>624.0486235903717</x:v>
      </x:c>
      <x:c r="Q9" s="9" t="n">
        <x:f>'Decisions'!H26</x:f>
        <x:v>617.2090938921623</x:v>
      </x:c>
      <x:c r="R9" s="9" t="n">
        <x:f>'Decisions'!I26</x:f>
        <x:v>623.4402802926269</x:v>
      </x:c>
    </x:row>
    <x:row r="10" ht="22" customHeight="1">
      <x:c r="A10" s="12" t="n">
        <x:v>45940</x:v>
      </x:c>
      <x:c r="B10" s="2" t="n">
        <x:v>105</x:v>
      </x:c>
      <x:c r="C10" s="2" t="n">
        <x:v>-1</x:v>
      </x:c>
      <x:c r="D10" s="17" t="n">
        <x:v>45940.458333333336</x:v>
      </x:c>
      <x:c r="E10" s="17" t="n">
        <x:v>45940.666666666664</x:v>
      </x:c>
      <x:c r="F10" s="2" t="n">
        <x:f>'Decisions'!Q29</x:f>
        <x:v>604</x:v>
      </x:c>
      <x:c r="G10" s="9" t="n">
        <x:f>'Decisions'!C29</x:f>
        <x:v>668.725</x:v>
      </x:c>
      <x:c r="H10" s="9" t="n">
        <x:f>'Decisions'!C39</x:f>
        <x:v>653.02</x:v>
      </x:c>
      <x:c r="I10" s="9" t="n">
        <x:f>C10*F10*(H10-G10)</x:f>
        <x:v>9485.820000000025</x:v>
      </x:c>
      <x:c r="J10" s="9" t="n">
        <x:f>2*F10*'Summary'!$B$20</x:f>
        <x:v>4.228</x:v>
      </x:c>
      <x:c r="K10" s="9" t="n">
        <x:f>2*F10*'Summary'!$B$21</x:f>
        <x:v>1.208</x:v>
      </x:c>
      <x:c r="L10" s="9" t="n">
        <x:f>I10-J10-K10</x:f>
        <x:v>9480.384000000025</x:v>
      </x:c>
      <x:c r="M10" s="9" t="n">
        <x:f>'Decisions'!G29</x:f>
        <x:v>674.4312557828592</x:v>
      </x:c>
      <x:c r="N10" s="9" t="n">
        <x:f>'Decisions'!H29</x:f>
        <x:v>669.9025101664902</x:v>
      </x:c>
      <x:c r="O10" s="9" t="n">
        <x:f>'Decisions'!I29</x:f>
        <x:v>671.4011026778688</x:v>
      </x:c>
      <x:c r="P10" s="9" t="n">
        <x:f>'Decisions'!G39</x:f>
        <x:v>675.2824369638032</x:v>
      </x:c>
      <x:c r="Q10" s="9" t="n">
        <x:f>'Decisions'!H39</x:f>
        <x:v>669.0538705042912</x:v>
      </x:c>
      <x:c r="R10" s="9" t="n">
        <x:f>'Decisions'!I39</x:f>
        <x:v>660.9321276441037</x:v>
      </x:c>
    </x:row>
    <x:row r="11" ht="22" customHeight="1">
      <x:c r="A11" s="12" t="n">
        <x:v>45982</x:v>
      </x:c>
      <x:c r="B11" s="2" t="n">
        <x:v>127</x:v>
      </x:c>
      <x:c r="C11" s="2" t="n">
        <x:v>1</x:v>
      </x:c>
      <x:c r="D11" s="17" t="n">
        <x:v>45982.5</x:v>
      </x:c>
      <x:c r="E11" s="17" t="n">
        <x:v>45982.5625</x:v>
      </x:c>
      <x:c r="F11" s="2" t="n">
        <x:f>'Decisions'!Q44</x:f>
        <x:v>378</x:v>
      </x:c>
      <x:c r="G11" s="9" t="n">
        <x:f>'Decisions'!C44</x:f>
        <x:v>660.82</x:v>
      </x:c>
      <x:c r="H11" s="9" t="n">
        <x:f>'Decisions'!C47</x:f>
        <x:v>658.13</x:v>
      </x:c>
      <x:c r="I11" s="9" t="n">
        <x:f>C11*F11*(H11-G11)</x:f>
        <x:v>-1016.8200000000206</x:v>
      </x:c>
      <x:c r="J11" s="9" t="n">
        <x:f>2*F11*'Summary'!$B$20</x:f>
        <x:v>2.646</x:v>
      </x:c>
      <x:c r="K11" s="9" t="n">
        <x:f>2*F11*'Summary'!$B$21</x:f>
        <x:v>0.756</x:v>
      </x:c>
      <x:c r="L11" s="9" t="n">
        <x:f>I11-J11-K11</x:f>
        <x:v>-1020.2220000000206</x:v>
      </x:c>
      <x:c r="M11" s="9" t="n">
        <x:f>'Decisions'!G44</x:f>
        <x:v>658.1934947511696</x:v>
      </x:c>
      <x:c r="N11" s="9" t="n">
        <x:f>'Decisions'!H44</x:f>
        <x:v>649.1783190599382</x:v>
      </x:c>
      <x:c r="O11" s="9" t="n">
        <x:f>'Decisions'!I44</x:f>
        <x:v>655.2402900023995</x:v>
      </x:c>
      <x:c r="P11" s="9" t="n">
        <x:f>'Decisions'!G47</x:f>
        <x:v>658.6801399021682</x:v>
      </x:c>
      <x:c r="Q11" s="9" t="n">
        <x:f>'Decisions'!H47</x:f>
        <x:v>648.6933831828691</x:v>
      </x:c>
      <x:c r="R11" s="9" t="n">
        <x:f>'Decisions'!I47</x:f>
        <x:v>656.4470797520055</x:v>
      </x:c>
    </x:row>
    <x:row r="12" ht="22" customHeight="1">
      <x:c r="A12" s="12" t="n">
        <x:v>45982</x:v>
      </x:c>
      <x:c r="B12" s="2" t="n">
        <x:v>128</x:v>
      </x:c>
      <x:c r="C12" s="2" t="n">
        <x:v>1</x:v>
      </x:c>
      <x:c r="D12" s="17" t="n">
        <x:v>45982.583333333336</x:v>
      </x:c>
      <x:c r="E12" s="17" t="n">
        <x:v>45982.666666666664</x:v>
      </x:c>
      <x:c r="F12" s="2" t="n">
        <x:f>'Decisions'!Q48</x:f>
        <x:v>378</x:v>
      </x:c>
      <x:c r="G12" s="9" t="n">
        <x:f>'Decisions'!C48</x:f>
        <x:v>662.29</x:v>
      </x:c>
      <x:c r="H12" s="9" t="n">
        <x:f>'Decisions'!C52</x:f>
        <x:v>659.03</x:v>
      </x:c>
      <x:c r="I12" s="9" t="n">
        <x:f>C12*F12*(H12-G12)</x:f>
        <x:v>-1232.2799999999966</x:v>
      </x:c>
      <x:c r="J12" s="9" t="n">
        <x:f>2*F12*'Summary'!$B$20</x:f>
        <x:v>2.646</x:v>
      </x:c>
      <x:c r="K12" s="9" t="n">
        <x:f>2*F12*'Summary'!$B$21</x:f>
        <x:v>0.756</x:v>
      </x:c>
      <x:c r="L12" s="9" t="n">
        <x:f>I12-J12-K12</x:f>
        <x:v>-1235.6819999999966</x:v>
      </x:c>
      <x:c r="M12" s="9" t="n">
        <x:f>'Decisions'!G48</x:f>
        <x:v>658.9474695633952</x:v>
      </x:c>
      <x:c r="N12" s="9" t="n">
        <x:f>'Decisions'!H48</x:f>
        <x:v>648.4269924801823</x:v>
      </x:c>
      <x:c r="O12" s="9" t="n">
        <x:f>'Decisions'!I48</x:f>
        <x:v>657.0452246008249</x:v>
      </x:c>
      <x:c r="P12" s="9" t="n">
        <x:f>'Decisions'!G52</x:f>
        <x:v>659.200881855824</x:v>
      </x:c>
      <x:c r="Q12" s="9" t="n">
        <x:f>'Decisions'!H52</x:f>
        <x:v>648.1744702634563</x:v>
      </x:c>
      <x:c r="R12" s="9" t="n">
        <x:f>'Decisions'!I52</x:f>
        <x:v>658.1304077010282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2" customHeight="1">
      <x:c r="A2" s="3" t="str">
        <x:v>Every Model C decision and interval P&amp;L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2" customHeight="1">
      <x:c r="A3" s="4" t="str">
        <x:v>Price uses the scheduled closing print on the final row. Held-before inventory earns the price change before the decision.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36" customHeight="1">
      <x:c r="A6" s="8" t="str">
        <x:v>Day</x:v>
      </x:c>
      <x:c r="B6" s="8" t="str">
        <x:v>Available at</x:v>
      </x:c>
      <x:c r="C6" s="8" t="str">
        <x:v>Price ($)</x:v>
      </x:c>
      <x:c r="D6" s="8" t="str">
        <x:v>At close?</x:v>
      </x:c>
      <x:c r="E6" s="8" t="str">
        <x:v>Noise count</x:v>
      </x:c>
      <x:c r="F6" s="8" t="str">
        <x:v>Noise sigma</x:v>
      </x:c>
      <x:c r="G6" s="8" t="str">
        <x:v>Upper ($)</x:v>
      </x:c>
      <x:c r="H6" s="8" t="str">
        <x:v>Lower ($)</x:v>
      </x:c>
      <x:c r="I6" s="8" t="str">
        <x:v>VWAP proxy ($)</x:v>
      </x:c>
      <x:c r="J6" s="8" t="str">
        <x:v>Long stop ($)</x:v>
      </x:c>
      <x:c r="K6" s="8" t="str">
        <x:v>Short stop ($)</x:v>
      </x:c>
      <x:c r="L6" s="8" t="str">
        <x:v>Held before</x:v>
      </x:c>
      <x:c r="M6" s="8" t="str">
        <x:v>Band signal</x:v>
      </x:c>
      <x:c r="N6" s="8" t="str">
        <x:v>Stop crossed?</x:v>
      </x:c>
      <x:c r="O6" s="8" t="str">
        <x:v>Held after</x:v>
      </x:c>
      <x:c r="P6" s="8" t="str">
        <x:v>Action</x:v>
      </x:c>
      <x:c r="Q6" s="8" t="str">
        <x:v>Shares</x:v>
      </x:c>
      <x:c r="R6" s="8" t="str">
        <x:v>Shares traded</x:v>
      </x:c>
      <x:c r="S6" s="8" t="str">
        <x:v>Interval gross ($)</x:v>
      </x:c>
      <x:c r="T6" s="8" t="str">
        <x:v>Commission ($)</x:v>
      </x:c>
      <x:c r="U6" s="8" t="str">
        <x:v>Slippage ($)</x:v>
      </x:c>
      <x:c r="V6" s="8" t="str">
        <x:v>Interval net ($)</x:v>
      </x:c>
      <x:c r="W6" s="8" t="str">
        <x:v>Marked equity ($)</x:v>
      </x:c>
      <x:c r="X6" s="8" t="str">
        <x:v>Price source cell</x:v>
      </x:c>
    </x:row>
    <x:row r="7" ht="22" customHeight="1">
      <x:c r="A7" s="12" t="n">
        <x:v>45749</x:v>
      </x:c>
      <x:c r="B7" s="13" t="n">
        <x:v>45749.416666666664</x:v>
      </x:c>
      <x:c r="C7" s="9" t="n">
        <x:v>555.3837</x:v>
      </x:c>
      <x:c r="D7" s="2" t="n">
        <x:v>0</x:v>
      </x:c>
      <x:c r="E7" s="2" t="n">
        <x:f>COUNT('Noise'!G7:G20)</x:f>
        <x:v>14</x:v>
      </x:c>
      <x:c r="F7" s="10" t="n">
        <x:f>AVERAGE('Noise'!G7:G20)</x:f>
        <x:v>0</x:v>
      </x:c>
      <x:c r="G7" s="9" t="n">
        <x:f>MAX('Volatility'!C7,'Volatility'!D7)*(1+F7)</x:f>
        <x:v>557.7698</x:v>
      </x:c>
      <x:c r="H7" s="9" t="n">
        <x:f>MIN('Volatility'!C7,'Volatility'!D7)*(1-F7)</x:f>
        <x:v>555.3837</x:v>
      </x:c>
      <x:c r="I7" s="9" t="n">
        <x:f>'VWAP'!I7</x:f>
        <x:v>555.3837</x:v>
      </x:c>
      <x:c r="J7" s="9" t="n">
        <x:f>MAX(G7,I7)</x:f>
        <x:v>557.7698</x:v>
      </x:c>
      <x:c r="K7" s="9" t="n">
        <x:f>MIN(H7,I7)</x:f>
        <x:v>555.3837</x:v>
      </x:c>
      <x:c r="L7" s="2" t="n">
        <x:f>0</x:f>
        <x:v>0</x:v>
      </x:c>
      <x:c r="M7" s="2" t="n">
        <x:f>IF(C7&gt;G7,1,IF(C7&lt;H7,-1,0))</x:f>
        <x:v>0</x:v>
      </x:c>
      <x:c r="N7" s="2" t="n">
        <x:f>IF(OR(AND(L7=1,C7&lt;J7),AND(L7=-1,C7&gt;K7)),1,0)</x:f>
        <x:v>0</x:v>
      </x:c>
      <x:c r="O7" s="2" t="n">
        <x:f>0</x:f>
        <x:v>0</x:v>
      </x:c>
      <x:c r="P7" s="2" t="str">
        <x:f>IF(O7=L7,IF(O7=0,"FLAT","HOLD"),IF(L7=0,"ENTRY",IF(O7=0,"EXIT","REVERSE")))</x:f>
        <x:v>FLAT</x:v>
      </x:c>
      <x:c r="Q7" s="2" t="n">
        <x:f>'Volatility'!J7</x:f>
        <x:v>302</x:v>
      </x:c>
      <x:c r="R7" s="2" t="n">
        <x:f>ABS(O7-L7)*Q7</x:f>
        <x:v>0</x:v>
      </x:c>
      <x:c r="S7" s="9" t="n">
        <x:f>0</x:f>
        <x:v>0</x:v>
      </x:c>
      <x:c r="T7" s="9" t="n">
        <x:f>R7*'Summary'!$B$20</x:f>
        <x:v>0</x:v>
      </x:c>
      <x:c r="U7" s="9" t="n">
        <x:f>R7*'Summary'!$B$21</x:f>
        <x:v>0</x:v>
      </x:c>
      <x:c r="V7" s="9" t="n">
        <x:f>S7-T7-U7</x:f>
        <x:v>0</x:v>
      </x:c>
      <x:c r="W7" s="9" t="n">
        <x:f>'Volatility'!B7+V7</x:f>
        <x:v>100000</x:v>
      </x:c>
      <x:c r="X7" s="2" t="str">
        <x:v>AV.Clean!B2349</x:v>
      </x:c>
    </x:row>
    <x:row r="8" ht="22" customHeight="1">
      <x:c r="A8" s="12" t="n">
        <x:v>45749</x:v>
      </x:c>
      <x:c r="B8" s="13" t="n">
        <x:v>45749.4375</x:v>
      </x:c>
      <x:c r="C8" s="9" t="n">
        <x:v>557.6407</x:v>
      </x:c>
      <x:c r="D8" s="2" t="n">
        <x:v>0</x:v>
      </x:c>
      <x:c r="E8" s="2" t="n">
        <x:f>COUNT('Noise'!G21:G34)</x:f>
        <x:v>14</x:v>
      </x:c>
      <x:c r="F8" s="10" t="n">
        <x:f>AVERAGE('Noise'!G21:G34)</x:f>
        <x:v>0.0020205714692797527</x:v>
      </x:c>
      <x:c r="G8" s="9" t="n">
        <x:f>MAX('Volatility'!C7,'Volatility'!D7)*(1+F8)</x:f>
        <x:v>558.896813744306</x:v>
      </x:c>
      <x:c r="H8" s="9" t="n">
        <x:f>MIN('Volatility'!C7,'Volatility'!D7)*(1-F8)</x:f>
        <x:v>554.261507541277</x:v>
      </x:c>
      <x:c r="I8" s="9" t="n">
        <x:f>'VWAP'!I8</x:f>
        <x:v>556.1556244663591</x:v>
      </x:c>
      <x:c r="J8" s="9" t="n">
        <x:f>MAX(G8,I8)</x:f>
        <x:v>558.896813744306</x:v>
      </x:c>
      <x:c r="K8" s="9" t="n">
        <x:f>MIN(H8,I8)</x:f>
        <x:v>554.261507541277</x:v>
      </x:c>
      <x:c r="L8" s="2" t="n">
        <x:f>O7</x:f>
        <x:v>0</x:v>
      </x:c>
      <x:c r="M8" s="2" t="n">
        <x:f>IF(C8&gt;G8,1,IF(C8&lt;H8,-1,0))</x:f>
        <x:v>0</x:v>
      </x:c>
      <x:c r="N8" s="2" t="n">
        <x:f>IF(OR(AND(L8=1,C8&lt;J8),AND(L8=-1,C8&gt;K8)),1,0)</x:f>
        <x:v>0</x:v>
      </x:c>
      <x:c r="O8" s="2" t="n">
        <x:f>IF(D8=1,0,IF(L8=0,M8,IF(N8=1,IF(M8=-L8,M8,0),L8)))</x:f>
        <x:v>0</x:v>
      </x:c>
      <x:c r="P8" s="2" t="str">
        <x:f>IF(O8=L8,IF(O8=0,"FLAT","HOLD"),IF(L8=0,"ENTRY",IF(O8=0,"EXIT","REVERSE")))</x:f>
        <x:v>FLAT</x:v>
      </x:c>
      <x:c r="Q8" s="2" t="n">
        <x:f>'Volatility'!J7</x:f>
        <x:v>302</x:v>
      </x:c>
      <x:c r="R8" s="2" t="n">
        <x:f>ABS(O8-L8)*Q8</x:f>
        <x:v>0</x:v>
      </x:c>
      <x:c r="S8" s="9" t="n">
        <x:f>L8*Q8*(C8-C7)</x:f>
        <x:v>0</x:v>
      </x:c>
      <x:c r="T8" s="9" t="n">
        <x:f>R8*'Summary'!$B$20</x:f>
        <x:v>0</x:v>
      </x:c>
      <x:c r="U8" s="9" t="n">
        <x:f>R8*'Summary'!$B$21</x:f>
        <x:v>0</x:v>
      </x:c>
      <x:c r="V8" s="9" t="n">
        <x:f>S8-T8-U8</x:f>
        <x:v>0</x:v>
      </x:c>
      <x:c r="W8" s="9" t="n">
        <x:f>W7+V8</x:f>
        <x:v>100000</x:v>
      </x:c>
      <x:c r="X8" s="2" t="str">
        <x:v>AV.Clean!B2348</x:v>
      </x:c>
    </x:row>
    <x:row r="9" ht="22" customHeight="1">
      <x:c r="A9" s="12" t="n">
        <x:v>45749</x:v>
      </x:c>
      <x:c r="B9" s="13" t="n">
        <x:v>45749.458333333336</x:v>
      </x:c>
      <x:c r="C9" s="9" t="n">
        <x:v>558.8339</x:v>
      </x:c>
      <x:c r="D9" s="2" t="n">
        <x:v>0</x:v>
      </x:c>
      <x:c r="E9" s="2" t="n">
        <x:f>COUNT('Noise'!G35:G48)</x:f>
        <x:v>14</x:v>
      </x:c>
      <x:c r="F9" s="10" t="n">
        <x:f>AVERAGE('Noise'!G35:G48)</x:f>
        <x:v>0.003167725922204529</x:v>
      </x:c>
      <x:c r="G9" s="9" t="n">
        <x:f>MAX('Volatility'!C7,'Volatility'!D7)*(1+F9)</x:f>
        <x:v>559.5366618540828</x:v>
      </x:c>
      <x:c r="H9" s="9" t="n">
        <x:f>MIN('Volatility'!C7,'Volatility'!D7)*(1-F9)</x:f>
        <x:v>553.6243966567401</x:v>
      </x:c>
      <x:c r="I9" s="9" t="n">
        <x:f>'VWAP'!I9</x:f>
        <x:v>556.7568006677504</x:v>
      </x:c>
      <x:c r="J9" s="9" t="n">
        <x:f>MAX(G9,I9)</x:f>
        <x:v>559.5366618540828</x:v>
      </x:c>
      <x:c r="K9" s="9" t="n">
        <x:f>MIN(H9,I9)</x:f>
        <x:v>553.6243966567401</x:v>
      </x:c>
      <x:c r="L9" s="2" t="n">
        <x:f>O8</x:f>
        <x:v>0</x:v>
      </x:c>
      <x:c r="M9" s="2" t="n">
        <x:f>IF(C9&gt;G9,1,IF(C9&lt;H9,-1,0))</x:f>
        <x:v>0</x:v>
      </x:c>
      <x:c r="N9" s="2" t="n">
        <x:f>IF(OR(AND(L9=1,C9&lt;J9),AND(L9=-1,C9&gt;K9)),1,0)</x:f>
        <x:v>0</x:v>
      </x:c>
      <x:c r="O9" s="2" t="n">
        <x:f>IF(D9=1,0,IF(L9=0,M9,IF(N9=1,IF(M9=-L9,M9,0),L9)))</x:f>
        <x:v>0</x:v>
      </x:c>
      <x:c r="P9" s="2" t="str">
        <x:f>IF(O9=L9,IF(O9=0,"FLAT","HOLD"),IF(L9=0,"ENTRY",IF(O9=0,"EXIT","REVERSE")))</x:f>
        <x:v>FLAT</x:v>
      </x:c>
      <x:c r="Q9" s="2" t="n">
        <x:f>'Volatility'!J7</x:f>
        <x:v>302</x:v>
      </x:c>
      <x:c r="R9" s="2" t="n">
        <x:f>ABS(O9-L9)*Q9</x:f>
        <x:v>0</x:v>
      </x:c>
      <x:c r="S9" s="9" t="n">
        <x:f>L9*Q9*(C9-C8)</x:f>
        <x:v>0</x:v>
      </x:c>
      <x:c r="T9" s="9" t="n">
        <x:f>R9*'Summary'!$B$20</x:f>
        <x:v>0</x:v>
      </x:c>
      <x:c r="U9" s="9" t="n">
        <x:f>R9*'Summary'!$B$21</x:f>
        <x:v>0</x:v>
      </x:c>
      <x:c r="V9" s="9" t="n">
        <x:f>S9-T9-U9</x:f>
        <x:v>0</x:v>
      </x:c>
      <x:c r="W9" s="9" t="n">
        <x:f>W8+V9</x:f>
        <x:v>100000</x:v>
      </x:c>
      <x:c r="X9" s="2" t="str">
        <x:v>AV.Clean!B2347</x:v>
      </x:c>
    </x:row>
    <x:row r="10" ht="22" customHeight="1">
      <x:c r="A10" s="12" t="n">
        <x:v>45749</x:v>
      </x:c>
      <x:c r="B10" s="13" t="n">
        <x:v>45749.479166666664</x:v>
      </x:c>
      <x:c r="C10" s="9" t="n">
        <x:v>560.0867</x:v>
      </x:c>
      <x:c r="D10" s="2" t="n">
        <x:v>0</x:v>
      </x:c>
      <x:c r="E10" s="2" t="n">
        <x:f>COUNT('Noise'!G49:G62)</x:f>
        <x:v>14</x:v>
      </x:c>
      <x:c r="F10" s="10" t="n">
        <x:f>AVERAGE('Noise'!G49:G62)</x:f>
        <x:v>0.003189207828893267</x:v>
      </x:c>
      <x:c r="G10" s="9" t="n">
        <x:f>MAX('Volatility'!C7,'Volatility'!D7)*(1+F10)</x:f>
        <x:v>559.5486438128803</x:v>
      </x:c>
      <x:c r="H10" s="9" t="n">
        <x:f>MIN('Volatility'!C7,'Volatility'!D7)*(1-F10)</x:f>
        <x:v>553.6124659559202</x:v>
      </x:c>
      <x:c r="I10" s="9" t="n">
        <x:f>'VWAP'!I10</x:f>
        <x:v>557.4300935790885</x:v>
      </x:c>
      <x:c r="J10" s="9" t="n">
        <x:f>MAX(G10,I10)</x:f>
        <x:v>559.5486438128803</x:v>
      </x:c>
      <x:c r="K10" s="9" t="n">
        <x:f>MIN(H10,I10)</x:f>
        <x:v>553.6124659559202</x:v>
      </x:c>
      <x:c r="L10" s="2" t="n">
        <x:f>O9</x:f>
        <x:v>0</x:v>
      </x:c>
      <x:c r="M10" s="2" t="n">
        <x:f>IF(C10&gt;G10,1,IF(C10&lt;H10,-1,0))</x:f>
        <x:v>1</x:v>
      </x:c>
      <x:c r="N10" s="2" t="n">
        <x:f>IF(OR(AND(L10=1,C10&lt;J10),AND(L10=-1,C10&gt;K10)),1,0)</x:f>
        <x:v>0</x:v>
      </x:c>
      <x:c r="O10" s="2" t="n">
        <x:f>IF(D10=1,0,IF(L10=0,M10,IF(N10=1,IF(M10=-L10,M10,0),L10)))</x:f>
        <x:v>1</x:v>
      </x:c>
      <x:c r="P10" s="2" t="str">
        <x:f>IF(O10=L10,IF(O10=0,"FLAT","HOLD"),IF(L10=0,"ENTRY",IF(O10=0,"EXIT","REVERSE")))</x:f>
        <x:v>ENTRY</x:v>
      </x:c>
      <x:c r="Q10" s="2" t="n">
        <x:f>'Volatility'!J7</x:f>
        <x:v>302</x:v>
      </x:c>
      <x:c r="R10" s="2" t="n">
        <x:f>ABS(O10-L10)*Q10</x:f>
        <x:v>302</x:v>
      </x:c>
      <x:c r="S10" s="9" t="n">
        <x:f>L10*Q10*(C10-C9)</x:f>
        <x:v>0</x:v>
      </x:c>
      <x:c r="T10" s="9" t="n">
        <x:f>R10*'Summary'!$B$20</x:f>
        <x:v>1.057</x:v>
      </x:c>
      <x:c r="U10" s="9" t="n">
        <x:f>R10*'Summary'!$B$21</x:f>
        <x:v>0.302</x:v>
      </x:c>
      <x:c r="V10" s="9" t="n">
        <x:f>S10-T10-U10</x:f>
        <x:v>-1.359</x:v>
      </x:c>
      <x:c r="W10" s="9" t="n">
        <x:f>W9+V10</x:f>
        <x:v>99998.641</x:v>
      </x:c>
      <x:c r="X10" s="2" t="str">
        <x:v>AV.Clean!B2346</x:v>
      </x:c>
    </x:row>
    <x:row r="11" ht="22" customHeight="1">
      <x:c r="A11" s="12" t="n">
        <x:v>45749</x:v>
      </x:c>
      <x:c r="B11" s="13" t="n">
        <x:v>45749.5</x:v>
      </x:c>
      <x:c r="C11" s="9" t="n">
        <x:v>559.1322</x:v>
      </x:c>
      <x:c r="D11" s="2" t="n">
        <x:v>0</x:v>
      </x:c>
      <x:c r="E11" s="2" t="n">
        <x:f>COUNT('Noise'!G63:G76)</x:f>
        <x:v>14</x:v>
      </x:c>
      <x:c r="F11" s="10" t="n">
        <x:f>AVERAGE('Noise'!G63:G76)</x:f>
        <x:v>0.004005214391367061</x:v>
      </x:c>
      <x:c r="G11" s="9" t="n">
        <x:f>MAX('Volatility'!C7,'Volatility'!D7)*(1+F11)</x:f>
        <x:v>560.00378763003</x:v>
      </x:c>
      <x:c r="H11" s="9" t="n">
        <x:f>MIN('Volatility'!C7,'Volatility'!D7)*(1-F11)</x:f>
        <x:v>553.1592692120294</x:v>
      </x:c>
      <x:c r="I11" s="9" t="n">
        <x:f>'VWAP'!I11</x:f>
        <x:v>557.7299880351084</x:v>
      </x:c>
      <x:c r="J11" s="9" t="n">
        <x:f>MAX(G11,I11)</x:f>
        <x:v>560.00378763003</x:v>
      </x:c>
      <x:c r="K11" s="9" t="n">
        <x:f>MIN(H11,I11)</x:f>
        <x:v>553.1592692120294</x:v>
      </x:c>
      <x:c r="L11" s="2" t="n">
        <x:f>O10</x:f>
        <x:v>1</x:v>
      </x:c>
      <x:c r="M11" s="2" t="n">
        <x:f>IF(C11&gt;G11,1,IF(C11&lt;H11,-1,0))</x:f>
        <x:v>0</x:v>
      </x:c>
      <x:c r="N11" s="2" t="n">
        <x:f>IF(OR(AND(L11=1,C11&lt;J11),AND(L11=-1,C11&gt;K11)),1,0)</x:f>
        <x:v>1</x:v>
      </x:c>
      <x:c r="O11" s="2" t="n">
        <x:f>IF(D11=1,0,IF(L11=0,M11,IF(N11=1,IF(M11=-L11,M11,0),L11)))</x:f>
        <x:v>0</x:v>
      </x:c>
      <x:c r="P11" s="2" t="str">
        <x:f>IF(O11=L11,IF(O11=0,"FLAT","HOLD"),IF(L11=0,"ENTRY",IF(O11=0,"EXIT","REVERSE")))</x:f>
        <x:v>EXIT</x:v>
      </x:c>
      <x:c r="Q11" s="2" t="n">
        <x:f>'Volatility'!J7</x:f>
        <x:v>302</x:v>
      </x:c>
      <x:c r="R11" s="2" t="n">
        <x:f>ABS(O11-L11)*Q11</x:f>
        <x:v>302</x:v>
      </x:c>
      <x:c r="S11" s="9" t="n">
        <x:f>L11*Q11*(C11-C10)</x:f>
        <x:v>-288.2589999999816</x:v>
      </x:c>
      <x:c r="T11" s="9" t="n">
        <x:f>R11*'Summary'!$B$20</x:f>
        <x:v>1.057</x:v>
      </x:c>
      <x:c r="U11" s="9" t="n">
        <x:f>R11*'Summary'!$B$21</x:f>
        <x:v>0.302</x:v>
      </x:c>
      <x:c r="V11" s="9" t="n">
        <x:f>S11-T11-U11</x:f>
        <x:v>-289.61799999998163</x:v>
      </x:c>
      <x:c r="W11" s="9" t="n">
        <x:f>W10+V11</x:f>
        <x:v>99709.02300000002</x:v>
      </x:c>
      <x:c r="X11" s="2" t="str">
        <x:v>AV.Clean!B2345</x:v>
      </x:c>
    </x:row>
    <x:row r="12" ht="22" customHeight="1">
      <x:c r="A12" s="12" t="n">
        <x:v>45749</x:v>
      </x:c>
      <x:c r="B12" s="13" t="n">
        <x:v>45749.520833333336</x:v>
      </x:c>
      <x:c r="C12" s="9" t="n">
        <x:v>561.1009</x:v>
      </x:c>
      <x:c r="D12" s="2" t="n">
        <x:v>0</x:v>
      </x:c>
      <x:c r="E12" s="2" t="n">
        <x:f>COUNT('Noise'!G77:G90)</x:f>
        <x:v>14</x:v>
      </x:c>
      <x:c r="F12" s="10" t="n">
        <x:f>AVERAGE('Noise'!G77:G90)</x:f>
        <x:v>0.0038691255352946313</x:v>
      </x:c>
      <x:c r="G12" s="9" t="n">
        <x:f>MAX('Volatility'!C7,'Volatility'!D7)*(1+F12)</x:f>
        <x:v>559.9278813759963</x:v>
      </x:c>
      <x:c r="H12" s="9" t="n">
        <x:f>MIN('Volatility'!C7,'Volatility'!D7)*(1-F12)</x:f>
        <x:v>553.2348507444435</x:v>
      </x:c>
      <x:c r="I12" s="9" t="n">
        <x:f>'VWAP'!I12</x:f>
        <x:v>558.1063537794519</x:v>
      </x:c>
      <x:c r="J12" s="9" t="n">
        <x:f>MAX(G12,I12)</x:f>
        <x:v>559.9278813759963</x:v>
      </x:c>
      <x:c r="K12" s="9" t="n">
        <x:f>MIN(H12,I12)</x:f>
        <x:v>553.2348507444435</x:v>
      </x:c>
      <x:c r="L12" s="2" t="n">
        <x:f>O11</x:f>
        <x:v>0</x:v>
      </x:c>
      <x:c r="M12" s="2" t="n">
        <x:f>IF(C12&gt;G12,1,IF(C12&lt;H12,-1,0))</x:f>
        <x:v>1</x:v>
      </x:c>
      <x:c r="N12" s="2" t="n">
        <x:f>IF(OR(AND(L12=1,C12&lt;J12),AND(L12=-1,C12&gt;K12)),1,0)</x:f>
        <x:v>0</x:v>
      </x:c>
      <x:c r="O12" s="2" t="n">
        <x:f>IF(D12=1,0,IF(L12=0,M12,IF(N12=1,IF(M12=-L12,M12,0),L12)))</x:f>
        <x:v>1</x:v>
      </x:c>
      <x:c r="P12" s="2" t="str">
        <x:f>IF(O12=L12,IF(O12=0,"FLAT","HOLD"),IF(L12=0,"ENTRY",IF(O12=0,"EXIT","REVERSE")))</x:f>
        <x:v>ENTRY</x:v>
      </x:c>
      <x:c r="Q12" s="2" t="n">
        <x:f>'Volatility'!J7</x:f>
        <x:v>302</x:v>
      </x:c>
      <x:c r="R12" s="2" t="n">
        <x:f>ABS(O12-L12)*Q12</x:f>
        <x:v>302</x:v>
      </x:c>
      <x:c r="S12" s="9" t="n">
        <x:f>L12*Q12*(C12-C11)</x:f>
        <x:v>0</x:v>
      </x:c>
      <x:c r="T12" s="9" t="n">
        <x:f>R12*'Summary'!$B$20</x:f>
        <x:v>1.057</x:v>
      </x:c>
      <x:c r="U12" s="9" t="n">
        <x:f>R12*'Summary'!$B$21</x:f>
        <x:v>0.302</x:v>
      </x:c>
      <x:c r="V12" s="9" t="n">
        <x:f>S12-T12-U12</x:f>
        <x:v>-1.359</x:v>
      </x:c>
      <x:c r="W12" s="9" t="n">
        <x:f>W11+V12</x:f>
        <x:v>99707.66400000002</x:v>
      </x:c>
      <x:c r="X12" s="2" t="str">
        <x:v>AV.Clean!B2344</x:v>
      </x:c>
    </x:row>
    <x:row r="13" ht="22" customHeight="1">
      <x:c r="A13" s="12" t="n">
        <x:v>45749</x:v>
      </x:c>
      <x:c r="B13" s="13" t="n">
        <x:v>45749.541666666664</x:v>
      </x:c>
      <x:c r="C13" s="9" t="n">
        <x:v>562.4581</x:v>
      </x:c>
      <x:c r="D13" s="2" t="n">
        <x:v>0</x:v>
      </x:c>
      <x:c r="E13" s="2" t="n">
        <x:f>COUNT('Noise'!G91:G104)</x:f>
        <x:v>14</x:v>
      </x:c>
      <x:c r="F13" s="10" t="n">
        <x:f>AVERAGE('Noise'!G91:G104)</x:f>
        <x:v>0.004229621445899675</x:v>
      </x:c>
      <x:c r="G13" s="9" t="n">
        <x:f>MAX('Volatility'!C7,'Volatility'!D7)*(1+F13)</x:f>
        <x:v>560.1289551079552</x:v>
      </x:c>
      <x:c r="H13" s="9" t="n">
        <x:f>MIN('Volatility'!C7,'Volatility'!D7)*(1-F13)</x:f>
        <x:v>553.0346371917768</x:v>
      </x:c>
      <x:c r="I13" s="9" t="n">
        <x:f>'VWAP'!I13</x:f>
        <x:v>558.7649988348671</x:v>
      </x:c>
      <x:c r="J13" s="9" t="n">
        <x:f>MAX(G13,I13)</x:f>
        <x:v>560.1289551079552</x:v>
      </x:c>
      <x:c r="K13" s="9" t="n">
        <x:f>MIN(H13,I13)</x:f>
        <x:v>553.0346371917768</x:v>
      </x:c>
      <x:c r="L13" s="2" t="n">
        <x:f>O12</x:f>
        <x:v>1</x:v>
      </x:c>
      <x:c r="M13" s="2" t="n">
        <x:f>IF(C13&gt;G13,1,IF(C13&lt;H13,-1,0))</x:f>
        <x:v>1</x:v>
      </x:c>
      <x:c r="N13" s="2" t="n">
        <x:f>IF(OR(AND(L13=1,C13&lt;J13),AND(L13=-1,C13&gt;K13)),1,0)</x:f>
        <x:v>0</x:v>
      </x:c>
      <x:c r="O13" s="2" t="n">
        <x:f>IF(D13=1,0,IF(L13=0,M13,IF(N13=1,IF(M13=-L13,M13,0),L13)))</x:f>
        <x:v>1</x:v>
      </x:c>
      <x:c r="P13" s="2" t="str">
        <x:f>IF(O13=L13,IF(O13=0,"FLAT","HOLD"),IF(L13=0,"ENTRY",IF(O13=0,"EXIT","REVERSE")))</x:f>
        <x:v>HOLD</x:v>
      </x:c>
      <x:c r="Q13" s="2" t="n">
        <x:f>'Volatility'!J7</x:f>
        <x:v>302</x:v>
      </x:c>
      <x:c r="R13" s="2" t="n">
        <x:f>ABS(O13-L13)*Q13</x:f>
        <x:v>0</x:v>
      </x:c>
      <x:c r="S13" s="9" t="n">
        <x:f>L13*Q13*(C13-C12)</x:f>
        <x:v>409.87439999997605</x:v>
      </x:c>
      <x:c r="T13" s="9" t="n">
        <x:f>R13*'Summary'!$B$20</x:f>
        <x:v>0</x:v>
      </x:c>
      <x:c r="U13" s="9" t="n">
        <x:f>R13*'Summary'!$B$21</x:f>
        <x:v>0</x:v>
      </x:c>
      <x:c r="V13" s="9" t="n">
        <x:f>S13-T13-U13</x:f>
        <x:v>409.87439999997605</x:v>
      </x:c>
      <x:c r="W13" s="9" t="n">
        <x:f>W12+V13</x:f>
        <x:v>100117.53839999999</x:v>
      </x:c>
      <x:c r="X13" s="2" t="str">
        <x:v>AV.Clean!B2343</x:v>
      </x:c>
    </x:row>
    <x:row r="14" ht="22" customHeight="1">
      <x:c r="A14" s="12" t="n">
        <x:v>45749</x:v>
      </x:c>
      <x:c r="B14" s="13" t="n">
        <x:v>45749.5625</x:v>
      </x:c>
      <x:c r="C14" s="9" t="n">
        <x:v>562.7912</x:v>
      </x:c>
      <x:c r="D14" s="2" t="n">
        <x:v>0</x:v>
      </x:c>
      <x:c r="E14" s="2" t="n">
        <x:f>COUNT('Noise'!G105:G118)</x:f>
        <x:v>14</x:v>
      </x:c>
      <x:c r="F14" s="10" t="n">
        <x:f>AVERAGE('Noise'!G105:G118)</x:f>
        <x:v>0.0043798119024933135</x:v>
      </x:c>
      <x:c r="G14" s="9" t="n">
        <x:f>MAX('Volatility'!C7,'Volatility'!D7)*(1+F14)</x:f>
        <x:v>560.2127268088914</x:v>
      </x:c>
      <x:c r="H14" s="9" t="n">
        <x:f>MIN('Volatility'!C7,'Volatility'!D7)*(1-F14)</x:f>
        <x:v>552.9512238602891</x:v>
      </x:c>
      <x:c r="I14" s="9" t="n">
        <x:f>'VWAP'!I14</x:f>
        <x:v>559.3025602341357</x:v>
      </x:c>
      <x:c r="J14" s="9" t="n">
        <x:f>MAX(G14,I14)</x:f>
        <x:v>560.2127268088914</x:v>
      </x:c>
      <x:c r="K14" s="9" t="n">
        <x:f>MIN(H14,I14)</x:f>
        <x:v>552.9512238602891</x:v>
      </x:c>
      <x:c r="L14" s="2" t="n">
        <x:f>O13</x:f>
        <x:v>1</x:v>
      </x:c>
      <x:c r="M14" s="2" t="n">
        <x:f>IF(C14&gt;G14,1,IF(C14&lt;H14,-1,0))</x:f>
        <x:v>1</x:v>
      </x:c>
      <x:c r="N14" s="2" t="n">
        <x:f>IF(OR(AND(L14=1,C14&lt;J14),AND(L14=-1,C14&gt;K14)),1,0)</x:f>
        <x:v>0</x:v>
      </x:c>
      <x:c r="O14" s="2" t="n">
        <x:f>IF(D14=1,0,IF(L14=0,M14,IF(N14=1,IF(M14=-L14,M14,0),L14)))</x:f>
        <x:v>1</x:v>
      </x:c>
      <x:c r="P14" s="2" t="str">
        <x:f>IF(O14=L14,IF(O14=0,"FLAT","HOLD"),IF(L14=0,"ENTRY",IF(O14=0,"EXIT","REVERSE")))</x:f>
        <x:v>HOLD</x:v>
      </x:c>
      <x:c r="Q14" s="2" t="n">
        <x:f>'Volatility'!J7</x:f>
        <x:v>302</x:v>
      </x:c>
      <x:c r="R14" s="2" t="n">
        <x:f>ABS(O14-L14)*Q14</x:f>
        <x:v>0</x:v>
      </x:c>
      <x:c r="S14" s="9" t="n">
        <x:f>L14*Q14*(C14-C13)</x:f>
        <x:v>100.59620000001769</x:v>
      </x:c>
      <x:c r="T14" s="9" t="n">
        <x:f>R14*'Summary'!$B$20</x:f>
        <x:v>0</x:v>
      </x:c>
      <x:c r="U14" s="9" t="n">
        <x:f>R14*'Summary'!$B$21</x:f>
        <x:v>0</x:v>
      </x:c>
      <x:c r="V14" s="9" t="n">
        <x:f>S14-T14-U14</x:f>
        <x:v>100.59620000001769</x:v>
      </x:c>
      <x:c r="W14" s="9" t="n">
        <x:f>W13+V14</x:f>
        <x:v>100218.1346</x:v>
      </x:c>
      <x:c r="X14" s="2" t="str">
        <x:v>AV.Clean!B2342</x:v>
      </x:c>
    </x:row>
    <x:row r="15" ht="22" customHeight="1">
      <x:c r="A15" s="12" t="n">
        <x:v>45749</x:v>
      </x:c>
      <x:c r="B15" s="13" t="n">
        <x:v>45749.583333333336</x:v>
      </x:c>
      <x:c r="C15" s="9" t="n">
        <x:v>560.6435</x:v>
      </x:c>
      <x:c r="D15" s="2" t="n">
        <x:v>0</x:v>
      </x:c>
      <x:c r="E15" s="2" t="n">
        <x:f>COUNT('Noise'!G119:G132)</x:f>
        <x:v>14</x:v>
      </x:c>
      <x:c r="F15" s="10" t="n">
        <x:f>AVERAGE('Noise'!G119:G132)</x:f>
        <x:v>0.004588175610794125</x:v>
      </x:c>
      <x:c r="G15" s="9" t="n">
        <x:f>MAX('Volatility'!C7,'Volatility'!D7)*(1+F15)</x:f>
        <x:v>560.3289457927975</x:v>
      </x:c>
      <x:c r="H15" s="9" t="n">
        <x:f>MIN('Volatility'!C7,'Volatility'!D7)*(1-F15)</x:f>
        <x:v>552.8355020530273</x:v>
      </x:c>
      <x:c r="I15" s="9" t="n">
        <x:f>'VWAP'!I15</x:f>
        <x:v>559.4644760554474</x:v>
      </x:c>
      <x:c r="J15" s="9" t="n">
        <x:f>MAX(G15,I15)</x:f>
        <x:v>560.3289457927975</x:v>
      </x:c>
      <x:c r="K15" s="9" t="n">
        <x:f>MIN(H15,I15)</x:f>
        <x:v>552.8355020530273</x:v>
      </x:c>
      <x:c r="L15" s="2" t="n">
        <x:f>O14</x:f>
        <x:v>1</x:v>
      </x:c>
      <x:c r="M15" s="2" t="n">
        <x:f>IF(C15&gt;G15,1,IF(C15&lt;H15,-1,0))</x:f>
        <x:v>1</x:v>
      </x:c>
      <x:c r="N15" s="2" t="n">
        <x:f>IF(OR(AND(L15=1,C15&lt;J15),AND(L15=-1,C15&gt;K15)),1,0)</x:f>
        <x:v>0</x:v>
      </x:c>
      <x:c r="O15" s="2" t="n">
        <x:f>IF(D15=1,0,IF(L15=0,M15,IF(N15=1,IF(M15=-L15,M15,0),L15)))</x:f>
        <x:v>1</x:v>
      </x:c>
      <x:c r="P15" s="2" t="str">
        <x:f>IF(O15=L15,IF(O15=0,"FLAT","HOLD"),IF(L15=0,"ENTRY",IF(O15=0,"EXIT","REVERSE")))</x:f>
        <x:v>HOLD</x:v>
      </x:c>
      <x:c r="Q15" s="2" t="n">
        <x:f>'Volatility'!J7</x:f>
        <x:v>302</x:v>
      </x:c>
      <x:c r="R15" s="2" t="n">
        <x:f>ABS(O15-L15)*Q15</x:f>
        <x:v>0</x:v>
      </x:c>
      <x:c r="S15" s="9" t="n">
        <x:f>L15*Q15*(C15-C14)</x:f>
        <x:v>-648.6053999999958</x:v>
      </x:c>
      <x:c r="T15" s="9" t="n">
        <x:f>R15*'Summary'!$B$20</x:f>
        <x:v>0</x:v>
      </x:c>
      <x:c r="U15" s="9" t="n">
        <x:f>R15*'Summary'!$B$21</x:f>
        <x:v>0</x:v>
      </x:c>
      <x:c r="V15" s="9" t="n">
        <x:f>S15-T15-U15</x:f>
        <x:v>-648.6053999999958</x:v>
      </x:c>
      <x:c r="W15" s="9" t="n">
        <x:f>W14+V15</x:f>
        <x:v>99569.5292</x:v>
      </x:c>
      <x:c r="X15" s="2" t="str">
        <x:v>AV.Clean!B2341</x:v>
      </x:c>
    </x:row>
    <x:row r="16" ht="22" customHeight="1">
      <x:c r="A16" s="12" t="n">
        <x:v>45749</x:v>
      </x:c>
      <x:c r="B16" s="13" t="n">
        <x:v>45749.604166666664</x:v>
      </x:c>
      <x:c r="C16" s="9" t="n">
        <x:v>557.7998</x:v>
      </x:c>
      <x:c r="D16" s="2" t="n">
        <x:v>0</x:v>
      </x:c>
      <x:c r="E16" s="2" t="n">
        <x:f>COUNT('Noise'!G133:G146)</x:f>
        <x:v>14</x:v>
      </x:c>
      <x:c r="F16" s="10" t="n">
        <x:f>AVERAGE('Noise'!G133:G146)</x:f>
        <x:v>0.004382700783110228</x:v>
      </x:c>
      <x:c r="G16" s="9" t="n">
        <x:f>MAX('Volatility'!C7,'Volatility'!D7)*(1+F16)</x:f>
        <x:v>560.2143381392553</x:v>
      </x:c>
      <x:c r="H16" s="9" t="n">
        <x:f>MIN('Volatility'!C7,'Volatility'!D7)*(1-F16)</x:f>
        <x:v>552.9496194230833</x:v>
      </x:c>
      <x:c r="I16" s="9" t="n">
        <x:f>'VWAP'!I16</x:f>
        <x:v>559.3122613011135</x:v>
      </x:c>
      <x:c r="J16" s="9" t="n">
        <x:f>MAX(G16,I16)</x:f>
        <x:v>560.2143381392553</x:v>
      </x:c>
      <x:c r="K16" s="9" t="n">
        <x:f>MIN(H16,I16)</x:f>
        <x:v>552.9496194230833</x:v>
      </x:c>
      <x:c r="L16" s="2" t="n">
        <x:f>O15</x:f>
        <x:v>1</x:v>
      </x:c>
      <x:c r="M16" s="2" t="n">
        <x:f>IF(C16&gt;G16,1,IF(C16&lt;H16,-1,0))</x:f>
        <x:v>0</x:v>
      </x:c>
      <x:c r="N16" s="2" t="n">
        <x:f>IF(OR(AND(L16=1,C16&lt;J16),AND(L16=-1,C16&gt;K16)),1,0)</x:f>
        <x:v>1</x:v>
      </x:c>
      <x:c r="O16" s="2" t="n">
        <x:f>IF(D16=1,0,IF(L16=0,M16,IF(N16=1,IF(M16=-L16,M16,0),L16)))</x:f>
        <x:v>0</x:v>
      </x:c>
      <x:c r="P16" s="2" t="str">
        <x:f>IF(O16=L16,IF(O16=0,"FLAT","HOLD"),IF(L16=0,"ENTRY",IF(O16=0,"EXIT","REVERSE")))</x:f>
        <x:v>EXIT</x:v>
      </x:c>
      <x:c r="Q16" s="2" t="n">
        <x:f>'Volatility'!J7</x:f>
        <x:v>302</x:v>
      </x:c>
      <x:c r="R16" s="2" t="n">
        <x:f>ABS(O16-L16)*Q16</x:f>
        <x:v>302</x:v>
      </x:c>
      <x:c r="S16" s="9" t="n">
        <x:f>L16*Q16*(C16-C15)</x:f>
        <x:v>-858.7974000000038</x:v>
      </x:c>
      <x:c r="T16" s="9" t="n">
        <x:f>R16*'Summary'!$B$20</x:f>
        <x:v>1.057</x:v>
      </x:c>
      <x:c r="U16" s="9" t="n">
        <x:f>R16*'Summary'!$B$21</x:f>
        <x:v>0.302</x:v>
      </x:c>
      <x:c r="V16" s="9" t="n">
        <x:f>S16-T16-U16</x:f>
        <x:v>-860.1564000000038</x:v>
      </x:c>
      <x:c r="W16" s="9" t="n">
        <x:f>W15+V16</x:f>
        <x:v>98709.3728</x:v>
      </x:c>
      <x:c r="X16" s="2" t="str">
        <x:v>AV.Clean!B2340</x:v>
      </x:c>
    </x:row>
    <x:row r="17" ht="22" customHeight="1">
      <x:c r="A17" s="12" t="n">
        <x:v>45749</x:v>
      </x:c>
      <x:c r="B17" s="13" t="n">
        <x:v>45749.625</x:v>
      </x:c>
      <x:c r="C17" s="9" t="n">
        <x:v>558.118</x:v>
      </x:c>
      <x:c r="D17" s="2" t="n">
        <x:v>0</x:v>
      </x:c>
      <x:c r="E17" s="2" t="n">
        <x:f>COUNT('Noise'!G147:G160)</x:f>
        <x:v>14</x:v>
      </x:c>
      <x:c r="F17" s="10" t="n">
        <x:f>AVERAGE('Noise'!G147:G160)</x:f>
        <x:v>0.005278067527796986</x:v>
      </x:c>
      <x:c r="G17" s="9" t="n">
        <x:f>MAX('Volatility'!C7,'Volatility'!D7)*(1+F17)</x:f>
        <x:v>560.7137466693658</x:v>
      </x:c>
      <x:c r="H17" s="9" t="n">
        <x:f>MIN('Volatility'!C7,'Volatility'!D7)*(1-F17)</x:f>
        <x:v>552.4523473275622</x:v>
      </x:c>
      <x:c r="I17" s="9" t="n">
        <x:f>'VWAP'!I17</x:f>
        <x:v>559.2054616665283</x:v>
      </x:c>
      <x:c r="J17" s="9" t="n">
        <x:f>MAX(G17,I17)</x:f>
        <x:v>560.7137466693658</x:v>
      </x:c>
      <x:c r="K17" s="9" t="n">
        <x:f>MIN(H17,I17)</x:f>
        <x:v>552.4523473275622</x:v>
      </x:c>
      <x:c r="L17" s="2" t="n">
        <x:f>O16</x:f>
        <x:v>0</x:v>
      </x:c>
      <x:c r="M17" s="2" t="n">
        <x:f>IF(C17&gt;G17,1,IF(C17&lt;H17,-1,0))</x:f>
        <x:v>0</x:v>
      </x:c>
      <x:c r="N17" s="2" t="n">
        <x:f>IF(OR(AND(L17=1,C17&lt;J17),AND(L17=-1,C17&gt;K17)),1,0)</x:f>
        <x:v>0</x:v>
      </x:c>
      <x:c r="O17" s="2" t="n">
        <x:f>IF(D17=1,0,IF(L17=0,M17,IF(N17=1,IF(M17=-L17,M17,0),L17)))</x:f>
        <x:v>0</x:v>
      </x:c>
      <x:c r="P17" s="2" t="str">
        <x:f>IF(O17=L17,IF(O17=0,"FLAT","HOLD"),IF(L17=0,"ENTRY",IF(O17=0,"EXIT","REVERSE")))</x:f>
        <x:v>FLAT</x:v>
      </x:c>
      <x:c r="Q17" s="2" t="n">
        <x:f>'Volatility'!J7</x:f>
        <x:v>302</x:v>
      </x:c>
      <x:c r="R17" s="2" t="n">
        <x:f>ABS(O17-L17)*Q17</x:f>
        <x:v>0</x:v>
      </x:c>
      <x:c r="S17" s="9" t="n">
        <x:f>L17*Q17*(C17-C16)</x:f>
        <x:v>0</x:v>
      </x:c>
      <x:c r="T17" s="9" t="n">
        <x:f>R17*'Summary'!$B$20</x:f>
        <x:v>0</x:v>
      </x:c>
      <x:c r="U17" s="9" t="n">
        <x:f>R17*'Summary'!$B$21</x:f>
        <x:v>0</x:v>
      </x:c>
      <x:c r="V17" s="9" t="n">
        <x:f>S17-T17-U17</x:f>
        <x:v>0</x:v>
      </x:c>
      <x:c r="W17" s="9" t="n">
        <x:f>W16+V17</x:f>
        <x:v>98709.3728</x:v>
      </x:c>
      <x:c r="X17" s="2" t="str">
        <x:v>AV.Clean!B2339</x:v>
      </x:c>
    </x:row>
    <x:row r="18" ht="22" customHeight="1">
      <x:c r="A18" s="12" t="n">
        <x:v>45749</x:v>
      </x:c>
      <x:c r="B18" s="13" t="n">
        <x:v>45749.645833333336</x:v>
      </x:c>
      <x:c r="C18" s="9" t="n">
        <x:v>559.689</x:v>
      </x:c>
      <x:c r="D18" s="2" t="n">
        <x:v>0</x:v>
      </x:c>
      <x:c r="E18" s="2" t="n">
        <x:f>COUNT('Noise'!G161:G174)</x:f>
        <x:v>14</x:v>
      </x:c>
      <x:c r="F18" s="10" t="n">
        <x:f>AVERAGE('Noise'!G161:G174)</x:f>
        <x:v>0.005613715561666962</x:v>
      </x:c>
      <x:c r="G18" s="9" t="n">
        <x:f>MAX('Volatility'!C7,'Volatility'!D7)*(1+F18)</x:f>
        <x:v>560.9009610060879</x:v>
      </x:c>
      <x:c r="H18" s="9" t="n">
        <x:f>MIN('Volatility'!C7,'Volatility'!D7)*(1-F18)</x:f>
        <x:v>552.2659338806138</x:v>
      </x:c>
      <x:c r="I18" s="9" t="n">
        <x:f>'VWAP'!I18</x:f>
        <x:v>559.2371037016827</x:v>
      </x:c>
      <x:c r="J18" s="9" t="n">
        <x:f>MAX(G18,I18)</x:f>
        <x:v>560.9009610060879</x:v>
      </x:c>
      <x:c r="K18" s="9" t="n">
        <x:f>MIN(H18,I18)</x:f>
        <x:v>552.2659338806138</x:v>
      </x:c>
      <x:c r="L18" s="2" t="n">
        <x:f>O17</x:f>
        <x:v>0</x:v>
      </x:c>
      <x:c r="M18" s="2" t="n">
        <x:f>IF(C18&gt;G18,1,IF(C18&lt;H18,-1,0))</x:f>
        <x:v>0</x:v>
      </x:c>
      <x:c r="N18" s="2" t="n">
        <x:f>IF(OR(AND(L18=1,C18&lt;J18),AND(L18=-1,C18&gt;K18)),1,0)</x:f>
        <x:v>0</x:v>
      </x:c>
      <x:c r="O18" s="2" t="n">
        <x:f>IF(D18=1,0,IF(L18=0,M18,IF(N18=1,IF(M18=-L18,M18,0),L18)))</x:f>
        <x:v>0</x:v>
      </x:c>
      <x:c r="P18" s="2" t="str">
        <x:f>IF(O18=L18,IF(O18=0,"FLAT","HOLD"),IF(L18=0,"ENTRY",IF(O18=0,"EXIT","REVERSE")))</x:f>
        <x:v>FLAT</x:v>
      </x:c>
      <x:c r="Q18" s="2" t="n">
        <x:f>'Volatility'!J7</x:f>
        <x:v>302</x:v>
      </x:c>
      <x:c r="R18" s="2" t="n">
        <x:f>ABS(O18-L18)*Q18</x:f>
        <x:v>0</x:v>
      </x:c>
      <x:c r="S18" s="9" t="n">
        <x:f>L18*Q18*(C18-C17)</x:f>
        <x:v>0</x:v>
      </x:c>
      <x:c r="T18" s="9" t="n">
        <x:f>R18*'Summary'!$B$20</x:f>
        <x:v>0</x:v>
      </x:c>
      <x:c r="U18" s="9" t="n">
        <x:f>R18*'Summary'!$B$21</x:f>
        <x:v>0</x:v>
      </x:c>
      <x:c r="V18" s="9" t="n">
        <x:f>S18-T18-U18</x:f>
        <x:v>0</x:v>
      </x:c>
      <x:c r="W18" s="9" t="n">
        <x:f>W17+V18</x:f>
        <x:v>98709.3728</x:v>
      </x:c>
      <x:c r="X18" s="2" t="str">
        <x:v>AV.Clean!B2338</x:v>
      </x:c>
    </x:row>
    <x:row r="19" ht="22" customHeight="1">
      <x:c r="A19" s="12" t="n">
        <x:v>45749</x:v>
      </x:c>
      <x:c r="B19" s="13" t="n">
        <x:v>45749.666666666664</x:v>
      </x:c>
      <x:c r="C19" s="9" t="n">
        <x:v>561.2997</x:v>
      </x:c>
      <x:c r="D19" s="2" t="n">
        <x:v>1</x:v>
      </x:c>
      <x:c r="E19" s="2" t="n">
        <x:f>COUNT('Noise'!G175:G188)</x:f>
        <x:v>14</x:v>
      </x:c>
      <x:c r="F19" s="10" t="n">
        <x:f>AVERAGE('Noise'!G175:G188)</x:f>
        <x:v>0.006188345730071757</x:v>
      </x:c>
      <x:c r="G19" s="9" t="n">
        <x:f>MAX('Volatility'!C7,'Volatility'!D7)*(1+F19)</x:f>
        <x:v>561.221472360193</x:v>
      </x:c>
      <x:c r="H19" s="9" t="n">
        <x:f>MIN('Volatility'!C7,'Volatility'!D7)*(1-F19)</x:f>
        <x:v>551.9467936515535</x:v>
      </x:c>
      <x:c r="I19" s="9" t="n">
        <x:f>'VWAP'!I19</x:f>
        <x:v>559.6985848778005</x:v>
      </x:c>
      <x:c r="J19" s="9" t="n">
        <x:f>MAX(G19,I19)</x:f>
        <x:v>561.221472360193</x:v>
      </x:c>
      <x:c r="K19" s="9" t="n">
        <x:f>MIN(H19,I19)</x:f>
        <x:v>551.9467936515535</x:v>
      </x:c>
      <x:c r="L19" s="2" t="n">
        <x:f>O18</x:f>
        <x:v>0</x:v>
      </x:c>
      <x:c r="M19" s="2" t="n">
        <x:f>IF(C19&gt;G19,1,IF(C19&lt;H19,-1,0))</x:f>
        <x:v>1</x:v>
      </x:c>
      <x:c r="N19" s="2" t="n">
        <x:f>IF(OR(AND(L19=1,C19&lt;J19),AND(L19=-1,C19&gt;K19)),1,0)</x:f>
        <x:v>0</x:v>
      </x:c>
      <x:c r="O19" s="2" t="n">
        <x:f>IF(D19=1,0,IF(L19=0,M19,IF(N19=1,IF(M19=-L19,M19,0),L19)))</x:f>
        <x:v>0</x:v>
      </x:c>
      <x:c r="P19" s="2" t="str">
        <x:f>IF(O19=L19,IF(O19=0,"FLAT","HOLD"),IF(L19=0,"ENTRY",IF(O19=0,"EXIT","REVERSE")))</x:f>
        <x:v>FLAT</x:v>
      </x:c>
      <x:c r="Q19" s="2" t="n">
        <x:f>'Volatility'!J7</x:f>
        <x:v>302</x:v>
      </x:c>
      <x:c r="R19" s="2" t="n">
        <x:f>ABS(O19-L19)*Q19</x:f>
        <x:v>0</x:v>
      </x:c>
      <x:c r="S19" s="9" t="n">
        <x:f>L19*Q19*(C19-C18)</x:f>
        <x:v>0</x:v>
      </x:c>
      <x:c r="T19" s="9" t="n">
        <x:f>R19*'Summary'!$B$20</x:f>
        <x:v>0</x:v>
      </x:c>
      <x:c r="U19" s="9" t="n">
        <x:f>R19*'Summary'!$B$21</x:f>
        <x:v>0</x:v>
      </x:c>
      <x:c r="V19" s="9" t="n">
        <x:f>S19-T19-U19</x:f>
        <x:v>0</x:v>
      </x:c>
      <x:c r="W19" s="9" t="n">
        <x:f>W18+V19</x:f>
        <x:v>98709.3728</x:v>
      </x:c>
      <x:c r="X19" s="2" t="str">
        <x:v>AV.Clean!B2336</x:v>
      </x:c>
    </x:row>
    <x:row r="20" ht="22" customHeight="1">
      <x:c r="A20" s="12" t="n">
        <x:v>45841</x:v>
      </x:c>
      <x:c r="B20" s="13" t="n">
        <x:v>45841.416666666664</x:v>
      </x:c>
      <x:c r="C20" s="9" t="n">
        <x:v>622.514</x:v>
      </x:c>
      <x:c r="D20" s="2" t="n">
        <x:v>0</x:v>
      </x:c>
      <x:c r="E20" s="2" t="n">
        <x:f>COUNT('Noise'!G189:G202)</x:f>
        <x:v>14</x:v>
      </x:c>
      <x:c r="F20" s="10" t="n">
        <x:f>AVERAGE('Noise'!G189:G202)</x:f>
        <x:v>0</x:v>
      </x:c>
      <x:c r="G20" s="9" t="n">
        <x:f>MAX('Volatility'!C8,'Volatility'!D8)*(1+F20)</x:f>
        <x:v>622.514</x:v>
      </x:c>
      <x:c r="H20" s="9" t="n">
        <x:f>MIN('Volatility'!C8,'Volatility'!D8)*(1-F20)</x:f>
        <x:v>618.7344</x:v>
      </x:c>
      <x:c r="I20" s="9" t="n">
        <x:f>'VWAP'!I20</x:f>
        <x:v>622.514</x:v>
      </x:c>
      <x:c r="J20" s="9" t="n">
        <x:f>MAX(G20,I20)</x:f>
        <x:v>622.514</x:v>
      </x:c>
      <x:c r="K20" s="9" t="n">
        <x:f>MIN(H20,I20)</x:f>
        <x:v>618.7344</x:v>
      </x:c>
      <x:c r="L20" s="2" t="n">
        <x:f>0</x:f>
        <x:v>0</x:v>
      </x:c>
      <x:c r="M20" s="2" t="n">
        <x:f>IF(C20&gt;G20,1,IF(C20&lt;H20,-1,0))</x:f>
        <x:v>0</x:v>
      </x:c>
      <x:c r="N20" s="2" t="n">
        <x:f>IF(OR(AND(L20=1,C20&lt;J20),AND(L20=-1,C20&gt;K20)),1,0)</x:f>
        <x:v>0</x:v>
      </x:c>
      <x:c r="O20" s="2" t="n">
        <x:f>0</x:f>
        <x:v>0</x:v>
      </x:c>
      <x:c r="P20" s="2" t="str">
        <x:f>IF(O20=L20,IF(O20=0,"FLAT","HOLD"),IF(L20=0,"ENTRY",IF(O20=0,"EXIT","REVERSE")))</x:f>
        <x:v>FLAT</x:v>
      </x:c>
      <x:c r="Q20" s="2" t="n">
        <x:f>'Volatility'!J8</x:f>
        <x:v>501</x:v>
      </x:c>
      <x:c r="R20" s="2" t="n">
        <x:f>ABS(O20-L20)*Q20</x:f>
        <x:v>0</x:v>
      </x:c>
      <x:c r="S20" s="9" t="n">
        <x:f>0</x:f>
        <x:v>0</x:v>
      </x:c>
      <x:c r="T20" s="9" t="n">
        <x:f>R20*'Summary'!$B$20</x:f>
        <x:v>0</x:v>
      </x:c>
      <x:c r="U20" s="9" t="n">
        <x:f>R20*'Summary'!$B$21</x:f>
        <x:v>0</x:v>
      </x:c>
      <x:c r="V20" s="9" t="n">
        <x:f>S20-T20-U20</x:f>
        <x:v>0</x:v>
      </x:c>
      <x:c r="W20" s="9" t="n">
        <x:f>'Volatility'!B8+V20</x:f>
        <x:v>103627.93779999975</x:v>
      </x:c>
      <x:c r="X20" s="2" t="str">
        <x:v>AV.Clean!B1467</x:v>
      </x:c>
    </x:row>
    <x:row r="21" ht="22" customHeight="1">
      <x:c r="A21" s="12" t="n">
        <x:v>45841</x:v>
      </x:c>
      <x:c r="B21" s="13" t="n">
        <x:v>45841.4375</x:v>
      </x:c>
      <x:c r="C21" s="9" t="n">
        <x:v>623.262</x:v>
      </x:c>
      <x:c r="D21" s="2" t="n">
        <x:v>0</x:v>
      </x:c>
      <x:c r="E21" s="2" t="n">
        <x:f>COUNT('Noise'!G203:G216)</x:f>
        <x:v>14</x:v>
      </x:c>
      <x:c r="F21" s="10" t="n">
        <x:f>AVERAGE('Noise'!G203:G216)</x:f>
        <x:v>0.0014688619870253303</x:v>
      </x:c>
      <x:c r="G21" s="9" t="n">
        <x:f>MAX('Volatility'!C8,'Volatility'!D8)*(1+F21)</x:f>
        <x:v>623.428387150991</x:v>
      </x:c>
      <x:c r="H21" s="9" t="n">
        <x:f>MIN('Volatility'!C8,'Volatility'!D8)*(1-F21)</x:f>
        <x:v>617.8255645597751</x:v>
      </x:c>
      <x:c r="I21" s="9" t="n">
        <x:f>'VWAP'!I21</x:f>
        <x:v>622.8059423051826</x:v>
      </x:c>
      <x:c r="J21" s="9" t="n">
        <x:f>MAX(G21,I21)</x:f>
        <x:v>623.428387150991</x:v>
      </x:c>
      <x:c r="K21" s="9" t="n">
        <x:f>MIN(H21,I21)</x:f>
        <x:v>617.8255645597751</x:v>
      </x:c>
      <x:c r="L21" s="2" t="n">
        <x:f>O20</x:f>
        <x:v>0</x:v>
      </x:c>
      <x:c r="M21" s="2" t="n">
        <x:f>IF(C21&gt;G21,1,IF(C21&lt;H21,-1,0))</x:f>
        <x:v>0</x:v>
      </x:c>
      <x:c r="N21" s="2" t="n">
        <x:f>IF(OR(AND(L21=1,C21&lt;J21),AND(L21=-1,C21&gt;K21)),1,0)</x:f>
        <x:v>0</x:v>
      </x:c>
      <x:c r="O21" s="2" t="n">
        <x:f>IF(D21=1,0,IF(L21=0,M21,IF(N21=1,IF(M21=-L21,M21,0),L21)))</x:f>
        <x:v>0</x:v>
      </x:c>
      <x:c r="P21" s="2" t="str">
        <x:f>IF(O21=L21,IF(O21=0,"FLAT","HOLD"),IF(L21=0,"ENTRY",IF(O21=0,"EXIT","REVERSE")))</x:f>
        <x:v>FLAT</x:v>
      </x:c>
      <x:c r="Q21" s="2" t="n">
        <x:f>'Volatility'!J8</x:f>
        <x:v>501</x:v>
      </x:c>
      <x:c r="R21" s="2" t="n">
        <x:f>ABS(O21-L21)*Q21</x:f>
        <x:v>0</x:v>
      </x:c>
      <x:c r="S21" s="9" t="n">
        <x:f>L21*Q21*(C21-C20)</x:f>
        <x:v>0</x:v>
      </x:c>
      <x:c r="T21" s="9" t="n">
        <x:f>R21*'Summary'!$B$20</x:f>
        <x:v>0</x:v>
      </x:c>
      <x:c r="U21" s="9" t="n">
        <x:f>R21*'Summary'!$B$21</x:f>
        <x:v>0</x:v>
      </x:c>
      <x:c r="V21" s="9" t="n">
        <x:f>S21-T21-U21</x:f>
        <x:v>0</x:v>
      </x:c>
      <x:c r="W21" s="9" t="n">
        <x:f>W20+V21</x:f>
        <x:v>103627.93779999975</x:v>
      </x:c>
      <x:c r="X21" s="2" t="str">
        <x:v>AV.Clean!B1466</x:v>
      </x:c>
    </x:row>
    <x:row r="22" ht="22" customHeight="1">
      <x:c r="A22" s="12" t="n">
        <x:v>45841</x:v>
      </x:c>
      <x:c r="B22" s="13" t="n">
        <x:v>45841.458333333336</x:v>
      </x:c>
      <x:c r="C22" s="9" t="n">
        <x:v>623.5711</x:v>
      </x:c>
      <x:c r="D22" s="2" t="n">
        <x:v>0</x:v>
      </x:c>
      <x:c r="E22" s="2" t="n">
        <x:f>COUNT('Noise'!G217:G230)</x:f>
        <x:v>14</x:v>
      </x:c>
      <x:c r="F22" s="10" t="n">
        <x:f>AVERAGE('Noise'!G217:G230)</x:f>
        <x:v>0.0016802637123954673</x:v>
      </x:c>
      <x:c r="G22" s="9" t="n">
        <x:f>MAX('Volatility'!C8,'Volatility'!D8)*(1+F22)</x:f>
        <x:v>623.5599876846582</x:v>
      </x:c>
      <x:c r="H22" s="9" t="n">
        <x:f>MIN('Volatility'!C8,'Volatility'!D8)*(1-F22)</x:f>
        <x:v>617.6947630400692</x:v>
      </x:c>
      <x:c r="I22" s="9" t="n">
        <x:f>'VWAP'!I22</x:f>
        <x:v>622.9699681577277</x:v>
      </x:c>
      <x:c r="J22" s="9" t="n">
        <x:f>MAX(G22,I22)</x:f>
        <x:v>623.5599876846582</x:v>
      </x:c>
      <x:c r="K22" s="9" t="n">
        <x:f>MIN(H22,I22)</x:f>
        <x:v>617.6947630400692</x:v>
      </x:c>
      <x:c r="L22" s="2" t="n">
        <x:f>O21</x:f>
        <x:v>0</x:v>
      </x:c>
      <x:c r="M22" s="2" t="n">
        <x:f>IF(C22&gt;G22,1,IF(C22&lt;H22,-1,0))</x:f>
        <x:v>1</x:v>
      </x:c>
      <x:c r="N22" s="2" t="n">
        <x:f>IF(OR(AND(L22=1,C22&lt;J22),AND(L22=-1,C22&gt;K22)),1,0)</x:f>
        <x:v>0</x:v>
      </x:c>
      <x:c r="O22" s="2" t="n">
        <x:f>IF(D22=1,0,IF(L22=0,M22,IF(N22=1,IF(M22=-L22,M22,0),L22)))</x:f>
        <x:v>1</x:v>
      </x:c>
      <x:c r="P22" s="2" t="str">
        <x:f>IF(O22=L22,IF(O22=0,"FLAT","HOLD"),IF(L22=0,"ENTRY",IF(O22=0,"EXIT","REVERSE")))</x:f>
        <x:v>ENTRY</x:v>
      </x:c>
      <x:c r="Q22" s="2" t="n">
        <x:f>'Volatility'!J8</x:f>
        <x:v>501</x:v>
      </x:c>
      <x:c r="R22" s="2" t="n">
        <x:f>ABS(O22-L22)*Q22</x:f>
        <x:v>501</x:v>
      </x:c>
      <x:c r="S22" s="9" t="n">
        <x:f>L22*Q22*(C22-C21)</x:f>
        <x:v>0</x:v>
      </x:c>
      <x:c r="T22" s="9" t="n">
        <x:f>R22*'Summary'!$B$20</x:f>
        <x:v>1.7535</x:v>
      </x:c>
      <x:c r="U22" s="9" t="n">
        <x:f>R22*'Summary'!$B$21</x:f>
        <x:v>0.501</x:v>
      </x:c>
      <x:c r="V22" s="9" t="n">
        <x:f>S22-T22-U22</x:f>
        <x:v>-2.2545</x:v>
      </x:c>
      <x:c r="W22" s="9" t="n">
        <x:f>W21+V22</x:f>
        <x:v>103625.68329999976</x:v>
      </x:c>
      <x:c r="X22" s="2" t="str">
        <x:v>AV.Clean!B1465</x:v>
      </x:c>
    </x:row>
    <x:row r="23" ht="22" customHeight="1">
      <x:c r="A23" s="12" t="n">
        <x:v>45841</x:v>
      </x:c>
      <x:c r="B23" s="13" t="n">
        <x:v>45841.479166666664</x:v>
      </x:c>
      <x:c r="C23" s="9" t="n">
        <x:v>623.6609</x:v>
      </x:c>
      <x:c r="D23" s="2" t="n">
        <x:v>0</x:v>
      </x:c>
      <x:c r="E23" s="2" t="n">
        <x:f>COUNT('Noise'!G231:G244)</x:f>
        <x:v>14</x:v>
      </x:c>
      <x:c r="F23" s="10" t="n">
        <x:f>AVERAGE('Noise'!G231:G244)</x:f>
        <x:v>0.001646989368796481</x:v>
      </x:c>
      <x:c r="G23" s="9" t="n">
        <x:f>MAX('Volatility'!C8,'Volatility'!D8)*(1+F23)</x:f>
        <x:v>623.5392739399269</x:v>
      </x:c>
      <x:c r="H23" s="9" t="n">
        <x:f>MIN('Volatility'!C8,'Volatility'!D8)*(1-F23)</x:f>
        <x:v>617.7153510210914</x:v>
      </x:c>
      <x:c r="I23" s="9" t="n">
        <x:f>'VWAP'!I23</x:f>
        <x:v>623.094257814429</x:v>
      </x:c>
      <x:c r="J23" s="9" t="n">
        <x:f>MAX(G23,I23)</x:f>
        <x:v>623.5392739399269</x:v>
      </x:c>
      <x:c r="K23" s="9" t="n">
        <x:f>MIN(H23,I23)</x:f>
        <x:v>617.7153510210914</x:v>
      </x:c>
      <x:c r="L23" s="2" t="n">
        <x:f>O22</x:f>
        <x:v>1</x:v>
      </x:c>
      <x:c r="M23" s="2" t="n">
        <x:f>IF(C23&gt;G23,1,IF(C23&lt;H23,-1,0))</x:f>
        <x:v>1</x:v>
      </x:c>
      <x:c r="N23" s="2" t="n">
        <x:f>IF(OR(AND(L23=1,C23&lt;J23),AND(L23=-1,C23&gt;K23)),1,0)</x:f>
        <x:v>0</x:v>
      </x:c>
      <x:c r="O23" s="2" t="n">
        <x:f>IF(D23=1,0,IF(L23=0,M23,IF(N23=1,IF(M23=-L23,M23,0),L23)))</x:f>
        <x:v>1</x:v>
      </x:c>
      <x:c r="P23" s="2" t="str">
        <x:f>IF(O23=L23,IF(O23=0,"FLAT","HOLD"),IF(L23=0,"ENTRY",IF(O23=0,"EXIT","REVERSE")))</x:f>
        <x:v>HOLD</x:v>
      </x:c>
      <x:c r="Q23" s="2" t="n">
        <x:f>'Volatility'!J8</x:f>
        <x:v>501</x:v>
      </x:c>
      <x:c r="R23" s="2" t="n">
        <x:f>ABS(O23-L23)*Q23</x:f>
        <x:v>0</x:v>
      </x:c>
      <x:c r="S23" s="9" t="n">
        <x:f>L23*Q23*(C23-C22)</x:f>
        <x:v>44.98979999998414</x:v>
      </x:c>
      <x:c r="T23" s="9" t="n">
        <x:f>R23*'Summary'!$B$20</x:f>
        <x:v>0</x:v>
      </x:c>
      <x:c r="U23" s="9" t="n">
        <x:f>R23*'Summary'!$B$21</x:f>
        <x:v>0</x:v>
      </x:c>
      <x:c r="V23" s="9" t="n">
        <x:f>S23-T23-U23</x:f>
        <x:v>44.98979999998414</x:v>
      </x:c>
      <x:c r="W23" s="9" t="n">
        <x:f>W22+V23</x:f>
        <x:v>103670.67309999974</x:v>
      </x:c>
      <x:c r="X23" s="2" t="str">
        <x:v>AV.Clean!B1464</x:v>
      </x:c>
    </x:row>
    <x:row r="24" ht="22" customHeight="1">
      <x:c r="A24" s="12" t="n">
        <x:v>45841</x:v>
      </x:c>
      <x:c r="B24" s="13" t="n">
        <x:v>45841.5</x:v>
      </x:c>
      <x:c r="C24" s="9" t="n">
        <x:v>624.1645</x:v>
      </x:c>
      <x:c r="D24" s="2" t="n">
        <x:v>0</x:v>
      </x:c>
      <x:c r="E24" s="2" t="n">
        <x:f>COUNT('Noise'!G245:G258)</x:f>
        <x:v>14</x:v>
      </x:c>
      <x:c r="F24" s="10" t="n">
        <x:f>AVERAGE('Noise'!G245:G258)</x:f>
        <x:v>0.0019751223288879843</x:v>
      </x:c>
      <x:c r="G24" s="9" t="n">
        <x:f>MAX('Volatility'!C8,'Volatility'!D8)*(1+F24)</x:f>
        <x:v>623.7435413014454</x:v>
      </x:c>
      <x:c r="H24" s="9" t="n">
        <x:f>MIN('Volatility'!C8,'Volatility'!D8)*(1-F24)</x:f>
        <x:v>617.512323870909</x:v>
      </x:c>
      <x:c r="I24" s="9" t="n">
        <x:f>'VWAP'!I24</x:f>
        <x:v>623.2649654005415</x:v>
      </x:c>
      <x:c r="J24" s="9" t="n">
        <x:f>MAX(G24,I24)</x:f>
        <x:v>623.7435413014454</x:v>
      </x:c>
      <x:c r="K24" s="9" t="n">
        <x:f>MIN(H24,I24)</x:f>
        <x:v>617.512323870909</x:v>
      </x:c>
      <x:c r="L24" s="2" t="n">
        <x:f>O23</x:f>
        <x:v>1</x:v>
      </x:c>
      <x:c r="M24" s="2" t="n">
        <x:f>IF(C24&gt;G24,1,IF(C24&lt;H24,-1,0))</x:f>
        <x:v>1</x:v>
      </x:c>
      <x:c r="N24" s="2" t="n">
        <x:f>IF(OR(AND(L24=1,C24&lt;J24),AND(L24=-1,C24&gt;K24)),1,0)</x:f>
        <x:v>0</x:v>
      </x:c>
      <x:c r="O24" s="2" t="n">
        <x:f>IF(D24=1,0,IF(L24=0,M24,IF(N24=1,IF(M24=-L24,M24,0),L24)))</x:f>
        <x:v>1</x:v>
      </x:c>
      <x:c r="P24" s="2" t="str">
        <x:f>IF(O24=L24,IF(O24=0,"FLAT","HOLD"),IF(L24=0,"ENTRY",IF(O24=0,"EXIT","REVERSE")))</x:f>
        <x:v>HOLD</x:v>
      </x:c>
      <x:c r="Q24" s="2" t="n">
        <x:f>'Volatility'!J8</x:f>
        <x:v>501</x:v>
      </x:c>
      <x:c r="R24" s="2" t="n">
        <x:f>ABS(O24-L24)*Q24</x:f>
        <x:v>0</x:v>
      </x:c>
      <x:c r="S24" s="9" t="n">
        <x:f>L24*Q24*(C24-C23)</x:f>
        <x:v>252.30360000000292</x:v>
      </x:c>
      <x:c r="T24" s="9" t="n">
        <x:f>R24*'Summary'!$B$20</x:f>
        <x:v>0</x:v>
      </x:c>
      <x:c r="U24" s="9" t="n">
        <x:f>R24*'Summary'!$B$21</x:f>
        <x:v>0</x:v>
      </x:c>
      <x:c r="V24" s="9" t="n">
        <x:f>S24-T24-U24</x:f>
        <x:v>252.30360000000292</x:v>
      </x:c>
      <x:c r="W24" s="9" t="n">
        <x:f>W23+V24</x:f>
        <x:v>103922.97669999974</x:v>
      </x:c>
      <x:c r="X24" s="2" t="str">
        <x:v>AV.Clean!B1463</x:v>
      </x:c>
    </x:row>
    <x:row r="25" ht="22" customHeight="1">
      <x:c r="A25" s="12" t="n">
        <x:v>45841</x:v>
      </x:c>
      <x:c r="B25" s="13" t="n">
        <x:v>45841.520833333336</x:v>
      </x:c>
      <x:c r="C25" s="9" t="n">
        <x:v>624.0049</x:v>
      </x:c>
      <x:c r="D25" s="2" t="n">
        <x:v>0</x:v>
      </x:c>
      <x:c r="E25" s="2" t="n">
        <x:f>COUNT('Noise'!G259:G272)</x:f>
        <x:v>14</x:v>
      </x:c>
      <x:c r="F25" s="10" t="n">
        <x:f>AVERAGE('Noise'!G259:G272)</x:f>
        <x:v>0.0022689464023688067</x:v>
      </x:c>
      <x:c r="G25" s="9" t="n">
        <x:f>MAX('Volatility'!C8,'Volatility'!D8)*(1+F25)</x:f>
        <x:v>623.9264509007243</x:v>
      </x:c>
      <x:c r="H25" s="9" t="n">
        <x:f>MIN('Volatility'!C8,'Volatility'!D8)*(1-F25)</x:f>
        <x:v>617.3305248090982</x:v>
      </x:c>
      <x:c r="I25" s="9" t="n">
        <x:f>'VWAP'!I25</x:f>
        <x:v>623.3744740612998</x:v>
      </x:c>
      <x:c r="J25" s="9" t="n">
        <x:f>MAX(G25,I25)</x:f>
        <x:v>623.9264509007243</x:v>
      </x:c>
      <x:c r="K25" s="9" t="n">
        <x:f>MIN(H25,I25)</x:f>
        <x:v>617.3305248090982</x:v>
      </x:c>
      <x:c r="L25" s="2" t="n">
        <x:f>O24</x:f>
        <x:v>1</x:v>
      </x:c>
      <x:c r="M25" s="2" t="n">
        <x:f>IF(C25&gt;G25,1,IF(C25&lt;H25,-1,0))</x:f>
        <x:v>1</x:v>
      </x:c>
      <x:c r="N25" s="2" t="n">
        <x:f>IF(OR(AND(L25=1,C25&lt;J25),AND(L25=-1,C25&gt;K25)),1,0)</x:f>
        <x:v>0</x:v>
      </x:c>
      <x:c r="O25" s="2" t="n">
        <x:f>IF(D25=1,0,IF(L25=0,M25,IF(N25=1,IF(M25=-L25,M25,0),L25)))</x:f>
        <x:v>1</x:v>
      </x:c>
      <x:c r="P25" s="2" t="str">
        <x:f>IF(O25=L25,IF(O25=0,"FLAT","HOLD"),IF(L25=0,"ENTRY",IF(O25=0,"EXIT","REVERSE")))</x:f>
        <x:v>HOLD</x:v>
      </x:c>
      <x:c r="Q25" s="2" t="n">
        <x:f>'Volatility'!J8</x:f>
        <x:v>501</x:v>
      </x:c>
      <x:c r="R25" s="2" t="n">
        <x:f>ABS(O25-L25)*Q25</x:f>
        <x:v>0</x:v>
      </x:c>
      <x:c r="S25" s="9" t="n">
        <x:f>L25*Q25*(C25-C24)</x:f>
        <x:v>-79.9595999999774</x:v>
      </x:c>
      <x:c r="T25" s="9" t="n">
        <x:f>R25*'Summary'!$B$20</x:f>
        <x:v>0</x:v>
      </x:c>
      <x:c r="U25" s="9" t="n">
        <x:f>R25*'Summary'!$B$21</x:f>
        <x:v>0</x:v>
      </x:c>
      <x:c r="V25" s="9" t="n">
        <x:f>S25-T25-U25</x:f>
        <x:v>-79.9595999999774</x:v>
      </x:c>
      <x:c r="W25" s="9" t="n">
        <x:f>W24+V25</x:f>
        <x:v>103843.01709999976</x:v>
      </x:c>
      <x:c r="X25" s="2" t="str">
        <x:v>AV.Clean!B1462</x:v>
      </x:c>
    </x:row>
    <x:row r="26" ht="22" customHeight="1">
      <x:c r="A26" s="12" t="n">
        <x:v>45841</x:v>
      </x:c>
      <x:c r="B26" s="13" t="n">
        <x:v>45841.541666666664</x:v>
      </x:c>
      <x:c r="C26" s="9" t="n">
        <x:v>623.611</x:v>
      </x:c>
      <x:c r="D26" s="2" t="n">
        <x:v>1</x:v>
      </x:c>
      <x:c r="E26" s="2" t="n">
        <x:f>COUNT('Noise'!G273:G286)</x:f>
        <x:v>14</x:v>
      </x:c>
      <x:c r="F26" s="10" t="n">
        <x:f>AVERAGE('Noise'!G273:G286)</x:f>
        <x:v>0.0024652033373896037</x:v>
      </x:c>
      <x:c r="G26" s="9" t="n">
        <x:f>MAX('Volatility'!C8,'Volatility'!D8)*(1+F26)</x:f>
        <x:v>624.0486235903717</x:v>
      </x:c>
      <x:c r="H26" s="9" t="n">
        <x:f>MIN('Volatility'!C8,'Volatility'!D8)*(1-F26)</x:f>
        <x:v>617.2090938921623</x:v>
      </x:c>
      <x:c r="I26" s="9" t="n">
        <x:f>'VWAP'!I26</x:f>
        <x:v>623.4402802926269</x:v>
      </x:c>
      <x:c r="J26" s="9" t="n">
        <x:f>MAX(G26,I26)</x:f>
        <x:v>624.0486235903717</x:v>
      </x:c>
      <x:c r="K26" s="9" t="n">
        <x:f>MIN(H26,I26)</x:f>
        <x:v>617.2090938921623</x:v>
      </x:c>
      <x:c r="L26" s="2" t="n">
        <x:f>O25</x:f>
        <x:v>1</x:v>
      </x:c>
      <x:c r="M26" s="2" t="n">
        <x:f>IF(C26&gt;G26,1,IF(C26&lt;H26,-1,0))</x:f>
        <x:v>0</x:v>
      </x:c>
      <x:c r="N26" s="2" t="n">
        <x:f>IF(OR(AND(L26=1,C26&lt;J26),AND(L26=-1,C26&gt;K26)),1,0)</x:f>
        <x:v>1</x:v>
      </x:c>
      <x:c r="O26" s="2" t="n">
        <x:f>IF(D26=1,0,IF(L26=0,M26,IF(N26=1,IF(M26=-L26,M26,0),L26)))</x:f>
        <x:v>0</x:v>
      </x:c>
      <x:c r="P26" s="2" t="str">
        <x:f>IF(O26=L26,IF(O26=0,"FLAT","HOLD"),IF(L26=0,"ENTRY",IF(O26=0,"EXIT","REVERSE")))</x:f>
        <x:v>EXIT</x:v>
      </x:c>
      <x:c r="Q26" s="2" t="n">
        <x:f>'Volatility'!J8</x:f>
        <x:v>501</x:v>
      </x:c>
      <x:c r="R26" s="2" t="n">
        <x:f>ABS(O26-L26)*Q26</x:f>
        <x:v>501</x:v>
      </x:c>
      <x:c r="S26" s="9" t="n">
        <x:f>L26*Q26*(C26-C25)</x:f>
        <x:v>-197.3439000000153</x:v>
      </x:c>
      <x:c r="T26" s="9" t="n">
        <x:f>R26*'Summary'!$B$20</x:f>
        <x:v>1.7535</x:v>
      </x:c>
      <x:c r="U26" s="9" t="n">
        <x:f>R26*'Summary'!$B$21</x:f>
        <x:v>0.501</x:v>
      </x:c>
      <x:c r="V26" s="9" t="n">
        <x:f>S26-T26-U26</x:f>
        <x:v>-199.59840000001532</x:v>
      </x:c>
      <x:c r="W26" s="9" t="n">
        <x:f>W25+V26</x:f>
        <x:v>103643.41869999975</x:v>
      </x:c>
      <x:c r="X26" s="2" t="str">
        <x:v>AV.Clean!B1460</x:v>
      </x:c>
    </x:row>
    <x:row r="27" ht="22" customHeight="1">
      <x:c r="A27" s="12" t="n">
        <x:v>45940</x:v>
      </x:c>
      <x:c r="B27" s="13" t="n">
        <x:v>45940.416666666664</x:v>
      </x:c>
      <x:c r="C27" s="9" t="n">
        <x:v>673.17</x:v>
      </x:c>
      <x:c r="D27" s="2" t="n">
        <x:v>0</x:v>
      </x:c>
      <x:c r="E27" s="2" t="n">
        <x:f>COUNT('Noise'!G287:G300)</x:f>
        <x:v>14</x:v>
      </x:c>
      <x:c r="F27" s="10" t="n">
        <x:f>AVERAGE('Noise'!G287:G300)</x:f>
        <x:v>0</x:v>
      </x:c>
      <x:c r="G27" s="9" t="n">
        <x:f>MAX('Volatility'!C9,'Volatility'!D9)*(1+F27)</x:f>
        <x:v>673.17</x:v>
      </x:c>
      <x:c r="H27" s="9" t="n">
        <x:f>MIN('Volatility'!C9,'Volatility'!D9)*(1-F27)</x:f>
        <x:v>671.16</x:v>
      </x:c>
      <x:c r="I27" s="9" t="n">
        <x:f>'VWAP'!I27</x:f>
        <x:v>673.17</x:v>
      </x:c>
      <x:c r="J27" s="9" t="n">
        <x:f>MAX(G27,I27)</x:f>
        <x:v>673.17</x:v>
      </x:c>
      <x:c r="K27" s="9" t="n">
        <x:f>MIN(H27,I27)</x:f>
        <x:v>671.16</x:v>
      </x:c>
      <x:c r="L27" s="2" t="n">
        <x:f>0</x:f>
        <x:v>0</x:v>
      </x:c>
      <x:c r="M27" s="2" t="n">
        <x:f>IF(C27&gt;G27,1,IF(C27&lt;H27,-1,0))</x:f>
        <x:v>0</x:v>
      </x:c>
      <x:c r="N27" s="2" t="n">
        <x:f>IF(OR(AND(L27=1,C27&lt;J27),AND(L27=-1,C27&gt;K27)),1,0)</x:f>
        <x:v>0</x:v>
      </x:c>
      <x:c r="O27" s="2" t="n">
        <x:f>0</x:f>
        <x:v>0</x:v>
      </x:c>
      <x:c r="P27" s="2" t="str">
        <x:f>IF(O27=L27,IF(O27=0,"FLAT","HOLD"),IF(L27=0,"ENTRY",IF(O27=0,"EXIT","REVERSE")))</x:f>
        <x:v>FLAT</x:v>
      </x:c>
      <x:c r="Q27" s="2" t="n">
        <x:f>'Volatility'!J9</x:f>
        <x:v>604</x:v>
      </x:c>
      <x:c r="R27" s="2" t="n">
        <x:f>ABS(O27-L27)*Q27</x:f>
        <x:v>0</x:v>
      </x:c>
      <x:c r="S27" s="9" t="n">
        <x:f>0</x:f>
        <x:v>0</x:v>
      </x:c>
      <x:c r="T27" s="9" t="n">
        <x:f>R27*'Summary'!$B$20</x:f>
        <x:v>0</x:v>
      </x:c>
      <x:c r="U27" s="9" t="n">
        <x:f>R27*'Summary'!$B$21</x:f>
        <x:v>0</x:v>
      </x:c>
      <x:c r="V27" s="9" t="n">
        <x:f>S27-T27-U27</x:f>
        <x:v>0</x:v>
      </x:c>
      <x:c r="W27" s="9" t="n">
        <x:f>'Volatility'!B9+V27</x:f>
        <x:v>101698.91599999998</x:v>
      </x:c>
      <x:c r="X27" s="2" t="str">
        <x:v>AV.Clean!B503</x:v>
      </x:c>
    </x:row>
    <x:row r="28" ht="22" customHeight="1">
      <x:c r="A28" s="12" t="n">
        <x:v>45940</x:v>
      </x:c>
      <x:c r="B28" s="13" t="n">
        <x:v>45940.4375</x:v>
      </x:c>
      <x:c r="C28" s="9" t="n">
        <x:v>672.565</x:v>
      </x:c>
      <x:c r="D28" s="2" t="n">
        <x:v>0</x:v>
      </x:c>
      <x:c r="E28" s="2" t="n">
        <x:f>COUNT('Noise'!G301:G314)</x:f>
        <x:v>14</x:v>
      </x:c>
      <x:c r="F28" s="10" t="n">
        <x:f>AVERAGE('Noise'!G301:G314)</x:f>
        <x:v>0.0014563338559975825</x:v>
      </x:c>
      <x:c r="G28" s="9" t="n">
        <x:f>MAX('Volatility'!C9,'Volatility'!D9)*(1+F28)</x:f>
        <x:v>674.1503602618419</x:v>
      </x:c>
      <x:c r="H28" s="9" t="n">
        <x:f>MIN('Volatility'!C9,'Volatility'!D9)*(1-F28)</x:f>
        <x:v>670.1825669692086</x:v>
      </x:c>
      <x:c r="I28" s="9" t="n">
        <x:f>'VWAP'!I28</x:f>
        <x:v>672.9461318850637</x:v>
      </x:c>
      <x:c r="J28" s="9" t="n">
        <x:f>MAX(G28,I28)</x:f>
        <x:v>674.1503602618419</x:v>
      </x:c>
      <x:c r="K28" s="9" t="n">
        <x:f>MIN(H28,I28)</x:f>
        <x:v>670.1825669692086</x:v>
      </x:c>
      <x:c r="L28" s="2" t="n">
        <x:f>O27</x:f>
        <x:v>0</x:v>
      </x:c>
      <x:c r="M28" s="2" t="n">
        <x:f>IF(C28&gt;G28,1,IF(C28&lt;H28,-1,0))</x:f>
        <x:v>0</x:v>
      </x:c>
      <x:c r="N28" s="2" t="n">
        <x:f>IF(OR(AND(L28=1,C28&lt;J28),AND(L28=-1,C28&gt;K28)),1,0)</x:f>
        <x:v>0</x:v>
      </x:c>
      <x:c r="O28" s="2" t="n">
        <x:f>IF(D28=1,0,IF(L28=0,M28,IF(N28=1,IF(M28=-L28,M28,0),L28)))</x:f>
        <x:v>0</x:v>
      </x:c>
      <x:c r="P28" s="2" t="str">
        <x:f>IF(O28=L28,IF(O28=0,"FLAT","HOLD"),IF(L28=0,"ENTRY",IF(O28=0,"EXIT","REVERSE")))</x:f>
        <x:v>FLAT</x:v>
      </x:c>
      <x:c r="Q28" s="2" t="n">
        <x:f>'Volatility'!J9</x:f>
        <x:v>604</x:v>
      </x:c>
      <x:c r="R28" s="2" t="n">
        <x:f>ABS(O28-L28)*Q28</x:f>
        <x:v>0</x:v>
      </x:c>
      <x:c r="S28" s="9" t="n">
        <x:f>L28*Q28*(C28-C27)</x:f>
        <x:v>0</x:v>
      </x:c>
      <x:c r="T28" s="9" t="n">
        <x:f>R28*'Summary'!$B$20</x:f>
        <x:v>0</x:v>
      </x:c>
      <x:c r="U28" s="9" t="n">
        <x:f>R28*'Summary'!$B$21</x:f>
        <x:v>0</x:v>
      </x:c>
      <x:c r="V28" s="9" t="n">
        <x:f>S28-T28-U28</x:f>
        <x:v>0</x:v>
      </x:c>
      <x:c r="W28" s="9" t="n">
        <x:f>W27+V28</x:f>
        <x:v>101698.91599999998</x:v>
      </x:c>
      <x:c r="X28" s="2" t="str">
        <x:v>AV.Clean!B502</x:v>
      </x:c>
    </x:row>
    <x:row r="29" ht="22" customHeight="1">
      <x:c r="A29" s="12" t="n">
        <x:v>45940</x:v>
      </x:c>
      <x:c r="B29" s="13" t="n">
        <x:v>45940.458333333336</x:v>
      </x:c>
      <x:c r="C29" s="9" t="n">
        <x:v>668.725</x:v>
      </x:c>
      <x:c r="D29" s="2" t="n">
        <x:v>0</x:v>
      </x:c>
      <x:c r="E29" s="2" t="n">
        <x:f>COUNT('Noise'!G315:G328)</x:f>
        <x:v>14</x:v>
      </x:c>
      <x:c r="F29" s="10" t="n">
        <x:f>AVERAGE('Noise'!G315:G328)</x:f>
        <x:v>0.0018736066415010308</x:v>
      </x:c>
      <x:c r="G29" s="9" t="n">
        <x:f>MAX('Volatility'!C9,'Volatility'!D9)*(1+F29)</x:f>
        <x:v>674.4312557828592</x:v>
      </x:c>
      <x:c r="H29" s="9" t="n">
        <x:f>MIN('Volatility'!C9,'Volatility'!D9)*(1-F29)</x:f>
        <x:v>669.9025101664902</x:v>
      </x:c>
      <x:c r="I29" s="9" t="n">
        <x:f>'VWAP'!I29</x:f>
        <x:v>671.4011026778688</x:v>
      </x:c>
      <x:c r="J29" s="9" t="n">
        <x:f>MAX(G29,I29)</x:f>
        <x:v>674.4312557828592</x:v>
      </x:c>
      <x:c r="K29" s="9" t="n">
        <x:f>MIN(H29,I29)</x:f>
        <x:v>669.9025101664902</x:v>
      </x:c>
      <x:c r="L29" s="2" t="n">
        <x:f>O28</x:f>
        <x:v>0</x:v>
      </x:c>
      <x:c r="M29" s="2" t="n">
        <x:f>IF(C29&gt;G29,1,IF(C29&lt;H29,-1,0))</x:f>
        <x:v>-1</x:v>
      </x:c>
      <x:c r="N29" s="2" t="n">
        <x:f>IF(OR(AND(L29=1,C29&lt;J29),AND(L29=-1,C29&gt;K29)),1,0)</x:f>
        <x:v>0</x:v>
      </x:c>
      <x:c r="O29" s="2" t="n">
        <x:f>IF(D29=1,0,IF(L29=0,M29,IF(N29=1,IF(M29=-L29,M29,0),L29)))</x:f>
        <x:v>-1</x:v>
      </x:c>
      <x:c r="P29" s="2" t="str">
        <x:f>IF(O29=L29,IF(O29=0,"FLAT","HOLD"),IF(L29=0,"ENTRY",IF(O29=0,"EXIT","REVERSE")))</x:f>
        <x:v>ENTRY</x:v>
      </x:c>
      <x:c r="Q29" s="2" t="n">
        <x:f>'Volatility'!J9</x:f>
        <x:v>604</x:v>
      </x:c>
      <x:c r="R29" s="2" t="n">
        <x:f>ABS(O29-L29)*Q29</x:f>
        <x:v>604</x:v>
      </x:c>
      <x:c r="S29" s="9" t="n">
        <x:f>L29*Q29*(C29-C28)</x:f>
        <x:v>0</x:v>
      </x:c>
      <x:c r="T29" s="9" t="n">
        <x:f>R29*'Summary'!$B$20</x:f>
        <x:v>2.114</x:v>
      </x:c>
      <x:c r="U29" s="9" t="n">
        <x:f>R29*'Summary'!$B$21</x:f>
        <x:v>0.604</x:v>
      </x:c>
      <x:c r="V29" s="9" t="n">
        <x:f>S29-T29-U29</x:f>
        <x:v>-2.718</x:v>
      </x:c>
      <x:c r="W29" s="9" t="n">
        <x:f>W28+V29</x:f>
        <x:v>101696.19799999999</x:v>
      </x:c>
      <x:c r="X29" s="2" t="str">
        <x:v>AV.Clean!B501</x:v>
      </x:c>
    </x:row>
    <x:row r="30" ht="22" customHeight="1">
      <x:c r="A30" s="12" t="n">
        <x:v>45940</x:v>
      </x:c>
      <x:c r="B30" s="13" t="n">
        <x:v>45940.479166666664</x:v>
      </x:c>
      <x:c r="C30" s="9" t="n">
        <x:v>662.42</x:v>
      </x:c>
      <x:c r="D30" s="2" t="n">
        <x:v>0</x:v>
      </x:c>
      <x:c r="E30" s="2" t="n">
        <x:f>COUNT('Noise'!G329:G342)</x:f>
        <x:v>14</x:v>
      </x:c>
      <x:c r="F30" s="10" t="n">
        <x:f>AVERAGE('Noise'!G329:G342)</x:f>
        <x:v>0.002201860960912897</x:v>
      </x:c>
      <x:c r="G30" s="9" t="n">
        <x:f>MAX('Volatility'!C9,'Volatility'!D9)*(1+F30)</x:f>
        <x:v>674.6522267430577</x:v>
      </x:c>
      <x:c r="H30" s="9" t="n">
        <x:f>MIN('Volatility'!C9,'Volatility'!D9)*(1-F30)</x:f>
        <x:v>669.6821989974736</x:v>
      </x:c>
      <x:c r="I30" s="9" t="n">
        <x:f>'VWAP'!I30</x:f>
        <x:v>665.9909745676536</x:v>
      </x:c>
      <x:c r="J30" s="9" t="n">
        <x:f>MAX(G30,I30)</x:f>
        <x:v>674.6522267430577</x:v>
      </x:c>
      <x:c r="K30" s="9" t="n">
        <x:f>MIN(H30,I30)</x:f>
        <x:v>665.9909745676536</x:v>
      </x:c>
      <x:c r="L30" s="2" t="n">
        <x:f>O29</x:f>
        <x:v>-1</x:v>
      </x:c>
      <x:c r="M30" s="2" t="n">
        <x:f>IF(C30&gt;G30,1,IF(C30&lt;H30,-1,0))</x:f>
        <x:v>-1</x:v>
      </x:c>
      <x:c r="N30" s="2" t="n">
        <x:f>IF(OR(AND(L30=1,C30&lt;J30),AND(L30=-1,C30&gt;K30)),1,0)</x:f>
        <x:v>0</x:v>
      </x:c>
      <x:c r="O30" s="2" t="n">
        <x:f>IF(D30=1,0,IF(L30=0,M30,IF(N30=1,IF(M30=-L30,M30,0),L30)))</x:f>
        <x:v>-1</x:v>
      </x:c>
      <x:c r="P30" s="2" t="str">
        <x:f>IF(O30=L30,IF(O30=0,"FLAT","HOLD"),IF(L30=0,"ENTRY",IF(O30=0,"EXIT","REVERSE")))</x:f>
        <x:v>HOLD</x:v>
      </x:c>
      <x:c r="Q30" s="2" t="n">
        <x:f>'Volatility'!J9</x:f>
        <x:v>604</x:v>
      </x:c>
      <x:c r="R30" s="2" t="n">
        <x:f>ABS(O30-L30)*Q30</x:f>
        <x:v>0</x:v>
      </x:c>
      <x:c r="S30" s="9" t="n">
        <x:f>L30*Q30*(C30-C29)</x:f>
        <x:v>3808.2200000000385</x:v>
      </x:c>
      <x:c r="T30" s="9" t="n">
        <x:f>R30*'Summary'!$B$20</x:f>
        <x:v>0</x:v>
      </x:c>
      <x:c r="U30" s="9" t="n">
        <x:f>R30*'Summary'!$B$21</x:f>
        <x:v>0</x:v>
      </x:c>
      <x:c r="V30" s="9" t="n">
        <x:f>S30-T30-U30</x:f>
        <x:v>3808.2200000000385</x:v>
      </x:c>
      <x:c r="W30" s="9" t="n">
        <x:f>W29+V30</x:f>
        <x:v>105504.41800000003</x:v>
      </x:c>
      <x:c r="X30" s="2" t="str">
        <x:v>AV.Clean!B500</x:v>
      </x:c>
    </x:row>
    <x:row r="31" ht="22" customHeight="1">
      <x:c r="A31" s="12" t="n">
        <x:v>45940</x:v>
      </x:c>
      <x:c r="B31" s="13" t="n">
        <x:v>45940.5</x:v>
      </x:c>
      <x:c r="C31" s="9" t="n">
        <x:v>661.52</x:v>
      </x:c>
      <x:c r="D31" s="2" t="n">
        <x:v>0</x:v>
      </x:c>
      <x:c r="E31" s="2" t="n">
        <x:f>COUNT('Noise'!G343:G356)</x:f>
        <x:v>14</x:v>
      </x:c>
      <x:c r="F31" s="10" t="n">
        <x:f>AVERAGE('Noise'!G343:G356)</x:f>
        <x:v>0.0029064760941845402</x:v>
      </x:c>
      <x:c r="G31" s="9" t="n">
        <x:f>MAX('Volatility'!C9,'Volatility'!D9)*(1+F31)</x:f>
        <x:v>675.1265525123222</x:v>
      </x:c>
      <x:c r="H31" s="9" t="n">
        <x:f>MIN('Volatility'!C9,'Volatility'!D9)*(1-F31)</x:f>
        <x:v>669.209289504627</x:v>
      </x:c>
      <x:c r="I31" s="9" t="n">
        <x:f>'VWAP'!I31</x:f>
        <x:v>664.7661920046656</x:v>
      </x:c>
      <x:c r="J31" s="9" t="n">
        <x:f>MAX(G31,I31)</x:f>
        <x:v>675.1265525123222</x:v>
      </x:c>
      <x:c r="K31" s="9" t="n">
        <x:f>MIN(H31,I31)</x:f>
        <x:v>664.7661920046656</x:v>
      </x:c>
      <x:c r="L31" s="2" t="n">
        <x:f>O30</x:f>
        <x:v>-1</x:v>
      </x:c>
      <x:c r="M31" s="2" t="n">
        <x:f>IF(C31&gt;G31,1,IF(C31&lt;H31,-1,0))</x:f>
        <x:v>-1</x:v>
      </x:c>
      <x:c r="N31" s="2" t="n">
        <x:f>IF(OR(AND(L31=1,C31&lt;J31),AND(L31=-1,C31&gt;K31)),1,0)</x:f>
        <x:v>0</x:v>
      </x:c>
      <x:c r="O31" s="2" t="n">
        <x:f>IF(D31=1,0,IF(L31=0,M31,IF(N31=1,IF(M31=-L31,M31,0),L31)))</x:f>
        <x:v>-1</x:v>
      </x:c>
      <x:c r="P31" s="2" t="str">
        <x:f>IF(O31=L31,IF(O31=0,"FLAT","HOLD"),IF(L31=0,"ENTRY",IF(O31=0,"EXIT","REVERSE")))</x:f>
        <x:v>HOLD</x:v>
      </x:c>
      <x:c r="Q31" s="2" t="n">
        <x:f>'Volatility'!J9</x:f>
        <x:v>604</x:v>
      </x:c>
      <x:c r="R31" s="2" t="n">
        <x:f>ABS(O31-L31)*Q31</x:f>
        <x:v>0</x:v>
      </x:c>
      <x:c r="S31" s="9" t="n">
        <x:f>L31*Q31*(C31-C30)</x:f>
        <x:v>543.5999999999863</x:v>
      </x:c>
      <x:c r="T31" s="9" t="n">
        <x:f>R31*'Summary'!$B$20</x:f>
        <x:v>0</x:v>
      </x:c>
      <x:c r="U31" s="9" t="n">
        <x:f>R31*'Summary'!$B$21</x:f>
        <x:v>0</x:v>
      </x:c>
      <x:c r="V31" s="9" t="n">
        <x:f>S31-T31-U31</x:f>
        <x:v>543.5999999999863</x:v>
      </x:c>
      <x:c r="W31" s="9" t="n">
        <x:f>W30+V31</x:f>
        <x:v>106048.01800000003</x:v>
      </x:c>
      <x:c r="X31" s="2" t="str">
        <x:v>AV.Clean!B499</x:v>
      </x:c>
    </x:row>
    <x:row r="32" ht="22" customHeight="1">
      <x:c r="A32" s="12" t="n">
        <x:v>45940</x:v>
      </x:c>
      <x:c r="B32" s="13" t="n">
        <x:v>45940.520833333336</x:v>
      </x:c>
      <x:c r="C32" s="9" t="n">
        <x:v>661.5</x:v>
      </x:c>
      <x:c r="D32" s="2" t="n">
        <x:v>0</x:v>
      </x:c>
      <x:c r="E32" s="2" t="n">
        <x:f>COUNT('Noise'!G357:G370)</x:f>
        <x:v>14</x:v>
      </x:c>
      <x:c r="F32" s="10" t="n">
        <x:f>AVERAGE('Noise'!G357:G370)</x:f>
        <x:v>0.002759112858408868</x:v>
      </x:c>
      <x:c r="G32" s="9" t="n">
        <x:f>MAX('Volatility'!C9,'Volatility'!D9)*(1+F32)</x:f>
        <x:v>675.027352002895</x:v>
      </x:c>
      <x:c r="H32" s="9" t="n">
        <x:f>MIN('Volatility'!C9,'Volatility'!D9)*(1-F32)</x:f>
        <x:v>669.3081938139502</x:v>
      </x:c>
      <x:c r="I32" s="9" t="n">
        <x:f>'VWAP'!I32</x:f>
        <x:v>664.4017551723961</x:v>
      </x:c>
      <x:c r="J32" s="9" t="n">
        <x:f>MAX(G32,I32)</x:f>
        <x:v>675.027352002895</x:v>
      </x:c>
      <x:c r="K32" s="9" t="n">
        <x:f>MIN(H32,I32)</x:f>
        <x:v>664.4017551723961</x:v>
      </x:c>
      <x:c r="L32" s="2" t="n">
        <x:f>O31</x:f>
        <x:v>-1</x:v>
      </x:c>
      <x:c r="M32" s="2" t="n">
        <x:f>IF(C32&gt;G32,1,IF(C32&lt;H32,-1,0))</x:f>
        <x:v>-1</x:v>
      </x:c>
      <x:c r="N32" s="2" t="n">
        <x:f>IF(OR(AND(L32=1,C32&lt;J32),AND(L32=-1,C32&gt;K32)),1,0)</x:f>
        <x:v>0</x:v>
      </x:c>
      <x:c r="O32" s="2" t="n">
        <x:f>IF(D32=1,0,IF(L32=0,M32,IF(N32=1,IF(M32=-L32,M32,0),L32)))</x:f>
        <x:v>-1</x:v>
      </x:c>
      <x:c r="P32" s="2" t="str">
        <x:f>IF(O32=L32,IF(O32=0,"FLAT","HOLD"),IF(L32=0,"ENTRY",IF(O32=0,"EXIT","REVERSE")))</x:f>
        <x:v>HOLD</x:v>
      </x:c>
      <x:c r="Q32" s="2" t="n">
        <x:f>'Volatility'!J9</x:f>
        <x:v>604</x:v>
      </x:c>
      <x:c r="R32" s="2" t="n">
        <x:f>ABS(O32-L32)*Q32</x:f>
        <x:v>0</x:v>
      </x:c>
      <x:c r="S32" s="9" t="n">
        <x:f>L32*Q32*(C32-C31)</x:f>
        <x:v>12.079999999989013</x:v>
      </x:c>
      <x:c r="T32" s="9" t="n">
        <x:f>R32*'Summary'!$B$20</x:f>
        <x:v>0</x:v>
      </x:c>
      <x:c r="U32" s="9" t="n">
        <x:f>R32*'Summary'!$B$21</x:f>
        <x:v>0</x:v>
      </x:c>
      <x:c r="V32" s="9" t="n">
        <x:f>S32-T32-U32</x:f>
        <x:v>12.079999999989013</x:v>
      </x:c>
      <x:c r="W32" s="9" t="n">
        <x:f>W31+V32</x:f>
        <x:v>106060.09800000001</x:v>
      </x:c>
      <x:c r="X32" s="2" t="str">
        <x:v>AV.Clean!B498</x:v>
      </x:c>
    </x:row>
    <x:row r="33" ht="22" customHeight="1">
      <x:c r="A33" s="12" t="n">
        <x:v>45940</x:v>
      </x:c>
      <x:c r="B33" s="13" t="n">
        <x:v>45940.541666666664</x:v>
      </x:c>
      <x:c r="C33" s="9" t="n">
        <x:v>659.04</x:v>
      </x:c>
      <x:c r="D33" s="2" t="n">
        <x:v>0</x:v>
      </x:c>
      <x:c r="E33" s="2" t="n">
        <x:f>COUNT('Noise'!G371:G384)</x:f>
        <x:v>14</x:v>
      </x:c>
      <x:c r="F33" s="10" t="n">
        <x:f>AVERAGE('Noise'!G371:G384)</x:f>
        <x:v>0.002867687999038304</x:v>
      </x:c>
      <x:c r="G33" s="9" t="n">
        <x:f>MAX('Volatility'!C9,'Volatility'!D9)*(1+F33)</x:f>
        <x:v>675.1004415303127</x:v>
      </x:c>
      <x:c r="H33" s="9" t="n">
        <x:f>MIN('Volatility'!C9,'Volatility'!D9)*(1-F33)</x:f>
        <x:v>669.2353225225654</x:v>
      </x:c>
      <x:c r="I33" s="9" t="n">
        <x:f>'VWAP'!I33</x:f>
        <x:v>663.9476534553422</x:v>
      </x:c>
      <x:c r="J33" s="9" t="n">
        <x:f>MAX(G33,I33)</x:f>
        <x:v>675.1004415303127</x:v>
      </x:c>
      <x:c r="K33" s="9" t="n">
        <x:f>MIN(H33,I33)</x:f>
        <x:v>663.9476534553422</x:v>
      </x:c>
      <x:c r="L33" s="2" t="n">
        <x:f>O32</x:f>
        <x:v>-1</x:v>
      </x:c>
      <x:c r="M33" s="2" t="n">
        <x:f>IF(C33&gt;G33,1,IF(C33&lt;H33,-1,0))</x:f>
        <x:v>-1</x:v>
      </x:c>
      <x:c r="N33" s="2" t="n">
        <x:f>IF(OR(AND(L33=1,C33&lt;J33),AND(L33=-1,C33&gt;K33)),1,0)</x:f>
        <x:v>0</x:v>
      </x:c>
      <x:c r="O33" s="2" t="n">
        <x:f>IF(D33=1,0,IF(L33=0,M33,IF(N33=1,IF(M33=-L33,M33,0),L33)))</x:f>
        <x:v>-1</x:v>
      </x:c>
      <x:c r="P33" s="2" t="str">
        <x:f>IF(O33=L33,IF(O33=0,"FLAT","HOLD"),IF(L33=0,"ENTRY",IF(O33=0,"EXIT","REVERSE")))</x:f>
        <x:v>HOLD</x:v>
      </x:c>
      <x:c r="Q33" s="2" t="n">
        <x:f>'Volatility'!J9</x:f>
        <x:v>604</x:v>
      </x:c>
      <x:c r="R33" s="2" t="n">
        <x:f>ABS(O33-L33)*Q33</x:f>
        <x:v>0</x:v>
      </x:c>
      <x:c r="S33" s="9" t="n">
        <x:f>L33*Q33*(C33-C32)</x:f>
        <x:v>1485.840000000022</x:v>
      </x:c>
      <x:c r="T33" s="9" t="n">
        <x:f>R33*'Summary'!$B$20</x:f>
        <x:v>0</x:v>
      </x:c>
      <x:c r="U33" s="9" t="n">
        <x:f>R33*'Summary'!$B$21</x:f>
        <x:v>0</x:v>
      </x:c>
      <x:c r="V33" s="9" t="n">
        <x:f>S33-T33-U33</x:f>
        <x:v>1485.840000000022</x:v>
      </x:c>
      <x:c r="W33" s="9" t="n">
        <x:f>W32+V33</x:f>
        <x:v>107545.93800000004</x:v>
      </x:c>
      <x:c r="X33" s="2" t="str">
        <x:v>AV.Clean!B497</x:v>
      </x:c>
    </x:row>
    <x:row r="34" ht="22" customHeight="1">
      <x:c r="A34" s="12" t="n">
        <x:v>45940</x:v>
      </x:c>
      <x:c r="B34" s="13" t="n">
        <x:v>45940.5625</x:v>
      </x:c>
      <x:c r="C34" s="9" t="n">
        <x:v>659.84</x:v>
      </x:c>
      <x:c r="D34" s="2" t="n">
        <x:v>0</x:v>
      </x:c>
      <x:c r="E34" s="2" t="n">
        <x:f>COUNT('Noise'!G385:G398)</x:f>
        <x:v>14</x:v>
      </x:c>
      <x:c r="F34" s="10" t="n">
        <x:f>AVERAGE('Noise'!G385:G398)</x:f>
        <x:v>0.0029994618243225834</x:v>
      </x:c>
      <x:c r="G34" s="9" t="n">
        <x:f>MAX('Volatility'!C9,'Volatility'!D9)*(1+F34)</x:f>
        <x:v>675.1891477162792</x:v>
      </x:c>
      <x:c r="H34" s="9" t="n">
        <x:f>MIN('Volatility'!C9,'Volatility'!D9)*(1-F34)</x:f>
        <x:v>669.1468812019876</x:v>
      </x:c>
      <x:c r="I34" s="9" t="n">
        <x:f>'VWAP'!I34</x:f>
        <x:v>663.657374489597</x:v>
      </x:c>
      <x:c r="J34" s="9" t="n">
        <x:f>MAX(G34,I34)</x:f>
        <x:v>675.1891477162792</x:v>
      </x:c>
      <x:c r="K34" s="9" t="n">
        <x:f>MIN(H34,I34)</x:f>
        <x:v>663.657374489597</x:v>
      </x:c>
      <x:c r="L34" s="2" t="n">
        <x:f>O33</x:f>
        <x:v>-1</x:v>
      </x:c>
      <x:c r="M34" s="2" t="n">
        <x:f>IF(C34&gt;G34,1,IF(C34&lt;H34,-1,0))</x:f>
        <x:v>-1</x:v>
      </x:c>
      <x:c r="N34" s="2" t="n">
        <x:f>IF(OR(AND(L34=1,C34&lt;J34),AND(L34=-1,C34&gt;K34)),1,0)</x:f>
        <x:v>0</x:v>
      </x:c>
      <x:c r="O34" s="2" t="n">
        <x:f>IF(D34=1,0,IF(L34=0,M34,IF(N34=1,IF(M34=-L34,M34,0),L34)))</x:f>
        <x:v>-1</x:v>
      </x:c>
      <x:c r="P34" s="2" t="str">
        <x:f>IF(O34=L34,IF(O34=0,"FLAT","HOLD"),IF(L34=0,"ENTRY",IF(O34=0,"EXIT","REVERSE")))</x:f>
        <x:v>HOLD</x:v>
      </x:c>
      <x:c r="Q34" s="2" t="n">
        <x:f>'Volatility'!J9</x:f>
        <x:v>604</x:v>
      </x:c>
      <x:c r="R34" s="2" t="n">
        <x:f>ABS(O34-L34)*Q34</x:f>
        <x:v>0</x:v>
      </x:c>
      <x:c r="S34" s="9" t="n">
        <x:f>L34*Q34*(C34-C33)</x:f>
        <x:v>-483.2000000000412</x:v>
      </x:c>
      <x:c r="T34" s="9" t="n">
        <x:f>R34*'Summary'!$B$20</x:f>
        <x:v>0</x:v>
      </x:c>
      <x:c r="U34" s="9" t="n">
        <x:f>R34*'Summary'!$B$21</x:f>
        <x:v>0</x:v>
      </x:c>
      <x:c r="V34" s="9" t="n">
        <x:f>S34-T34-U34</x:f>
        <x:v>-483.2000000000412</x:v>
      </x:c>
      <x:c r="W34" s="9" t="n">
        <x:f>W33+V34</x:f>
        <x:v>107062.738</x:v>
      </x:c>
      <x:c r="X34" s="2" t="str">
        <x:v>AV.Clean!B496</x:v>
      </x:c>
    </x:row>
    <x:row r="35" ht="22" customHeight="1">
      <x:c r="A35" s="12" t="n">
        <x:v>45940</x:v>
      </x:c>
      <x:c r="B35" s="13" t="n">
        <x:v>45940.583333333336</x:v>
      </x:c>
      <x:c r="C35" s="9" t="n">
        <x:v>659.64</x:v>
      </x:c>
      <x:c r="D35" s="2" t="n">
        <x:v>0</x:v>
      </x:c>
      <x:c r="E35" s="2" t="n">
        <x:f>COUNT('Noise'!G399:G412)</x:f>
        <x:v>14</x:v>
      </x:c>
      <x:c r="F35" s="10" t="n">
        <x:f>AVERAGE('Noise'!G399:G412)</x:f>
        <x:v>0.0030116363250112166</x:v>
      </x:c>
      <x:c r="G35" s="9" t="n">
        <x:f>MAX('Volatility'!C9,'Volatility'!D9)*(1+F35)</x:f>
        <x:v>675.1973432249077</x:v>
      </x:c>
      <x:c r="H35" s="9" t="n">
        <x:f>MIN('Volatility'!C9,'Volatility'!D9)*(1-F35)</x:f>
        <x:v>669.1387101641054</x:v>
      </x:c>
      <x:c r="I35" s="9" t="n">
        <x:f>'VWAP'!I35</x:f>
        <x:v>663.4504519122279</x:v>
      </x:c>
      <x:c r="J35" s="9" t="n">
        <x:f>MAX(G35,I35)</x:f>
        <x:v>675.1973432249077</x:v>
      </x:c>
      <x:c r="K35" s="9" t="n">
        <x:f>MIN(H35,I35)</x:f>
        <x:v>663.4504519122279</x:v>
      </x:c>
      <x:c r="L35" s="2" t="n">
        <x:f>O34</x:f>
        <x:v>-1</x:v>
      </x:c>
      <x:c r="M35" s="2" t="n">
        <x:f>IF(C35&gt;G35,1,IF(C35&lt;H35,-1,0))</x:f>
        <x:v>-1</x:v>
      </x:c>
      <x:c r="N35" s="2" t="n">
        <x:f>IF(OR(AND(L35=1,C35&lt;J35),AND(L35=-1,C35&gt;K35)),1,0)</x:f>
        <x:v>0</x:v>
      </x:c>
      <x:c r="O35" s="2" t="n">
        <x:f>IF(D35=1,0,IF(L35=0,M35,IF(N35=1,IF(M35=-L35,M35,0),L35)))</x:f>
        <x:v>-1</x:v>
      </x:c>
      <x:c r="P35" s="2" t="str">
        <x:f>IF(O35=L35,IF(O35=0,"FLAT","HOLD"),IF(L35=0,"ENTRY",IF(O35=0,"EXIT","REVERSE")))</x:f>
        <x:v>HOLD</x:v>
      </x:c>
      <x:c r="Q35" s="2" t="n">
        <x:f>'Volatility'!J9</x:f>
        <x:v>604</x:v>
      </x:c>
      <x:c r="R35" s="2" t="n">
        <x:f>ABS(O35-L35)*Q35</x:f>
        <x:v>0</x:v>
      </x:c>
      <x:c r="S35" s="9" t="n">
        <x:f>L35*Q35*(C35-C34)</x:f>
        <x:v>120.80000000002747</x:v>
      </x:c>
      <x:c r="T35" s="9" t="n">
        <x:f>R35*'Summary'!$B$20</x:f>
        <x:v>0</x:v>
      </x:c>
      <x:c r="U35" s="9" t="n">
        <x:f>R35*'Summary'!$B$21</x:f>
        <x:v>0</x:v>
      </x:c>
      <x:c r="V35" s="9" t="n">
        <x:f>S35-T35-U35</x:f>
        <x:v>120.80000000002747</x:v>
      </x:c>
      <x:c r="W35" s="9" t="n">
        <x:f>W34+V35</x:f>
        <x:v>107183.53800000003</x:v>
      </x:c>
      <x:c r="X35" s="2" t="str">
        <x:v>AV.Clean!B495</x:v>
      </x:c>
    </x:row>
    <x:row r="36" ht="22" customHeight="1">
      <x:c r="A36" s="12" t="n">
        <x:v>45940</x:v>
      </x:c>
      <x:c r="B36" s="13" t="n">
        <x:v>45940.604166666664</x:v>
      </x:c>
      <x:c r="C36" s="9" t="n">
        <x:v>659.11</x:v>
      </x:c>
      <x:c r="D36" s="2" t="n">
        <x:v>0</x:v>
      </x:c>
      <x:c r="E36" s="2" t="n">
        <x:f>COUNT('Noise'!G413:G426)</x:f>
        <x:v>14</x:v>
      </x:c>
      <x:c r="F36" s="10" t="n">
        <x:f>AVERAGE('Noise'!G413:G426)</x:f>
        <x:v>0.003044831990795186</x:v>
      </x:c>
      <x:c r="G36" s="9" t="n">
        <x:f>MAX('Volatility'!C9,'Volatility'!D9)*(1+F36)</x:f>
        <x:v>675.2196895512435</x:v>
      </x:c>
      <x:c r="H36" s="9" t="n">
        <x:f>MIN('Volatility'!C9,'Volatility'!D9)*(1-F36)</x:f>
        <x:v>669.1164305610579</x:v>
      </x:c>
      <x:c r="I36" s="9" t="n">
        <x:f>'VWAP'!I36</x:f>
        <x:v>663.2576103289528</x:v>
      </x:c>
      <x:c r="J36" s="9" t="n">
        <x:f>MAX(G36,I36)</x:f>
        <x:v>675.2196895512435</x:v>
      </x:c>
      <x:c r="K36" s="9" t="n">
        <x:f>MIN(H36,I36)</x:f>
        <x:v>663.2576103289528</x:v>
      </x:c>
      <x:c r="L36" s="2" t="n">
        <x:f>O35</x:f>
        <x:v>-1</x:v>
      </x:c>
      <x:c r="M36" s="2" t="n">
        <x:f>IF(C36&gt;G36,1,IF(C36&lt;H36,-1,0))</x:f>
        <x:v>-1</x:v>
      </x:c>
      <x:c r="N36" s="2" t="n">
        <x:f>IF(OR(AND(L36=1,C36&lt;J36),AND(L36=-1,C36&gt;K36)),1,0)</x:f>
        <x:v>0</x:v>
      </x:c>
      <x:c r="O36" s="2" t="n">
        <x:f>IF(D36=1,0,IF(L36=0,M36,IF(N36=1,IF(M36=-L36,M36,0),L36)))</x:f>
        <x:v>-1</x:v>
      </x:c>
      <x:c r="P36" s="2" t="str">
        <x:f>IF(O36=L36,IF(O36=0,"FLAT","HOLD"),IF(L36=0,"ENTRY",IF(O36=0,"EXIT","REVERSE")))</x:f>
        <x:v>HOLD</x:v>
      </x:c>
      <x:c r="Q36" s="2" t="n">
        <x:f>'Volatility'!J9</x:f>
        <x:v>604</x:v>
      </x:c>
      <x:c r="R36" s="2" t="n">
        <x:f>ABS(O36-L36)*Q36</x:f>
        <x:v>0</x:v>
      </x:c>
      <x:c r="S36" s="9" t="n">
        <x:f>L36*Q36*(C36-C35)</x:f>
        <x:v>320.1199999999835</x:v>
      </x:c>
      <x:c r="T36" s="9" t="n">
        <x:f>R36*'Summary'!$B$20</x:f>
        <x:v>0</x:v>
      </x:c>
      <x:c r="U36" s="9" t="n">
        <x:f>R36*'Summary'!$B$21</x:f>
        <x:v>0</x:v>
      </x:c>
      <x:c r="V36" s="9" t="n">
        <x:f>S36-T36-U36</x:f>
        <x:v>320.1199999999835</x:v>
      </x:c>
      <x:c r="W36" s="9" t="n">
        <x:f>W35+V36</x:f>
        <x:v>107503.65800000001</x:v>
      </x:c>
      <x:c r="X36" s="2" t="str">
        <x:v>AV.Clean!B494</x:v>
      </x:c>
    </x:row>
    <x:row r="37" ht="22" customHeight="1">
      <x:c r="A37" s="12" t="n">
        <x:v>45940</x:v>
      </x:c>
      <x:c r="B37" s="13" t="n">
        <x:v>45940.625</x:v>
      </x:c>
      <x:c r="C37" s="9" t="n">
        <x:v>657.215</x:v>
      </x:c>
      <x:c r="D37" s="2" t="n">
        <x:v>0</x:v>
      </x:c>
      <x:c r="E37" s="2" t="n">
        <x:f>COUNT('Noise'!G427:G440)</x:f>
        <x:v>14</x:v>
      </x:c>
      <x:c r="F37" s="10" t="n">
        <x:f>AVERAGE('Noise'!G427:G440)</x:f>
        <x:v>0.003179772956821544</x:v>
      </x:c>
      <x:c r="G37" s="9" t="n">
        <x:f>MAX('Volatility'!C9,'Volatility'!D9)*(1+F37)</x:f>
        <x:v>675.3105277613435</x:v>
      </x:c>
      <x:c r="H37" s="9" t="n">
        <x:f>MIN('Volatility'!C9,'Volatility'!D9)*(1-F37)</x:f>
        <x:v>669.0258635822996</x:v>
      </x:c>
      <x:c r="I37" s="9" t="n">
        <x:f>'VWAP'!I37</x:f>
        <x:v>662.9442724564274</x:v>
      </x:c>
      <x:c r="J37" s="9" t="n">
        <x:f>MAX(G37,I37)</x:f>
        <x:v>675.3105277613435</x:v>
      </x:c>
      <x:c r="K37" s="9" t="n">
        <x:f>MIN(H37,I37)</x:f>
        <x:v>662.9442724564274</x:v>
      </x:c>
      <x:c r="L37" s="2" t="n">
        <x:f>O36</x:f>
        <x:v>-1</x:v>
      </x:c>
      <x:c r="M37" s="2" t="n">
        <x:f>IF(C37&gt;G37,1,IF(C37&lt;H37,-1,0))</x:f>
        <x:v>-1</x:v>
      </x:c>
      <x:c r="N37" s="2" t="n">
        <x:f>IF(OR(AND(L37=1,C37&lt;J37),AND(L37=-1,C37&gt;K37)),1,0)</x:f>
        <x:v>0</x:v>
      </x:c>
      <x:c r="O37" s="2" t="n">
        <x:f>IF(D37=1,0,IF(L37=0,M37,IF(N37=1,IF(M37=-L37,M37,0),L37)))</x:f>
        <x:v>-1</x:v>
      </x:c>
      <x:c r="P37" s="2" t="str">
        <x:f>IF(O37=L37,IF(O37=0,"FLAT","HOLD"),IF(L37=0,"ENTRY",IF(O37=0,"EXIT","REVERSE")))</x:f>
        <x:v>HOLD</x:v>
      </x:c>
      <x:c r="Q37" s="2" t="n">
        <x:f>'Volatility'!J9</x:f>
        <x:v>604</x:v>
      </x:c>
      <x:c r="R37" s="2" t="n">
        <x:f>ABS(O37-L37)*Q37</x:f>
        <x:v>0</x:v>
      </x:c>
      <x:c r="S37" s="9" t="n">
        <x:f>L37*Q37*(C37-C36)</x:f>
        <x:v>1144.579999999989</x:v>
      </x:c>
      <x:c r="T37" s="9" t="n">
        <x:f>R37*'Summary'!$B$20</x:f>
        <x:v>0</x:v>
      </x:c>
      <x:c r="U37" s="9" t="n">
        <x:f>R37*'Summary'!$B$21</x:f>
        <x:v>0</x:v>
      </x:c>
      <x:c r="V37" s="9" t="n">
        <x:f>S37-T37-U37</x:f>
        <x:v>1144.579999999989</x:v>
      </x:c>
      <x:c r="W37" s="9" t="n">
        <x:f>W36+V37</x:f>
        <x:v>108648.238</x:v>
      </x:c>
      <x:c r="X37" s="2" t="str">
        <x:v>AV.Clean!B493</x:v>
      </x:c>
    </x:row>
    <x:row r="38" ht="22" customHeight="1">
      <x:c r="A38" s="12" t="n">
        <x:v>45940</x:v>
      </x:c>
      <x:c r="B38" s="13" t="n">
        <x:v>45940.645833333336</x:v>
      </x:c>
      <x:c r="C38" s="9" t="n">
        <x:v>656.12</x:v>
      </x:c>
      <x:c r="D38" s="2" t="n">
        <x:v>0</x:v>
      </x:c>
      <x:c r="E38" s="2" t="n">
        <x:f>COUNT('Noise'!G441:G454)</x:f>
        <x:v>14</x:v>
      </x:c>
      <x:c r="F38" s="10" t="n">
        <x:f>AVERAGE('Noise'!G441:G454)</x:f>
        <x:v>0.0034319291991726153</x:v>
      </x:c>
      <x:c r="G38" s="9" t="n">
        <x:f>MAX('Volatility'!C9,'Volatility'!D9)*(1+F38)</x:f>
        <x:v>675.480271779007</x:v>
      </x:c>
      <x:c r="H38" s="9" t="n">
        <x:f>MIN('Volatility'!C9,'Volatility'!D9)*(1-F38)</x:f>
        <x:v>668.8566263986833</x:v>
      </x:c>
      <x:c r="I38" s="9" t="n">
        <x:f>'VWAP'!I38</x:f>
        <x:v>662.5639571841683</x:v>
      </x:c>
      <x:c r="J38" s="9" t="n">
        <x:f>MAX(G38,I38)</x:f>
        <x:v>675.480271779007</x:v>
      </x:c>
      <x:c r="K38" s="9" t="n">
        <x:f>MIN(H38,I38)</x:f>
        <x:v>662.5639571841683</x:v>
      </x:c>
      <x:c r="L38" s="2" t="n">
        <x:f>O37</x:f>
        <x:v>-1</x:v>
      </x:c>
      <x:c r="M38" s="2" t="n">
        <x:f>IF(C38&gt;G38,1,IF(C38&lt;H38,-1,0))</x:f>
        <x:v>-1</x:v>
      </x:c>
      <x:c r="N38" s="2" t="n">
        <x:f>IF(OR(AND(L38=1,C38&lt;J38),AND(L38=-1,C38&gt;K38)),1,0)</x:f>
        <x:v>0</x:v>
      </x:c>
      <x:c r="O38" s="2" t="n">
        <x:f>IF(D38=1,0,IF(L38=0,M38,IF(N38=1,IF(M38=-L38,M38,0),L38)))</x:f>
        <x:v>-1</x:v>
      </x:c>
      <x:c r="P38" s="2" t="str">
        <x:f>IF(O38=L38,IF(O38=0,"FLAT","HOLD"),IF(L38=0,"ENTRY",IF(O38=0,"EXIT","REVERSE")))</x:f>
        <x:v>HOLD</x:v>
      </x:c>
      <x:c r="Q38" s="2" t="n">
        <x:f>'Volatility'!J9</x:f>
        <x:v>604</x:v>
      </x:c>
      <x:c r="R38" s="2" t="n">
        <x:f>ABS(O38-L38)*Q38</x:f>
        <x:v>0</x:v>
      </x:c>
      <x:c r="S38" s="9" t="n">
        <x:f>L38*Q38*(C38-C37)</x:f>
        <x:v>661.3800000000165</x:v>
      </x:c>
      <x:c r="T38" s="9" t="n">
        <x:f>R38*'Summary'!$B$20</x:f>
        <x:v>0</x:v>
      </x:c>
      <x:c r="U38" s="9" t="n">
        <x:f>R38*'Summary'!$B$21</x:f>
        <x:v>0</x:v>
      </x:c>
      <x:c r="V38" s="9" t="n">
        <x:f>S38-T38-U38</x:f>
        <x:v>661.3800000000165</x:v>
      </x:c>
      <x:c r="W38" s="9" t="n">
        <x:f>W37+V38</x:f>
        <x:v>109309.61800000002</x:v>
      </x:c>
      <x:c r="X38" s="2" t="str">
        <x:v>AV.Clean!B492</x:v>
      </x:c>
    </x:row>
    <x:row r="39" ht="22" customHeight="1">
      <x:c r="A39" s="12" t="n">
        <x:v>45940</x:v>
      </x:c>
      <x:c r="B39" s="13" t="n">
        <x:v>45940.666666666664</x:v>
      </x:c>
      <x:c r="C39" s="9" t="n">
        <x:v>653.02</x:v>
      </x:c>
      <x:c r="D39" s="2" t="n">
        <x:v>1</x:v>
      </x:c>
      <x:c r="E39" s="2" t="n">
        <x:f>COUNT('Noise'!G455:G468)</x:f>
        <x:v>14</x:v>
      </x:c>
      <x:c r="F39" s="10" t="n">
        <x:f>AVERAGE('Noise'!G455:G468)</x:f>
        <x:v>0.0031380438281612805</x:v>
      </x:c>
      <x:c r="G39" s="9" t="n">
        <x:f>MAX('Volatility'!C9,'Volatility'!D9)*(1+F39)</x:f>
        <x:v>675.2824369638032</x:v>
      </x:c>
      <x:c r="H39" s="9" t="n">
        <x:f>MIN('Volatility'!C9,'Volatility'!D9)*(1-F39)</x:f>
        <x:v>669.0538705042912</x:v>
      </x:c>
      <x:c r="I39" s="9" t="n">
        <x:f>'VWAP'!I39</x:f>
        <x:v>660.9321276441037</x:v>
      </x:c>
      <x:c r="J39" s="9" t="n">
        <x:f>MAX(G39,I39)</x:f>
        <x:v>675.2824369638032</x:v>
      </x:c>
      <x:c r="K39" s="9" t="n">
        <x:f>MIN(H39,I39)</x:f>
        <x:v>660.9321276441037</x:v>
      </x:c>
      <x:c r="L39" s="2" t="n">
        <x:f>O38</x:f>
        <x:v>-1</x:v>
      </x:c>
      <x:c r="M39" s="2" t="n">
        <x:f>IF(C39&gt;G39,1,IF(C39&lt;H39,-1,0))</x:f>
        <x:v>-1</x:v>
      </x:c>
      <x:c r="N39" s="2" t="n">
        <x:f>IF(OR(AND(L39=1,C39&lt;J39),AND(L39=-1,C39&gt;K39)),1,0)</x:f>
        <x:v>0</x:v>
      </x:c>
      <x:c r="O39" s="2" t="n">
        <x:f>IF(D39=1,0,IF(L39=0,M39,IF(N39=1,IF(M39=-L39,M39,0),L39)))</x:f>
        <x:v>0</x:v>
      </x:c>
      <x:c r="P39" s="2" t="str">
        <x:f>IF(O39=L39,IF(O39=0,"FLAT","HOLD"),IF(L39=0,"ENTRY",IF(O39=0,"EXIT","REVERSE")))</x:f>
        <x:v>EXIT</x:v>
      </x:c>
      <x:c r="Q39" s="2" t="n">
        <x:f>'Volatility'!J9</x:f>
        <x:v>604</x:v>
      </x:c>
      <x:c r="R39" s="2" t="n">
        <x:f>ABS(O39-L39)*Q39</x:f>
        <x:v>604</x:v>
      </x:c>
      <x:c r="S39" s="9" t="n">
        <x:f>L39*Q39*(C39-C38)</x:f>
        <x:v>1872.4000000000137</x:v>
      </x:c>
      <x:c r="T39" s="9" t="n">
        <x:f>R39*'Summary'!$B$20</x:f>
        <x:v>2.114</x:v>
      </x:c>
      <x:c r="U39" s="9" t="n">
        <x:f>R39*'Summary'!$B$21</x:f>
        <x:v>0.604</x:v>
      </x:c>
      <x:c r="V39" s="9" t="n">
        <x:f>S39-T39-U39</x:f>
        <x:v>1869.6820000000137</x:v>
      </x:c>
      <x:c r="W39" s="9" t="n">
        <x:f>W38+V39</x:f>
        <x:v>111179.30000000003</x:v>
      </x:c>
      <x:c r="X39" s="2" t="str">
        <x:v>AV.Clean!B490</x:v>
      </x:c>
    </x:row>
    <x:row r="40" ht="22" customHeight="1">
      <x:c r="A40" s="12" t="n">
        <x:v>45982</x:v>
      </x:c>
      <x:c r="B40" s="13" t="n">
        <x:v>45982.416666666664</x:v>
      </x:c>
      <x:c r="C40" s="9" t="n">
        <x:v>654.83</x:v>
      </x:c>
      <x:c r="D40" s="2" t="n">
        <x:v>0</x:v>
      </x:c>
      <x:c r="E40" s="2" t="n">
        <x:f>COUNT('Noise'!G469:G482)</x:f>
        <x:v>14</x:v>
      </x:c>
      <x:c r="F40" s="10" t="n">
        <x:f>AVERAGE('Noise'!G469:G482)</x:f>
        <x:v>0</x:v>
      </x:c>
      <x:c r="G40" s="9" t="n">
        <x:f>MAX('Volatility'!C10,'Volatility'!D10)*(1+F40)</x:f>
        <x:v>654.83</x:v>
      </x:c>
      <x:c r="H40" s="9" t="n">
        <x:f>MIN('Volatility'!C10,'Volatility'!D10)*(1-F40)</x:f>
        <x:v>652.53</x:v>
      </x:c>
      <x:c r="I40" s="9" t="n">
        <x:f>'VWAP'!I40</x:f>
        <x:v>654.83</x:v>
      </x:c>
      <x:c r="J40" s="9" t="n">
        <x:f>MAX(G40,I40)</x:f>
        <x:v>654.83</x:v>
      </x:c>
      <x:c r="K40" s="9" t="n">
        <x:f>MIN(H40,I40)</x:f>
        <x:v>652.53</x:v>
      </x:c>
      <x:c r="L40" s="2" t="n">
        <x:f>0</x:f>
        <x:v>0</x:v>
      </x:c>
      <x:c r="M40" s="2" t="n">
        <x:f>IF(C40&gt;G40,1,IF(C40&lt;H40,-1,0))</x:f>
        <x:v>0</x:v>
      </x:c>
      <x:c r="N40" s="2" t="n">
        <x:f>IF(OR(AND(L40=1,C40&lt;J40),AND(L40=-1,C40&gt;K40)),1,0)</x:f>
        <x:v>0</x:v>
      </x:c>
      <x:c r="O40" s="2" t="n">
        <x:f>0</x:f>
        <x:v>0</x:v>
      </x:c>
      <x:c r="P40" s="2" t="str">
        <x:f>IF(O40=L40,IF(O40=0,"FLAT","HOLD"),IF(L40=0,"ENTRY",IF(O40=0,"EXIT","REVERSE")))</x:f>
        <x:v>FLAT</x:v>
      </x:c>
      <x:c r="Q40" s="2" t="n">
        <x:f>'Volatility'!J10</x:f>
        <x:v>378</x:v>
      </x:c>
      <x:c r="R40" s="2" t="n">
        <x:f>ABS(O40-L40)*Q40</x:f>
        <x:v>0</x:v>
      </x:c>
      <x:c r="S40" s="9" t="n">
        <x:f>0</x:f>
        <x:v>0</x:v>
      </x:c>
      <x:c r="T40" s="9" t="n">
        <x:f>R40*'Summary'!$B$20</x:f>
        <x:v>0</x:v>
      </x:c>
      <x:c r="U40" s="9" t="n">
        <x:f>R40*'Summary'!$B$21</x:f>
        <x:v>0</x:v>
      </x:c>
      <x:c r="V40" s="9" t="n">
        <x:f>S40-T40-U40</x:f>
        <x:v>0</x:v>
      </x:c>
      <x:c r="W40" s="9" t="n">
        <x:f>'Volatility'!B10+V40</x:f>
        <x:v>112150.37900000006</x:v>
      </x:c>
      <x:c r="X40" s="2" t="str">
        <x:v>AV.Clean!B83</x:v>
      </x:c>
    </x:row>
    <x:row r="41" ht="22" customHeight="1">
      <x:c r="A41" s="12" t="n">
        <x:v>45982</x:v>
      </x:c>
      <x:c r="B41" s="13" t="n">
        <x:v>45982.4375</x:v>
      </x:c>
      <x:c r="C41" s="9" t="n">
        <x:v>652.96</x:v>
      </x:c>
      <x:c r="D41" s="2" t="n">
        <x:v>0</x:v>
      </x:c>
      <x:c r="E41" s="2" t="n">
        <x:f>COUNT('Noise'!G483:G496)</x:f>
        <x:v>14</x:v>
      </x:c>
      <x:c r="F41" s="10" t="n">
        <x:f>AVERAGE('Noise'!G483:G496)</x:f>
        <x:v>0.0009485241476092564</x:v>
      </x:c>
      <x:c r="G41" s="9" t="n">
        <x:f>MAX('Volatility'!C10,'Volatility'!D10)*(1+F41)</x:f>
        <x:v>655.451122067579</x:v>
      </x:c>
      <x:c r="H41" s="9" t="n">
        <x:f>MIN('Volatility'!C10,'Volatility'!D10)*(1-F41)</x:f>
        <x:v>651.9110595379605</x:v>
      </x:c>
      <x:c r="I41" s="9" t="n">
        <x:f>'VWAP'!I41</x:f>
        <x:v>654.0144664291291</x:v>
      </x:c>
      <x:c r="J41" s="9" t="n">
        <x:f>MAX(G41,I41)</x:f>
        <x:v>655.451122067579</x:v>
      </x:c>
      <x:c r="K41" s="9" t="n">
        <x:f>MIN(H41,I41)</x:f>
        <x:v>651.9110595379605</x:v>
      </x:c>
      <x:c r="L41" s="2" t="n">
        <x:f>O40</x:f>
        <x:v>0</x:v>
      </x:c>
      <x:c r="M41" s="2" t="n">
        <x:f>IF(C41&gt;G41,1,IF(C41&lt;H41,-1,0))</x:f>
        <x:v>0</x:v>
      </x:c>
      <x:c r="N41" s="2" t="n">
        <x:f>IF(OR(AND(L41=1,C41&lt;J41),AND(L41=-1,C41&gt;K41)),1,0)</x:f>
        <x:v>0</x:v>
      </x:c>
      <x:c r="O41" s="2" t="n">
        <x:f>IF(D41=1,0,IF(L41=0,M41,IF(N41=1,IF(M41=-L41,M41,0),L41)))</x:f>
        <x:v>0</x:v>
      </x:c>
      <x:c r="P41" s="2" t="str">
        <x:f>IF(O41=L41,IF(O41=0,"FLAT","HOLD"),IF(L41=0,"ENTRY",IF(O41=0,"EXIT","REVERSE")))</x:f>
        <x:v>FLAT</x:v>
      </x:c>
      <x:c r="Q41" s="2" t="n">
        <x:f>'Volatility'!J10</x:f>
        <x:v>378</x:v>
      </x:c>
      <x:c r="R41" s="2" t="n">
        <x:f>ABS(O41-L41)*Q41</x:f>
        <x:v>0</x:v>
      </x:c>
      <x:c r="S41" s="9" t="n">
        <x:f>L41*Q41*(C41-C40)</x:f>
        <x:v>0</x:v>
      </x:c>
      <x:c r="T41" s="9" t="n">
        <x:f>R41*'Summary'!$B$20</x:f>
        <x:v>0</x:v>
      </x:c>
      <x:c r="U41" s="9" t="n">
        <x:f>R41*'Summary'!$B$21</x:f>
        <x:v>0</x:v>
      </x:c>
      <x:c r="V41" s="9" t="n">
        <x:f>S41-T41-U41</x:f>
        <x:v>0</x:v>
      </x:c>
      <x:c r="W41" s="9" t="n">
        <x:f>W40+V41</x:f>
        <x:v>112150.37900000006</x:v>
      </x:c>
      <x:c r="X41" s="2" t="str">
        <x:v>AV.Clean!B82</x:v>
      </x:c>
    </x:row>
    <x:row r="42" ht="22" customHeight="1">
      <x:c r="A42" s="12" t="n">
        <x:v>45982</x:v>
      </x:c>
      <x:c r="B42" s="13" t="n">
        <x:v>45982.458333333336</x:v>
      </x:c>
      <x:c r="C42" s="9" t="n">
        <x:v>653.01</x:v>
      </x:c>
      <x:c r="D42" s="2" t="n">
        <x:v>0</x:v>
      </x:c>
      <x:c r="E42" s="2" t="n">
        <x:f>COUNT('Noise'!G497:G510)</x:f>
        <x:v>14</x:v>
      </x:c>
      <x:c r="F42" s="10" t="n">
        <x:f>AVERAGE('Noise'!G497:G510)</x:f>
        <x:v>0.0029486345153653193</x:v>
      </x:c>
      <x:c r="G42" s="9" t="n">
        <x:f>MAX('Volatility'!C10,'Volatility'!D10)*(1+F42)</x:f>
        <x:v>656.7608543396967</x:v>
      </x:c>
      <x:c r="H42" s="9" t="n">
        <x:f>MIN('Volatility'!C10,'Volatility'!D10)*(1-F42)</x:f>
        <x:v>650.6059275196886</x:v>
      </x:c>
      <x:c r="I42" s="9" t="n">
        <x:f>'VWAP'!I42</x:f>
        <x:v>653.7398732147954</x:v>
      </x:c>
      <x:c r="J42" s="9" t="n">
        <x:f>MAX(G42,I42)</x:f>
        <x:v>656.7608543396967</x:v>
      </x:c>
      <x:c r="K42" s="9" t="n">
        <x:f>MIN(H42,I42)</x:f>
        <x:v>650.6059275196886</x:v>
      </x:c>
      <x:c r="L42" s="2" t="n">
        <x:f>O41</x:f>
        <x:v>0</x:v>
      </x:c>
      <x:c r="M42" s="2" t="n">
        <x:f>IF(C42&gt;G42,1,IF(C42&lt;H42,-1,0))</x:f>
        <x:v>0</x:v>
      </x:c>
      <x:c r="N42" s="2" t="n">
        <x:f>IF(OR(AND(L42=1,C42&lt;J42),AND(L42=-1,C42&gt;K42)),1,0)</x:f>
        <x:v>0</x:v>
      </x:c>
      <x:c r="O42" s="2" t="n">
        <x:f>IF(D42=1,0,IF(L42=0,M42,IF(N42=1,IF(M42=-L42,M42,0),L42)))</x:f>
        <x:v>0</x:v>
      </x:c>
      <x:c r="P42" s="2" t="str">
        <x:f>IF(O42=L42,IF(O42=0,"FLAT","HOLD"),IF(L42=0,"ENTRY",IF(O42=0,"EXIT","REVERSE")))</x:f>
        <x:v>FLAT</x:v>
      </x:c>
      <x:c r="Q42" s="2" t="n">
        <x:f>'Volatility'!J10</x:f>
        <x:v>378</x:v>
      </x:c>
      <x:c r="R42" s="2" t="n">
        <x:f>ABS(O42-L42)*Q42</x:f>
        <x:v>0</x:v>
      </x:c>
      <x:c r="S42" s="9" t="n">
        <x:f>L42*Q42*(C42-C41)</x:f>
        <x:v>0</x:v>
      </x:c>
      <x:c r="T42" s="9" t="n">
        <x:f>R42*'Summary'!$B$20</x:f>
        <x:v>0</x:v>
      </x:c>
      <x:c r="U42" s="9" t="n">
        <x:f>R42*'Summary'!$B$21</x:f>
        <x:v>0</x:v>
      </x:c>
      <x:c r="V42" s="9" t="n">
        <x:f>S42-T42-U42</x:f>
        <x:v>0</x:v>
      </x:c>
      <x:c r="W42" s="9" t="n">
        <x:f>W41+V42</x:f>
        <x:v>112150.37900000006</x:v>
      </x:c>
      <x:c r="X42" s="2" t="str">
        <x:v>AV.Clean!B81</x:v>
      </x:c>
    </x:row>
    <x:row r="43" ht="22" customHeight="1">
      <x:c r="A43" s="12" t="n">
        <x:v>45982</x:v>
      </x:c>
      <x:c r="B43" s="13" t="n">
        <x:v>45982.479166666664</x:v>
      </x:c>
      <x:c r="C43" s="9" t="n">
        <x:v>655.875</x:v>
      </x:c>
      <x:c r="D43" s="2" t="n">
        <x:v>0</x:v>
      </x:c>
      <x:c r="E43" s="2" t="n">
        <x:f>COUNT('Noise'!G511:G524)</x:f>
        <x:v>14</x:v>
      </x:c>
      <x:c r="F43" s="10" t="n">
        <x:f>AVERAGE('Noise'!G511:G524)</x:f>
        <x:v>0.00420119141282422</x:v>
      </x:c>
      <x:c r="G43" s="9" t="n">
        <x:f>MAX('Volatility'!C10,'Volatility'!D10)*(1+F43)</x:f>
        <x:v>657.5810661728597</x:v>
      </x:c>
      <x:c r="H43" s="9" t="n">
        <x:f>MIN('Volatility'!C10,'Volatility'!D10)*(1-F43)</x:f>
        <x:v>649.7885965673897</x:v>
      </x:c>
      <x:c r="I43" s="9" t="n">
        <x:f>'VWAP'!I43</x:f>
        <x:v>654.0637181352993</x:v>
      </x:c>
      <x:c r="J43" s="9" t="n">
        <x:f>MAX(G43,I43)</x:f>
        <x:v>657.5810661728597</x:v>
      </x:c>
      <x:c r="K43" s="9" t="n">
        <x:f>MIN(H43,I43)</x:f>
        <x:v>649.7885965673897</x:v>
      </x:c>
      <x:c r="L43" s="2" t="n">
        <x:f>O42</x:f>
        <x:v>0</x:v>
      </x:c>
      <x:c r="M43" s="2" t="n">
        <x:f>IF(C43&gt;G43,1,IF(C43&lt;H43,-1,0))</x:f>
        <x:v>0</x:v>
      </x:c>
      <x:c r="N43" s="2" t="n">
        <x:f>IF(OR(AND(L43=1,C43&lt;J43),AND(L43=-1,C43&gt;K43)),1,0)</x:f>
        <x:v>0</x:v>
      </x:c>
      <x:c r="O43" s="2" t="n">
        <x:f>IF(D43=1,0,IF(L43=0,M43,IF(N43=1,IF(M43=-L43,M43,0),L43)))</x:f>
        <x:v>0</x:v>
      </x:c>
      <x:c r="P43" s="2" t="str">
        <x:f>IF(O43=L43,IF(O43=0,"FLAT","HOLD"),IF(L43=0,"ENTRY",IF(O43=0,"EXIT","REVERSE")))</x:f>
        <x:v>FLAT</x:v>
      </x:c>
      <x:c r="Q43" s="2" t="n">
        <x:f>'Volatility'!J10</x:f>
        <x:v>378</x:v>
      </x:c>
      <x:c r="R43" s="2" t="n">
        <x:f>ABS(O43-L43)*Q43</x:f>
        <x:v>0</x:v>
      </x:c>
      <x:c r="S43" s="9" t="n">
        <x:f>L43*Q43*(C43-C42)</x:f>
        <x:v>0</x:v>
      </x:c>
      <x:c r="T43" s="9" t="n">
        <x:f>R43*'Summary'!$B$20</x:f>
        <x:v>0</x:v>
      </x:c>
      <x:c r="U43" s="9" t="n">
        <x:f>R43*'Summary'!$B$21</x:f>
        <x:v>0</x:v>
      </x:c>
      <x:c r="V43" s="9" t="n">
        <x:f>S43-T43-U43</x:f>
        <x:v>0</x:v>
      </x:c>
      <x:c r="W43" s="9" t="n">
        <x:f>W42+V43</x:f>
        <x:v>112150.37900000006</x:v>
      </x:c>
      <x:c r="X43" s="2" t="str">
        <x:v>AV.Clean!B80</x:v>
      </x:c>
    </x:row>
    <x:row r="44" ht="22" customHeight="1">
      <x:c r="A44" s="12" t="n">
        <x:v>45982</x:v>
      </x:c>
      <x:c r="B44" s="13" t="n">
        <x:v>45982.5</x:v>
      </x:c>
      <x:c r="C44" s="9" t="n">
        <x:v>660.82</x:v>
      </x:c>
      <x:c r="D44" s="2" t="n">
        <x:v>0</x:v>
      </x:c>
      <x:c r="E44" s="2" t="n">
        <x:f>COUNT('Noise'!G525:G538)</x:f>
        <x:v>14</x:v>
      </x:c>
      <x:c r="F44" s="10" t="n">
        <x:f>AVERAGE('Noise'!G525:G538)</x:f>
        <x:v>0.005136439612066612</x:v>
      </x:c>
      <x:c r="G44" s="9" t="n">
        <x:f>MAX('Volatility'!C10,'Volatility'!D10)*(1+F44)</x:f>
        <x:v>658.1934947511696</x:v>
      </x:c>
      <x:c r="H44" s="9" t="n">
        <x:f>MIN('Volatility'!C10,'Volatility'!D10)*(1-F44)</x:f>
        <x:v>649.1783190599382</x:v>
      </x:c>
      <x:c r="I44" s="9" t="n">
        <x:f>'VWAP'!I44</x:f>
        <x:v>655.2402900023995</x:v>
      </x:c>
      <x:c r="J44" s="9" t="n">
        <x:f>MAX(G44,I44)</x:f>
        <x:v>658.1934947511696</x:v>
      </x:c>
      <x:c r="K44" s="9" t="n">
        <x:f>MIN(H44,I44)</x:f>
        <x:v>649.1783190599382</x:v>
      </x:c>
      <x:c r="L44" s="2" t="n">
        <x:f>O43</x:f>
        <x:v>0</x:v>
      </x:c>
      <x:c r="M44" s="2" t="n">
        <x:f>IF(C44&gt;G44,1,IF(C44&lt;H44,-1,0))</x:f>
        <x:v>1</x:v>
      </x:c>
      <x:c r="N44" s="2" t="n">
        <x:f>IF(OR(AND(L44=1,C44&lt;J44),AND(L44=-1,C44&gt;K44)),1,0)</x:f>
        <x:v>0</x:v>
      </x:c>
      <x:c r="O44" s="2" t="n">
        <x:f>IF(D44=1,0,IF(L44=0,M44,IF(N44=1,IF(M44=-L44,M44,0),L44)))</x:f>
        <x:v>1</x:v>
      </x:c>
      <x:c r="P44" s="2" t="str">
        <x:f>IF(O44=L44,IF(O44=0,"FLAT","HOLD"),IF(L44=0,"ENTRY",IF(O44=0,"EXIT","REVERSE")))</x:f>
        <x:v>ENTRY</x:v>
      </x:c>
      <x:c r="Q44" s="2" t="n">
        <x:f>'Volatility'!J10</x:f>
        <x:v>378</x:v>
      </x:c>
      <x:c r="R44" s="2" t="n">
        <x:f>ABS(O44-L44)*Q44</x:f>
        <x:v>378</x:v>
      </x:c>
      <x:c r="S44" s="9" t="n">
        <x:f>L44*Q44*(C44-C43)</x:f>
        <x:v>0</x:v>
      </x:c>
      <x:c r="T44" s="9" t="n">
        <x:f>R44*'Summary'!$B$20</x:f>
        <x:v>1.323</x:v>
      </x:c>
      <x:c r="U44" s="9" t="n">
        <x:f>R44*'Summary'!$B$21</x:f>
        <x:v>0.378</x:v>
      </x:c>
      <x:c r="V44" s="9" t="n">
        <x:f>S44-T44-U44</x:f>
        <x:v>-1.701</x:v>
      </x:c>
      <x:c r="W44" s="9" t="n">
        <x:f>W43+V44</x:f>
        <x:v>112148.67800000006</x:v>
      </x:c>
      <x:c r="X44" s="2" t="str">
        <x:v>AV.Clean!B79</x:v>
      </x:c>
    </x:row>
    <x:row r="45" ht="22" customHeight="1">
      <x:c r="A45" s="12" t="n">
        <x:v>45982</x:v>
      </x:c>
      <x:c r="B45" s="13" t="n">
        <x:v>45982.520833333336</x:v>
      </x:c>
      <x:c r="C45" s="9" t="n">
        <x:v>660.52</x:v>
      </x:c>
      <x:c r="D45" s="2" t="n">
        <x:v>0</x:v>
      </x:c>
      <x:c r="E45" s="2" t="n">
        <x:f>COUNT('Noise'!G539:G552)</x:f>
        <x:v>14</x:v>
      </x:c>
      <x:c r="F45" s="10" t="n">
        <x:f>AVERAGE('Noise'!G539:G552)</x:f>
        <x:v>0.0048496890281385695</x:v>
      </x:c>
      <x:c r="G45" s="9" t="n">
        <x:f>MAX('Volatility'!C10,'Volatility'!D10)*(1+F45)</x:f>
        <x:v>658.0057218662961</x:v>
      </x:c>
      <x:c r="H45" s="9" t="n">
        <x:f>MIN('Volatility'!C10,'Volatility'!D10)*(1-F45)</x:f>
        <x:v>649.3654324184687</x:v>
      </x:c>
      <x:c r="I45" s="9" t="n">
        <x:f>'VWAP'!I45</x:f>
        <x:v>655.9595166765857</x:v>
      </x:c>
      <x:c r="J45" s="9" t="n">
        <x:f>MAX(G45,I45)</x:f>
        <x:v>658.0057218662961</x:v>
      </x:c>
      <x:c r="K45" s="9" t="n">
        <x:f>MIN(H45,I45)</x:f>
        <x:v>649.3654324184687</x:v>
      </x:c>
      <x:c r="L45" s="2" t="n">
        <x:f>O44</x:f>
        <x:v>1</x:v>
      </x:c>
      <x:c r="M45" s="2" t="n">
        <x:f>IF(C45&gt;G45,1,IF(C45&lt;H45,-1,0))</x:f>
        <x:v>1</x:v>
      </x:c>
      <x:c r="N45" s="2" t="n">
        <x:f>IF(OR(AND(L45=1,C45&lt;J45),AND(L45=-1,C45&gt;K45)),1,0)</x:f>
        <x:v>0</x:v>
      </x:c>
      <x:c r="O45" s="2" t="n">
        <x:f>IF(D45=1,0,IF(L45=0,M45,IF(N45=1,IF(M45=-L45,M45,0),L45)))</x:f>
        <x:v>1</x:v>
      </x:c>
      <x:c r="P45" s="2" t="str">
        <x:f>IF(O45=L45,IF(O45=0,"FLAT","HOLD"),IF(L45=0,"ENTRY",IF(O45=0,"EXIT","REVERSE")))</x:f>
        <x:v>HOLD</x:v>
      </x:c>
      <x:c r="Q45" s="2" t="n">
        <x:f>'Volatility'!J10</x:f>
        <x:v>378</x:v>
      </x:c>
      <x:c r="R45" s="2" t="n">
        <x:f>ABS(O45-L45)*Q45</x:f>
        <x:v>0</x:v>
      </x:c>
      <x:c r="S45" s="9" t="n">
        <x:f>L45*Q45*(C45-C44)</x:f>
        <x:v>-113.40000000002578</x:v>
      </x:c>
      <x:c r="T45" s="9" t="n">
        <x:f>R45*'Summary'!$B$20</x:f>
        <x:v>0</x:v>
      </x:c>
      <x:c r="U45" s="9" t="n">
        <x:f>R45*'Summary'!$B$21</x:f>
        <x:v>0</x:v>
      </x:c>
      <x:c r="V45" s="9" t="n">
        <x:f>S45-T45-U45</x:f>
        <x:v>-113.40000000002578</x:v>
      </x:c>
      <x:c r="W45" s="9" t="n">
        <x:f>W44+V45</x:f>
        <x:v>112035.27800000003</x:v>
      </x:c>
      <x:c r="X45" s="2" t="str">
        <x:v>AV.Clean!B78</x:v>
      </x:c>
    </x:row>
    <x:row r="46" ht="22" customHeight="1">
      <x:c r="A46" s="12" t="n">
        <x:v>45982</x:v>
      </x:c>
      <x:c r="B46" s="13" t="n">
        <x:v>45982.541666666664</x:v>
      </x:c>
      <x:c r="C46" s="9" t="n">
        <x:v>660.23</x:v>
      </x:c>
      <x:c r="D46" s="2" t="n">
        <x:v>0</x:v>
      </x:c>
      <x:c r="E46" s="2" t="n">
        <x:f>COUNT('Noise'!G553:G566)</x:f>
        <x:v>14</x:v>
      </x:c>
      <x:c r="F46" s="10" t="n">
        <x:f>AVERAGE('Noise'!G553:G566)</x:f>
        <x:v>0.00597398640160591</x:v>
      </x:c>
      <x:c r="G46" s="9" t="n">
        <x:f>MAX('Volatility'!C10,'Volatility'!D10)*(1+F46)</x:f>
        <x:v>658.7419455153637</x:v>
      </x:c>
      <x:c r="H46" s="9" t="n">
        <x:f>MIN('Volatility'!C10,'Volatility'!D10)*(1-F46)</x:f>
        <x:v>648.6317946533601</x:v>
      </x:c>
      <x:c r="I46" s="9" t="n">
        <x:f>'VWAP'!I46</x:f>
        <x:v>656.2845757656175</x:v>
      </x:c>
      <x:c r="J46" s="9" t="n">
        <x:f>MAX(G46,I46)</x:f>
        <x:v>658.7419455153637</x:v>
      </x:c>
      <x:c r="K46" s="9" t="n">
        <x:f>MIN(H46,I46)</x:f>
        <x:v>648.6317946533601</x:v>
      </x:c>
      <x:c r="L46" s="2" t="n">
        <x:f>O45</x:f>
        <x:v>1</x:v>
      </x:c>
      <x:c r="M46" s="2" t="n">
        <x:f>IF(C46&gt;G46,1,IF(C46&lt;H46,-1,0))</x:f>
        <x:v>1</x:v>
      </x:c>
      <x:c r="N46" s="2" t="n">
        <x:f>IF(OR(AND(L46=1,C46&lt;J46),AND(L46=-1,C46&gt;K46)),1,0)</x:f>
        <x:v>0</x:v>
      </x:c>
      <x:c r="O46" s="2" t="n">
        <x:f>IF(D46=1,0,IF(L46=0,M46,IF(N46=1,IF(M46=-L46,M46,0),L46)))</x:f>
        <x:v>1</x:v>
      </x:c>
      <x:c r="P46" s="2" t="str">
        <x:f>IF(O46=L46,IF(O46=0,"FLAT","HOLD"),IF(L46=0,"ENTRY",IF(O46=0,"EXIT","REVERSE")))</x:f>
        <x:v>HOLD</x:v>
      </x:c>
      <x:c r="Q46" s="2" t="n">
        <x:f>'Volatility'!J10</x:f>
        <x:v>378</x:v>
      </x:c>
      <x:c r="R46" s="2" t="n">
        <x:f>ABS(O46-L46)*Q46</x:f>
        <x:v>0</x:v>
      </x:c>
      <x:c r="S46" s="9" t="n">
        <x:f>L46*Q46*(C46-C45)</x:f>
        <x:v>-109.61999999998625</x:v>
      </x:c>
      <x:c r="T46" s="9" t="n">
        <x:f>R46*'Summary'!$B$20</x:f>
        <x:v>0</x:v>
      </x:c>
      <x:c r="U46" s="9" t="n">
        <x:f>R46*'Summary'!$B$21</x:f>
        <x:v>0</x:v>
      </x:c>
      <x:c r="V46" s="9" t="n">
        <x:f>S46-T46-U46</x:f>
        <x:v>-109.61999999998625</x:v>
      </x:c>
      <x:c r="W46" s="9" t="n">
        <x:f>W45+V46</x:f>
        <x:v>111925.65800000005</x:v>
      </x:c>
      <x:c r="X46" s="2" t="str">
        <x:v>AV.Clean!B77</x:v>
      </x:c>
    </x:row>
    <x:row r="47" ht="22" customHeight="1">
      <x:c r="A47" s="12" t="n">
        <x:v>45982</x:v>
      </x:c>
      <x:c r="B47" s="13" t="n">
        <x:v>45982.5625</x:v>
      </x:c>
      <x:c r="C47" s="9" t="n">
        <x:v>658.13</x:v>
      </x:c>
      <x:c r="D47" s="2" t="n">
        <x:v>0</x:v>
      </x:c>
      <x:c r="E47" s="2" t="n">
        <x:f>COUNT('Noise'!G567:G580)</x:f>
        <x:v>14</x:v>
      </x:c>
      <x:c r="F47" s="10" t="n">
        <x:f>AVERAGE('Noise'!G567:G580)</x:f>
        <x:v>0.005879602190138167</x:v>
      </x:c>
      <x:c r="G47" s="9" t="n">
        <x:f>MAX('Volatility'!C10,'Volatility'!D10)*(1+F47)</x:f>
        <x:v>658.6801399021682</x:v>
      </x:c>
      <x:c r="H47" s="9" t="n">
        <x:f>MIN('Volatility'!C10,'Volatility'!D10)*(1-F47)</x:f>
        <x:v>648.6933831828691</x:v>
      </x:c>
      <x:c r="I47" s="9" t="n">
        <x:f>'VWAP'!I47</x:f>
        <x:v>656.4470797520055</x:v>
      </x:c>
      <x:c r="J47" s="9" t="n">
        <x:f>MAX(G47,I47)</x:f>
        <x:v>658.6801399021682</x:v>
      </x:c>
      <x:c r="K47" s="9" t="n">
        <x:f>MIN(H47,I47)</x:f>
        <x:v>648.6933831828691</x:v>
      </x:c>
      <x:c r="L47" s="2" t="n">
        <x:f>O46</x:f>
        <x:v>1</x:v>
      </x:c>
      <x:c r="M47" s="2" t="n">
        <x:f>IF(C47&gt;G47,1,IF(C47&lt;H47,-1,0))</x:f>
        <x:v>0</x:v>
      </x:c>
      <x:c r="N47" s="2" t="n">
        <x:f>IF(OR(AND(L47=1,C47&lt;J47),AND(L47=-1,C47&gt;K47)),1,0)</x:f>
        <x:v>1</x:v>
      </x:c>
      <x:c r="O47" s="2" t="n">
        <x:f>IF(D47=1,0,IF(L47=0,M47,IF(N47=1,IF(M47=-L47,M47,0),L47)))</x:f>
        <x:v>0</x:v>
      </x:c>
      <x:c r="P47" s="2" t="str">
        <x:f>IF(O47=L47,IF(O47=0,"FLAT","HOLD"),IF(L47=0,"ENTRY",IF(O47=0,"EXIT","REVERSE")))</x:f>
        <x:v>EXIT</x:v>
      </x:c>
      <x:c r="Q47" s="2" t="n">
        <x:f>'Volatility'!J10</x:f>
        <x:v>378</x:v>
      </x:c>
      <x:c r="R47" s="2" t="n">
        <x:f>ABS(O47-L47)*Q47</x:f>
        <x:v>378</x:v>
      </x:c>
      <x:c r="S47" s="9" t="n">
        <x:f>L47*Q47*(C47-C46)</x:f>
        <x:v>-793.8000000000086</x:v>
      </x:c>
      <x:c r="T47" s="9" t="n">
        <x:f>R47*'Summary'!$B$20</x:f>
        <x:v>1.323</x:v>
      </x:c>
      <x:c r="U47" s="9" t="n">
        <x:f>R47*'Summary'!$B$21</x:f>
        <x:v>0.378</x:v>
      </x:c>
      <x:c r="V47" s="9" t="n">
        <x:f>S47-T47-U47</x:f>
        <x:v>-795.5010000000086</x:v>
      </x:c>
      <x:c r="W47" s="9" t="n">
        <x:f>W46+V47</x:f>
        <x:v>111130.15700000005</x:v>
      </x:c>
      <x:c r="X47" s="2" t="str">
        <x:v>AV.Clean!B76</x:v>
      </x:c>
    </x:row>
    <x:row r="48" ht="22" customHeight="1">
      <x:c r="A48" s="12" t="n">
        <x:v>45982</x:v>
      </x:c>
      <x:c r="B48" s="13" t="n">
        <x:v>45982.583333333336</x:v>
      </x:c>
      <x:c r="C48" s="9" t="n">
        <x:v>662.29</x:v>
      </x:c>
      <x:c r="D48" s="2" t="n">
        <x:v>0</x:v>
      </x:c>
      <x:c r="E48" s="2" t="n">
        <x:f>COUNT('Noise'!G581:G594)</x:f>
        <x:v>14</x:v>
      </x:c>
      <x:c r="F48" s="10" t="n">
        <x:f>AVERAGE('Noise'!G581:G594)</x:f>
        <x:v>0.00628784503366533</x:v>
      </x:c>
      <x:c r="G48" s="9" t="n">
        <x:f>MAX('Volatility'!C10,'Volatility'!D10)*(1+F48)</x:f>
        <x:v>658.9474695633952</x:v>
      </x:c>
      <x:c r="H48" s="9" t="n">
        <x:f>MIN('Volatility'!C10,'Volatility'!D10)*(1-F48)</x:f>
        <x:v>648.4269924801823</x:v>
      </x:c>
      <x:c r="I48" s="9" t="n">
        <x:f>'VWAP'!I48</x:f>
        <x:v>657.0452246008249</x:v>
      </x:c>
      <x:c r="J48" s="9" t="n">
        <x:f>MAX(G48,I48)</x:f>
        <x:v>658.9474695633952</x:v>
      </x:c>
      <x:c r="K48" s="9" t="n">
        <x:f>MIN(H48,I48)</x:f>
        <x:v>648.4269924801823</x:v>
      </x:c>
      <x:c r="L48" s="2" t="n">
        <x:f>O47</x:f>
        <x:v>0</x:v>
      </x:c>
      <x:c r="M48" s="2" t="n">
        <x:f>IF(C48&gt;G48,1,IF(C48&lt;H48,-1,0))</x:f>
        <x:v>1</x:v>
      </x:c>
      <x:c r="N48" s="2" t="n">
        <x:f>IF(OR(AND(L48=1,C48&lt;J48),AND(L48=-1,C48&gt;K48)),1,0)</x:f>
        <x:v>0</x:v>
      </x:c>
      <x:c r="O48" s="2" t="n">
        <x:f>IF(D48=1,0,IF(L48=0,M48,IF(N48=1,IF(M48=-L48,M48,0),L48)))</x:f>
        <x:v>1</x:v>
      </x:c>
      <x:c r="P48" s="2" t="str">
        <x:f>IF(O48=L48,IF(O48=0,"FLAT","HOLD"),IF(L48=0,"ENTRY",IF(O48=0,"EXIT","REVERSE")))</x:f>
        <x:v>ENTRY</x:v>
      </x:c>
      <x:c r="Q48" s="2" t="n">
        <x:f>'Volatility'!J10</x:f>
        <x:v>378</x:v>
      </x:c>
      <x:c r="R48" s="2" t="n">
        <x:f>ABS(O48-L48)*Q48</x:f>
        <x:v>378</x:v>
      </x:c>
      <x:c r="S48" s="9" t="n">
        <x:f>L48*Q48*(C48-C47)</x:f>
        <x:v>0</x:v>
      </x:c>
      <x:c r="T48" s="9" t="n">
        <x:f>R48*'Summary'!$B$20</x:f>
        <x:v>1.323</x:v>
      </x:c>
      <x:c r="U48" s="9" t="n">
        <x:f>R48*'Summary'!$B$21</x:f>
        <x:v>0.378</x:v>
      </x:c>
      <x:c r="V48" s="9" t="n">
        <x:f>S48-T48-U48</x:f>
        <x:v>-1.701</x:v>
      </x:c>
      <x:c r="W48" s="9" t="n">
        <x:f>W47+V48</x:f>
        <x:v>111128.45600000005</x:v>
      </x:c>
      <x:c r="X48" s="2" t="str">
        <x:v>AV.Clean!B75</x:v>
      </x:c>
    </x:row>
    <x:row r="49" ht="22" customHeight="1">
      <x:c r="A49" s="12" t="n">
        <x:v>45982</x:v>
      </x:c>
      <x:c r="B49" s="13" t="n">
        <x:v>45982.604166666664</x:v>
      </x:c>
      <x:c r="C49" s="9" t="n">
        <x:v>664.23</x:v>
      </x:c>
      <x:c r="D49" s="2" t="n">
        <x:v>0</x:v>
      </x:c>
      <x:c r="E49" s="2" t="n">
        <x:f>COUNT('Noise'!G595:G608)</x:f>
        <x:v>14</x:v>
      </x:c>
      <x:c r="F49" s="10" t="n">
        <x:f>AVERAGE('Noise'!G595:G608)</x:f>
        <x:v>0.006269152358274878</x:v>
      </x:c>
      <x:c r="G49" s="9" t="n">
        <x:f>MAX('Volatility'!C10,'Volatility'!D10)*(1+F49)</x:f>
        <x:v>658.9352290387692</x:v>
      </x:c>
      <x:c r="H49" s="9" t="n">
        <x:f>MIN('Volatility'!C10,'Volatility'!D10)*(1-F49)</x:f>
        <x:v>648.4391900116549</x:v>
      </x:c>
      <x:c r="I49" s="9" t="n">
        <x:f>'VWAP'!I49</x:f>
        <x:v>657.5697229886483</x:v>
      </x:c>
      <x:c r="J49" s="9" t="n">
        <x:f>MAX(G49,I49)</x:f>
        <x:v>658.9352290387692</x:v>
      </x:c>
      <x:c r="K49" s="9" t="n">
        <x:f>MIN(H49,I49)</x:f>
        <x:v>648.4391900116549</x:v>
      </x:c>
      <x:c r="L49" s="2" t="n">
        <x:f>O48</x:f>
        <x:v>1</x:v>
      </x:c>
      <x:c r="M49" s="2" t="n">
        <x:f>IF(C49&gt;G49,1,IF(C49&lt;H49,-1,0))</x:f>
        <x:v>1</x:v>
      </x:c>
      <x:c r="N49" s="2" t="n">
        <x:f>IF(OR(AND(L49=1,C49&lt;J49),AND(L49=-1,C49&gt;K49)),1,0)</x:f>
        <x:v>0</x:v>
      </x:c>
      <x:c r="O49" s="2" t="n">
        <x:f>IF(D49=1,0,IF(L49=0,M49,IF(N49=1,IF(M49=-L49,M49,0),L49)))</x:f>
        <x:v>1</x:v>
      </x:c>
      <x:c r="P49" s="2" t="str">
        <x:f>IF(O49=L49,IF(O49=0,"FLAT","HOLD"),IF(L49=0,"ENTRY",IF(O49=0,"EXIT","REVERSE")))</x:f>
        <x:v>HOLD</x:v>
      </x:c>
      <x:c r="Q49" s="2" t="n">
        <x:f>'Volatility'!J10</x:f>
        <x:v>378</x:v>
      </x:c>
      <x:c r="R49" s="2" t="n">
        <x:f>ABS(O49-L49)*Q49</x:f>
        <x:v>0</x:v>
      </x:c>
      <x:c r="S49" s="9" t="n">
        <x:f>L49*Q49*(C49-C48)</x:f>
        <x:v>733.3200000000206</x:v>
      </x:c>
      <x:c r="T49" s="9" t="n">
        <x:f>R49*'Summary'!$B$20</x:f>
        <x:v>0</x:v>
      </x:c>
      <x:c r="U49" s="9" t="n">
        <x:f>R49*'Summary'!$B$21</x:f>
        <x:v>0</x:v>
      </x:c>
      <x:c r="V49" s="9" t="n">
        <x:f>S49-T49-U49</x:f>
        <x:v>733.3200000000206</x:v>
      </x:c>
      <x:c r="W49" s="9" t="n">
        <x:f>W48+V49</x:f>
        <x:v>111861.77600000007</x:v>
      </x:c>
      <x:c r="X49" s="2" t="str">
        <x:v>AV.Clean!B74</x:v>
      </x:c>
    </x:row>
    <x:row r="50" ht="22" customHeight="1">
      <x:c r="A50" s="12" t="n">
        <x:v>45982</x:v>
      </x:c>
      <x:c r="B50" s="13" t="n">
        <x:v>45982.625</x:v>
      </x:c>
      <x:c r="C50" s="9" t="n">
        <x:v>661.67</x:v>
      </x:c>
      <x:c r="D50" s="2" t="n">
        <x:v>0</x:v>
      </x:c>
      <x:c r="E50" s="2" t="n">
        <x:f>COUNT('Noise'!G609:G622)</x:f>
        <x:v>14</x:v>
      </x:c>
      <x:c r="F50" s="10" t="n">
        <x:f>AVERAGE('Noise'!G609:G622)</x:f>
        <x:v>0.007329281285787962</x:v>
      </x:c>
      <x:c r="G50" s="9" t="n">
        <x:f>MAX('Volatility'!C10,'Volatility'!D10)*(1+F50)</x:f>
        <x:v>659.6294332643726</x:v>
      </x:c>
      <x:c r="H50" s="9" t="n">
        <x:f>MIN('Volatility'!C10,'Volatility'!D10)*(1-F50)</x:f>
        <x:v>647.7474240825848</x:v>
      </x:c>
      <x:c r="I50" s="9" t="n">
        <x:f>'VWAP'!I50</x:f>
        <x:v>657.85546510808</x:v>
      </x:c>
      <x:c r="J50" s="9" t="n">
        <x:f>MAX(G50,I50)</x:f>
        <x:v>659.6294332643726</x:v>
      </x:c>
      <x:c r="K50" s="9" t="n">
        <x:f>MIN(H50,I50)</x:f>
        <x:v>647.7474240825848</x:v>
      </x:c>
      <x:c r="L50" s="2" t="n">
        <x:f>O49</x:f>
        <x:v>1</x:v>
      </x:c>
      <x:c r="M50" s="2" t="n">
        <x:f>IF(C50&gt;G50,1,IF(C50&lt;H50,-1,0))</x:f>
        <x:v>1</x:v>
      </x:c>
      <x:c r="N50" s="2" t="n">
        <x:f>IF(OR(AND(L50=1,C50&lt;J50),AND(L50=-1,C50&gt;K50)),1,0)</x:f>
        <x:v>0</x:v>
      </x:c>
      <x:c r="O50" s="2" t="n">
        <x:f>IF(D50=1,0,IF(L50=0,M50,IF(N50=1,IF(M50=-L50,M50,0),L50)))</x:f>
        <x:v>1</x:v>
      </x:c>
      <x:c r="P50" s="2" t="str">
        <x:f>IF(O50=L50,IF(O50=0,"FLAT","HOLD"),IF(L50=0,"ENTRY",IF(O50=0,"EXIT","REVERSE")))</x:f>
        <x:v>HOLD</x:v>
      </x:c>
      <x:c r="Q50" s="2" t="n">
        <x:f>'Volatility'!J10</x:f>
        <x:v>378</x:v>
      </x:c>
      <x:c r="R50" s="2" t="n">
        <x:f>ABS(O50-L50)*Q50</x:f>
        <x:v>0</x:v>
      </x:c>
      <x:c r="S50" s="9" t="n">
        <x:f>L50*Q50*(C50-C49)</x:f>
        <x:v>-967.6800000000223</x:v>
      </x:c>
      <x:c r="T50" s="9" t="n">
        <x:f>R50*'Summary'!$B$20</x:f>
        <x:v>0</x:v>
      </x:c>
      <x:c r="U50" s="9" t="n">
        <x:f>R50*'Summary'!$B$21</x:f>
        <x:v>0</x:v>
      </x:c>
      <x:c r="V50" s="9" t="n">
        <x:f>S50-T50-U50</x:f>
        <x:v>-967.6800000000223</x:v>
      </x:c>
      <x:c r="W50" s="9" t="n">
        <x:f>W49+V50</x:f>
        <x:v>110894.09600000005</x:v>
      </x:c>
      <x:c r="X50" s="2" t="str">
        <x:v>AV.Clean!B73</x:v>
      </x:c>
    </x:row>
    <x:row r="51" ht="22" customHeight="1">
      <x:c r="A51" s="12" t="n">
        <x:v>45982</x:v>
      </x:c>
      <x:c r="B51" s="13" t="n">
        <x:v>45982.645833333336</x:v>
      </x:c>
      <x:c r="C51" s="9" t="n">
        <x:v>659.44</x:v>
      </x:c>
      <x:c r="D51" s="2" t="n">
        <x:v>0</x:v>
      </x:c>
      <x:c r="E51" s="2" t="n">
        <x:f>COUNT('Noise'!G623:G636)</x:f>
        <x:v>14</x:v>
      </x:c>
      <x:c r="F51" s="10" t="n">
        <x:f>AVERAGE('Noise'!G623:G636)</x:f>
        <x:v>0.006367740664122641</x:v>
      </x:c>
      <x:c r="G51" s="9" t="n">
        <x:f>MAX('Volatility'!C10,'Volatility'!D10)*(1+F51)</x:f>
        <x:v>658.9997876190876</x:v>
      </x:c>
      <x:c r="H51" s="9" t="n">
        <x:f>MIN('Volatility'!C10,'Volatility'!D10)*(1-F51)</x:f>
        <x:v>648.3748581844401</x:v>
      </x:c>
      <x:c r="I51" s="9" t="n">
        <x:f>'VWAP'!I51</x:f>
        <x:v>657.9593764746774</x:v>
      </x:c>
      <x:c r="J51" s="9" t="n">
        <x:f>MAX(G51,I51)</x:f>
        <x:v>658.9997876190876</x:v>
      </x:c>
      <x:c r="K51" s="9" t="n">
        <x:f>MIN(H51,I51)</x:f>
        <x:v>648.3748581844401</x:v>
      </x:c>
      <x:c r="L51" s="2" t="n">
        <x:f>O50</x:f>
        <x:v>1</x:v>
      </x:c>
      <x:c r="M51" s="2" t="n">
        <x:f>IF(C51&gt;G51,1,IF(C51&lt;H51,-1,0))</x:f>
        <x:v>1</x:v>
      </x:c>
      <x:c r="N51" s="2" t="n">
        <x:f>IF(OR(AND(L51=1,C51&lt;J51),AND(L51=-1,C51&gt;K51)),1,0)</x:f>
        <x:v>0</x:v>
      </x:c>
      <x:c r="O51" s="2" t="n">
        <x:f>IF(D51=1,0,IF(L51=0,M51,IF(N51=1,IF(M51=-L51,M51,0),L51)))</x:f>
        <x:v>1</x:v>
      </x:c>
      <x:c r="P51" s="2" t="str">
        <x:f>IF(O51=L51,IF(O51=0,"FLAT","HOLD"),IF(L51=0,"ENTRY",IF(O51=0,"EXIT","REVERSE")))</x:f>
        <x:v>HOLD</x:v>
      </x:c>
      <x:c r="Q51" s="2" t="n">
        <x:f>'Volatility'!J10</x:f>
        <x:v>378</x:v>
      </x:c>
      <x:c r="R51" s="2" t="n">
        <x:f>ABS(O51-L51)*Q51</x:f>
        <x:v>0</x:v>
      </x:c>
      <x:c r="S51" s="9" t="n">
        <x:f>L51*Q51*(C51-C50)</x:f>
        <x:v>-842.9399999999639</x:v>
      </x:c>
      <x:c r="T51" s="9" t="n">
        <x:f>R51*'Summary'!$B$20</x:f>
        <x:v>0</x:v>
      </x:c>
      <x:c r="U51" s="9" t="n">
        <x:f>R51*'Summary'!$B$21</x:f>
        <x:v>0</x:v>
      </x:c>
      <x:c r="V51" s="9" t="n">
        <x:f>S51-T51-U51</x:f>
        <x:v>-842.9399999999639</x:v>
      </x:c>
      <x:c r="W51" s="9" t="n">
        <x:f>W50+V51</x:f>
        <x:v>110051.15600000009</x:v>
      </x:c>
      <x:c r="X51" s="2" t="str">
        <x:v>AV.Clean!B72</x:v>
      </x:c>
    </x:row>
    <x:row r="52" ht="22" customHeight="1">
      <x:c r="A52" s="12" t="n">
        <x:v>45982</x:v>
      </x:c>
      <x:c r="B52" s="13" t="n">
        <x:v>45982.666666666664</x:v>
      </x:c>
      <x:c r="C52" s="9" t="n">
        <x:v>659.03</x:v>
      </x:c>
      <x:c r="D52" s="2" t="n">
        <x:v>1</x:v>
      </x:c>
      <x:c r="E52" s="2" t="n">
        <x:f>COUNT('Noise'!G637:G650)</x:f>
        <x:v>14</x:v>
      </x:c>
      <x:c r="F52" s="10" t="n">
        <x:f>AVERAGE('Noise'!G637:G650)</x:f>
        <x:v>0.006674834469746356</x:v>
      </x:c>
      <x:c r="G52" s="9" t="n">
        <x:f>MAX('Volatility'!C10,'Volatility'!D10)*(1+F52)</x:f>
        <x:v>659.200881855824</x:v>
      </x:c>
      <x:c r="H52" s="9" t="n">
        <x:f>MIN('Volatility'!C10,'Volatility'!D10)*(1-F52)</x:f>
        <x:v>648.1744702634563</x:v>
      </x:c>
      <x:c r="I52" s="9" t="n">
        <x:f>'VWAP'!I52</x:f>
        <x:v>658.1304077010282</x:v>
      </x:c>
      <x:c r="J52" s="9" t="n">
        <x:f>MAX(G52,I52)</x:f>
        <x:v>659.200881855824</x:v>
      </x:c>
      <x:c r="K52" s="9" t="n">
        <x:f>MIN(H52,I52)</x:f>
        <x:v>648.1744702634563</x:v>
      </x:c>
      <x:c r="L52" s="2" t="n">
        <x:f>O51</x:f>
        <x:v>1</x:v>
      </x:c>
      <x:c r="M52" s="2" t="n">
        <x:f>IF(C52&gt;G52,1,IF(C52&lt;H52,-1,0))</x:f>
        <x:v>0</x:v>
      </x:c>
      <x:c r="N52" s="2" t="n">
        <x:f>IF(OR(AND(L52=1,C52&lt;J52),AND(L52=-1,C52&gt;K52)),1,0)</x:f>
        <x:v>1</x:v>
      </x:c>
      <x:c r="O52" s="2" t="n">
        <x:f>IF(D52=1,0,IF(L52=0,M52,IF(N52=1,IF(M52=-L52,M52,0),L52)))</x:f>
        <x:v>0</x:v>
      </x:c>
      <x:c r="P52" s="2" t="str">
        <x:f>IF(O52=L52,IF(O52=0,"FLAT","HOLD"),IF(L52=0,"ENTRY",IF(O52=0,"EXIT","REVERSE")))</x:f>
        <x:v>EXIT</x:v>
      </x:c>
      <x:c r="Q52" s="2" t="n">
        <x:f>'Volatility'!J10</x:f>
        <x:v>378</x:v>
      </x:c>
      <x:c r="R52" s="2" t="n">
        <x:f>ABS(O52-L52)*Q52</x:f>
        <x:v>378</x:v>
      </x:c>
      <x:c r="S52" s="9" t="n">
        <x:f>L52*Q52*(C52-C51)</x:f>
        <x:v>-154.98000000003094</x:v>
      </x:c>
      <x:c r="T52" s="9" t="n">
        <x:f>R52*'Summary'!$B$20</x:f>
        <x:v>1.323</x:v>
      </x:c>
      <x:c r="U52" s="9" t="n">
        <x:f>R52*'Summary'!$B$21</x:f>
        <x:v>0.378</x:v>
      </x:c>
      <x:c r="V52" s="9" t="n">
        <x:f>S52-T52-U52</x:f>
        <x:v>-156.68100000003093</x:v>
      </x:c>
      <x:c r="W52" s="9" t="n">
        <x:f>W51+V52</x:f>
        <x:v>109894.47500000006</x:v>
      </x:c>
      <x:c r="X52" s="2" t="str">
        <x:v>AV.Clean!B70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23" hidden="0" customWidth="1"/>
    <x:col min="11" max="11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Endpoint VWAP proxy: raw weights and running sums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Source: AV.Clean. Volumes are interval increments; unallocated closing residual volumes are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6" customHeight="1">
      <x:c r="A6" s="8" t="str">
        <x:v>Day</x:v>
      </x:c>
      <x:c r="B6" s="8" t="str">
        <x:v>Available at</x:v>
      </x:c>
      <x:c r="C6" s="8" t="str">
        <x:v>Source label</x:v>
      </x:c>
      <x:c r="D6" s="8" t="str">
        <x:v>Interval price ($)</x:v>
      </x:c>
      <x:c r="E6" s="8" t="str">
        <x:v>Interval volume</x:v>
      </x:c>
      <x:c r="F6" s="8" t="str">
        <x:v>Price x volume</x:v>
      </x:c>
      <x:c r="G6" s="8" t="str">
        <x:v>Cum. price x vol.</x:v>
      </x:c>
      <x:c r="H6" s="8" t="str">
        <x:v>Cum. volume</x:v>
      </x:c>
      <x:c r="I6" s="8" t="str">
        <x:v>VWAP proxy ($)</x:v>
      </x:c>
      <x:c r="J6" s="8" t="str">
        <x:v>Price source cell</x:v>
      </x:c>
      <x:c r="K6" s="8" t="str">
        <x:v>Volume source cell</x:v>
      </x:c>
    </x:row>
    <x:row r="7" ht="22" customHeight="1">
      <x:c r="A7" s="12" t="n">
        <x:v>45749</x:v>
      </x:c>
      <x:c r="B7" s="13" t="n">
        <x:v>45749.416666666664</x:v>
      </x:c>
      <x:c r="C7" s="13" t="n">
        <x:v>45749.395833333336</x:v>
      </x:c>
      <x:c r="D7" s="9" t="n">
        <x:v>555.3837</x:v>
      </x:c>
      <x:c r="E7" s="16" t="n">
        <x:v>4255808</x:v>
      </x:c>
      <x:c r="F7" s="16" t="n">
        <x:f>D7*E7</x:f>
        <x:v>2363606393.5295997</x:v>
      </x:c>
      <x:c r="G7" s="16" t="n">
        <x:f>SUM(F7:F7)</x:f>
        <x:v>2363606393.5295997</x:v>
      </x:c>
      <x:c r="H7" s="16" t="n">
        <x:f>SUM(E7:E7)</x:f>
        <x:v>4255808</x:v>
      </x:c>
      <x:c r="I7" s="9" t="n">
        <x:f>G7/H7</x:f>
        <x:v>555.3837</x:v>
      </x:c>
      <x:c r="J7" s="2" t="str">
        <x:v>AV.Clean!B2349</x:v>
      </x:c>
      <x:c r="K7" s="2" t="str">
        <x:v>AV.Clean!C2349</x:v>
      </x:c>
    </x:row>
    <x:row r="8" ht="22" customHeight="1">
      <x:c r="A8" s="12" t="n">
        <x:v>45749</x:v>
      </x:c>
      <x:c r="B8" s="13" t="n">
        <x:v>45749.4375</x:v>
      </x:c>
      <x:c r="C8" s="13" t="n">
        <x:v>45749.416666666664</x:v>
      </x:c>
      <x:c r="D8" s="9" t="n">
        <x:v>557.6407</x:v>
      </x:c>
      <x:c r="E8" s="16" t="n">
        <x:v>2212118</x:v>
      </x:c>
      <x:c r="F8" s="16" t="n">
        <x:f>D8*E8</x:f>
        <x:v>1233567030.0026002</x:v>
      </x:c>
      <x:c r="G8" s="16" t="n">
        <x:f>SUM(F7:F8)</x:f>
        <x:v>3597173423.5322</x:v>
      </x:c>
      <x:c r="H8" s="16" t="n">
        <x:f>SUM(E7:E8)</x:f>
        <x:v>6467926</x:v>
      </x:c>
      <x:c r="I8" s="9" t="n">
        <x:f>G8/H8</x:f>
        <x:v>556.1556244663591</x:v>
      </x:c>
      <x:c r="J8" s="2" t="str">
        <x:v>AV.Clean!B2348</x:v>
      </x:c>
      <x:c r="K8" s="2" t="str">
        <x:v>AV.Clean!C2348</x:v>
      </x:c>
    </x:row>
    <x:row r="9" ht="22" customHeight="1">
      <x:c r="A9" s="12" t="n">
        <x:v>45749</x:v>
      </x:c>
      <x:c r="B9" s="13" t="n">
        <x:v>45749.458333333336</x:v>
      </x:c>
      <x:c r="C9" s="13" t="n">
        <x:v>45749.4375</x:v>
      </x:c>
      <x:c r="D9" s="9" t="n">
        <x:v>558.8339</x:v>
      </x:c>
      <x:c r="E9" s="16" t="n">
        <x:v>1872016</x:v>
      </x:c>
      <x:c r="F9" s="16" t="n">
        <x:f>D9*E9</x:f>
        <x:v>1046146002.1423999</x:v>
      </x:c>
      <x:c r="G9" s="16" t="n">
        <x:f>SUM(F7:F9)</x:f>
        <x:v>4643319425.6746</x:v>
      </x:c>
      <x:c r="H9" s="16" t="n">
        <x:f>SUM(E7:E9)</x:f>
        <x:v>8339942</x:v>
      </x:c>
      <x:c r="I9" s="9" t="n">
        <x:f>G9/H9</x:f>
        <x:v>556.7568006677504</x:v>
      </x:c>
      <x:c r="J9" s="2" t="str">
        <x:v>AV.Clean!B2347</x:v>
      </x:c>
      <x:c r="K9" s="2" t="str">
        <x:v>AV.Clean!C2347</x:v>
      </x:c>
    </x:row>
    <x:row r="10" ht="22" customHeight="1">
      <x:c r="A10" s="12" t="n">
        <x:v>45749</x:v>
      </x:c>
      <x:c r="B10" s="13" t="n">
        <x:v>45749.479166666664</x:v>
      </x:c>
      <x:c r="C10" s="13" t="n">
        <x:v>45749.458333333336</x:v>
      </x:c>
      <x:c r="D10" s="9" t="n">
        <x:v>560.0867</x:v>
      </x:c>
      <x:c r="E10" s="16" t="n">
        <x:v>2113683</x:v>
      </x:c>
      <x:c r="F10" s="16" t="n">
        <x:f>D10*E10</x:f>
        <x:v>1183845736.3161</x:v>
      </x:c>
      <x:c r="G10" s="16" t="n">
        <x:f>SUM(F7:F10)</x:f>
        <x:v>5827165161.9907</x:v>
      </x:c>
      <x:c r="H10" s="16" t="n">
        <x:f>SUM(E7:E10)</x:f>
        <x:v>10453625</x:v>
      </x:c>
      <x:c r="I10" s="9" t="n">
        <x:f>G10/H10</x:f>
        <x:v>557.4300935790885</x:v>
      </x:c>
      <x:c r="J10" s="2" t="str">
        <x:v>AV.Clean!B2346</x:v>
      </x:c>
      <x:c r="K10" s="2" t="str">
        <x:v>AV.Clean!C2346</x:v>
      </x:c>
    </x:row>
    <x:row r="11" ht="22" customHeight="1">
      <x:c r="A11" s="12" t="n">
        <x:v>45749</x:v>
      </x:c>
      <x:c r="B11" s="13" t="n">
        <x:v>45749.5</x:v>
      </x:c>
      <x:c r="C11" s="13" t="n">
        <x:v>45749.479166666664</x:v>
      </x:c>
      <x:c r="D11" s="9" t="n">
        <x:v>559.1322</x:v>
      </x:c>
      <x:c r="E11" s="16" t="n">
        <x:v>2235742</x:v>
      </x:c>
      <x:c r="F11" s="16" t="n">
        <x:f>D11*E11</x:f>
        <x:v>1250075343.0924</x:v>
      </x:c>
      <x:c r="G11" s="16" t="n">
        <x:f>SUM(F7:F11)</x:f>
        <x:v>7077240505.083099</x:v>
      </x:c>
      <x:c r="H11" s="16" t="n">
        <x:f>SUM(E7:E11)</x:f>
        <x:v>12689367</x:v>
      </x:c>
      <x:c r="I11" s="9" t="n">
        <x:f>G11/H11</x:f>
        <x:v>557.7299880351084</x:v>
      </x:c>
      <x:c r="J11" s="2" t="str">
        <x:v>AV.Clean!B2345</x:v>
      </x:c>
      <x:c r="K11" s="2" t="str">
        <x:v>AV.Clean!C2345</x:v>
      </x:c>
    </x:row>
    <x:row r="12" ht="22" customHeight="1">
      <x:c r="A12" s="12" t="n">
        <x:v>45749</x:v>
      </x:c>
      <x:c r="B12" s="13" t="n">
        <x:v>45749.520833333336</x:v>
      </x:c>
      <x:c r="C12" s="13" t="n">
        <x:v>45749.5</x:v>
      </x:c>
      <x:c r="D12" s="9" t="n">
        <x:v>561.1009</x:v>
      </x:c>
      <x:c r="E12" s="16" t="n">
        <x:v>1594847</x:v>
      </x:c>
      <x:c r="F12" s="16" t="n">
        <x:f>D12*E12</x:f>
        <x:v>894870087.0623001</x:v>
      </x:c>
      <x:c r="G12" s="16" t="n">
        <x:f>SUM(F7:F12)</x:f>
        <x:v>7972110592.145399</x:v>
      </x:c>
      <x:c r="H12" s="16" t="n">
        <x:f>SUM(E7:E12)</x:f>
        <x:v>14284214</x:v>
      </x:c>
      <x:c r="I12" s="9" t="n">
        <x:f>G12/H12</x:f>
        <x:v>558.1063537794519</x:v>
      </x:c>
      <x:c r="J12" s="2" t="str">
        <x:v>AV.Clean!B2344</x:v>
      </x:c>
      <x:c r="K12" s="2" t="str">
        <x:v>AV.Clean!C2344</x:v>
      </x:c>
    </x:row>
    <x:row r="13" ht="22" customHeight="1">
      <x:c r="A13" s="12" t="n">
        <x:v>45749</x:v>
      </x:c>
      <x:c r="B13" s="13" t="n">
        <x:v>45749.541666666664</x:v>
      </x:c>
      <x:c r="C13" s="13" t="n">
        <x:v>45749.520833333336</x:v>
      </x:c>
      <x:c r="D13" s="9" t="n">
        <x:v>562.4581</x:v>
      </x:c>
      <x:c r="E13" s="16" t="n">
        <x:v>2547514</x:v>
      </x:c>
      <x:c r="F13" s="16" t="n">
        <x:f>D13*E13</x:f>
        <x:v>1432869884.1634</x:v>
      </x:c>
      <x:c r="G13" s="16" t="n">
        <x:f>SUM(F7:F13)</x:f>
        <x:v>9404980476.3088</x:v>
      </x:c>
      <x:c r="H13" s="16" t="n">
        <x:f>SUM(E7:E13)</x:f>
        <x:v>16831728</x:v>
      </x:c>
      <x:c r="I13" s="9" t="n">
        <x:f>G13/H13</x:f>
        <x:v>558.7649988348671</x:v>
      </x:c>
      <x:c r="J13" s="2" t="str">
        <x:v>AV.Clean!B2343</x:v>
      </x:c>
      <x:c r="K13" s="2" t="str">
        <x:v>AV.Clean!C2343</x:v>
      </x:c>
    </x:row>
    <x:row r="14" ht="22" customHeight="1">
      <x:c r="A14" s="12" t="n">
        <x:v>45749</x:v>
      </x:c>
      <x:c r="B14" s="13" t="n">
        <x:v>45749.5625</x:v>
      </x:c>
      <x:c r="C14" s="13" t="n">
        <x:v>45749.541666666664</x:v>
      </x:c>
      <x:c r="D14" s="9" t="n">
        <x:v>562.7912</x:v>
      </x:c>
      <x:c r="E14" s="16" t="n">
        <x:v>2593586</x:v>
      </x:c>
      <x:c r="F14" s="16" t="n">
        <x:f>D14*E14</x:f>
        <x:v>1459647377.2432</x:v>
      </x:c>
      <x:c r="G14" s="16" t="n">
        <x:f>SUM(F7:F14)</x:f>
        <x:v>10864627853.552</x:v>
      </x:c>
      <x:c r="H14" s="16" t="n">
        <x:f>SUM(E7:E14)</x:f>
        <x:v>19425314</x:v>
      </x:c>
      <x:c r="I14" s="9" t="n">
        <x:f>G14/H14</x:f>
        <x:v>559.3025602341357</x:v>
      </x:c>
      <x:c r="J14" s="2" t="str">
        <x:v>AV.Clean!B2342</x:v>
      </x:c>
      <x:c r="K14" s="2" t="str">
        <x:v>AV.Clean!C2342</x:v>
      </x:c>
    </x:row>
    <x:row r="15" ht="22" customHeight="1">
      <x:c r="A15" s="12" t="n">
        <x:v>45749</x:v>
      </x:c>
      <x:c r="B15" s="13" t="n">
        <x:v>45749.583333333336</x:v>
      </x:c>
      <x:c r="C15" s="13" t="n">
        <x:v>45749.5625</x:v>
      </x:c>
      <x:c r="D15" s="9" t="n">
        <x:v>560.6435</x:v>
      </x:c>
      <x:c r="E15" s="16" t="n">
        <x:v>2667686</x:v>
      </x:c>
      <x:c r="F15" s="16" t="n">
        <x:f>D15*E15</x:f>
        <x:v>1495620815.941</x:v>
      </x:c>
      <x:c r="G15" s="16" t="n">
        <x:f>SUM(F7:F15)</x:f>
        <x:v>12360248669.493</x:v>
      </x:c>
      <x:c r="H15" s="16" t="n">
        <x:f>SUM(E7:E15)</x:f>
        <x:v>22093000</x:v>
      </x:c>
      <x:c r="I15" s="9" t="n">
        <x:f>G15/H15</x:f>
        <x:v>559.4644760554474</x:v>
      </x:c>
      <x:c r="J15" s="2" t="str">
        <x:v>AV.Clean!B2341</x:v>
      </x:c>
      <x:c r="K15" s="2" t="str">
        <x:v>AV.Clean!C2341</x:v>
      </x:c>
    </x:row>
    <x:row r="16" ht="22" customHeight="1">
      <x:c r="A16" s="12" t="n">
        <x:v>45749</x:v>
      </x:c>
      <x:c r="B16" s="13" t="n">
        <x:v>45749.604166666664</x:v>
      </x:c>
      <x:c r="C16" s="13" t="n">
        <x:v>45749.583333333336</x:v>
      </x:c>
      <x:c r="D16" s="9" t="n">
        <x:v>557.7998</x:v>
      </x:c>
      <x:c r="E16" s="16" t="n">
        <x:v>2223449</x:v>
      </x:c>
      <x:c r="F16" s="16" t="n">
        <x:f>D16*E16</x:f>
        <x:v>1240239407.5102</x:v>
      </x:c>
      <x:c r="G16" s="16" t="n">
        <x:f>SUM(F7:F16)</x:f>
        <x:v>13600488077.0032</x:v>
      </x:c>
      <x:c r="H16" s="16" t="n">
        <x:f>SUM(E7:E16)</x:f>
        <x:v>24316449</x:v>
      </x:c>
      <x:c r="I16" s="9" t="n">
        <x:f>G16/H16</x:f>
        <x:v>559.3122613011135</x:v>
      </x:c>
      <x:c r="J16" s="2" t="str">
        <x:v>AV.Clean!B2340</x:v>
      </x:c>
      <x:c r="K16" s="2" t="str">
        <x:v>AV.Clean!C2340</x:v>
      </x:c>
    </x:row>
    <x:row r="17" ht="22" customHeight="1">
      <x:c r="A17" s="12" t="n">
        <x:v>45749</x:v>
      </x:c>
      <x:c r="B17" s="13" t="n">
        <x:v>45749.625</x:v>
      </x:c>
      <x:c r="C17" s="13" t="n">
        <x:v>45749.604166666664</x:v>
      </x:c>
      <x:c r="D17" s="9" t="n">
        <x:v>558.118</x:v>
      </x:c>
      <x:c r="E17" s="16" t="n">
        <x:v>2388119</x:v>
      </x:c>
      <x:c r="F17" s="16" t="n">
        <x:f>D17*E17</x:f>
        <x:v>1332852200.042</x:v>
      </x:c>
      <x:c r="G17" s="16" t="n">
        <x:f>SUM(F7:F17)</x:f>
        <x:v>14933340277.0452</x:v>
      </x:c>
      <x:c r="H17" s="16" t="n">
        <x:f>SUM(E7:E17)</x:f>
        <x:v>26704568</x:v>
      </x:c>
      <x:c r="I17" s="9" t="n">
        <x:f>G17/H17</x:f>
        <x:v>559.2054616665283</x:v>
      </x:c>
      <x:c r="J17" s="2" t="str">
        <x:v>AV.Clean!B2339</x:v>
      </x:c>
      <x:c r="K17" s="2" t="str">
        <x:v>AV.Clean!C2339</x:v>
      </x:c>
    </x:row>
    <x:row r="18" ht="22" customHeight="1">
      <x:c r="A18" s="12" t="n">
        <x:v>45749</x:v>
      </x:c>
      <x:c r="B18" s="13" t="n">
        <x:v>45749.645833333336</x:v>
      </x:c>
      <x:c r="C18" s="13" t="n">
        <x:v>45749.625</x:v>
      </x:c>
      <x:c r="D18" s="9" t="n">
        <x:v>559.689</x:v>
      </x:c>
      <x:c r="E18" s="16" t="n">
        <x:v>1869869</x:v>
      </x:c>
      <x:c r="F18" s="16" t="n">
        <x:f>D18*E18</x:f>
        <x:v>1046545110.7409999</x:v>
      </x:c>
      <x:c r="G18" s="16" t="n">
        <x:f>SUM(F7:F18)</x:f>
        <x:v>15979885387.7862</x:v>
      </x:c>
      <x:c r="H18" s="16" t="n">
        <x:f>SUM(E7:E18)</x:f>
        <x:v>28574437</x:v>
      </x:c>
      <x:c r="I18" s="9" t="n">
        <x:f>G18/H18</x:f>
        <x:v>559.2371037016827</x:v>
      </x:c>
      <x:c r="J18" s="2" t="str">
        <x:v>AV.Clean!B2338</x:v>
      </x:c>
      <x:c r="K18" s="2" t="str">
        <x:v>AV.Clean!C2338</x:v>
      </x:c>
    </x:row>
    <x:row r="19" ht="22" customHeight="1">
      <x:c r="A19" s="12" t="n">
        <x:v>45749</x:v>
      </x:c>
      <x:c r="B19" s="13" t="n">
        <x:v>45749.666666666664</x:v>
      </x:c>
      <x:c r="C19" s="13" t="n">
        <x:v>45749.645833333336</x:v>
      </x:c>
      <x:c r="D19" s="9" t="n">
        <x:v>561.2997</x:v>
      </x:c>
      <x:c r="E19" s="16" t="n">
        <x:v>8235863</x:v>
      </x:c>
      <x:c r="F19" s="16" t="n">
        <x:f>D19*E19</x:f>
        <x:v>4622787431.1411</x:v>
      </x:c>
      <x:c r="G19" s="16" t="n">
        <x:f>SUM(F7:F19)</x:f>
        <x:v>20602672818.9273</x:v>
      </x:c>
      <x:c r="H19" s="16" t="n">
        <x:f>SUM(E7:E19)</x:f>
        <x:v>36810300</x:v>
      </x:c>
      <x:c r="I19" s="9" t="n">
        <x:f>G19/H19</x:f>
        <x:v>559.6985848778005</x:v>
      </x:c>
      <x:c r="J19" s="2" t="str">
        <x:v>AV.Clean!B2337</x:v>
      </x:c>
      <x:c r="K19" s="2" t="str">
        <x:v>AV.Clean!C2337</x:v>
      </x:c>
    </x:row>
    <x:row r="20" ht="22" customHeight="1">
      <x:c r="A20" s="12" t="n">
        <x:v>45841</x:v>
      </x:c>
      <x:c r="B20" s="13" t="n">
        <x:v>45841.416666666664</x:v>
      </x:c>
      <x:c r="C20" s="13" t="n">
        <x:v>45841.395833333336</x:v>
      </x:c>
      <x:c r="D20" s="9" t="n">
        <x:v>622.514</x:v>
      </x:c>
      <x:c r="E20" s="16" t="n">
        <x:v>6512549</x:v>
      </x:c>
      <x:c r="F20" s="16" t="n">
        <x:f>D20*E20</x:f>
        <x:v>4054152928.186</x:v>
      </x:c>
      <x:c r="G20" s="16" t="n">
        <x:f>SUM(F20:F20)</x:f>
        <x:v>4054152928.186</x:v>
      </x:c>
      <x:c r="H20" s="16" t="n">
        <x:f>SUM(E20:E20)</x:f>
        <x:v>6512549</x:v>
      </x:c>
      <x:c r="I20" s="9" t="n">
        <x:f>G20/H20</x:f>
        <x:v>622.514</x:v>
      </x:c>
      <x:c r="J20" s="2" t="str">
        <x:v>AV.Clean!B1467</x:v>
      </x:c>
      <x:c r="K20" s="2" t="str">
        <x:v>AV.Clean!C1467</x:v>
      </x:c>
    </x:row>
    <x:row r="21" ht="22" customHeight="1">
      <x:c r="A21" s="12" t="n">
        <x:v>45841</x:v>
      </x:c>
      <x:c r="B21" s="13" t="n">
        <x:v>45841.4375</x:v>
      </x:c>
      <x:c r="C21" s="13" t="n">
        <x:v>45841.416666666664</x:v>
      </x:c>
      <x:c r="D21" s="9" t="n">
        <x:v>623.262</x:v>
      </x:c>
      <x:c r="E21" s="16" t="n">
        <x:v>4168965</x:v>
      </x:c>
      <x:c r="F21" s="16" t="n">
        <x:f>D21*E21</x:f>
        <x:v>2598357463.83</x:v>
      </x:c>
      <x:c r="G21" s="16" t="n">
        <x:f>SUM(F20:F21)</x:f>
        <x:v>6652510392.016</x:v>
      </x:c>
      <x:c r="H21" s="16" t="n">
        <x:f>SUM(E20:E21)</x:f>
        <x:v>10681514</x:v>
      </x:c>
      <x:c r="I21" s="9" t="n">
        <x:f>G21/H21</x:f>
        <x:v>622.8059423051826</x:v>
      </x:c>
      <x:c r="J21" s="2" t="str">
        <x:v>AV.Clean!B1466</x:v>
      </x:c>
      <x:c r="K21" s="2" t="str">
        <x:v>AV.Clean!C1466</x:v>
      </x:c>
    </x:row>
    <x:row r="22" ht="22" customHeight="1">
      <x:c r="A22" s="12" t="n">
        <x:v>45841</x:v>
      </x:c>
      <x:c r="B22" s="13" t="n">
        <x:v>45841.458333333336</x:v>
      </x:c>
      <x:c r="C22" s="13" t="n">
        <x:v>45841.4375</x:v>
      </x:c>
      <x:c r="D22" s="9" t="n">
        <x:v>623.5711</x:v>
      </x:c>
      <x:c r="E22" s="16" t="n">
        <x:v>2914576</x:v>
      </x:c>
      <x:c r="F22" s="16" t="n">
        <x:f>D22*E22</x:f>
        <x:v>1817445362.3536</x:v>
      </x:c>
      <x:c r="G22" s="16" t="n">
        <x:f>SUM(F20:F22)</x:f>
        <x:v>8469955754.3696</x:v>
      </x:c>
      <x:c r="H22" s="16" t="n">
        <x:f>SUM(E20:E22)</x:f>
        <x:v>13596090</x:v>
      </x:c>
      <x:c r="I22" s="9" t="n">
        <x:f>G22/H22</x:f>
        <x:v>622.9699681577277</x:v>
      </x:c>
      <x:c r="J22" s="2" t="str">
        <x:v>AV.Clean!B1465</x:v>
      </x:c>
      <x:c r="K22" s="2" t="str">
        <x:v>AV.Clean!C1465</x:v>
      </x:c>
    </x:row>
    <x:row r="23" ht="22" customHeight="1">
      <x:c r="A23" s="12" t="n">
        <x:v>45841</x:v>
      </x:c>
      <x:c r="B23" s="13" t="n">
        <x:v>45841.479166666664</x:v>
      </x:c>
      <x:c r="C23" s="13" t="n">
        <x:v>45841.458333333336</x:v>
      </x:c>
      <x:c r="D23" s="9" t="n">
        <x:v>623.6609</x:v>
      </x:c>
      <x:c r="E23" s="16" t="n">
        <x:v>2982223</x:v>
      </x:c>
      <x:c r="F23" s="16" t="n">
        <x:f>D23*E23</x:f>
        <x:v>1859895880.1806998</x:v>
      </x:c>
      <x:c r="G23" s="16" t="n">
        <x:f>SUM(F20:F23)</x:f>
        <x:v>10329851634.5503</x:v>
      </x:c>
      <x:c r="H23" s="16" t="n">
        <x:f>SUM(E20:E23)</x:f>
        <x:v>16578313</x:v>
      </x:c>
      <x:c r="I23" s="9" t="n">
        <x:f>G23/H23</x:f>
        <x:v>623.094257814429</x:v>
      </x:c>
      <x:c r="J23" s="2" t="str">
        <x:v>AV.Clean!B1464</x:v>
      </x:c>
      <x:c r="K23" s="2" t="str">
        <x:v>AV.Clean!C1464</x:v>
      </x:c>
    </x:row>
    <x:row r="24" ht="22" customHeight="1">
      <x:c r="A24" s="12" t="n">
        <x:v>45841</x:v>
      </x:c>
      <x:c r="B24" s="13" t="n">
        <x:v>45841.5</x:v>
      </x:c>
      <x:c r="C24" s="13" t="n">
        <x:v>45841.479166666664</x:v>
      </x:c>
      <x:c r="D24" s="9" t="n">
        <x:v>624.1645</x:v>
      </x:c>
      <x:c r="E24" s="16" t="n">
        <x:v>3146120</x:v>
      </x:c>
      <x:c r="F24" s="16" t="n">
        <x:f>D24*E24</x:f>
        <x:v>1963696416.74</x:v>
      </x:c>
      <x:c r="G24" s="16" t="n">
        <x:f>SUM(F20:F24)</x:f>
        <x:v>12293548051.2903</x:v>
      </x:c>
      <x:c r="H24" s="16" t="n">
        <x:f>SUM(E20:E24)</x:f>
        <x:v>19724433</x:v>
      </x:c>
      <x:c r="I24" s="9" t="n">
        <x:f>G24/H24</x:f>
        <x:v>623.2649654005415</x:v>
      </x:c>
      <x:c r="J24" s="2" t="str">
        <x:v>AV.Clean!B1463</x:v>
      </x:c>
      <x:c r="K24" s="2" t="str">
        <x:v>AV.Clean!C1463</x:v>
      </x:c>
    </x:row>
    <x:row r="25" ht="22" customHeight="1">
      <x:c r="A25" s="12" t="n">
        <x:v>45841</x:v>
      </x:c>
      <x:c r="B25" s="13" t="n">
        <x:v>45841.520833333336</x:v>
      </x:c>
      <x:c r="C25" s="13" t="n">
        <x:v>45841.5</x:v>
      </x:c>
      <x:c r="D25" s="9" t="n">
        <x:v>624.0049</x:v>
      </x:c>
      <x:c r="E25" s="16" t="n">
        <x:v>3426249</x:v>
      </x:c>
      <x:c r="F25" s="16" t="n">
        <x:f>D25*E25</x:f>
        <x:v>2137996164.6201</x:v>
      </x:c>
      <x:c r="G25" s="16" t="n">
        <x:f>SUM(F20:F25)</x:f>
        <x:v>14431544215.9104</x:v>
      </x:c>
      <x:c r="H25" s="16" t="n">
        <x:f>SUM(E20:E25)</x:f>
        <x:v>23150682</x:v>
      </x:c>
      <x:c r="I25" s="9" t="n">
        <x:f>G25/H25</x:f>
        <x:v>623.3744740612998</x:v>
      </x:c>
      <x:c r="J25" s="2" t="str">
        <x:v>AV.Clean!B1462</x:v>
      </x:c>
      <x:c r="K25" s="2" t="str">
        <x:v>AV.Clean!C1462</x:v>
      </x:c>
    </x:row>
    <x:row r="26" ht="22" customHeight="1">
      <x:c r="A26" s="12" t="n">
        <x:v>45841</x:v>
      </x:c>
      <x:c r="B26" s="13" t="n">
        <x:v>45841.541666666664</x:v>
      </x:c>
      <x:c r="C26" s="13" t="n">
        <x:v>45841.520833333336</x:v>
      </x:c>
      <x:c r="D26" s="9" t="n">
        <x:v>623.611</x:v>
      </x:c>
      <x:c r="E26" s="16" t="n">
        <x:v>8923745</x:v>
      </x:c>
      <x:c r="F26" s="16" t="n">
        <x:f>D26*E26</x:f>
        <x:v>5564945543.195</x:v>
      </x:c>
      <x:c r="G26" s="16" t="n">
        <x:f>SUM(F20:F26)</x:f>
        <x:v>19996489759.1054</x:v>
      </x:c>
      <x:c r="H26" s="16" t="n">
        <x:f>SUM(E20:E26)</x:f>
        <x:v>32074427</x:v>
      </x:c>
      <x:c r="I26" s="9" t="n">
        <x:f>G26/H26</x:f>
        <x:v>623.4402802926269</x:v>
      </x:c>
      <x:c r="J26" s="2" t="str">
        <x:v>AV.Clean!B1461</x:v>
      </x:c>
      <x:c r="K26" s="2" t="str">
        <x:v>AV.Clean!C1461</x:v>
      </x:c>
    </x:row>
    <x:row r="27" ht="22" customHeight="1">
      <x:c r="A27" s="12" t="n">
        <x:v>45940</x:v>
      </x:c>
      <x:c r="B27" s="13" t="n">
        <x:v>45940.416666666664</x:v>
      </x:c>
      <x:c r="C27" s="13" t="n">
        <x:v>45940.395833333336</x:v>
      </x:c>
      <x:c r="D27" s="9" t="n">
        <x:v>673.17</x:v>
      </x:c>
      <x:c r="E27" s="16" t="n">
        <x:v>6539333</x:v>
      </x:c>
      <x:c r="F27" s="16" t="n">
        <x:f>D27*E27</x:f>
        <x:v>4402082795.61</x:v>
      </x:c>
      <x:c r="G27" s="16" t="n">
        <x:f>SUM(F27:F27)</x:f>
        <x:v>4402082795.61</x:v>
      </x:c>
      <x:c r="H27" s="16" t="n">
        <x:f>SUM(E27:E27)</x:f>
        <x:v>6539333</x:v>
      </x:c>
      <x:c r="I27" s="9" t="n">
        <x:f>G27/H27</x:f>
        <x:v>673.17</x:v>
      </x:c>
      <x:c r="J27" s="2" t="str">
        <x:v>AV.Clean!B503</x:v>
      </x:c>
      <x:c r="K27" s="2" t="str">
        <x:v>AV.Clean!C503</x:v>
      </x:c>
    </x:row>
    <x:row r="28" ht="22" customHeight="1">
      <x:c r="A28" s="12" t="n">
        <x:v>45940</x:v>
      </x:c>
      <x:c r="B28" s="13" t="n">
        <x:v>45940.4375</x:v>
      </x:c>
      <x:c r="C28" s="13" t="n">
        <x:v>45940.416666666664</x:v>
      </x:c>
      <x:c r="D28" s="9" t="n">
        <x:v>672.565</x:v>
      </x:c>
      <x:c r="E28" s="16" t="n">
        <x:v>3841054</x:v>
      </x:c>
      <x:c r="F28" s="16" t="n">
        <x:f>D28*E28</x:f>
        <x:v>2583358483.51</x:v>
      </x:c>
      <x:c r="G28" s="16" t="n">
        <x:f>SUM(F27:F28)</x:f>
        <x:v>6985441279.12</x:v>
      </x:c>
      <x:c r="H28" s="16" t="n">
        <x:f>SUM(E27:E28)</x:f>
        <x:v>10380387</x:v>
      </x:c>
      <x:c r="I28" s="9" t="n">
        <x:f>G28/H28</x:f>
        <x:v>672.9461318850637</x:v>
      </x:c>
      <x:c r="J28" s="2" t="str">
        <x:v>AV.Clean!B502</x:v>
      </x:c>
      <x:c r="K28" s="2" t="str">
        <x:v>AV.Clean!C502</x:v>
      </x:c>
    </x:row>
    <x:row r="29" ht="22" customHeight="1">
      <x:c r="A29" s="12" t="n">
        <x:v>45940</x:v>
      </x:c>
      <x:c r="B29" s="13" t="n">
        <x:v>45940.458333333336</x:v>
      </x:c>
      <x:c r="C29" s="13" t="n">
        <x:v>45940.4375</x:v>
      </x:c>
      <x:c r="D29" s="9" t="n">
        <x:v>668.725</x:v>
      </x:c>
      <x:c r="E29" s="16" t="n">
        <x:v>5993044</x:v>
      </x:c>
      <x:c r="F29" s="16" t="n">
        <x:f>D29*E29</x:f>
        <x:v>4007698348.9</x:v>
      </x:c>
      <x:c r="G29" s="16" t="n">
        <x:f>SUM(F27:F29)</x:f>
        <x:v>10993139628.02</x:v>
      </x:c>
      <x:c r="H29" s="16" t="n">
        <x:f>SUM(E27:E29)</x:f>
        <x:v>16373431</x:v>
      </x:c>
      <x:c r="I29" s="9" t="n">
        <x:f>G29/H29</x:f>
        <x:v>671.4011026778688</x:v>
      </x:c>
      <x:c r="J29" s="2" t="str">
        <x:v>AV.Clean!B501</x:v>
      </x:c>
      <x:c r="K29" s="2" t="str">
        <x:v>AV.Clean!C501</x:v>
      </x:c>
    </x:row>
    <x:row r="30" ht="22" customHeight="1">
      <x:c r="A30" s="12" t="n">
        <x:v>45940</x:v>
      </x:c>
      <x:c r="B30" s="13" t="n">
        <x:v>45940.479166666664</x:v>
      </x:c>
      <x:c r="C30" s="13" t="n">
        <x:v>45940.458333333336</x:v>
      </x:c>
      <x:c r="D30" s="9" t="n">
        <x:v>662.42</x:v>
      </x:c>
      <x:c r="E30" s="16" t="n">
        <x:v>24806214</x:v>
      </x:c>
      <x:c r="F30" s="16" t="n">
        <x:f>D30*E30</x:f>
        <x:v>16432132277.88</x:v>
      </x:c>
      <x:c r="G30" s="16" t="n">
        <x:f>SUM(F27:F30)</x:f>
        <x:v>27425271905.9</x:v>
      </x:c>
      <x:c r="H30" s="16" t="n">
        <x:f>SUM(E27:E30)</x:f>
        <x:v>41179645</x:v>
      </x:c>
      <x:c r="I30" s="9" t="n">
        <x:f>G30/H30</x:f>
        <x:v>665.9909745676536</x:v>
      </x:c>
      <x:c r="J30" s="2" t="str">
        <x:v>AV.Clean!B500</x:v>
      </x:c>
      <x:c r="K30" s="2" t="str">
        <x:v>AV.Clean!C500</x:v>
      </x:c>
    </x:row>
    <x:row r="31" ht="22" customHeight="1">
      <x:c r="A31" s="12" t="n">
        <x:v>45940</x:v>
      </x:c>
      <x:c r="B31" s="13" t="n">
        <x:v>45940.5</x:v>
      </x:c>
      <x:c r="C31" s="13" t="n">
        <x:v>45940.479166666664</x:v>
      </x:c>
      <x:c r="D31" s="9" t="n">
        <x:v>661.52</x:v>
      </x:c>
      <x:c r="E31" s="16" t="n">
        <x:v>15537008</x:v>
      </x:c>
      <x:c r="F31" s="16" t="n">
        <x:f>D31*E31</x:f>
        <x:v>10278041532.16</x:v>
      </x:c>
      <x:c r="G31" s="16" t="n">
        <x:f>SUM(F27:F31)</x:f>
        <x:v>37703313438.06</x:v>
      </x:c>
      <x:c r="H31" s="16" t="n">
        <x:f>SUM(E27:E31)</x:f>
        <x:v>56716653</x:v>
      </x:c>
      <x:c r="I31" s="9" t="n">
        <x:f>G31/H31</x:f>
        <x:v>664.7661920046656</x:v>
      </x:c>
      <x:c r="J31" s="2" t="str">
        <x:v>AV.Clean!B499</x:v>
      </x:c>
      <x:c r="K31" s="2" t="str">
        <x:v>AV.Clean!C499</x:v>
      </x:c>
    </x:row>
    <x:row r="32" ht="22" customHeight="1">
      <x:c r="A32" s="12" t="n">
        <x:v>45940</x:v>
      </x:c>
      <x:c r="B32" s="13" t="n">
        <x:v>45940.520833333336</x:v>
      </x:c>
      <x:c r="C32" s="13" t="n">
        <x:v>45940.5</x:v>
      </x:c>
      <x:c r="D32" s="9" t="n">
        <x:v>661.5</x:v>
      </x:c>
      <x:c r="E32" s="16" t="n">
        <x:v>7123150</x:v>
      </x:c>
      <x:c r="F32" s="16" t="n">
        <x:f>D32*E32</x:f>
        <x:v>4711963725</x:v>
      </x:c>
      <x:c r="G32" s="16" t="n">
        <x:f>SUM(F27:F32)</x:f>
        <x:v>42415277163.06</x:v>
      </x:c>
      <x:c r="H32" s="16" t="n">
        <x:f>SUM(E27:E32)</x:f>
        <x:v>63839803</x:v>
      </x:c>
      <x:c r="I32" s="9" t="n">
        <x:f>G32/H32</x:f>
        <x:v>664.4017551723961</x:v>
      </x:c>
      <x:c r="J32" s="2" t="str">
        <x:v>AV.Clean!B498</x:v>
      </x:c>
      <x:c r="K32" s="2" t="str">
        <x:v>AV.Clean!C498</x:v>
      </x:c>
    </x:row>
    <x:row r="33" ht="22" customHeight="1">
      <x:c r="A33" s="12" t="n">
        <x:v>45940</x:v>
      </x:c>
      <x:c r="B33" s="13" t="n">
        <x:v>45940.541666666664</x:v>
      </x:c>
      <x:c r="C33" s="13" t="n">
        <x:v>45940.520833333336</x:v>
      </x:c>
      <x:c r="D33" s="9" t="n">
        <x:v>659.04</x:v>
      </x:c>
      <x:c r="E33" s="16" t="n">
        <x:v>5907052</x:v>
      </x:c>
      <x:c r="F33" s="16" t="n">
        <x:f>D33*E33</x:f>
        <x:v>3892983550.08</x:v>
      </x:c>
      <x:c r="G33" s="16" t="n">
        <x:f>SUM(F27:F33)</x:f>
        <x:v>46308260713.14</x:v>
      </x:c>
      <x:c r="H33" s="16" t="n">
        <x:f>SUM(E27:E33)</x:f>
        <x:v>69746855</x:v>
      </x:c>
      <x:c r="I33" s="9" t="n">
        <x:f>G33/H33</x:f>
        <x:v>663.9476534553422</x:v>
      </x:c>
      <x:c r="J33" s="2" t="str">
        <x:v>AV.Clean!B497</x:v>
      </x:c>
      <x:c r="K33" s="2" t="str">
        <x:v>AV.Clean!C497</x:v>
      </x:c>
    </x:row>
    <x:row r="34" ht="22" customHeight="1">
      <x:c r="A34" s="12" t="n">
        <x:v>45940</x:v>
      </x:c>
      <x:c r="B34" s="13" t="n">
        <x:v>45940.5625</x:v>
      </x:c>
      <x:c r="C34" s="13" t="n">
        <x:v>45940.541666666664</x:v>
      </x:c>
      <x:c r="D34" s="9" t="n">
        <x:v>659.84</x:v>
      </x:c>
      <x:c r="E34" s="16" t="n">
        <x:v>5303657</x:v>
      </x:c>
      <x:c r="F34" s="16" t="n">
        <x:f>D34*E34</x:f>
        <x:v>3499565034.88</x:v>
      </x:c>
      <x:c r="G34" s="16" t="n">
        <x:f>SUM(F27:F34)</x:f>
        <x:v>49807825748.02</x:v>
      </x:c>
      <x:c r="H34" s="16" t="n">
        <x:f>SUM(E27:E34)</x:f>
        <x:v>75050512</x:v>
      </x:c>
      <x:c r="I34" s="9" t="n">
        <x:f>G34/H34</x:f>
        <x:v>663.657374489597</x:v>
      </x:c>
      <x:c r="J34" s="2" t="str">
        <x:v>AV.Clean!B496</x:v>
      </x:c>
      <x:c r="K34" s="2" t="str">
        <x:v>AV.Clean!C496</x:v>
      </x:c>
    </x:row>
    <x:row r="35" ht="22" customHeight="1">
      <x:c r="A35" s="12" t="n">
        <x:v>45940</x:v>
      </x:c>
      <x:c r="B35" s="13" t="n">
        <x:v>45940.583333333336</x:v>
      </x:c>
      <x:c r="C35" s="13" t="n">
        <x:v>45940.5625</x:v>
      </x:c>
      <x:c r="D35" s="9" t="n">
        <x:v>659.64</x:v>
      </x:c>
      <x:c r="E35" s="16" t="n">
        <x:v>4075539</x:v>
      </x:c>
      <x:c r="F35" s="16" t="n">
        <x:f>D35*E35</x:f>
        <x:v>2688388545.96</x:v>
      </x:c>
      <x:c r="G35" s="16" t="n">
        <x:f>SUM(F27:F35)</x:f>
        <x:v>52496214293.979996</x:v>
      </x:c>
      <x:c r="H35" s="16" t="n">
        <x:f>SUM(E27:E35)</x:f>
        <x:v>79126051</x:v>
      </x:c>
      <x:c r="I35" s="9" t="n">
        <x:f>G35/H35</x:f>
        <x:v>663.4504519122279</x:v>
      </x:c>
      <x:c r="J35" s="2" t="str">
        <x:v>AV.Clean!B495</x:v>
      </x:c>
      <x:c r="K35" s="2" t="str">
        <x:v>AV.Clean!C495</x:v>
      </x:c>
    </x:row>
    <x:row r="36" ht="22" customHeight="1">
      <x:c r="A36" s="12" t="n">
        <x:v>45940</x:v>
      </x:c>
      <x:c r="B36" s="13" t="n">
        <x:v>45940.604166666664</x:v>
      </x:c>
      <x:c r="C36" s="13" t="n">
        <x:v>45940.583333333336</x:v>
      </x:c>
      <x:c r="D36" s="9" t="n">
        <x:v>659.11</x:v>
      </x:c>
      <x:c r="E36" s="16" t="n">
        <x:v>3678936</x:v>
      </x:c>
      <x:c r="F36" s="16" t="n">
        <x:f>D36*E36</x:f>
        <x:v>2424823506.96</x:v>
      </x:c>
      <x:c r="G36" s="16" t="n">
        <x:f>SUM(F27:F36)</x:f>
        <x:v>54921037800.939995</x:v>
      </x:c>
      <x:c r="H36" s="16" t="n">
        <x:f>SUM(E27:E36)</x:f>
        <x:v>82804987</x:v>
      </x:c>
      <x:c r="I36" s="9" t="n">
        <x:f>G36/H36</x:f>
        <x:v>663.2576103289528</x:v>
      </x:c>
      <x:c r="J36" s="2" t="str">
        <x:v>AV.Clean!B494</x:v>
      </x:c>
      <x:c r="K36" s="2" t="str">
        <x:v>AV.Clean!C494</x:v>
      </x:c>
    </x:row>
    <x:row r="37" ht="22" customHeight="1">
      <x:c r="A37" s="12" t="n">
        <x:v>45940</x:v>
      </x:c>
      <x:c r="B37" s="13" t="n">
        <x:v>45940.625</x:v>
      </x:c>
      <x:c r="C37" s="13" t="n">
        <x:v>45940.604166666664</x:v>
      </x:c>
      <x:c r="D37" s="9" t="n">
        <x:v>657.215</x:v>
      </x:c>
      <x:c r="E37" s="16" t="n">
        <x:v>4528662</x:v>
      </x:c>
      <x:c r="F37" s="16" t="n">
        <x:f>D37*E37</x:f>
        <x:v>2976304596.33</x:v>
      </x:c>
      <x:c r="G37" s="16" t="n">
        <x:f>SUM(F27:F37)</x:f>
        <x:v>57897342397.27</x:v>
      </x:c>
      <x:c r="H37" s="16" t="n">
        <x:f>SUM(E27:E37)</x:f>
        <x:v>87333649</x:v>
      </x:c>
      <x:c r="I37" s="9" t="n">
        <x:f>G37/H37</x:f>
        <x:v>662.9442724564274</x:v>
      </x:c>
      <x:c r="J37" s="2" t="str">
        <x:v>AV.Clean!B493</x:v>
      </x:c>
      <x:c r="K37" s="2" t="str">
        <x:v>AV.Clean!C493</x:v>
      </x:c>
    </x:row>
    <x:row r="38" ht="22" customHeight="1">
      <x:c r="A38" s="12" t="n">
        <x:v>45940</x:v>
      </x:c>
      <x:c r="B38" s="13" t="n">
        <x:v>45940.645833333336</x:v>
      </x:c>
      <x:c r="C38" s="13" t="n">
        <x:v>45940.625</x:v>
      </x:c>
      <x:c r="D38" s="9" t="n">
        <x:v>656.12</x:v>
      </x:c>
      <x:c r="E38" s="16" t="n">
        <x:v>5154336</x:v>
      </x:c>
      <x:c r="F38" s="16" t="n">
        <x:f>D38*E38</x:f>
        <x:v>3381862936.32</x:v>
      </x:c>
      <x:c r="G38" s="16" t="n">
        <x:f>SUM(F27:F38)</x:f>
        <x:v>61279205333.59</x:v>
      </x:c>
      <x:c r="H38" s="16" t="n">
        <x:f>SUM(E27:E38)</x:f>
        <x:v>92487985</x:v>
      </x:c>
      <x:c r="I38" s="9" t="n">
        <x:f>G38/H38</x:f>
        <x:v>662.5639571841683</x:v>
      </x:c>
      <x:c r="J38" s="2" t="str">
        <x:v>AV.Clean!B492</x:v>
      </x:c>
      <x:c r="K38" s="2" t="str">
        <x:v>AV.Clean!C492</x:v>
      </x:c>
    </x:row>
    <x:row r="39" ht="22" customHeight="1">
      <x:c r="A39" s="12" t="n">
        <x:v>45940</x:v>
      </x:c>
      <x:c r="B39" s="13" t="n">
        <x:v>45940.666666666664</x:v>
      </x:c>
      <x:c r="C39" s="13" t="n">
        <x:v>45940.645833333336</x:v>
      </x:c>
      <x:c r="D39" s="9" t="n">
        <x:v>653.02</x:v>
      </x:c>
      <x:c r="E39" s="16" t="n">
        <x:v>19075100</x:v>
      </x:c>
      <x:c r="F39" s="16" t="n">
        <x:f>D39*E39</x:f>
        <x:v>12456421802</x:v>
      </x:c>
      <x:c r="G39" s="16" t="n">
        <x:f>SUM(F27:F39)</x:f>
        <x:v>73735627135.59</x:v>
      </x:c>
      <x:c r="H39" s="16" t="n">
        <x:f>SUM(E27:E39)</x:f>
        <x:v>111563085</x:v>
      </x:c>
      <x:c r="I39" s="9" t="n">
        <x:f>G39/H39</x:f>
        <x:v>660.9321276441037</x:v>
      </x:c>
      <x:c r="J39" s="2" t="str">
        <x:v>AV.Clean!B491</x:v>
      </x:c>
      <x:c r="K39" s="2" t="str">
        <x:v>AV.Clean!C491</x:v>
      </x:c>
    </x:row>
    <x:row r="40" ht="22" customHeight="1">
      <x:c r="A40" s="12" t="n">
        <x:v>45982</x:v>
      </x:c>
      <x:c r="B40" s="13" t="n">
        <x:v>45982.416666666664</x:v>
      </x:c>
      <x:c r="C40" s="13" t="n">
        <x:v>45982.395833333336</x:v>
      </x:c>
      <x:c r="D40" s="9" t="n">
        <x:v>654.83</x:v>
      </x:c>
      <x:c r="E40" s="16" t="n">
        <x:v>11043132</x:v>
      </x:c>
      <x:c r="F40" s="16" t="n">
        <x:f>D40*E40</x:f>
        <x:v>7231374127.56</x:v>
      </x:c>
      <x:c r="G40" s="16" t="n">
        <x:f>SUM(F40:F40)</x:f>
        <x:v>7231374127.56</x:v>
      </x:c>
      <x:c r="H40" s="16" t="n">
        <x:f>SUM(E40:E40)</x:f>
        <x:v>11043132</x:v>
      </x:c>
      <x:c r="I40" s="9" t="n">
        <x:f>G40/H40</x:f>
        <x:v>654.83</x:v>
      </x:c>
      <x:c r="J40" s="2" t="str">
        <x:v>AV.Clean!B83</x:v>
      </x:c>
      <x:c r="K40" s="2" t="str">
        <x:v>AV.Clean!C83</x:v>
      </x:c>
    </x:row>
    <x:row r="41" ht="22" customHeight="1">
      <x:c r="A41" s="12" t="n">
        <x:v>45982</x:v>
      </x:c>
      <x:c r="B41" s="13" t="n">
        <x:v>45982.4375</x:v>
      </x:c>
      <x:c r="C41" s="13" t="n">
        <x:v>45982.416666666664</x:v>
      </x:c>
      <x:c r="D41" s="9" t="n">
        <x:v>652.96</x:v>
      </x:c>
      <x:c r="E41" s="16" t="n">
        <x:v>8540855</x:v>
      </x:c>
      <x:c r="F41" s="16" t="n">
        <x:f>D41*E41</x:f>
        <x:v>5576836680.8</x:v>
      </x:c>
      <x:c r="G41" s="16" t="n">
        <x:f>SUM(F40:F41)</x:f>
        <x:v>12808210808.36</x:v>
      </x:c>
      <x:c r="H41" s="16" t="n">
        <x:f>SUM(E40:E41)</x:f>
        <x:v>19583987</x:v>
      </x:c>
      <x:c r="I41" s="9" t="n">
        <x:f>G41/H41</x:f>
        <x:v>654.0144664291291</x:v>
      </x:c>
      <x:c r="J41" s="2" t="str">
        <x:v>AV.Clean!B82</x:v>
      </x:c>
      <x:c r="K41" s="2" t="str">
        <x:v>AV.Clean!C82</x:v>
      </x:c>
    </x:row>
    <x:row r="42" ht="22" customHeight="1">
      <x:c r="A42" s="12" t="n">
        <x:v>45982</x:v>
      </x:c>
      <x:c r="B42" s="13" t="n">
        <x:v>45982.458333333336</x:v>
      </x:c>
      <x:c r="C42" s="13" t="n">
        <x:v>45982.4375</x:v>
      </x:c>
      <x:c r="D42" s="9" t="n">
        <x:v>653.01</x:v>
      </x:c>
      <x:c r="E42" s="16" t="n">
        <x:v>7367896</x:v>
      </x:c>
      <x:c r="F42" s="16" t="n">
        <x:f>D42*E42</x:f>
        <x:v>4811309766.96</x:v>
      </x:c>
      <x:c r="G42" s="16" t="n">
        <x:f>SUM(F40:F42)</x:f>
        <x:v>17619520575.32</x:v>
      </x:c>
      <x:c r="H42" s="16" t="n">
        <x:f>SUM(E40:E42)</x:f>
        <x:v>26951883</x:v>
      </x:c>
      <x:c r="I42" s="9" t="n">
        <x:f>G42/H42</x:f>
        <x:v>653.7398732147954</x:v>
      </x:c>
      <x:c r="J42" s="2" t="str">
        <x:v>AV.Clean!B81</x:v>
      </x:c>
      <x:c r="K42" s="2" t="str">
        <x:v>AV.Clean!C81</x:v>
      </x:c>
    </x:row>
    <x:row r="43" ht="22" customHeight="1">
      <x:c r="A43" s="12" t="n">
        <x:v>45982</x:v>
      </x:c>
      <x:c r="B43" s="13" t="n">
        <x:v>45982.479166666664</x:v>
      </x:c>
      <x:c r="C43" s="13" t="n">
        <x:v>45982.458333333336</x:v>
      </x:c>
      <x:c r="D43" s="9" t="n">
        <x:v>655.875</x:v>
      </x:c>
      <x:c r="E43" s="16" t="n">
        <x:v>4818814</x:v>
      </x:c>
      <x:c r="F43" s="16" t="n">
        <x:f>D43*E43</x:f>
        <x:v>3160539632.25</x:v>
      </x:c>
      <x:c r="G43" s="16" t="n">
        <x:f>SUM(F40:F43)</x:f>
        <x:v>20780060207.57</x:v>
      </x:c>
      <x:c r="H43" s="16" t="n">
        <x:f>SUM(E40:E43)</x:f>
        <x:v>31770697</x:v>
      </x:c>
      <x:c r="I43" s="9" t="n">
        <x:f>G43/H43</x:f>
        <x:v>654.0637181352993</x:v>
      </x:c>
      <x:c r="J43" s="2" t="str">
        <x:v>AV.Clean!B80</x:v>
      </x:c>
      <x:c r="K43" s="2" t="str">
        <x:v>AV.Clean!C80</x:v>
      </x:c>
    </x:row>
    <x:row r="44" ht="22" customHeight="1">
      <x:c r="A44" s="12" t="n">
        <x:v>45982</x:v>
      </x:c>
      <x:c r="B44" s="13" t="n">
        <x:v>45982.5</x:v>
      </x:c>
      <x:c r="C44" s="13" t="n">
        <x:v>45982.479166666664</x:v>
      </x:c>
      <x:c r="D44" s="9" t="n">
        <x:v>660.82</x:v>
      </x:c>
      <x:c r="E44" s="16" t="n">
        <x:v>6699364</x:v>
      </x:c>
      <x:c r="F44" s="16" t="n">
        <x:f>D44*E44</x:f>
        <x:v>4427073718.4800005</x:v>
      </x:c>
      <x:c r="G44" s="16" t="n">
        <x:f>SUM(F40:F44)</x:f>
        <x:v>25207133926.05</x:v>
      </x:c>
      <x:c r="H44" s="16" t="n">
        <x:f>SUM(E40:E44)</x:f>
        <x:v>38470061</x:v>
      </x:c>
      <x:c r="I44" s="9" t="n">
        <x:f>G44/H44</x:f>
        <x:v>655.2402900023995</x:v>
      </x:c>
      <x:c r="J44" s="2" t="str">
        <x:v>AV.Clean!B79</x:v>
      </x:c>
      <x:c r="K44" s="2" t="str">
        <x:v>AV.Clean!C79</x:v>
      </x:c>
    </x:row>
    <x:row r="45" ht="22" customHeight="1">
      <x:c r="A45" s="12" t="n">
        <x:v>45982</x:v>
      </x:c>
      <x:c r="B45" s="13" t="n">
        <x:v>45982.520833333336</x:v>
      </x:c>
      <x:c r="C45" s="13" t="n">
        <x:v>45982.5</x:v>
      </x:c>
      <x:c r="D45" s="9" t="n">
        <x:v>660.52</x:v>
      </x:c>
      <x:c r="E45" s="16" t="n">
        <x:v>6067053</x:v>
      </x:c>
      <x:c r="F45" s="16" t="n">
        <x:f>D45*E45</x:f>
        <x:v>4007409847.56</x:v>
      </x:c>
      <x:c r="G45" s="16" t="n">
        <x:f>SUM(F40:F45)</x:f>
        <x:v>29214543773.61</x:v>
      </x:c>
      <x:c r="H45" s="16" t="n">
        <x:f>SUM(E40:E45)</x:f>
        <x:v>44537114</x:v>
      </x:c>
      <x:c r="I45" s="9" t="n">
        <x:f>G45/H45</x:f>
        <x:v>655.9595166765857</x:v>
      </x:c>
      <x:c r="J45" s="2" t="str">
        <x:v>AV.Clean!B78</x:v>
      </x:c>
      <x:c r="K45" s="2" t="str">
        <x:v>AV.Clean!C78</x:v>
      </x:c>
    </x:row>
    <x:row r="46" ht="22" customHeight="1">
      <x:c r="A46" s="12" t="n">
        <x:v>45982</x:v>
      </x:c>
      <x:c r="B46" s="13" t="n">
        <x:v>45982.541666666664</x:v>
      </x:c>
      <x:c r="C46" s="13" t="n">
        <x:v>45982.520833333336</x:v>
      </x:c>
      <x:c r="D46" s="9" t="n">
        <x:v>660.23</x:v>
      </x:c>
      <x:c r="E46" s="16" t="n">
        <x:v>3669363</x:v>
      </x:c>
      <x:c r="F46" s="16" t="n">
        <x:f>D46*E46</x:f>
        <x:v>2422623533.4900002</x:v>
      </x:c>
      <x:c r="G46" s="16" t="n">
        <x:f>SUM(F40:F46)</x:f>
        <x:v>31637167307.100002</x:v>
      </x:c>
      <x:c r="H46" s="16" t="n">
        <x:f>SUM(E40:E46)</x:f>
        <x:v>48206477</x:v>
      </x:c>
      <x:c r="I46" s="9" t="n">
        <x:f>G46/H46</x:f>
        <x:v>656.2845757656175</x:v>
      </x:c>
      <x:c r="J46" s="2" t="str">
        <x:v>AV.Clean!B77</x:v>
      </x:c>
      <x:c r="K46" s="2" t="str">
        <x:v>AV.Clean!C77</x:v>
      </x:c>
    </x:row>
    <x:row r="47" ht="22" customHeight="1">
      <x:c r="A47" s="12" t="n">
        <x:v>45982</x:v>
      </x:c>
      <x:c r="B47" s="13" t="n">
        <x:v>45982.5625</x:v>
      </x:c>
      <x:c r="C47" s="13" t="n">
        <x:v>45982.541666666664</x:v>
      </x:c>
      <x:c r="D47" s="9" t="n">
        <x:v>658.13</x:v>
      </x:c>
      <x:c r="E47" s="16" t="n">
        <x:v>4654852</x:v>
      </x:c>
      <x:c r="F47" s="16" t="n">
        <x:f>D47*E47</x:f>
        <x:v>3063497746.7599998</x:v>
      </x:c>
      <x:c r="G47" s="16" t="n">
        <x:f>SUM(F40:F47)</x:f>
        <x:v>34700665053.86</x:v>
      </x:c>
      <x:c r="H47" s="16" t="n">
        <x:f>SUM(E40:E47)</x:f>
        <x:v>52861329</x:v>
      </x:c>
      <x:c r="I47" s="9" t="n">
        <x:f>G47/H47</x:f>
        <x:v>656.4470797520055</x:v>
      </x:c>
      <x:c r="J47" s="2" t="str">
        <x:v>AV.Clean!B76</x:v>
      </x:c>
      <x:c r="K47" s="2" t="str">
        <x:v>AV.Clean!C76</x:v>
      </x:c>
    </x:row>
    <x:row r="48" ht="22" customHeight="1">
      <x:c r="A48" s="12" t="n">
        <x:v>45982</x:v>
      </x:c>
      <x:c r="B48" s="13" t="n">
        <x:v>45982.583333333336</x:v>
      </x:c>
      <x:c r="C48" s="13" t="n">
        <x:v>45982.5625</x:v>
      </x:c>
      <x:c r="D48" s="9" t="n">
        <x:v>662.29</x:v>
      </x:c>
      <x:c r="E48" s="16" t="n">
        <x:v>6028615</x:v>
      </x:c>
      <x:c r="F48" s="16" t="n">
        <x:f>D48*E48</x:f>
        <x:v>3992691428.35</x:v>
      </x:c>
      <x:c r="G48" s="16" t="n">
        <x:f>SUM(F40:F48)</x:f>
        <x:v>38693356482.21</x:v>
      </x:c>
      <x:c r="H48" s="16" t="n">
        <x:f>SUM(E40:E48)</x:f>
        <x:v>58889944</x:v>
      </x:c>
      <x:c r="I48" s="9" t="n">
        <x:f>G48/H48</x:f>
        <x:v>657.0452246008249</x:v>
      </x:c>
      <x:c r="J48" s="2" t="str">
        <x:v>AV.Clean!B75</x:v>
      </x:c>
      <x:c r="K48" s="2" t="str">
        <x:v>AV.Clean!C75</x:v>
      </x:c>
    </x:row>
    <x:row r="49" ht="22" customHeight="1">
      <x:c r="A49" s="12" t="n">
        <x:v>45982</x:v>
      </x:c>
      <x:c r="B49" s="13" t="n">
        <x:v>45982.604166666664</x:v>
      </x:c>
      <x:c r="C49" s="13" t="n">
        <x:v>45982.583333333336</x:v>
      </x:c>
      <x:c r="D49" s="9" t="n">
        <x:v>664.23</x:v>
      </x:c>
      <x:c r="E49" s="16" t="n">
        <x:v>4637597</x:v>
      </x:c>
      <x:c r="F49" s="16" t="n">
        <x:f>D49*E49</x:f>
        <x:v>3080431055.31</x:v>
      </x:c>
      <x:c r="G49" s="16" t="n">
        <x:f>SUM(F40:F49)</x:f>
        <x:v>41773787537.52</x:v>
      </x:c>
      <x:c r="H49" s="16" t="n">
        <x:f>SUM(E40:E49)</x:f>
        <x:v>63527541</x:v>
      </x:c>
      <x:c r="I49" s="9" t="n">
        <x:f>G49/H49</x:f>
        <x:v>657.5697229886483</x:v>
      </x:c>
      <x:c r="J49" s="2" t="str">
        <x:v>AV.Clean!B74</x:v>
      </x:c>
      <x:c r="K49" s="2" t="str">
        <x:v>AV.Clean!C74</x:v>
      </x:c>
    </x:row>
    <x:row r="50" ht="22" customHeight="1">
      <x:c r="A50" s="12" t="n">
        <x:v>45982</x:v>
      </x:c>
      <x:c r="B50" s="13" t="n">
        <x:v>45982.625</x:v>
      </x:c>
      <x:c r="C50" s="13" t="n">
        <x:v>45982.604166666664</x:v>
      </x:c>
      <x:c r="D50" s="9" t="n">
        <x:v>661.67</x:v>
      </x:c>
      <x:c r="E50" s="16" t="n">
        <x:v>4758770</x:v>
      </x:c>
      <x:c r="F50" s="16" t="n">
        <x:f>D50*E50</x:f>
        <x:v>3148735345.8999996</x:v>
      </x:c>
      <x:c r="G50" s="16" t="n">
        <x:f>SUM(F40:F50)</x:f>
        <x:v>44922522883.42</x:v>
      </x:c>
      <x:c r="H50" s="16" t="n">
        <x:f>SUM(E40:E50)</x:f>
        <x:v>68286311</x:v>
      </x:c>
      <x:c r="I50" s="9" t="n">
        <x:f>G50/H50</x:f>
        <x:v>657.85546510808</x:v>
      </x:c>
      <x:c r="J50" s="2" t="str">
        <x:v>AV.Clean!B73</x:v>
      </x:c>
      <x:c r="K50" s="2" t="str">
        <x:v>AV.Clean!C73</x:v>
      </x:c>
    </x:row>
    <x:row r="51" ht="22" customHeight="1">
      <x:c r="A51" s="12" t="n">
        <x:v>45982</x:v>
      </x:c>
      <x:c r="B51" s="13" t="n">
        <x:v>45982.645833333336</x:v>
      </x:c>
      <x:c r="C51" s="13" t="n">
        <x:v>45982.625</x:v>
      </x:c>
      <x:c r="D51" s="9" t="n">
        <x:v>659.44</x:v>
      </x:c>
      <x:c r="E51" s="16" t="n">
        <x:v>4792389</x:v>
      </x:c>
      <x:c r="F51" s="16" t="n">
        <x:f>D51*E51</x:f>
        <x:v>3160293002.1600003</x:v>
      </x:c>
      <x:c r="G51" s="16" t="n">
        <x:f>SUM(F40:F51)</x:f>
        <x:v>48082815885.58</x:v>
      </x:c>
      <x:c r="H51" s="16" t="n">
        <x:f>SUM(E40:E51)</x:f>
        <x:v>73078700</x:v>
      </x:c>
      <x:c r="I51" s="9" t="n">
        <x:f>G51/H51</x:f>
        <x:v>657.9593764746774</x:v>
      </x:c>
      <x:c r="J51" s="2" t="str">
        <x:v>AV.Clean!B72</x:v>
      </x:c>
      <x:c r="K51" s="2" t="str">
        <x:v>AV.Clean!C72</x:v>
      </x:c>
    </x:row>
    <x:row r="52" ht="22" customHeight="1">
      <x:c r="A52" s="12" t="n">
        <x:v>45982</x:v>
      </x:c>
      <x:c r="B52" s="13" t="n">
        <x:v>45982.666666666664</x:v>
      </x:c>
      <x:c r="C52" s="13" t="n">
        <x:v>45982.645833333336</x:v>
      </x:c>
      <x:c r="D52" s="9" t="n">
        <x:v>659</x:v>
      </x:c>
      <x:c r="E52" s="16" t="n">
        <x:v>14373103</x:v>
      </x:c>
      <x:c r="F52" s="16" t="n">
        <x:f>D52*E52</x:f>
        <x:v>9471874877</x:v>
      </x:c>
      <x:c r="G52" s="16" t="n">
        <x:f>SUM(F40:F52)</x:f>
        <x:v>57554690762.58</x:v>
      </x:c>
      <x:c r="H52" s="16" t="n">
        <x:f>SUM(E40:E52)</x:f>
        <x:v>87451803</x:v>
      </x:c>
      <x:c r="I52" s="9" t="n">
        <x:f>G52/H52</x:f>
        <x:v>658.1304077010282</x:v>
      </x:c>
      <x:c r="J52" s="2" t="str">
        <x:v>AV.Clean!B71</x:v>
      </x:c>
      <x:c r="K52" s="2" t="str">
        <x:v>AV.Clean!C71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Noise Area: every historical source observation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Source: AV.Clean in supplied SPY workbook. Slot is availability time; source labels appear separately.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6" customHeight="1">
      <x:c r="A6" s="8" t="str">
        <x:v>Target day</x:v>
      </x:c>
      <x:c r="B6" s="8" t="str">
        <x:v>Slot</x:v>
      </x:c>
      <x:c r="C6" s="8" t="str">
        <x:v>Historical day</x:v>
      </x:c>
      <x:c r="D6" s="8" t="str">
        <x:v>Open proxy ($)</x:v>
      </x:c>
      <x:c r="E6" s="8" t="str">
        <x:v>Slot price ($)</x:v>
      </x:c>
      <x:c r="F6" s="8" t="str">
        <x:v>Price / open - 1</x:v>
      </x:c>
      <x:c r="G6" s="8" t="str">
        <x:v>Absolute move</x:v>
      </x:c>
      <x:c r="H6" s="8" t="str">
        <x:v>Available</x:v>
      </x:c>
      <x:c r="I6" s="8" t="str">
        <x:v>Open source cell</x:v>
      </x:c>
      <x:c r="J6" s="8" t="str">
        <x:v>Price source cell</x:v>
      </x:c>
      <x:c r="K6" s="8" t="str">
        <x:v>Price source label</x:v>
      </x:c>
      <x:c r="L6" s="8" t="str">
        <x:v>Available at</x:v>
      </x:c>
    </x:row>
    <x:row r="7" ht="22" customHeight="1">
      <x:c r="A7" s="12" t="n">
        <x:v>45749</x:v>
      </x:c>
      <x:c r="B7" s="14" t="str">
        <x:v>10:00</x:v>
      </x:c>
      <x:c r="C7" s="12" t="n">
        <x:v>45729</x:v>
      </x:c>
      <x:c r="D7" s="9" t="n">
        <x:v>549.9453</x:v>
      </x:c>
      <x:c r="E7" s="9" t="n">
        <x:v>549.9453</x:v>
      </x:c>
      <x:c r="F7" s="10" t="n">
        <x:f>IF(H7=1,E7/D7-1,"")</x:f>
        <x:v>0</x:v>
      </x:c>
      <x:c r="G7" s="10" t="n">
        <x:f>IF(H7=1,ABS(F7),"")</x:f>
        <x:v>0</x:v>
      </x:c>
      <x:c r="H7" s="2" t="n">
        <x:v>1</x:v>
      </x:c>
      <x:c r="I7" s="2" t="str">
        <x:v>AV.Clean!B2545</x:v>
      </x:c>
      <x:c r="J7" s="2" t="str">
        <x:v>AV.Clean!B2545</x:v>
      </x:c>
      <x:c r="K7" s="13" t="n">
        <x:v>45729.395833333336</x:v>
      </x:c>
      <x:c r="L7" s="13" t="n">
        <x:v>45729.416666666664</x:v>
      </x:c>
    </x:row>
    <x:row r="8" ht="22" customHeight="1">
      <x:c r="A8" s="12" t="n">
        <x:v>45749</x:v>
      </x:c>
      <x:c r="B8" s="14" t="str">
        <x:v>10:00</x:v>
      </x:c>
      <x:c r="C8" s="12" t="n">
        <x:v>45730</x:v>
      </x:c>
      <x:c r="D8" s="9" t="n">
        <x:v>552.0728</x:v>
      </x:c>
      <x:c r="E8" s="9" t="n">
        <x:v>552.0728</x:v>
      </x:c>
      <x:c r="F8" s="10" t="n">
        <x:f>IF(H8=1,E8/D8-1,"")</x:f>
        <x:v>0</x:v>
      </x:c>
      <x:c r="G8" s="10" t="n">
        <x:f>IF(H8=1,ABS(F8),"")</x:f>
        <x:v>0</x:v>
      </x:c>
      <x:c r="H8" s="2" t="n">
        <x:v>1</x:v>
      </x:c>
      <x:c r="I8" s="2" t="str">
        <x:v>AV.Clean!B2531</x:v>
      </x:c>
      <x:c r="J8" s="2" t="str">
        <x:v>AV.Clean!B2531</x:v>
      </x:c>
      <x:c r="K8" s="13" t="n">
        <x:v>45730.395833333336</x:v>
      </x:c>
      <x:c r="L8" s="13" t="n">
        <x:v>45730.416666666664</x:v>
      </x:c>
    </x:row>
    <x:row r="9" ht="22" customHeight="1">
      <x:c r="A9" s="12" t="n">
        <x:v>45749</x:v>
      </x:c>
      <x:c r="B9" s="14" t="str">
        <x:v>10:00</x:v>
      </x:c>
      <x:c r="C9" s="12" t="n">
        <x:v>45733</x:v>
      </x:c>
      <x:c r="D9" s="9" t="n">
        <x:v>560.5039</x:v>
      </x:c>
      <x:c r="E9" s="9" t="n">
        <x:v>560.5039</x:v>
      </x:c>
      <x:c r="F9" s="10" t="n">
        <x:f>IF(H9=1,E9/D9-1,"")</x:f>
        <x:v>0</x:v>
      </x:c>
      <x:c r="G9" s="10" t="n">
        <x:f>IF(H9=1,ABS(F9),"")</x:f>
        <x:v>0</x:v>
      </x:c>
      <x:c r="H9" s="2" t="n">
        <x:v>1</x:v>
      </x:c>
      <x:c r="I9" s="2" t="str">
        <x:v>AV.Clean!B2517</x:v>
      </x:c>
      <x:c r="J9" s="2" t="str">
        <x:v>AV.Clean!B2517</x:v>
      </x:c>
      <x:c r="K9" s="13" t="n">
        <x:v>45733.395833333336</x:v>
      </x:c>
      <x:c r="L9" s="13" t="n">
        <x:v>45733.416666666664</x:v>
      </x:c>
    </x:row>
    <x:row r="10" ht="22" customHeight="1">
      <x:c r="A10" s="12" t="n">
        <x:v>45749</x:v>
      </x:c>
      <x:c r="B10" s="14" t="str">
        <x:v>10:00</x:v>
      </x:c>
      <x:c r="C10" s="12" t="n">
        <x:v>45734</x:v>
      </x:c>
      <x:c r="D10" s="9" t="n">
        <x:v>555.8831</x:v>
      </x:c>
      <x:c r="E10" s="9" t="n">
        <x:v>555.8831</x:v>
      </x:c>
      <x:c r="F10" s="10" t="n">
        <x:f>IF(H10=1,E10/D10-1,"")</x:f>
        <x:v>0</x:v>
      </x:c>
      <x:c r="G10" s="10" t="n">
        <x:f>IF(H10=1,ABS(F10),"")</x:f>
        <x:v>0</x:v>
      </x:c>
      <x:c r="H10" s="2" t="n">
        <x:v>1</x:v>
      </x:c>
      <x:c r="I10" s="2" t="str">
        <x:v>AV.Clean!B2503</x:v>
      </x:c>
      <x:c r="J10" s="2" t="str">
        <x:v>AV.Clean!B2503</x:v>
      </x:c>
      <x:c r="K10" s="13" t="n">
        <x:v>45734.395833333336</x:v>
      </x:c>
      <x:c r="L10" s="13" t="n">
        <x:v>45734.416666666664</x:v>
      </x:c>
    </x:row>
    <x:row r="11" ht="22" customHeight="1">
      <x:c r="A11" s="12" t="n">
        <x:v>45749</x:v>
      </x:c>
      <x:c r="B11" s="14" t="str">
        <x:v>10:00</x:v>
      </x:c>
      <x:c r="C11" s="12" t="n">
        <x:v>45735</x:v>
      </x:c>
      <x:c r="D11" s="9" t="n">
        <x:v>559.2103</x:v>
      </x:c>
      <x:c r="E11" s="9" t="n">
        <x:v>559.2103</x:v>
      </x:c>
      <x:c r="F11" s="10" t="n">
        <x:f>IF(H11=1,E11/D11-1,"")</x:f>
        <x:v>0</x:v>
      </x:c>
      <x:c r="G11" s="10" t="n">
        <x:f>IF(H11=1,ABS(F11),"")</x:f>
        <x:v>0</x:v>
      </x:c>
      <x:c r="H11" s="2" t="n">
        <x:v>1</x:v>
      </x:c>
      <x:c r="I11" s="2" t="str">
        <x:v>AV.Clean!B2489</x:v>
      </x:c>
      <x:c r="J11" s="2" t="str">
        <x:v>AV.Clean!B2489</x:v>
      </x:c>
      <x:c r="K11" s="13" t="n">
        <x:v>45735.395833333336</x:v>
      </x:c>
      <x:c r="L11" s="13" t="n">
        <x:v>45735.416666666664</x:v>
      </x:c>
    </x:row>
    <x:row r="12" ht="22" customHeight="1">
      <x:c r="A12" s="12" t="n">
        <x:v>45749</x:v>
      </x:c>
      <x:c r="B12" s="14" t="str">
        <x:v>10:00</x:v>
      </x:c>
      <x:c r="C12" s="12" t="n">
        <x:v>45736</x:v>
      </x:c>
      <x:c r="D12" s="9" t="n">
        <x:v>561.6885</x:v>
      </x:c>
      <x:c r="E12" s="9" t="n">
        <x:v>561.6885</x:v>
      </x:c>
      <x:c r="F12" s="10" t="n">
        <x:f>IF(H12=1,E12/D12-1,"")</x:f>
        <x:v>0</x:v>
      </x:c>
      <x:c r="G12" s="10" t="n">
        <x:f>IF(H12=1,ABS(F12),"")</x:f>
        <x:v>0</x:v>
      </x:c>
      <x:c r="H12" s="2" t="n">
        <x:v>1</x:v>
      </x:c>
      <x:c r="I12" s="2" t="str">
        <x:v>AV.Clean!B2475</x:v>
      </x:c>
      <x:c r="J12" s="2" t="str">
        <x:v>AV.Clean!B2475</x:v>
      </x:c>
      <x:c r="K12" s="13" t="n">
        <x:v>45736.395833333336</x:v>
      </x:c>
      <x:c r="L12" s="13" t="n">
        <x:v>45736.416666666664</x:v>
      </x:c>
    </x:row>
    <x:row r="13" ht="22" customHeight="1">
      <x:c r="A13" s="12" t="n">
        <x:v>45749</x:v>
      </x:c>
      <x:c r="B13" s="14" t="str">
        <x:v>10:00</x:v>
      </x:c>
      <x:c r="C13" s="12" t="n">
        <x:v>45737</x:v>
      </x:c>
      <x:c r="D13" s="9" t="n">
        <x:v>556.7365</x:v>
      </x:c>
      <x:c r="E13" s="9" t="n">
        <x:v>556.7365</x:v>
      </x:c>
      <x:c r="F13" s="10" t="n">
        <x:f>IF(H13=1,E13/D13-1,"")</x:f>
        <x:v>0</x:v>
      </x:c>
      <x:c r="G13" s="10" t="n">
        <x:f>IF(H13=1,ABS(F13),"")</x:f>
        <x:v>0</x:v>
      </x:c>
      <x:c r="H13" s="2" t="n">
        <x:v>1</x:v>
      </x:c>
      <x:c r="I13" s="2" t="str">
        <x:v>AV.Clean!B2461</x:v>
      </x:c>
      <x:c r="J13" s="2" t="str">
        <x:v>AV.Clean!B2461</x:v>
      </x:c>
      <x:c r="K13" s="13" t="n">
        <x:v>45737.395833333336</x:v>
      </x:c>
      <x:c r="L13" s="13" t="n">
        <x:v>45737.416666666664</x:v>
      </x:c>
    </x:row>
    <x:row r="14" ht="22" customHeight="1">
      <x:c r="A14" s="12" t="n">
        <x:v>45749</x:v>
      </x:c>
      <x:c r="B14" s="14" t="str">
        <x:v>10:00</x:v>
      </x:c>
      <x:c r="C14" s="12" t="n">
        <x:v>45740</x:v>
      </x:c>
      <x:c r="D14" s="9" t="n">
        <x:v>569.5275</x:v>
      </x:c>
      <x:c r="E14" s="9" t="n">
        <x:v>569.5275</x:v>
      </x:c>
      <x:c r="F14" s="10" t="n">
        <x:f>IF(H14=1,E14/D14-1,"")</x:f>
        <x:v>0</x:v>
      </x:c>
      <x:c r="G14" s="10" t="n">
        <x:f>IF(H14=1,ABS(F14),"")</x:f>
        <x:v>0</x:v>
      </x:c>
      <x:c r="H14" s="2" t="n">
        <x:v>1</x:v>
      </x:c>
      <x:c r="I14" s="2" t="str">
        <x:v>AV.Clean!B2447</x:v>
      </x:c>
      <x:c r="J14" s="2" t="str">
        <x:v>AV.Clean!B2447</x:v>
      </x:c>
      <x:c r="K14" s="13" t="n">
        <x:v>45740.395833333336</x:v>
      </x:c>
      <x:c r="L14" s="13" t="n">
        <x:v>45740.416666666664</x:v>
      </x:c>
    </x:row>
    <x:row r="15" ht="22" customHeight="1">
      <x:c r="A15" s="12" t="n">
        <x:v>45749</x:v>
      </x:c>
      <x:c r="B15" s="14" t="str">
        <x:v>10:00</x:v>
      </x:c>
      <x:c r="C15" s="12" t="n">
        <x:v>45741</x:v>
      </x:c>
      <x:c r="D15" s="9" t="n">
        <x:v>571.4266</x:v>
      </x:c>
      <x:c r="E15" s="9" t="n">
        <x:v>571.4266</x:v>
      </x:c>
      <x:c r="F15" s="10" t="n">
        <x:f>IF(H15=1,E15/D15-1,"")</x:f>
        <x:v>0</x:v>
      </x:c>
      <x:c r="G15" s="10" t="n">
        <x:f>IF(H15=1,ABS(F15),"")</x:f>
        <x:v>0</x:v>
      </x:c>
      <x:c r="H15" s="2" t="n">
        <x:v>1</x:v>
      </x:c>
      <x:c r="I15" s="2" t="str">
        <x:v>AV.Clean!B2433</x:v>
      </x:c>
      <x:c r="J15" s="2" t="str">
        <x:v>AV.Clean!B2433</x:v>
      </x:c>
      <x:c r="K15" s="13" t="n">
        <x:v>45741.395833333336</x:v>
      </x:c>
      <x:c r="L15" s="13" t="n">
        <x:v>45741.416666666664</x:v>
      </x:c>
    </x:row>
    <x:row r="16" ht="22" customHeight="1">
      <x:c r="A16" s="12" t="n">
        <x:v>45749</x:v>
      </x:c>
      <x:c r="B16" s="14" t="str">
        <x:v>10:00</x:v>
      </x:c>
      <x:c r="C16" s="12" t="n">
        <x:v>45742</x:v>
      </x:c>
      <x:c r="D16" s="9" t="n">
        <x:v>570.2513</x:v>
      </x:c>
      <x:c r="E16" s="9" t="n">
        <x:v>570.2513</x:v>
      </x:c>
      <x:c r="F16" s="10" t="n">
        <x:f>IF(H16=1,E16/D16-1,"")</x:f>
        <x:v>0</x:v>
      </x:c>
      <x:c r="G16" s="10" t="n">
        <x:f>IF(H16=1,ABS(F16),"")</x:f>
        <x:v>0</x:v>
      </x:c>
      <x:c r="H16" s="2" t="n">
        <x:v>1</x:v>
      </x:c>
      <x:c r="I16" s="2" t="str">
        <x:v>AV.Clean!B2419</x:v>
      </x:c>
      <x:c r="J16" s="2" t="str">
        <x:v>AV.Clean!B2419</x:v>
      </x:c>
      <x:c r="K16" s="13" t="n">
        <x:v>45742.395833333336</x:v>
      </x:c>
      <x:c r="L16" s="13" t="n">
        <x:v>45742.416666666664</x:v>
      </x:c>
    </x:row>
    <x:row r="17" ht="22" customHeight="1">
      <x:c r="A17" s="12" t="n">
        <x:v>45749</x:v>
      </x:c>
      <x:c r="B17" s="14" t="str">
        <x:v>10:00</x:v>
      </x:c>
      <x:c r="C17" s="12" t="n">
        <x:v>45743</x:v>
      </x:c>
      <x:c r="D17" s="9" t="n">
        <x:v>565.093</x:v>
      </x:c>
      <x:c r="E17" s="9" t="n">
        <x:v>565.093</x:v>
      </x:c>
      <x:c r="F17" s="10" t="n">
        <x:f>IF(H17=1,E17/D17-1,"")</x:f>
        <x:v>0</x:v>
      </x:c>
      <x:c r="G17" s="10" t="n">
        <x:f>IF(H17=1,ABS(F17),"")</x:f>
        <x:v>0</x:v>
      </x:c>
      <x:c r="H17" s="2" t="n">
        <x:v>1</x:v>
      </x:c>
      <x:c r="I17" s="2" t="str">
        <x:v>AV.Clean!B2405</x:v>
      </x:c>
      <x:c r="J17" s="2" t="str">
        <x:v>AV.Clean!B2405</x:v>
      </x:c>
      <x:c r="K17" s="13" t="n">
        <x:v>45743.395833333336</x:v>
      </x:c>
      <x:c r="L17" s="13" t="n">
        <x:v>45743.416666666664</x:v>
      </x:c>
    </x:row>
    <x:row r="18" ht="22" customHeight="1">
      <x:c r="A18" s="12" t="n">
        <x:v>45749</x:v>
      </x:c>
      <x:c r="B18" s="14" t="str">
        <x:v>10:00</x:v>
      </x:c>
      <x:c r="C18" s="12" t="n">
        <x:v>45744</x:v>
      </x:c>
      <x:c r="D18" s="9" t="n">
        <x:v>559.8779</x:v>
      </x:c>
      <x:c r="E18" s="9" t="n">
        <x:v>559.8779</x:v>
      </x:c>
      <x:c r="F18" s="10" t="n">
        <x:f>IF(H18=1,E18/D18-1,"")</x:f>
        <x:v>0</x:v>
      </x:c>
      <x:c r="G18" s="10" t="n">
        <x:f>IF(H18=1,ABS(F18),"")</x:f>
        <x:v>0</x:v>
      </x:c>
      <x:c r="H18" s="2" t="n">
        <x:v>1</x:v>
      </x:c>
      <x:c r="I18" s="2" t="str">
        <x:v>AV.Clean!B2391</x:v>
      </x:c>
      <x:c r="J18" s="2" t="str">
        <x:v>AV.Clean!B2391</x:v>
      </x:c>
      <x:c r="K18" s="13" t="n">
        <x:v>45744.395833333336</x:v>
      </x:c>
      <x:c r="L18" s="13" t="n">
        <x:v>45744.416666666664</x:v>
      </x:c>
    </x:row>
    <x:row r="19" ht="22" customHeight="1">
      <x:c r="A19" s="12" t="n">
        <x:v>45749</x:v>
      </x:c>
      <x:c r="B19" s="14" t="str">
        <x:v>10:00</x:v>
      </x:c>
      <x:c r="C19" s="12" t="n">
        <x:v>45747</x:v>
      </x:c>
      <x:c r="D19" s="9" t="n">
        <x:v>546.5891</x:v>
      </x:c>
      <x:c r="E19" s="9" t="n">
        <x:v>546.5891</x:v>
      </x:c>
      <x:c r="F19" s="10" t="n">
        <x:f>IF(H19=1,E19/D19-1,"")</x:f>
        <x:v>0</x:v>
      </x:c>
      <x:c r="G19" s="10" t="n">
        <x:f>IF(H19=1,ABS(F19),"")</x:f>
        <x:v>0</x:v>
      </x:c>
      <x:c r="H19" s="2" t="n">
        <x:v>1</x:v>
      </x:c>
      <x:c r="I19" s="2" t="str">
        <x:v>AV.Clean!B2377</x:v>
      </x:c>
      <x:c r="J19" s="2" t="str">
        <x:v>AV.Clean!B2377</x:v>
      </x:c>
      <x:c r="K19" s="13" t="n">
        <x:v>45747.395833333336</x:v>
      </x:c>
      <x:c r="L19" s="13" t="n">
        <x:v>45747.416666666664</x:v>
      </x:c>
    </x:row>
    <x:row r="20" ht="22" customHeight="1">
      <x:c r="A20" s="12" t="n">
        <x:v>45749</x:v>
      </x:c>
      <x:c r="B20" s="14" t="str">
        <x:v>10:00</x:v>
      </x:c>
      <x:c r="C20" s="12" t="n">
        <x:v>45748</x:v>
      </x:c>
      <x:c r="D20" s="9" t="n">
        <x:v>554.0215</x:v>
      </x:c>
      <x:c r="E20" s="9" t="n">
        <x:v>554.0215</x:v>
      </x:c>
      <x:c r="F20" s="10" t="n">
        <x:f>IF(H20=1,E20/D20-1,"")</x:f>
        <x:v>0</x:v>
      </x:c>
      <x:c r="G20" s="10" t="n">
        <x:f>IF(H20=1,ABS(F20),"")</x:f>
        <x:v>0</x:v>
      </x:c>
      <x:c r="H20" s="2" t="n">
        <x:v>1</x:v>
      </x:c>
      <x:c r="I20" s="2" t="str">
        <x:v>AV.Clean!B2363</x:v>
      </x:c>
      <x:c r="J20" s="2" t="str">
        <x:v>AV.Clean!B2363</x:v>
      </x:c>
      <x:c r="K20" s="13" t="n">
        <x:v>45748.395833333336</x:v>
      </x:c>
      <x:c r="L20" s="13" t="n">
        <x:v>45748.416666666664</x:v>
      </x:c>
    </x:row>
    <x:row r="21" ht="22" customHeight="1">
      <x:c r="A21" s="12" t="n">
        <x:v>45749</x:v>
      </x:c>
      <x:c r="B21" s="14" t="str">
        <x:v>10:30</x:v>
      </x:c>
      <x:c r="C21" s="12" t="n">
        <x:v>45729</x:v>
      </x:c>
      <x:c r="D21" s="9" t="n">
        <x:v>549.9453</x:v>
      </x:c>
      <x:c r="E21" s="9" t="n">
        <x:v>552.3206</x:v>
      </x:c>
      <x:c r="F21" s="10" t="n">
        <x:f>IF(H21=1,E21/D21-1,"")</x:f>
        <x:v>0.004319156832506943</x:v>
      </x:c>
      <x:c r="G21" s="10" t="n">
        <x:f>IF(H21=1,ABS(F21),"")</x:f>
        <x:v>0.004319156832506943</x:v>
      </x:c>
      <x:c r="H21" s="2" t="n">
        <x:v>1</x:v>
      </x:c>
      <x:c r="I21" s="2" t="str">
        <x:v>AV.Clean!B2545</x:v>
      </x:c>
      <x:c r="J21" s="2" t="str">
        <x:v>AV.Clean!B2544</x:v>
      </x:c>
      <x:c r="K21" s="13" t="n">
        <x:v>45729.416666666664</x:v>
      </x:c>
      <x:c r="L21" s="13" t="n">
        <x:v>45729.4375</x:v>
      </x:c>
    </x:row>
    <x:row r="22" ht="22" customHeight="1">
      <x:c r="A22" s="12" t="n">
        <x:v>45749</x:v>
      </x:c>
      <x:c r="B22" s="14" t="str">
        <x:v>10:30</x:v>
      </x:c>
      <x:c r="C22" s="12" t="n">
        <x:v>45730</x:v>
      </x:c>
      <x:c r="D22" s="9" t="n">
        <x:v>552.0728</x:v>
      </x:c>
      <x:c r="E22" s="9" t="n">
        <x:v>552.079</x:v>
      </x:c>
      <x:c r="F22" s="10" t="n">
        <x:f>IF(H22=1,E22/D22-1,"")</x:f>
        <x:v>0.000011230402946704743</x:v>
      </x:c>
      <x:c r="G22" s="10" t="n">
        <x:f>IF(H22=1,ABS(F22),"")</x:f>
        <x:v>0.000011230402946704743</x:v>
      </x:c>
      <x:c r="H22" s="2" t="n">
        <x:v>1</x:v>
      </x:c>
      <x:c r="I22" s="2" t="str">
        <x:v>AV.Clean!B2531</x:v>
      </x:c>
      <x:c r="J22" s="2" t="str">
        <x:v>AV.Clean!B2530</x:v>
      </x:c>
      <x:c r="K22" s="13" t="n">
        <x:v>45730.416666666664</x:v>
      </x:c>
      <x:c r="L22" s="13" t="n">
        <x:v>45730.4375</x:v>
      </x:c>
    </x:row>
    <x:row r="23" ht="22" customHeight="1">
      <x:c r="A23" s="12" t="n">
        <x:v>45749</x:v>
      </x:c>
      <x:c r="B23" s="14" t="str">
        <x:v>10:30</x:v>
      </x:c>
      <x:c r="C23" s="12" t="n">
        <x:v>45733</x:v>
      </x:c>
      <x:c r="D23" s="9" t="n">
        <x:v>560.5039</x:v>
      </x:c>
      <x:c r="E23" s="9" t="n">
        <x:v>559.577</x:v>
      </x:c>
      <x:c r="F23" s="10" t="n">
        <x:f>IF(H23=1,E23/D23-1,"")</x:f>
        <x:v>-0.0016536905452397832</x:v>
      </x:c>
      <x:c r="G23" s="10" t="n">
        <x:f>IF(H23=1,ABS(F23),"")</x:f>
        <x:v>0.0016536905452397832</x:v>
      </x:c>
      <x:c r="H23" s="2" t="n">
        <x:v>1</x:v>
      </x:c>
      <x:c r="I23" s="2" t="str">
        <x:v>AV.Clean!B2517</x:v>
      </x:c>
      <x:c r="J23" s="2" t="str">
        <x:v>AV.Clean!B2516</x:v>
      </x:c>
      <x:c r="K23" s="13" t="n">
        <x:v>45733.416666666664</x:v>
      </x:c>
      <x:c r="L23" s="13" t="n">
        <x:v>45733.4375</x:v>
      </x:c>
    </x:row>
    <x:row r="24" ht="22" customHeight="1">
      <x:c r="A24" s="12" t="n">
        <x:v>45749</x:v>
      </x:c>
      <x:c r="B24" s="14" t="str">
        <x:v>10:30</x:v>
      </x:c>
      <x:c r="C24" s="12" t="n">
        <x:v>45734</x:v>
      </x:c>
      <x:c r="D24" s="9" t="n">
        <x:v>555.8831</x:v>
      </x:c>
      <x:c r="E24" s="9" t="n">
        <x:v>556.3156</x:v>
      </x:c>
      <x:c r="F24" s="10" t="n">
        <x:f>IF(H24=1,E24/D24-1,"")</x:f>
        <x:v>0.0007780412824207605</x:v>
      </x:c>
      <x:c r="G24" s="10" t="n">
        <x:f>IF(H24=1,ABS(F24),"")</x:f>
        <x:v>0.0007780412824207605</x:v>
      </x:c>
      <x:c r="H24" s="2" t="n">
        <x:v>1</x:v>
      </x:c>
      <x:c r="I24" s="2" t="str">
        <x:v>AV.Clean!B2503</x:v>
      </x:c>
      <x:c r="J24" s="2" t="str">
        <x:v>AV.Clean!B2502</x:v>
      </x:c>
      <x:c r="K24" s="13" t="n">
        <x:v>45734.416666666664</x:v>
      </x:c>
      <x:c r="L24" s="13" t="n">
        <x:v>45734.4375</x:v>
      </x:c>
    </x:row>
    <x:row r="25" ht="22" customHeight="1">
      <x:c r="A25" s="12" t="n">
        <x:v>45749</x:v>
      </x:c>
      <x:c r="B25" s="14" t="str">
        <x:v>10:30</x:v>
      </x:c>
      <x:c r="C25" s="12" t="n">
        <x:v>45735</x:v>
      </x:c>
      <x:c r="D25" s="9" t="n">
        <x:v>559.2103</x:v>
      </x:c>
      <x:c r="E25" s="9" t="n">
        <x:v>559.6082</x:v>
      </x:c>
      <x:c r="F25" s="10" t="n">
        <x:f>IF(H25=1,E25/D25-1,"")</x:f>
        <x:v>0.0007115391114935754</x:v>
      </x:c>
      <x:c r="G25" s="10" t="n">
        <x:f>IF(H25=1,ABS(F25),"")</x:f>
        <x:v>0.0007115391114935754</x:v>
      </x:c>
      <x:c r="H25" s="2" t="n">
        <x:v>1</x:v>
      </x:c>
      <x:c r="I25" s="2" t="str">
        <x:v>AV.Clean!B2489</x:v>
      </x:c>
      <x:c r="J25" s="2" t="str">
        <x:v>AV.Clean!B2488</x:v>
      </x:c>
      <x:c r="K25" s="13" t="n">
        <x:v>45735.416666666664</x:v>
      </x:c>
      <x:c r="L25" s="13" t="n">
        <x:v>45735.4375</x:v>
      </x:c>
    </x:row>
    <x:row r="26" ht="22" customHeight="1">
      <x:c r="A26" s="12" t="n">
        <x:v>45749</x:v>
      </x:c>
      <x:c r="B26" s="14" t="str">
        <x:v>10:30</x:v>
      </x:c>
      <x:c r="C26" s="12" t="n">
        <x:v>45736</x:v>
      </x:c>
      <x:c r="D26" s="9" t="n">
        <x:v>561.6885</x:v>
      </x:c>
      <x:c r="E26" s="9" t="n">
        <x:v>564.5435</x:v>
      </x:c>
      <x:c r="F26" s="10" t="n">
        <x:f>IF(H26=1,E26/D26-1,"")</x:f>
        <x:v>0.00508288846932059</x:v>
      </x:c>
      <x:c r="G26" s="10" t="n">
        <x:f>IF(H26=1,ABS(F26),"")</x:f>
        <x:v>0.00508288846932059</x:v>
      </x:c>
      <x:c r="H26" s="2" t="n">
        <x:v>1</x:v>
      </x:c>
      <x:c r="I26" s="2" t="str">
        <x:v>AV.Clean!B2475</x:v>
      </x:c>
      <x:c r="J26" s="2" t="str">
        <x:v>AV.Clean!B2474</x:v>
      </x:c>
      <x:c r="K26" s="13" t="n">
        <x:v>45736.416666666664</x:v>
      </x:c>
      <x:c r="L26" s="13" t="n">
        <x:v>45736.4375</x:v>
      </x:c>
    </x:row>
    <x:row r="27" ht="22" customHeight="1">
      <x:c r="A27" s="12" t="n">
        <x:v>45749</x:v>
      </x:c>
      <x:c r="B27" s="14" t="str">
        <x:v>10:30</x:v>
      </x:c>
      <x:c r="C27" s="12" t="n">
        <x:v>45737</x:v>
      </x:c>
      <x:c r="D27" s="9" t="n">
        <x:v>556.7365</x:v>
      </x:c>
      <x:c r="E27" s="9" t="n">
        <x:v>556.5967</x:v>
      </x:c>
      <x:c r="F27" s="10" t="n">
        <x:f>IF(H27=1,E27/D27-1,"")</x:f>
        <x:v>-0.00025110622350055234</x:v>
      </x:c>
      <x:c r="G27" s="10" t="n">
        <x:f>IF(H27=1,ABS(F27),"")</x:f>
        <x:v>0.00025110622350055234</x:v>
      </x:c>
      <x:c r="H27" s="2" t="n">
        <x:v>1</x:v>
      </x:c>
      <x:c r="I27" s="2" t="str">
        <x:v>AV.Clean!B2461</x:v>
      </x:c>
      <x:c r="J27" s="2" t="str">
        <x:v>AV.Clean!B2460</x:v>
      </x:c>
      <x:c r="K27" s="13" t="n">
        <x:v>45737.416666666664</x:v>
      </x:c>
      <x:c r="L27" s="13" t="n">
        <x:v>45737.4375</x:v>
      </x:c>
    </x:row>
    <x:row r="28" ht="22" customHeight="1">
      <x:c r="A28" s="12" t="n">
        <x:v>45749</x:v>
      </x:c>
      <x:c r="B28" s="14" t="str">
        <x:v>10:30</x:v>
      </x:c>
      <x:c r="C28" s="12" t="n">
        <x:v>45740</x:v>
      </x:c>
      <x:c r="D28" s="9" t="n">
        <x:v>569.5275</x:v>
      </x:c>
      <x:c r="E28" s="9" t="n">
        <x:v>569.8805</x:v>
      </x:c>
      <x:c r="F28" s="10" t="n">
        <x:f>IF(H28=1,E28/D28-1,"")</x:f>
        <x:v>0.0006198120371709859</x:v>
      </x:c>
      <x:c r="G28" s="10" t="n">
        <x:f>IF(H28=1,ABS(F28),"")</x:f>
        <x:v>0.0006198120371709859</x:v>
      </x:c>
      <x:c r="H28" s="2" t="n">
        <x:v>1</x:v>
      </x:c>
      <x:c r="I28" s="2" t="str">
        <x:v>AV.Clean!B2447</x:v>
      </x:c>
      <x:c r="J28" s="2" t="str">
        <x:v>AV.Clean!B2446</x:v>
      </x:c>
      <x:c r="K28" s="13" t="n">
        <x:v>45740.416666666664</x:v>
      </x:c>
      <x:c r="L28" s="13" t="n">
        <x:v>45740.4375</x:v>
      </x:c>
    </x:row>
    <x:row r="29" ht="22" customHeight="1">
      <x:c r="A29" s="12" t="n">
        <x:v>45749</x:v>
      </x:c>
      <x:c r="B29" s="14" t="str">
        <x:v>10:30</x:v>
      </x:c>
      <x:c r="C29" s="12" t="n">
        <x:v>45741</x:v>
      </x:c>
      <x:c r="D29" s="9" t="n">
        <x:v>571.4266</x:v>
      </x:c>
      <x:c r="E29" s="9" t="n">
        <x:v>572.5253</x:v>
      </x:c>
      <x:c r="F29" s="10" t="n">
        <x:f>IF(H29=1,E29/D29-1,"")</x:f>
        <x:v>0.0019227316334240463</x:v>
      </x:c>
      <x:c r="G29" s="10" t="n">
        <x:f>IF(H29=1,ABS(F29),"")</x:f>
        <x:v>0.0019227316334240463</x:v>
      </x:c>
      <x:c r="H29" s="2" t="n">
        <x:v>1</x:v>
      </x:c>
      <x:c r="I29" s="2" t="str">
        <x:v>AV.Clean!B2433</x:v>
      </x:c>
      <x:c r="J29" s="2" t="str">
        <x:v>AV.Clean!B2432</x:v>
      </x:c>
      <x:c r="K29" s="13" t="n">
        <x:v>45741.416666666664</x:v>
      </x:c>
      <x:c r="L29" s="13" t="n">
        <x:v>45741.4375</x:v>
      </x:c>
    </x:row>
    <x:row r="30" ht="22" customHeight="1">
      <x:c r="A30" s="12" t="n">
        <x:v>45749</x:v>
      </x:c>
      <x:c r="B30" s="14" t="str">
        <x:v>10:30</x:v>
      </x:c>
      <x:c r="C30" s="12" t="n">
        <x:v>45742</x:v>
      </x:c>
      <x:c r="D30" s="9" t="n">
        <x:v>570.2513</x:v>
      </x:c>
      <x:c r="E30" s="9" t="n">
        <x:v>570.0545</x:v>
      </x:c>
      <x:c r="F30" s="10" t="n">
        <x:f>IF(H30=1,E30/D30-1,"")</x:f>
        <x:v>-0.00034511100632306224</x:v>
      </x:c>
      <x:c r="G30" s="10" t="n">
        <x:f>IF(H30=1,ABS(F30),"")</x:f>
        <x:v>0.00034511100632306224</x:v>
      </x:c>
      <x:c r="H30" s="2" t="n">
        <x:v>1</x:v>
      </x:c>
      <x:c r="I30" s="2" t="str">
        <x:v>AV.Clean!B2419</x:v>
      </x:c>
      <x:c r="J30" s="2" t="str">
        <x:v>AV.Clean!B2418</x:v>
      </x:c>
      <x:c r="K30" s="13" t="n">
        <x:v>45742.416666666664</x:v>
      </x:c>
      <x:c r="L30" s="13" t="n">
        <x:v>45742.4375</x:v>
      </x:c>
    </x:row>
    <x:row r="31" ht="22" customHeight="1">
      <x:c r="A31" s="12" t="n">
        <x:v>45749</x:v>
      </x:c>
      <x:c r="B31" s="14" t="str">
        <x:v>10:30</x:v>
      </x:c>
      <x:c r="C31" s="12" t="n">
        <x:v>45743</x:v>
      </x:c>
      <x:c r="D31" s="9" t="n">
        <x:v>565.093</x:v>
      </x:c>
      <x:c r="E31" s="9" t="n">
        <x:v>566.3507</x:v>
      </x:c>
      <x:c r="F31" s="10" t="n">
        <x:f>IF(H31=1,E31/D31-1,"")</x:f>
        <x:v>0.002225651352963043</x:v>
      </x:c>
      <x:c r="G31" s="10" t="n">
        <x:f>IF(H31=1,ABS(F31),"")</x:f>
        <x:v>0.002225651352963043</x:v>
      </x:c>
      <x:c r="H31" s="2" t="n">
        <x:v>1</x:v>
      </x:c>
      <x:c r="I31" s="2" t="str">
        <x:v>AV.Clean!B2405</x:v>
      </x:c>
      <x:c r="J31" s="2" t="str">
        <x:v>AV.Clean!B2404</x:v>
      </x:c>
      <x:c r="K31" s="13" t="n">
        <x:v>45743.416666666664</x:v>
      </x:c>
      <x:c r="L31" s="13" t="n">
        <x:v>45743.4375</x:v>
      </x:c>
    </x:row>
    <x:row r="32" ht="22" customHeight="1">
      <x:c r="A32" s="12" t="n">
        <x:v>45749</x:v>
      </x:c>
      <x:c r="B32" s="14" t="str">
        <x:v>10:30</x:v>
      </x:c>
      <x:c r="C32" s="12" t="n">
        <x:v>45744</x:v>
      </x:c>
      <x:c r="D32" s="9" t="n">
        <x:v>559.8779</x:v>
      </x:c>
      <x:c r="E32" s="9" t="n">
        <x:v>556.4227</x:v>
      </x:c>
      <x:c r="F32" s="10" t="n">
        <x:f>IF(H32=1,E32/D32-1,"")</x:f>
        <x:v>-0.006171345573740217</x:v>
      </x:c>
      <x:c r="G32" s="10" t="n">
        <x:f>IF(H32=1,ABS(F32),"")</x:f>
        <x:v>0.006171345573740217</x:v>
      </x:c>
      <x:c r="H32" s="2" t="n">
        <x:v>1</x:v>
      </x:c>
      <x:c r="I32" s="2" t="str">
        <x:v>AV.Clean!B2391</x:v>
      </x:c>
      <x:c r="J32" s="2" t="str">
        <x:v>AV.Clean!B2390</x:v>
      </x:c>
      <x:c r="K32" s="13" t="n">
        <x:v>45744.416666666664</x:v>
      </x:c>
      <x:c r="L32" s="13" t="n">
        <x:v>45744.4375</x:v>
      </x:c>
    </x:row>
    <x:row r="33" ht="22" customHeight="1">
      <x:c r="A33" s="12" t="n">
        <x:v>45749</x:v>
      </x:c>
      <x:c r="B33" s="14" t="str">
        <x:v>10:30</x:v>
      </x:c>
      <x:c r="C33" s="12" t="n">
        <x:v>45747</x:v>
      </x:c>
      <x:c r="D33" s="9" t="n">
        <x:v>546.5891</x:v>
      </x:c>
      <x:c r="E33" s="9" t="n">
        <x:v>546.3754</x:v>
      </x:c>
      <x:c r="F33" s="10" t="n">
        <x:f>IF(H33=1,E33/D33-1,"")</x:f>
        <x:v>-0.0003909701089904738</x:v>
      </x:c>
      <x:c r="G33" s="10" t="n">
        <x:f>IF(H33=1,ABS(F33),"")</x:f>
        <x:v>0.0003909701089904738</x:v>
      </x:c>
      <x:c r="H33" s="2" t="n">
        <x:v>1</x:v>
      </x:c>
      <x:c r="I33" s="2" t="str">
        <x:v>AV.Clean!B2377</x:v>
      </x:c>
      <x:c r="J33" s="2" t="str">
        <x:v>AV.Clean!B2376</x:v>
      </x:c>
      <x:c r="K33" s="13" t="n">
        <x:v>45747.416666666664</x:v>
      </x:c>
      <x:c r="L33" s="13" t="n">
        <x:v>45747.4375</x:v>
      </x:c>
    </x:row>
    <x:row r="34" ht="22" customHeight="1">
      <x:c r="A34" s="12" t="n">
        <x:v>45749</x:v>
      </x:c>
      <x:c r="B34" s="14" t="str">
        <x:v>10:30</x:v>
      </x:c>
      <x:c r="C34" s="12" t="n">
        <x:v>45748</x:v>
      </x:c>
      <x:c r="D34" s="9" t="n">
        <x:v>554.0215</x:v>
      </x:c>
      <x:c r="E34" s="9" t="n">
        <x:v>551.9136</x:v>
      </x:c>
      <x:c r="F34" s="10" t="n">
        <x:f>IF(H34=1,E34/D34-1,"")</x:f>
        <x:v>-0.0038047259898758012</x:v>
      </x:c>
      <x:c r="G34" s="10" t="n">
        <x:f>IF(H34=1,ABS(F34),"")</x:f>
        <x:v>0.0038047259898758012</x:v>
      </x:c>
      <x:c r="H34" s="2" t="n">
        <x:v>1</x:v>
      </x:c>
      <x:c r="I34" s="2" t="str">
        <x:v>AV.Clean!B2363</x:v>
      </x:c>
      <x:c r="J34" s="2" t="str">
        <x:v>AV.Clean!B2362</x:v>
      </x:c>
      <x:c r="K34" s="13" t="n">
        <x:v>45748.416666666664</x:v>
      </x:c>
      <x:c r="L34" s="13" t="n">
        <x:v>45748.4375</x:v>
      </x:c>
    </x:row>
    <x:row r="35" ht="22" customHeight="1">
      <x:c r="A35" s="12" t="n">
        <x:v>45749</x:v>
      </x:c>
      <x:c r="B35" s="14" t="str">
        <x:v>11:00</x:v>
      </x:c>
      <x:c r="C35" s="12" t="n">
        <x:v>45729</x:v>
      </x:c>
      <x:c r="D35" s="9" t="n">
        <x:v>549.9453</x:v>
      </x:c>
      <x:c r="E35" s="9" t="n">
        <x:v>551.2501</x:v>
      </x:c>
      <x:c r="F35" s="10" t="n">
        <x:f>IF(H35=1,E35/D35-1,"")</x:f>
        <x:v>0.0023725996021786155</x:v>
      </x:c>
      <x:c r="G35" s="10" t="n">
        <x:f>IF(H35=1,ABS(F35),"")</x:f>
        <x:v>0.0023725996021786155</x:v>
      </x:c>
      <x:c r="H35" s="2" t="n">
        <x:v>1</x:v>
      </x:c>
      <x:c r="I35" s="2" t="str">
        <x:v>AV.Clean!B2545</x:v>
      </x:c>
      <x:c r="J35" s="2" t="str">
        <x:v>AV.Clean!B2543</x:v>
      </x:c>
      <x:c r="K35" s="13" t="n">
        <x:v>45729.4375</x:v>
      </x:c>
      <x:c r="L35" s="13" t="n">
        <x:v>45729.458333333336</x:v>
      </x:c>
    </x:row>
    <x:row r="36" ht="22" customHeight="1">
      <x:c r="A36" s="12" t="n">
        <x:v>45749</x:v>
      </x:c>
      <x:c r="B36" s="14" t="str">
        <x:v>11:00</x:v>
      </x:c>
      <x:c r="C36" s="12" t="n">
        <x:v>45730</x:v>
      </x:c>
      <x:c r="D36" s="9" t="n">
        <x:v>552.0728</x:v>
      </x:c>
      <x:c r="E36" s="9" t="n">
        <x:v>555.5226</x:v>
      </x:c>
      <x:c r="F36" s="10" t="n">
        <x:f>IF(H36=1,E36/D36-1,"")</x:f>
        <x:v>0.006248813562269362</x:v>
      </x:c>
      <x:c r="G36" s="10" t="n">
        <x:f>IF(H36=1,ABS(F36),"")</x:f>
        <x:v>0.006248813562269362</x:v>
      </x:c>
      <x:c r="H36" s="2" t="n">
        <x:v>1</x:v>
      </x:c>
      <x:c r="I36" s="2" t="str">
        <x:v>AV.Clean!B2531</x:v>
      </x:c>
      <x:c r="J36" s="2" t="str">
        <x:v>AV.Clean!B2529</x:v>
      </x:c>
      <x:c r="K36" s="13" t="n">
        <x:v>45730.4375</x:v>
      </x:c>
      <x:c r="L36" s="13" t="n">
        <x:v>45730.458333333336</x:v>
      </x:c>
    </x:row>
    <x:row r="37" ht="22" customHeight="1">
      <x:c r="A37" s="12" t="n">
        <x:v>45749</x:v>
      </x:c>
      <x:c r="B37" s="14" t="str">
        <x:v>11:00</x:v>
      </x:c>
      <x:c r="C37" s="12" t="n">
        <x:v>45733</x:v>
      </x:c>
      <x:c r="D37" s="9" t="n">
        <x:v>560.5039</x:v>
      </x:c>
      <x:c r="E37" s="9" t="n">
        <x:v>559.131</x:v>
      </x:c>
      <x:c r="F37" s="10" t="n">
        <x:f>IF(H37=1,E37/D37-1,"")</x:f>
        <x:v>-0.002449403117445015</x:v>
      </x:c>
      <x:c r="G37" s="10" t="n">
        <x:f>IF(H37=1,ABS(F37),"")</x:f>
        <x:v>0.002449403117445015</x:v>
      </x:c>
      <x:c r="H37" s="2" t="n">
        <x:v>1</x:v>
      </x:c>
      <x:c r="I37" s="2" t="str">
        <x:v>AV.Clean!B2517</x:v>
      </x:c>
      <x:c r="J37" s="2" t="str">
        <x:v>AV.Clean!B2515</x:v>
      </x:c>
      <x:c r="K37" s="13" t="n">
        <x:v>45733.4375</x:v>
      </x:c>
      <x:c r="L37" s="13" t="n">
        <x:v>45733.458333333336</x:v>
      </x:c>
    </x:row>
    <x:row r="38" ht="22" customHeight="1">
      <x:c r="A38" s="12" t="n">
        <x:v>45749</x:v>
      </x:c>
      <x:c r="B38" s="14" t="str">
        <x:v>11:00</x:v>
      </x:c>
      <x:c r="C38" s="12" t="n">
        <x:v>45734</x:v>
      </x:c>
      <x:c r="D38" s="9" t="n">
        <x:v>555.8831</x:v>
      </x:c>
      <x:c r="E38" s="9" t="n">
        <x:v>555.9786</x:v>
      </x:c>
      <x:c r="F38" s="10" t="n">
        <x:f>IF(H38=1,E38/D38-1,"")</x:f>
        <x:v>0.00017179871091599352</x:v>
      </x:c>
      <x:c r="G38" s="10" t="n">
        <x:f>IF(H38=1,ABS(F38),"")</x:f>
        <x:v>0.00017179871091599352</x:v>
      </x:c>
      <x:c r="H38" s="2" t="n">
        <x:v>1</x:v>
      </x:c>
      <x:c r="I38" s="2" t="str">
        <x:v>AV.Clean!B2503</x:v>
      </x:c>
      <x:c r="J38" s="2" t="str">
        <x:v>AV.Clean!B2501</x:v>
      </x:c>
      <x:c r="K38" s="13" t="n">
        <x:v>45734.4375</x:v>
      </x:c>
      <x:c r="L38" s="13" t="n">
        <x:v>45734.458333333336</x:v>
      </x:c>
    </x:row>
    <x:row r="39" ht="22" customHeight="1">
      <x:c r="A39" s="12" t="n">
        <x:v>45749</x:v>
      </x:c>
      <x:c r="B39" s="14" t="str">
        <x:v>11:00</x:v>
      </x:c>
      <x:c r="C39" s="12" t="n">
        <x:v>45735</x:v>
      </x:c>
      <x:c r="D39" s="9" t="n">
        <x:v>559.2103</x:v>
      </x:c>
      <x:c r="E39" s="9" t="n">
        <x:v>558.4568</x:v>
      </x:c>
      <x:c r="F39" s="10" t="n">
        <x:f>IF(H39=1,E39/D39-1,"")</x:f>
        <x:v>-0.0013474358394327535</x:v>
      </x:c>
      <x:c r="G39" s="10" t="n">
        <x:f>IF(H39=1,ABS(F39),"")</x:f>
        <x:v>0.0013474358394327535</x:v>
      </x:c>
      <x:c r="H39" s="2" t="n">
        <x:v>1</x:v>
      </x:c>
      <x:c r="I39" s="2" t="str">
        <x:v>AV.Clean!B2489</x:v>
      </x:c>
      <x:c r="J39" s="2" t="str">
        <x:v>AV.Clean!B2487</x:v>
      </x:c>
      <x:c r="K39" s="13" t="n">
        <x:v>45735.4375</x:v>
      </x:c>
      <x:c r="L39" s="13" t="n">
        <x:v>45735.458333333336</x:v>
      </x:c>
    </x:row>
    <x:row r="40" ht="22" customHeight="1">
      <x:c r="A40" s="12" t="n">
        <x:v>45749</x:v>
      </x:c>
      <x:c r="B40" s="14" t="str">
        <x:v>11:00</x:v>
      </x:c>
      <x:c r="C40" s="12" t="n">
        <x:v>45736</x:v>
      </x:c>
      <x:c r="D40" s="9" t="n">
        <x:v>561.6885</x:v>
      </x:c>
      <x:c r="E40" s="9" t="n">
        <x:v>564.5535</x:v>
      </x:c>
      <x:c r="F40" s="10" t="n">
        <x:f>IF(H40=1,E40/D40-1,"")</x:f>
        <x:v>0.005100691931559931</x:v>
      </x:c>
      <x:c r="G40" s="10" t="n">
        <x:f>IF(H40=1,ABS(F40),"")</x:f>
        <x:v>0.005100691931559931</x:v>
      </x:c>
      <x:c r="H40" s="2" t="n">
        <x:v>1</x:v>
      </x:c>
      <x:c r="I40" s="2" t="str">
        <x:v>AV.Clean!B2475</x:v>
      </x:c>
      <x:c r="J40" s="2" t="str">
        <x:v>AV.Clean!B2473</x:v>
      </x:c>
      <x:c r="K40" s="13" t="n">
        <x:v>45736.4375</x:v>
      </x:c>
      <x:c r="L40" s="13" t="n">
        <x:v>45736.458333333336</x:v>
      </x:c>
    </x:row>
    <x:row r="41" ht="22" customHeight="1">
      <x:c r="A41" s="12" t="n">
        <x:v>45749</x:v>
      </x:c>
      <x:c r="B41" s="14" t="str">
        <x:v>11:00</x:v>
      </x:c>
      <x:c r="C41" s="12" t="n">
        <x:v>45737</x:v>
      </x:c>
      <x:c r="D41" s="9" t="n">
        <x:v>556.7365</x:v>
      </x:c>
      <x:c r="E41" s="9" t="n">
        <x:v>558.3357</x:v>
      </x:c>
      <x:c r="F41" s="10" t="n">
        <x:f>IF(H41=1,E41/D41-1,"")</x:f>
        <x:v>0.00287245402448022</x:v>
      </x:c>
      <x:c r="G41" s="10" t="n">
        <x:f>IF(H41=1,ABS(F41),"")</x:f>
        <x:v>0.00287245402448022</x:v>
      </x:c>
      <x:c r="H41" s="2" t="n">
        <x:v>1</x:v>
      </x:c>
      <x:c r="I41" s="2" t="str">
        <x:v>AV.Clean!B2461</x:v>
      </x:c>
      <x:c r="J41" s="2" t="str">
        <x:v>AV.Clean!B2459</x:v>
      </x:c>
      <x:c r="K41" s="13" t="n">
        <x:v>45737.4375</x:v>
      </x:c>
      <x:c r="L41" s="13" t="n">
        <x:v>45737.458333333336</x:v>
      </x:c>
    </x:row>
    <x:row r="42" ht="22" customHeight="1">
      <x:c r="A42" s="12" t="n">
        <x:v>45749</x:v>
      </x:c>
      <x:c r="B42" s="14" t="str">
        <x:v>11:00</x:v>
      </x:c>
      <x:c r="C42" s="12" t="n">
        <x:v>45740</x:v>
      </x:c>
      <x:c r="D42" s="9" t="n">
        <x:v>569.5275</x:v>
      </x:c>
      <x:c r="E42" s="9" t="n">
        <x:v>570.318</x:v>
      </x:c>
      <x:c r="F42" s="10" t="n">
        <x:f>IF(H42=1,E42/D42-1,"")</x:f>
        <x:v>0.0013879926781410479</x:v>
      </x:c>
      <x:c r="G42" s="10" t="n">
        <x:f>IF(H42=1,ABS(F42),"")</x:f>
        <x:v>0.0013879926781410479</x:v>
      </x:c>
      <x:c r="H42" s="2" t="n">
        <x:v>1</x:v>
      </x:c>
      <x:c r="I42" s="2" t="str">
        <x:v>AV.Clean!B2447</x:v>
      </x:c>
      <x:c r="J42" s="2" t="str">
        <x:v>AV.Clean!B2445</x:v>
      </x:c>
      <x:c r="K42" s="13" t="n">
        <x:v>45740.4375</x:v>
      </x:c>
      <x:c r="L42" s="13" t="n">
        <x:v>45740.458333333336</x:v>
      </x:c>
    </x:row>
    <x:row r="43" ht="22" customHeight="1">
      <x:c r="A43" s="12" t="n">
        <x:v>45749</x:v>
      </x:c>
      <x:c r="B43" s="14" t="str">
        <x:v>11:00</x:v>
      </x:c>
      <x:c r="C43" s="12" t="n">
        <x:v>45741</x:v>
      </x:c>
      <x:c r="D43" s="9" t="n">
        <x:v>571.4266</x:v>
      </x:c>
      <x:c r="E43" s="9" t="n">
        <x:v>572.6943</x:v>
      </x:c>
      <x:c r="F43" s="10" t="n">
        <x:f>IF(H43=1,E43/D43-1,"")</x:f>
        <x:v>0.0022184826537652302</x:v>
      </x:c>
      <x:c r="G43" s="10" t="n">
        <x:f>IF(H43=1,ABS(F43),"")</x:f>
        <x:v>0.0022184826537652302</x:v>
      </x:c>
      <x:c r="H43" s="2" t="n">
        <x:v>1</x:v>
      </x:c>
      <x:c r="I43" s="2" t="str">
        <x:v>AV.Clean!B2433</x:v>
      </x:c>
      <x:c r="J43" s="2" t="str">
        <x:v>AV.Clean!B2431</x:v>
      </x:c>
      <x:c r="K43" s="13" t="n">
        <x:v>45741.4375</x:v>
      </x:c>
      <x:c r="L43" s="13" t="n">
        <x:v>45741.458333333336</x:v>
      </x:c>
    </x:row>
    <x:row r="44" ht="22" customHeight="1">
      <x:c r="A44" s="12" t="n">
        <x:v>45749</x:v>
      </x:c>
      <x:c r="B44" s="14" t="str">
        <x:v>11:00</x:v>
      </x:c>
      <x:c r="C44" s="12" t="n">
        <x:v>45742</x:v>
      </x:c>
      <x:c r="D44" s="9" t="n">
        <x:v>570.2513</x:v>
      </x:c>
      <x:c r="E44" s="9" t="n">
        <x:v>570.1634</x:v>
      </x:c>
      <x:c r="F44" s="10" t="n">
        <x:f>IF(H44=1,E44/D44-1,"")</x:f>
        <x:v>-0.00015414256837287255</x:v>
      </x:c>
      <x:c r="G44" s="10" t="n">
        <x:f>IF(H44=1,ABS(F44),"")</x:f>
        <x:v>0.00015414256837287255</x:v>
      </x:c>
      <x:c r="H44" s="2" t="n">
        <x:v>1</x:v>
      </x:c>
      <x:c r="I44" s="2" t="str">
        <x:v>AV.Clean!B2419</x:v>
      </x:c>
      <x:c r="J44" s="2" t="str">
        <x:v>AV.Clean!B2417</x:v>
      </x:c>
      <x:c r="K44" s="13" t="n">
        <x:v>45742.4375</x:v>
      </x:c>
      <x:c r="L44" s="13" t="n">
        <x:v>45742.458333333336</x:v>
      </x:c>
    </x:row>
    <x:row r="45" ht="22" customHeight="1">
      <x:c r="A45" s="12" t="n">
        <x:v>45749</x:v>
      </x:c>
      <x:c r="B45" s="14" t="str">
        <x:v>11:00</x:v>
      </x:c>
      <x:c r="C45" s="12" t="n">
        <x:v>45743</x:v>
      </x:c>
      <x:c r="D45" s="9" t="n">
        <x:v>565.093</x:v>
      </x:c>
      <x:c r="E45" s="9" t="n">
        <x:v>567.5936</x:v>
      </x:c>
      <x:c r="F45" s="10" t="n">
        <x:f>IF(H45=1,E45/D45-1,"")</x:f>
        <x:v>0.004425112326643665</x:v>
      </x:c>
      <x:c r="G45" s="10" t="n">
        <x:f>IF(H45=1,ABS(F45),"")</x:f>
        <x:v>0.004425112326643665</x:v>
      </x:c>
      <x:c r="H45" s="2" t="n">
        <x:v>1</x:v>
      </x:c>
      <x:c r="I45" s="2" t="str">
        <x:v>AV.Clean!B2405</x:v>
      </x:c>
      <x:c r="J45" s="2" t="str">
        <x:v>AV.Clean!B2403</x:v>
      </x:c>
      <x:c r="K45" s="13" t="n">
        <x:v>45743.4375</x:v>
      </x:c>
      <x:c r="L45" s="13" t="n">
        <x:v>45743.458333333336</x:v>
      </x:c>
    </x:row>
    <x:row r="46" ht="22" customHeight="1">
      <x:c r="A46" s="12" t="n">
        <x:v>45749</x:v>
      </x:c>
      <x:c r="B46" s="14" t="str">
        <x:v>11:00</x:v>
      </x:c>
      <x:c r="C46" s="12" t="n">
        <x:v>45744</x:v>
      </x:c>
      <x:c r="D46" s="9" t="n">
        <x:v>559.8779</x:v>
      </x:c>
      <x:c r="E46" s="9" t="n">
        <x:v>555.5925</x:v>
      </x:c>
      <x:c r="F46" s="10" t="n">
        <x:f>IF(H46=1,E46/D46-1,"")</x:f>
        <x:v>-0.007654168882179402</x:v>
      </x:c>
      <x:c r="G46" s="10" t="n">
        <x:f>IF(H46=1,ABS(F46),"")</x:f>
        <x:v>0.007654168882179402</x:v>
      </x:c>
      <x:c r="H46" s="2" t="n">
        <x:v>1</x:v>
      </x:c>
      <x:c r="I46" s="2" t="str">
        <x:v>AV.Clean!B2391</x:v>
      </x:c>
      <x:c r="J46" s="2" t="str">
        <x:v>AV.Clean!B2389</x:v>
      </x:c>
      <x:c r="K46" s="13" t="n">
        <x:v>45744.4375</x:v>
      </x:c>
      <x:c r="L46" s="13" t="n">
        <x:v>45744.458333333336</x:v>
      </x:c>
    </x:row>
    <x:row r="47" ht="22" customHeight="1">
      <x:c r="A47" s="12" t="n">
        <x:v>45749</x:v>
      </x:c>
      <x:c r="B47" s="14" t="str">
        <x:v>11:00</x:v>
      </x:c>
      <x:c r="C47" s="12" t="n">
        <x:v>45747</x:v>
      </x:c>
      <x:c r="D47" s="9" t="n">
        <x:v>546.5891</x:v>
      </x:c>
      <x:c r="E47" s="9" t="n">
        <x:v>548.5628</x:v>
      </x:c>
      <x:c r="F47" s="10" t="n">
        <x:f>IF(H47=1,E47/D47-1,"")</x:f>
        <x:v>0.003610939186310169</x:v>
      </x:c>
      <x:c r="G47" s="10" t="n">
        <x:f>IF(H47=1,ABS(F47),"")</x:f>
        <x:v>0.003610939186310169</x:v>
      </x:c>
      <x:c r="H47" s="2" t="n">
        <x:v>1</x:v>
      </x:c>
      <x:c r="I47" s="2" t="str">
        <x:v>AV.Clean!B2377</x:v>
      </x:c>
      <x:c r="J47" s="2" t="str">
        <x:v>AV.Clean!B2375</x:v>
      </x:c>
      <x:c r="K47" s="13" t="n">
        <x:v>45747.4375</x:v>
      </x:c>
      <x:c r="L47" s="13" t="n">
        <x:v>45747.458333333336</x:v>
      </x:c>
    </x:row>
    <x:row r="48" ht="22" customHeight="1">
      <x:c r="A48" s="12" t="n">
        <x:v>45749</x:v>
      </x:c>
      <x:c r="B48" s="14" t="str">
        <x:v>11:00</x:v>
      </x:c>
      <x:c r="C48" s="12" t="n">
        <x:v>45748</x:v>
      </x:c>
      <x:c r="D48" s="9" t="n">
        <x:v>554.0215</x:v>
      </x:c>
      <x:c r="E48" s="9" t="n">
        <x:v>556.4227</x:v>
      </x:c>
      <x:c r="F48" s="10" t="n">
        <x:f>IF(H48=1,E48/D48-1,"")</x:f>
        <x:v>0.004334127827169132</x:v>
      </x:c>
      <x:c r="G48" s="10" t="n">
        <x:f>IF(H48=1,ABS(F48),"")</x:f>
        <x:v>0.004334127827169132</x:v>
      </x:c>
      <x:c r="H48" s="2" t="n">
        <x:v>1</x:v>
      </x:c>
      <x:c r="I48" s="2" t="str">
        <x:v>AV.Clean!B2363</x:v>
      </x:c>
      <x:c r="J48" s="2" t="str">
        <x:v>AV.Clean!B2361</x:v>
      </x:c>
      <x:c r="K48" s="13" t="n">
        <x:v>45748.4375</x:v>
      </x:c>
      <x:c r="L48" s="13" t="n">
        <x:v>45748.458333333336</x:v>
      </x:c>
    </x:row>
    <x:row r="49" ht="22" customHeight="1">
      <x:c r="A49" s="12" t="n">
        <x:v>45749</x:v>
      </x:c>
      <x:c r="B49" s="14" t="str">
        <x:v>11:30</x:v>
      </x:c>
      <x:c r="C49" s="12" t="n">
        <x:v>45729</x:v>
      </x:c>
      <x:c r="D49" s="9" t="n">
        <x:v>549.9453</x:v>
      </x:c>
      <x:c r="E49" s="9" t="n">
        <x:v>549.4259</x:v>
      </x:c>
      <x:c r="F49" s="10" t="n">
        <x:f>IF(H49=1,E49/D49-1,"")</x:f>
        <x:v>-0.0009444575669617095</x:v>
      </x:c>
      <x:c r="G49" s="10" t="n">
        <x:f>IF(H49=1,ABS(F49),"")</x:f>
        <x:v>0.0009444575669617095</x:v>
      </x:c>
      <x:c r="H49" s="2" t="n">
        <x:v>1</x:v>
      </x:c>
      <x:c r="I49" s="2" t="str">
        <x:v>AV.Clean!B2545</x:v>
      </x:c>
      <x:c r="J49" s="2" t="str">
        <x:v>AV.Clean!B2542</x:v>
      </x:c>
      <x:c r="K49" s="13" t="n">
        <x:v>45729.458333333336</x:v>
      </x:c>
      <x:c r="L49" s="13" t="n">
        <x:v>45729.479166666664</x:v>
      </x:c>
    </x:row>
    <x:row r="50" ht="22" customHeight="1">
      <x:c r="A50" s="12" t="n">
        <x:v>45749</x:v>
      </x:c>
      <x:c r="B50" s="14" t="str">
        <x:v>11:30</x:v>
      </x:c>
      <x:c r="C50" s="12" t="n">
        <x:v>45730</x:v>
      </x:c>
      <x:c r="D50" s="9" t="n">
        <x:v>552.0728</x:v>
      </x:c>
      <x:c r="E50" s="9" t="n">
        <x:v>556.2068</x:v>
      </x:c>
      <x:c r="F50" s="10" t="n">
        <x:f>IF(H50=1,E50/D50-1,"")</x:f>
        <x:v>0.007488142868114611</x:v>
      </x:c>
      <x:c r="G50" s="10" t="n">
        <x:f>IF(H50=1,ABS(F50),"")</x:f>
        <x:v>0.007488142868114611</x:v>
      </x:c>
      <x:c r="H50" s="2" t="n">
        <x:v>1</x:v>
      </x:c>
      <x:c r="I50" s="2" t="str">
        <x:v>AV.Clean!B2531</x:v>
      </x:c>
      <x:c r="J50" s="2" t="str">
        <x:v>AV.Clean!B2528</x:v>
      </x:c>
      <x:c r="K50" s="13" t="n">
        <x:v>45730.458333333336</x:v>
      </x:c>
      <x:c r="L50" s="13" t="n">
        <x:v>45730.479166666664</x:v>
      </x:c>
    </x:row>
    <x:row r="51" ht="22" customHeight="1">
      <x:c r="A51" s="12" t="n">
        <x:v>45749</x:v>
      </x:c>
      <x:c r="B51" s="14" t="str">
        <x:v>11:30</x:v>
      </x:c>
      <x:c r="C51" s="12" t="n">
        <x:v>45733</x:v>
      </x:c>
      <x:c r="D51" s="9" t="n">
        <x:v>560.5039</x:v>
      </x:c>
      <x:c r="E51" s="9" t="n">
        <x:v>559.1558</x:v>
      </x:c>
      <x:c r="F51" s="10" t="n">
        <x:f>IF(H51=1,E51/D51-1,"")</x:f>
        <x:v>-0.002405157216568976</x:v>
      </x:c>
      <x:c r="G51" s="10" t="n">
        <x:f>IF(H51=1,ABS(F51),"")</x:f>
        <x:v>0.002405157216568976</x:v>
      </x:c>
      <x:c r="H51" s="2" t="n">
        <x:v>1</x:v>
      </x:c>
      <x:c r="I51" s="2" t="str">
        <x:v>AV.Clean!B2517</x:v>
      </x:c>
      <x:c r="J51" s="2" t="str">
        <x:v>AV.Clean!B2514</x:v>
      </x:c>
      <x:c r="K51" s="13" t="n">
        <x:v>45733.458333333336</x:v>
      </x:c>
      <x:c r="L51" s="13" t="n">
        <x:v>45733.479166666664</x:v>
      </x:c>
    </x:row>
    <x:row r="52" ht="22" customHeight="1">
      <x:c r="A52" s="12" t="n">
        <x:v>45749</x:v>
      </x:c>
      <x:c r="B52" s="14" t="str">
        <x:v>11:30</x:v>
      </x:c>
      <x:c r="C52" s="12" t="n">
        <x:v>45734</x:v>
      </x:c>
      <x:c r="D52" s="9" t="n">
        <x:v>555.8831</x:v>
      </x:c>
      <x:c r="E52" s="9" t="n">
        <x:v>554.9972</x:v>
      </x:c>
      <x:c r="F52" s="10" t="n">
        <x:f>IF(H52=1,E52/D52-1,"")</x:f>
        <x:v>-0.0015936803979109682</x:v>
      </x:c>
      <x:c r="G52" s="10" t="n">
        <x:f>IF(H52=1,ABS(F52),"")</x:f>
        <x:v>0.0015936803979109682</x:v>
      </x:c>
      <x:c r="H52" s="2" t="n">
        <x:v>1</x:v>
      </x:c>
      <x:c r="I52" s="2" t="str">
        <x:v>AV.Clean!B2503</x:v>
      </x:c>
      <x:c r="J52" s="2" t="str">
        <x:v>AV.Clean!B2500</x:v>
      </x:c>
      <x:c r="K52" s="13" t="n">
        <x:v>45734.458333333336</x:v>
      </x:c>
      <x:c r="L52" s="13" t="n">
        <x:v>45734.479166666664</x:v>
      </x:c>
    </x:row>
    <x:row r="53" ht="22" customHeight="1">
      <x:c r="A53" s="12" t="n">
        <x:v>45749</x:v>
      </x:c>
      <x:c r="B53" s="14" t="str">
        <x:v>11:30</x:v>
      </x:c>
      <x:c r="C53" s="12" t="n">
        <x:v>45735</x:v>
      </x:c>
      <x:c r="D53" s="9" t="n">
        <x:v>559.2103</x:v>
      </x:c>
      <x:c r="E53" s="9" t="n">
        <x:v>559.696</x:v>
      </x:c>
      <x:c r="F53" s="10" t="n">
        <x:f>IF(H53=1,E53/D53-1,"")</x:f>
        <x:v>0.0008685462338589023</x:v>
      </x:c>
      <x:c r="G53" s="10" t="n">
        <x:f>IF(H53=1,ABS(F53),"")</x:f>
        <x:v>0.0008685462338589023</x:v>
      </x:c>
      <x:c r="H53" s="2" t="n">
        <x:v>1</x:v>
      </x:c>
      <x:c r="I53" s="2" t="str">
        <x:v>AV.Clean!B2489</x:v>
      </x:c>
      <x:c r="J53" s="2" t="str">
        <x:v>AV.Clean!B2486</x:v>
      </x:c>
      <x:c r="K53" s="13" t="n">
        <x:v>45735.458333333336</x:v>
      </x:c>
      <x:c r="L53" s="13" t="n">
        <x:v>45735.479166666664</x:v>
      </x:c>
    </x:row>
    <x:row r="54" ht="22" customHeight="1">
      <x:c r="A54" s="12" t="n">
        <x:v>45749</x:v>
      </x:c>
      <x:c r="B54" s="14" t="str">
        <x:v>11:30</x:v>
      </x:c>
      <x:c r="C54" s="12" t="n">
        <x:v>45736</x:v>
      </x:c>
      <x:c r="D54" s="9" t="n">
        <x:v>561.6885</x:v>
      </x:c>
      <x:c r="E54" s="9" t="n">
        <x:v>563.9686</x:v>
      </x:c>
      <x:c r="F54" s="10" t="n">
        <x:f>IF(H54=1,E54/D54-1,"")</x:f>
        <x:v>0.004059367425183202</x:v>
      </x:c>
      <x:c r="G54" s="10" t="n">
        <x:f>IF(H54=1,ABS(F54),"")</x:f>
        <x:v>0.004059367425183202</x:v>
      </x:c>
      <x:c r="H54" s="2" t="n">
        <x:v>1</x:v>
      </x:c>
      <x:c r="I54" s="2" t="str">
        <x:v>AV.Clean!B2475</x:v>
      </x:c>
      <x:c r="J54" s="2" t="str">
        <x:v>AV.Clean!B2472</x:v>
      </x:c>
      <x:c r="K54" s="13" t="n">
        <x:v>45736.458333333336</x:v>
      </x:c>
      <x:c r="L54" s="13" t="n">
        <x:v>45736.479166666664</x:v>
      </x:c>
    </x:row>
    <x:row r="55" ht="22" customHeight="1">
      <x:c r="A55" s="12" t="n">
        <x:v>45749</x:v>
      </x:c>
      <x:c r="B55" s="14" t="str">
        <x:v>11:30</x:v>
      </x:c>
      <x:c r="C55" s="12" t="n">
        <x:v>45737</x:v>
      </x:c>
      <x:c r="D55" s="9" t="n">
        <x:v>556.7365</x:v>
      </x:c>
      <x:c r="E55" s="9" t="n">
        <x:v>556.6166</x:v>
      </x:c>
      <x:c r="F55" s="10" t="n">
        <x:f>IF(H55=1,E55/D55-1,"")</x:f>
        <x:v>-0.00021536220456186417</x:v>
      </x:c>
      <x:c r="G55" s="10" t="n">
        <x:f>IF(H55=1,ABS(F55),"")</x:f>
        <x:v>0.00021536220456186417</x:v>
      </x:c>
      <x:c r="H55" s="2" t="n">
        <x:v>1</x:v>
      </x:c>
      <x:c r="I55" s="2" t="str">
        <x:v>AV.Clean!B2461</x:v>
      </x:c>
      <x:c r="J55" s="2" t="str">
        <x:v>AV.Clean!B2458</x:v>
      </x:c>
      <x:c r="K55" s="13" t="n">
        <x:v>45737.458333333336</x:v>
      </x:c>
      <x:c r="L55" s="13" t="n">
        <x:v>45737.479166666664</x:v>
      </x:c>
    </x:row>
    <x:row r="56" ht="22" customHeight="1">
      <x:c r="A56" s="12" t="n">
        <x:v>45749</x:v>
      </x:c>
      <x:c r="B56" s="14" t="str">
        <x:v>11:30</x:v>
      </x:c>
      <x:c r="C56" s="12" t="n">
        <x:v>45740</x:v>
      </x:c>
      <x:c r="D56" s="9" t="n">
        <x:v>569.5275</x:v>
      </x:c>
      <x:c r="E56" s="9" t="n">
        <x:v>570.4671</x:v>
      </x:c>
      <x:c r="F56" s="10" t="n">
        <x:f>IF(H56=1,E56/D56-1,"")</x:f>
        <x:v>0.001649788640583516</x:v>
      </x:c>
      <x:c r="G56" s="10" t="n">
        <x:f>IF(H56=1,ABS(F56),"")</x:f>
        <x:v>0.001649788640583516</x:v>
      </x:c>
      <x:c r="H56" s="2" t="n">
        <x:v>1</x:v>
      </x:c>
      <x:c r="I56" s="2" t="str">
        <x:v>AV.Clean!B2447</x:v>
      </x:c>
      <x:c r="J56" s="2" t="str">
        <x:v>AV.Clean!B2444</x:v>
      </x:c>
      <x:c r="K56" s="13" t="n">
        <x:v>45740.458333333336</x:v>
      </x:c>
      <x:c r="L56" s="13" t="n">
        <x:v>45740.479166666664</x:v>
      </x:c>
    </x:row>
    <x:row r="57" ht="22" customHeight="1">
      <x:c r="A57" s="12" t="n">
        <x:v>45749</x:v>
      </x:c>
      <x:c r="B57" s="14" t="str">
        <x:v>11:30</x:v>
      </x:c>
      <x:c r="C57" s="12" t="n">
        <x:v>45741</x:v>
      </x:c>
      <x:c r="D57" s="9" t="n">
        <x:v>571.4266</x:v>
      </x:c>
      <x:c r="E57" s="9" t="n">
        <x:v>572.416</x:v>
      </x:c>
      <x:c r="F57" s="10" t="n">
        <x:f>IF(H57=1,E57/D57-1,"")</x:f>
        <x:v>0.0017314559735230883</x:v>
      </x:c>
      <x:c r="G57" s="10" t="n">
        <x:f>IF(H57=1,ABS(F57),"")</x:f>
        <x:v>0.0017314559735230883</x:v>
      </x:c>
      <x:c r="H57" s="2" t="n">
        <x:v>1</x:v>
      </x:c>
      <x:c r="I57" s="2" t="str">
        <x:v>AV.Clean!B2433</x:v>
      </x:c>
      <x:c r="J57" s="2" t="str">
        <x:v>AV.Clean!B2430</x:v>
      </x:c>
      <x:c r="K57" s="13" t="n">
        <x:v>45741.458333333336</x:v>
      </x:c>
      <x:c r="L57" s="13" t="n">
        <x:v>45741.479166666664</x:v>
      </x:c>
    </x:row>
    <x:row r="58" ht="22" customHeight="1">
      <x:c r="A58" s="12" t="n">
        <x:v>45749</x:v>
      </x:c>
      <x:c r="B58" s="14" t="str">
        <x:v>11:30</x:v>
      </x:c>
      <x:c r="C58" s="12" t="n">
        <x:v>45742</x:v>
      </x:c>
      <x:c r="D58" s="9" t="n">
        <x:v>570.2513</x:v>
      </x:c>
      <x:c r="E58" s="9" t="n">
        <x:v>569.0453</x:v>
      </x:c>
      <x:c r="F58" s="10" t="n">
        <x:f>IF(H58=1,E58/D58-1,"")</x:f>
        <x:v>-0.0021148570814306655</x:v>
      </x:c>
      <x:c r="G58" s="10" t="n">
        <x:f>IF(H58=1,ABS(F58),"")</x:f>
        <x:v>0.0021148570814306655</x:v>
      </x:c>
      <x:c r="H58" s="2" t="n">
        <x:v>1</x:v>
      </x:c>
      <x:c r="I58" s="2" t="str">
        <x:v>AV.Clean!B2419</x:v>
      </x:c>
      <x:c r="J58" s="2" t="str">
        <x:v>AV.Clean!B2416</x:v>
      </x:c>
      <x:c r="K58" s="13" t="n">
        <x:v>45742.458333333336</x:v>
      </x:c>
      <x:c r="L58" s="13" t="n">
        <x:v>45742.479166666664</x:v>
      </x:c>
    </x:row>
    <x:row r="59" ht="22" customHeight="1">
      <x:c r="A59" s="12" t="n">
        <x:v>45749</x:v>
      </x:c>
      <x:c r="B59" s="14" t="str">
        <x:v>11:30</x:v>
      </x:c>
      <x:c r="C59" s="12" t="n">
        <x:v>45743</x:v>
      </x:c>
      <x:c r="D59" s="9" t="n">
        <x:v>565.093</x:v>
      </x:c>
      <x:c r="E59" s="9" t="n">
        <x:v>566.6192</x:v>
      </x:c>
      <x:c r="F59" s="10" t="n">
        <x:f>IF(H59=1,E59/D59-1,"")</x:f>
        <x:v>0.0027007943825176906</x:v>
      </x:c>
      <x:c r="G59" s="10" t="n">
        <x:f>IF(H59=1,ABS(F59),"")</x:f>
        <x:v>0.0027007943825176906</x:v>
      </x:c>
      <x:c r="H59" s="2" t="n">
        <x:v>1</x:v>
      </x:c>
      <x:c r="I59" s="2" t="str">
        <x:v>AV.Clean!B2405</x:v>
      </x:c>
      <x:c r="J59" s="2" t="str">
        <x:v>AV.Clean!B2402</x:v>
      </x:c>
      <x:c r="K59" s="13" t="n">
        <x:v>45743.458333333336</x:v>
      </x:c>
      <x:c r="L59" s="13" t="n">
        <x:v>45743.479166666664</x:v>
      </x:c>
    </x:row>
    <x:row r="60" ht="22" customHeight="1">
      <x:c r="A60" s="12" t="n">
        <x:v>45749</x:v>
      </x:c>
      <x:c r="B60" s="14" t="str">
        <x:v>11:30</x:v>
      </x:c>
      <x:c r="C60" s="12" t="n">
        <x:v>45744</x:v>
      </x:c>
      <x:c r="D60" s="9" t="n">
        <x:v>559.8779</x:v>
      </x:c>
      <x:c r="E60" s="9" t="n">
        <x:v>555.7018</x:v>
      </x:c>
      <x:c r="F60" s="10" t="n">
        <x:f>IF(H60=1,E60/D60-1,"")</x:f>
        <x:v>-0.007458947745570765</x:v>
      </x:c>
      <x:c r="G60" s="10" t="n">
        <x:f>IF(H60=1,ABS(F60),"")</x:f>
        <x:v>0.007458947745570765</x:v>
      </x:c>
      <x:c r="H60" s="2" t="n">
        <x:v>1</x:v>
      </x:c>
      <x:c r="I60" s="2" t="str">
        <x:v>AV.Clean!B2391</x:v>
      </x:c>
      <x:c r="J60" s="2" t="str">
        <x:v>AV.Clean!B2388</x:v>
      </x:c>
      <x:c r="K60" s="13" t="n">
        <x:v>45744.458333333336</x:v>
      </x:c>
      <x:c r="L60" s="13" t="n">
        <x:v>45744.479166666664</x:v>
      </x:c>
    </x:row>
    <x:row r="61" ht="22" customHeight="1">
      <x:c r="A61" s="12" t="n">
        <x:v>45749</x:v>
      </x:c>
      <x:c r="B61" s="14" t="str">
        <x:v>11:30</x:v>
      </x:c>
      <x:c r="C61" s="12" t="n">
        <x:v>45747</x:v>
      </x:c>
      <x:c r="D61" s="9" t="n">
        <x:v>546.5891</x:v>
      </x:c>
      <x:c r="E61" s="9" t="n">
        <x:v>549.3184</x:v>
      </x:c>
      <x:c r="F61" s="10" t="n">
        <x:f>IF(H61=1,E61/D61-1,"")</x:f>
        <x:v>0.004993330456095846</x:v>
      </x:c>
      <x:c r="G61" s="10" t="n">
        <x:f>IF(H61=1,ABS(F61),"")</x:f>
        <x:v>0.004993330456095846</x:v>
      </x:c>
      <x:c r="H61" s="2" t="n">
        <x:v>1</x:v>
      </x:c>
      <x:c r="I61" s="2" t="str">
        <x:v>AV.Clean!B2377</x:v>
      </x:c>
      <x:c r="J61" s="2" t="str">
        <x:v>AV.Clean!B2374</x:v>
      </x:c>
      <x:c r="K61" s="13" t="n">
        <x:v>45747.458333333336</x:v>
      </x:c>
      <x:c r="L61" s="13" t="n">
        <x:v>45747.479166666664</x:v>
      </x:c>
    </x:row>
    <x:row r="62" ht="22" customHeight="1">
      <x:c r="A62" s="12" t="n">
        <x:v>45749</x:v>
      </x:c>
      <x:c r="B62" s="14" t="str">
        <x:v>11:30</x:v>
      </x:c>
      <x:c r="C62" s="12" t="n">
        <x:v>45748</x:v>
      </x:c>
      <x:c r="D62" s="9" t="n">
        <x:v>554.0215</x:v>
      </x:c>
      <x:c r="E62" s="9" t="n">
        <x:v>557.5811</x:v>
      </x:c>
      <x:c r="F62" s="10" t="n">
        <x:f>IF(H62=1,E62/D62-1,"")</x:f>
        <x:v>0.006425021411623932</x:v>
      </x:c>
      <x:c r="G62" s="10" t="n">
        <x:f>IF(H62=1,ABS(F62),"")</x:f>
        <x:v>0.006425021411623932</x:v>
      </x:c>
      <x:c r="H62" s="2" t="n">
        <x:v>1</x:v>
      </x:c>
      <x:c r="I62" s="2" t="str">
        <x:v>AV.Clean!B2363</x:v>
      </x:c>
      <x:c r="J62" s="2" t="str">
        <x:v>AV.Clean!B2360</x:v>
      </x:c>
      <x:c r="K62" s="13" t="n">
        <x:v>45748.458333333336</x:v>
      </x:c>
      <x:c r="L62" s="13" t="n">
        <x:v>45748.479166666664</x:v>
      </x:c>
    </x:row>
    <x:row r="63" ht="22" customHeight="1">
      <x:c r="A63" s="12" t="n">
        <x:v>45749</x:v>
      </x:c>
      <x:c r="B63" s="14" t="str">
        <x:v>12:00</x:v>
      </x:c>
      <x:c r="C63" s="12" t="n">
        <x:v>45729</x:v>
      </x:c>
      <x:c r="D63" s="9" t="n">
        <x:v>549.9453</x:v>
      </x:c>
      <x:c r="E63" s="9" t="n">
        <x:v>547.7606</x:v>
      </x:c>
      <x:c r="F63" s="10" t="n">
        <x:f>IF(H63=1,E63/D63-1,"")</x:f>
        <x:v>-0.003972576909012648</x:v>
      </x:c>
      <x:c r="G63" s="10" t="n">
        <x:f>IF(H63=1,ABS(F63),"")</x:f>
        <x:v>0.003972576909012648</x:v>
      </x:c>
      <x:c r="H63" s="2" t="n">
        <x:v>1</x:v>
      </x:c>
      <x:c r="I63" s="2" t="str">
        <x:v>AV.Clean!B2545</x:v>
      </x:c>
      <x:c r="J63" s="2" t="str">
        <x:v>AV.Clean!B2541</x:v>
      </x:c>
      <x:c r="K63" s="13" t="n">
        <x:v>45729.479166666664</x:v>
      </x:c>
      <x:c r="L63" s="13" t="n">
        <x:v>45729.5</x:v>
      </x:c>
    </x:row>
    <x:row r="64" ht="22" customHeight="1">
      <x:c r="A64" s="12" t="n">
        <x:v>45749</x:v>
      </x:c>
      <x:c r="B64" s="14" t="str">
        <x:v>12:00</x:v>
      </x:c>
      <x:c r="C64" s="12" t="n">
        <x:v>45730</x:v>
      </x:c>
      <x:c r="D64" s="9" t="n">
        <x:v>552.0728</x:v>
      </x:c>
      <x:c r="E64" s="9" t="n">
        <x:v>557.2276</x:v>
      </x:c>
      <x:c r="F64" s="10" t="n">
        <x:f>IF(H64=1,E64/D64-1,"")</x:f>
        <x:v>0.009337174372655133</x:v>
      </x:c>
      <x:c r="G64" s="10" t="n">
        <x:f>IF(H64=1,ABS(F64),"")</x:f>
        <x:v>0.009337174372655133</x:v>
      </x:c>
      <x:c r="H64" s="2" t="n">
        <x:v>1</x:v>
      </x:c>
      <x:c r="I64" s="2" t="str">
        <x:v>AV.Clean!B2531</x:v>
      </x:c>
      <x:c r="J64" s="2" t="str">
        <x:v>AV.Clean!B2527</x:v>
      </x:c>
      <x:c r="K64" s="13" t="n">
        <x:v>45730.479166666664</x:v>
      </x:c>
      <x:c r="L64" s="13" t="n">
        <x:v>45730.5</x:v>
      </x:c>
    </x:row>
    <x:row r="65" ht="22" customHeight="1">
      <x:c r="A65" s="12" t="n">
        <x:v>45749</x:v>
      </x:c>
      <x:c r="B65" s="14" t="str">
        <x:v>12:00</x:v>
      </x:c>
      <x:c r="C65" s="12" t="n">
        <x:v>45733</x:v>
      </x:c>
      <x:c r="D65" s="9" t="n">
        <x:v>560.5039</x:v>
      </x:c>
      <x:c r="E65" s="9" t="n">
        <x:v>558.903</x:v>
      </x:c>
      <x:c r="F65" s="10" t="n">
        <x:f>IF(H65=1,E65/D65-1,"")</x:f>
        <x:v>-0.002856179948078852</x:v>
      </x:c>
      <x:c r="G65" s="10" t="n">
        <x:f>IF(H65=1,ABS(F65),"")</x:f>
        <x:v>0.002856179948078852</x:v>
      </x:c>
      <x:c r="H65" s="2" t="n">
        <x:v>1</x:v>
      </x:c>
      <x:c r="I65" s="2" t="str">
        <x:v>AV.Clean!B2517</x:v>
      </x:c>
      <x:c r="J65" s="2" t="str">
        <x:v>AV.Clean!B2513</x:v>
      </x:c>
      <x:c r="K65" s="13" t="n">
        <x:v>45733.479166666664</x:v>
      </x:c>
      <x:c r="L65" s="13" t="n">
        <x:v>45733.5</x:v>
      </x:c>
    </x:row>
    <x:row r="66" ht="22" customHeight="1">
      <x:c r="A66" s="12" t="n">
        <x:v>45749</x:v>
      </x:c>
      <x:c r="B66" s="14" t="str">
        <x:v>12:00</x:v>
      </x:c>
      <x:c r="C66" s="12" t="n">
        <x:v>45734</x:v>
      </x:c>
      <x:c r="D66" s="9" t="n">
        <x:v>555.8831</x:v>
      </x:c>
      <x:c r="E66" s="9" t="n">
        <x:v>554.7891</x:v>
      </x:c>
      <x:c r="F66" s="10" t="n">
        <x:f>IF(H66=1,E66/D66-1,"")</x:f>
        <x:v>-0.001968039683163725</x:v>
      </x:c>
      <x:c r="G66" s="10" t="n">
        <x:f>IF(H66=1,ABS(F66),"")</x:f>
        <x:v>0.001968039683163725</x:v>
      </x:c>
      <x:c r="H66" s="2" t="n">
        <x:v>1</x:v>
      </x:c>
      <x:c r="I66" s="2" t="str">
        <x:v>AV.Clean!B2503</x:v>
      </x:c>
      <x:c r="J66" s="2" t="str">
        <x:v>AV.Clean!B2499</x:v>
      </x:c>
      <x:c r="K66" s="13" t="n">
        <x:v>45734.479166666664</x:v>
      </x:c>
      <x:c r="L66" s="13" t="n">
        <x:v>45734.5</x:v>
      </x:c>
    </x:row>
    <x:row r="67" ht="22" customHeight="1">
      <x:c r="A67" s="12" t="n">
        <x:v>45749</x:v>
      </x:c>
      <x:c r="B67" s="14" t="str">
        <x:v>12:00</x:v>
      </x:c>
      <x:c r="C67" s="12" t="n">
        <x:v>45735</x:v>
      </x:c>
      <x:c r="D67" s="9" t="n">
        <x:v>559.2103</x:v>
      </x:c>
      <x:c r="E67" s="9" t="n">
        <x:v>560.8459</x:v>
      </x:c>
      <x:c r="F67" s="10" t="n">
        <x:f>IF(H67=1,E67/D67-1,"")</x:f>
        <x:v>0.002924838830758336</x:v>
      </x:c>
      <x:c r="G67" s="10" t="n">
        <x:f>IF(H67=1,ABS(F67),"")</x:f>
        <x:v>0.002924838830758336</x:v>
      </x:c>
      <x:c r="H67" s="2" t="n">
        <x:v>1</x:v>
      </x:c>
      <x:c r="I67" s="2" t="str">
        <x:v>AV.Clean!B2489</x:v>
      </x:c>
      <x:c r="J67" s="2" t="str">
        <x:v>AV.Clean!B2485</x:v>
      </x:c>
      <x:c r="K67" s="13" t="n">
        <x:v>45735.479166666664</x:v>
      </x:c>
      <x:c r="L67" s="13" t="n">
        <x:v>45735.5</x:v>
      </x:c>
    </x:row>
    <x:row r="68" ht="22" customHeight="1">
      <x:c r="A68" s="12" t="n">
        <x:v>45749</x:v>
      </x:c>
      <x:c r="B68" s="14" t="str">
        <x:v>12:00</x:v>
      </x:c>
      <x:c r="C68" s="12" t="n">
        <x:v>45736</x:v>
      </x:c>
      <x:c r="D68" s="9" t="n">
        <x:v>561.6885</x:v>
      </x:c>
      <x:c r="E68" s="9" t="n">
        <x:v>563.1063</x:v>
      </x:c>
      <x:c r="F68" s="10" t="n">
        <x:f>IF(H68=1,E68/D68-1,"")</x:f>
        <x:v>0.00252417487628831</x:v>
      </x:c>
      <x:c r="G68" s="10" t="n">
        <x:f>IF(H68=1,ABS(F68),"")</x:f>
        <x:v>0.00252417487628831</x:v>
      </x:c>
      <x:c r="H68" s="2" t="n">
        <x:v>1</x:v>
      </x:c>
      <x:c r="I68" s="2" t="str">
        <x:v>AV.Clean!B2475</x:v>
      </x:c>
      <x:c r="J68" s="2" t="str">
        <x:v>AV.Clean!B2471</x:v>
      </x:c>
      <x:c r="K68" s="13" t="n">
        <x:v>45736.479166666664</x:v>
      </x:c>
      <x:c r="L68" s="13" t="n">
        <x:v>45736.5</x:v>
      </x:c>
    </x:row>
    <x:row r="69" ht="22" customHeight="1">
      <x:c r="A69" s="12" t="n">
        <x:v>45749</x:v>
      </x:c>
      <x:c r="B69" s="14" t="str">
        <x:v>12:00</x:v>
      </x:c>
      <x:c r="C69" s="12" t="n">
        <x:v>45737</x:v>
      </x:c>
      <x:c r="D69" s="9" t="n">
        <x:v>556.7365</x:v>
      </x:c>
      <x:c r="E69" s="9" t="n">
        <x:v>556.1294</x:v>
      </x:c>
      <x:c r="F69" s="10" t="n">
        <x:f>IF(H69=1,E69/D69-1,"")</x:f>
        <x:v>-0.0010904620049160263</x:v>
      </x:c>
      <x:c r="G69" s="10" t="n">
        <x:f>IF(H69=1,ABS(F69),"")</x:f>
        <x:v>0.0010904620049160263</x:v>
      </x:c>
      <x:c r="H69" s="2" t="n">
        <x:v>1</x:v>
      </x:c>
      <x:c r="I69" s="2" t="str">
        <x:v>AV.Clean!B2461</x:v>
      </x:c>
      <x:c r="J69" s="2" t="str">
        <x:v>AV.Clean!B2457</x:v>
      </x:c>
      <x:c r="K69" s="13" t="n">
        <x:v>45737.479166666664</x:v>
      </x:c>
      <x:c r="L69" s="13" t="n">
        <x:v>45737.5</x:v>
      </x:c>
    </x:row>
    <x:row r="70" ht="22" customHeight="1">
      <x:c r="A70" s="12" t="n">
        <x:v>45749</x:v>
      </x:c>
      <x:c r="B70" s="14" t="str">
        <x:v>12:00</x:v>
      </x:c>
      <x:c r="C70" s="12" t="n">
        <x:v>45740</x:v>
      </x:c>
      <x:c r="D70" s="9" t="n">
        <x:v>569.5275</x:v>
      </x:c>
      <x:c r="E70" s="9" t="n">
        <x:v>570.6361</x:v>
      </x:c>
      <x:c r="F70" s="10" t="n">
        <x:f>IF(H70=1,E70/D70-1,"")</x:f>
        <x:v>0.0019465258481812242</x:v>
      </x:c>
      <x:c r="G70" s="10" t="n">
        <x:f>IF(H70=1,ABS(F70),"")</x:f>
        <x:v>0.0019465258481812242</x:v>
      </x:c>
      <x:c r="H70" s="2" t="n">
        <x:v>1</x:v>
      </x:c>
      <x:c r="I70" s="2" t="str">
        <x:v>AV.Clean!B2447</x:v>
      </x:c>
      <x:c r="J70" s="2" t="str">
        <x:v>AV.Clean!B2443</x:v>
      </x:c>
      <x:c r="K70" s="13" t="n">
        <x:v>45740.479166666664</x:v>
      </x:c>
      <x:c r="L70" s="13" t="n">
        <x:v>45740.5</x:v>
      </x:c>
    </x:row>
    <x:row r="71" ht="22" customHeight="1">
      <x:c r="A71" s="12" t="n">
        <x:v>45749</x:v>
      </x:c>
      <x:c r="B71" s="14" t="str">
        <x:v>12:00</x:v>
      </x:c>
      <x:c r="C71" s="12" t="n">
        <x:v>45741</x:v>
      </x:c>
      <x:c r="D71" s="9" t="n">
        <x:v>571.4266</x:v>
      </x:c>
      <x:c r="E71" s="9" t="n">
        <x:v>571.4913</x:v>
      </x:c>
      <x:c r="F71" s="10" t="n">
        <x:f>IF(H71=1,E71/D71-1,"")</x:f>
        <x:v>0.0001132253906275249</x:v>
      </x:c>
      <x:c r="G71" s="10" t="n">
        <x:f>IF(H71=1,ABS(F71),"")</x:f>
        <x:v>0.0001132253906275249</x:v>
      </x:c>
      <x:c r="H71" s="2" t="n">
        <x:v>1</x:v>
      </x:c>
      <x:c r="I71" s="2" t="str">
        <x:v>AV.Clean!B2433</x:v>
      </x:c>
      <x:c r="J71" s="2" t="str">
        <x:v>AV.Clean!B2429</x:v>
      </x:c>
      <x:c r="K71" s="13" t="n">
        <x:v>45741.479166666664</x:v>
      </x:c>
      <x:c r="L71" s="13" t="n">
        <x:v>45741.5</x:v>
      </x:c>
    </x:row>
    <x:row r="72" ht="22" customHeight="1">
      <x:c r="A72" s="12" t="n">
        <x:v>45749</x:v>
      </x:c>
      <x:c r="B72" s="14" t="str">
        <x:v>12:00</x:v>
      </x:c>
      <x:c r="C72" s="12" t="n">
        <x:v>45742</x:v>
      </x:c>
      <x:c r="D72" s="9" t="n">
        <x:v>570.2513</x:v>
      </x:c>
      <x:c r="E72" s="9" t="n">
        <x:v>567.345</x:v>
      </x:c>
      <x:c r="F72" s="10" t="n">
        <x:f>IF(H72=1,E72/D72-1,"")</x:f>
        <x:v>-0.005096524988193796</x:v>
      </x:c>
      <x:c r="G72" s="10" t="n">
        <x:f>IF(H72=1,ABS(F72),"")</x:f>
        <x:v>0.005096524988193796</x:v>
      </x:c>
      <x:c r="H72" s="2" t="n">
        <x:v>1</x:v>
      </x:c>
      <x:c r="I72" s="2" t="str">
        <x:v>AV.Clean!B2419</x:v>
      </x:c>
      <x:c r="J72" s="2" t="str">
        <x:v>AV.Clean!B2415</x:v>
      </x:c>
      <x:c r="K72" s="13" t="n">
        <x:v>45742.479166666664</x:v>
      </x:c>
      <x:c r="L72" s="13" t="n">
        <x:v>45742.5</x:v>
      </x:c>
    </x:row>
    <x:row r="73" ht="22" customHeight="1">
      <x:c r="A73" s="12" t="n">
        <x:v>45749</x:v>
      </x:c>
      <x:c r="B73" s="14" t="str">
        <x:v>12:00</x:v>
      </x:c>
      <x:c r="C73" s="12" t="n">
        <x:v>45743</x:v>
      </x:c>
      <x:c r="D73" s="9" t="n">
        <x:v>565.093</x:v>
      </x:c>
      <x:c r="E73" s="9" t="n">
        <x:v>564.74</x:v>
      </x:c>
      <x:c r="F73" s="10" t="n">
        <x:f>IF(H73=1,E73/D73-1,"")</x:f>
        <x:v>-0.0006246759382968481</x:v>
      </x:c>
      <x:c r="G73" s="10" t="n">
        <x:f>IF(H73=1,ABS(F73),"")</x:f>
        <x:v>0.0006246759382968481</x:v>
      </x:c>
      <x:c r="H73" s="2" t="n">
        <x:v>1</x:v>
      </x:c>
      <x:c r="I73" s="2" t="str">
        <x:v>AV.Clean!B2405</x:v>
      </x:c>
      <x:c r="J73" s="2" t="str">
        <x:v>AV.Clean!B2401</x:v>
      </x:c>
      <x:c r="K73" s="13" t="n">
        <x:v>45743.479166666664</x:v>
      </x:c>
      <x:c r="L73" s="13" t="n">
        <x:v>45743.5</x:v>
      </x:c>
    </x:row>
    <x:row r="74" ht="22" customHeight="1">
      <x:c r="A74" s="12" t="n">
        <x:v>45749</x:v>
      </x:c>
      <x:c r="B74" s="14" t="str">
        <x:v>12:00</x:v>
      </x:c>
      <x:c r="C74" s="12" t="n">
        <x:v>45744</x:v>
      </x:c>
      <x:c r="D74" s="9" t="n">
        <x:v>559.8779</x:v>
      </x:c>
      <x:c r="E74" s="9" t="n">
        <x:v>554.7573</x:v>
      </x:c>
      <x:c r="F74" s="10" t="n">
        <x:f>IF(H74=1,E74/D74-1,"")</x:f>
        <x:v>-0.009145922709219212</x:v>
      </x:c>
      <x:c r="G74" s="10" t="n">
        <x:f>IF(H74=1,ABS(F74),"")</x:f>
        <x:v>0.009145922709219212</x:v>
      </x:c>
      <x:c r="H74" s="2" t="n">
        <x:v>1</x:v>
      </x:c>
      <x:c r="I74" s="2" t="str">
        <x:v>AV.Clean!B2391</x:v>
      </x:c>
      <x:c r="J74" s="2" t="str">
        <x:v>AV.Clean!B2387</x:v>
      </x:c>
      <x:c r="K74" s="13" t="n">
        <x:v>45744.479166666664</x:v>
      </x:c>
      <x:c r="L74" s="13" t="n">
        <x:v>45744.5</x:v>
      </x:c>
    </x:row>
    <x:row r="75" ht="22" customHeight="1">
      <x:c r="A75" s="12" t="n">
        <x:v>45749</x:v>
      </x:c>
      <x:c r="B75" s="14" t="str">
        <x:v>12:00</x:v>
      </x:c>
      <x:c r="C75" s="12" t="n">
        <x:v>45747</x:v>
      </x:c>
      <x:c r="D75" s="9" t="n">
        <x:v>546.5891</x:v>
      </x:c>
      <x:c r="E75" s="9" t="n">
        <x:v>550.1835</x:v>
      </x:c>
      <x:c r="F75" s="10" t="n">
        <x:f>IF(H75=1,E75/D75-1,"")</x:f>
        <x:v>0.006576055029271499</x:v>
      </x:c>
      <x:c r="G75" s="10" t="n">
        <x:f>IF(H75=1,ABS(F75),"")</x:f>
        <x:v>0.006576055029271499</x:v>
      </x:c>
      <x:c r="H75" s="2" t="n">
        <x:v>1</x:v>
      </x:c>
      <x:c r="I75" s="2" t="str">
        <x:v>AV.Clean!B2377</x:v>
      </x:c>
      <x:c r="J75" s="2" t="str">
        <x:v>AV.Clean!B2373</x:v>
      </x:c>
      <x:c r="K75" s="13" t="n">
        <x:v>45747.479166666664</x:v>
      </x:c>
      <x:c r="L75" s="13" t="n">
        <x:v>45747.5</x:v>
      </x:c>
    </x:row>
    <x:row r="76" ht="22" customHeight="1">
      <x:c r="A76" s="12" t="n">
        <x:v>45749</x:v>
      </x:c>
      <x:c r="B76" s="14" t="str">
        <x:v>12:00</x:v>
      </x:c>
      <x:c r="C76" s="12" t="n">
        <x:v>45748</x:v>
      </x:c>
      <x:c r="D76" s="9" t="n">
        <x:v>554.0215</x:v>
      </x:c>
      <x:c r="E76" s="9" t="n">
        <x:v>558.3964</x:v>
      </x:c>
      <x:c r="F76" s="10" t="n">
        <x:f>IF(H76=1,E76/D76-1,"")</x:f>
        <x:v>0.007896624950475717</x:v>
      </x:c>
      <x:c r="G76" s="10" t="n">
        <x:f>IF(H76=1,ABS(F76),"")</x:f>
        <x:v>0.007896624950475717</x:v>
      </x:c>
      <x:c r="H76" s="2" t="n">
        <x:v>1</x:v>
      </x:c>
      <x:c r="I76" s="2" t="str">
        <x:v>AV.Clean!B2363</x:v>
      </x:c>
      <x:c r="J76" s="2" t="str">
        <x:v>AV.Clean!B2359</x:v>
      </x:c>
      <x:c r="K76" s="13" t="n">
        <x:v>45748.479166666664</x:v>
      </x:c>
      <x:c r="L76" s="13" t="n">
        <x:v>45748.5</x:v>
      </x:c>
    </x:row>
    <x:row r="77" ht="22" customHeight="1">
      <x:c r="A77" s="12" t="n">
        <x:v>45749</x:v>
      </x:c>
      <x:c r="B77" s="14" t="str">
        <x:v>12:30</x:v>
      </x:c>
      <x:c r="C77" s="12" t="n">
        <x:v>45729</x:v>
      </x:c>
      <x:c r="D77" s="9" t="n">
        <x:v>549.9453</x:v>
      </x:c>
      <x:c r="E77" s="9" t="n">
        <x:v>547.7407</x:v>
      </x:c>
      <x:c r="F77" s="10" t="n">
        <x:f>IF(H77=1,E77/D77-1,"")</x:f>
        <x:v>-0.0040087623259986715</x:v>
      </x:c>
      <x:c r="G77" s="10" t="n">
        <x:f>IF(H77=1,ABS(F77),"")</x:f>
        <x:v>0.0040087623259986715</x:v>
      </x:c>
      <x:c r="H77" s="2" t="n">
        <x:v>1</x:v>
      </x:c>
      <x:c r="I77" s="2" t="str">
        <x:v>AV.Clean!B2545</x:v>
      </x:c>
      <x:c r="J77" s="2" t="str">
        <x:v>AV.Clean!B2540</x:v>
      </x:c>
      <x:c r="K77" s="13" t="n">
        <x:v>45729.5</x:v>
      </x:c>
      <x:c r="L77" s="13" t="n">
        <x:v>45729.520833333336</x:v>
      </x:c>
    </x:row>
    <x:row r="78" ht="22" customHeight="1">
      <x:c r="A78" s="12" t="n">
        <x:v>45749</x:v>
      </x:c>
      <x:c r="B78" s="14" t="str">
        <x:v>12:30</x:v>
      </x:c>
      <x:c r="C78" s="12" t="n">
        <x:v>45730</x:v>
      </x:c>
      <x:c r="D78" s="9" t="n">
        <x:v>552.0728</x:v>
      </x:c>
      <x:c r="E78" s="9" t="n">
        <x:v>555.3293</x:v>
      </x:c>
      <x:c r="F78" s="10" t="n">
        <x:f>IF(H78=1,E78/D78-1,"")</x:f>
        <x:v>0.005898678580071204</x:v>
      </x:c>
      <x:c r="G78" s="10" t="n">
        <x:f>IF(H78=1,ABS(F78),"")</x:f>
        <x:v>0.005898678580071204</x:v>
      </x:c>
      <x:c r="H78" s="2" t="n">
        <x:v>1</x:v>
      </x:c>
      <x:c r="I78" s="2" t="str">
        <x:v>AV.Clean!B2531</x:v>
      </x:c>
      <x:c r="J78" s="2" t="str">
        <x:v>AV.Clean!B2526</x:v>
      </x:c>
      <x:c r="K78" s="13" t="n">
        <x:v>45730.5</x:v>
      </x:c>
      <x:c r="L78" s="13" t="n">
        <x:v>45730.520833333336</x:v>
      </x:c>
    </x:row>
    <x:row r="79" ht="22" customHeight="1">
      <x:c r="A79" s="12" t="n">
        <x:v>45749</x:v>
      </x:c>
      <x:c r="B79" s="14" t="str">
        <x:v>12:30</x:v>
      </x:c>
      <x:c r="C79" s="12" t="n">
        <x:v>45733</x:v>
      </x:c>
      <x:c r="D79" s="9" t="n">
        <x:v>560.5039</x:v>
      </x:c>
      <x:c r="E79" s="9" t="n">
        <x:v>558.9724</x:v>
      </x:c>
      <x:c r="F79" s="10" t="n">
        <x:f>IF(H79=1,E79/D79-1,"")</x:f>
        <x:v>-0.0027323627899824565</x:v>
      </x:c>
      <x:c r="G79" s="10" t="n">
        <x:f>IF(H79=1,ABS(F79),"")</x:f>
        <x:v>0.0027323627899824565</x:v>
      </x:c>
      <x:c r="H79" s="2" t="n">
        <x:v>1</x:v>
      </x:c>
      <x:c r="I79" s="2" t="str">
        <x:v>AV.Clean!B2517</x:v>
      </x:c>
      <x:c r="J79" s="2" t="str">
        <x:v>AV.Clean!B2512</x:v>
      </x:c>
      <x:c r="K79" s="13" t="n">
        <x:v>45733.5</x:v>
      </x:c>
      <x:c r="L79" s="13" t="n">
        <x:v>45733.520833333336</x:v>
      </x:c>
    </x:row>
    <x:row r="80" ht="22" customHeight="1">
      <x:c r="A80" s="12" t="n">
        <x:v>45749</x:v>
      </x:c>
      <x:c r="B80" s="14" t="str">
        <x:v>12:30</x:v>
      </x:c>
      <x:c r="C80" s="12" t="n">
        <x:v>45734</x:v>
      </x:c>
      <x:c r="D80" s="9" t="n">
        <x:v>555.8831</x:v>
      </x:c>
      <x:c r="E80" s="9" t="n">
        <x:v>556.8212</x:v>
      </x:c>
      <x:c r="F80" s="10" t="n">
        <x:f>IF(H80=1,E80/D80-1,"")</x:f>
        <x:v>0.0016875850336157683</x:v>
      </x:c>
      <x:c r="G80" s="10" t="n">
        <x:f>IF(H80=1,ABS(F80),"")</x:f>
        <x:v>0.0016875850336157683</x:v>
      </x:c>
      <x:c r="H80" s="2" t="n">
        <x:v>1</x:v>
      </x:c>
      <x:c r="I80" s="2" t="str">
        <x:v>AV.Clean!B2503</x:v>
      </x:c>
      <x:c r="J80" s="2" t="str">
        <x:v>AV.Clean!B2498</x:v>
      </x:c>
      <x:c r="K80" s="13" t="n">
        <x:v>45734.5</x:v>
      </x:c>
      <x:c r="L80" s="13" t="n">
        <x:v>45734.520833333336</x:v>
      </x:c>
    </x:row>
    <x:row r="81" ht="22" customHeight="1">
      <x:c r="A81" s="12" t="n">
        <x:v>45749</x:v>
      </x:c>
      <x:c r="B81" s="14" t="str">
        <x:v>12:30</x:v>
      </x:c>
      <x:c r="C81" s="12" t="n">
        <x:v>45735</x:v>
      </x:c>
      <x:c r="D81" s="9" t="n">
        <x:v>559.2103</x:v>
      </x:c>
      <x:c r="E81" s="9" t="n">
        <x:v>560.6279</x:v>
      </x:c>
      <x:c r="F81" s="10" t="n">
        <x:f>IF(H81=1,E81/D81-1,"")</x:f>
        <x:v>0.002535003378872025</x:v>
      </x:c>
      <x:c r="G81" s="10" t="n">
        <x:f>IF(H81=1,ABS(F81),"")</x:f>
        <x:v>0.002535003378872025</x:v>
      </x:c>
      <x:c r="H81" s="2" t="n">
        <x:v>1</x:v>
      </x:c>
      <x:c r="I81" s="2" t="str">
        <x:v>AV.Clean!B2489</x:v>
      </x:c>
      <x:c r="J81" s="2" t="str">
        <x:v>AV.Clean!B2484</x:v>
      </x:c>
      <x:c r="K81" s="13" t="n">
        <x:v>45735.5</x:v>
      </x:c>
      <x:c r="L81" s="13" t="n">
        <x:v>45735.520833333336</x:v>
      </x:c>
    </x:row>
    <x:row r="82" ht="22" customHeight="1">
      <x:c r="A82" s="12" t="n">
        <x:v>45749</x:v>
      </x:c>
      <x:c r="B82" s="14" t="str">
        <x:v>12:30</x:v>
      </x:c>
      <x:c r="C82" s="12" t="n">
        <x:v>45736</x:v>
      </x:c>
      <x:c r="D82" s="9" t="n">
        <x:v>561.6885</x:v>
      </x:c>
      <x:c r="E82" s="9" t="n">
        <x:v>561.2424</x:v>
      </x:c>
      <x:c r="F82" s="10" t="n">
        <x:f>IF(H82=1,E82/D82-1,"")</x:f>
        <x:v>-0.0007942124504952686</x:v>
      </x:c>
      <x:c r="G82" s="10" t="n">
        <x:f>IF(H82=1,ABS(F82),"")</x:f>
        <x:v>0.0007942124504952686</x:v>
      </x:c>
      <x:c r="H82" s="2" t="n">
        <x:v>1</x:v>
      </x:c>
      <x:c r="I82" s="2" t="str">
        <x:v>AV.Clean!B2475</x:v>
      </x:c>
      <x:c r="J82" s="2" t="str">
        <x:v>AV.Clean!B2470</x:v>
      </x:c>
      <x:c r="K82" s="13" t="n">
        <x:v>45736.5</x:v>
      </x:c>
      <x:c r="L82" s="13" t="n">
        <x:v>45736.520833333336</x:v>
      </x:c>
    </x:row>
    <x:row r="83" ht="22" customHeight="1">
      <x:c r="A83" s="12" t="n">
        <x:v>45749</x:v>
      </x:c>
      <x:c r="B83" s="14" t="str">
        <x:v>12:30</x:v>
      </x:c>
      <x:c r="C83" s="12" t="n">
        <x:v>45737</x:v>
      </x:c>
      <x:c r="D83" s="9" t="n">
        <x:v>556.7365</x:v>
      </x:c>
      <x:c r="E83" s="9" t="n">
        <x:v>559.152</x:v>
      </x:c>
      <x:c r="F83" s="10" t="n">
        <x:f>IF(H83=1,E83/D83-1,"")</x:f>
        <x:v>0.0043386772737192825</x:v>
      </x:c>
      <x:c r="G83" s="10" t="n">
        <x:f>IF(H83=1,ABS(F83),"")</x:f>
        <x:v>0.0043386772737192825</x:v>
      </x:c>
      <x:c r="H83" s="2" t="n">
        <x:v>1</x:v>
      </x:c>
      <x:c r="I83" s="2" t="str">
        <x:v>AV.Clean!B2461</x:v>
      </x:c>
      <x:c r="J83" s="2" t="str">
        <x:v>AV.Clean!B2456</x:v>
      </x:c>
      <x:c r="K83" s="13" t="n">
        <x:v>45737.5</x:v>
      </x:c>
      <x:c r="L83" s="13" t="n">
        <x:v>45737.520833333336</x:v>
      </x:c>
    </x:row>
    <x:row r="84" ht="22" customHeight="1">
      <x:c r="A84" s="12" t="n">
        <x:v>45749</x:v>
      </x:c>
      <x:c r="B84" s="14" t="str">
        <x:v>12:30</x:v>
      </x:c>
      <x:c r="C84" s="12" t="n">
        <x:v>45740</x:v>
      </x:c>
      <x:c r="D84" s="9" t="n">
        <x:v>569.5275</x:v>
      </x:c>
      <x:c r="E84" s="9" t="n">
        <x:v>570.0396</x:v>
      </x:c>
      <x:c r="F84" s="10" t="n">
        <x:f>IF(H84=1,E84/D84-1,"")</x:f>
        <x:v>0.0008991664142643518</x:v>
      </x:c>
      <x:c r="G84" s="10" t="n">
        <x:f>IF(H84=1,ABS(F84),"")</x:f>
        <x:v>0.0008991664142643518</x:v>
      </x:c>
      <x:c r="H84" s="2" t="n">
        <x:v>1</x:v>
      </x:c>
      <x:c r="I84" s="2" t="str">
        <x:v>AV.Clean!B2447</x:v>
      </x:c>
      <x:c r="J84" s="2" t="str">
        <x:v>AV.Clean!B2442</x:v>
      </x:c>
      <x:c r="K84" s="13" t="n">
        <x:v>45740.5</x:v>
      </x:c>
      <x:c r="L84" s="13" t="n">
        <x:v>45740.520833333336</x:v>
      </x:c>
    </x:row>
    <x:row r="85" ht="22" customHeight="1">
      <x:c r="A85" s="12" t="n">
        <x:v>45749</x:v>
      </x:c>
      <x:c r="B85" s="14" t="str">
        <x:v>12:30</x:v>
      </x:c>
      <x:c r="C85" s="12" t="n">
        <x:v>45741</x:v>
      </x:c>
      <x:c r="D85" s="9" t="n">
        <x:v>571.4266</x:v>
      </x:c>
      <x:c r="E85" s="9" t="n">
        <x:v>571.2526</x:v>
      </x:c>
      <x:c r="F85" s="10" t="n">
        <x:f>IF(H85=1,E85/D85-1,"")</x:f>
        <x:v>-0.0003045010505285939</x:v>
      </x:c>
      <x:c r="G85" s="10" t="n">
        <x:f>IF(H85=1,ABS(F85),"")</x:f>
        <x:v>0.0003045010505285939</x:v>
      </x:c>
      <x:c r="H85" s="2" t="n">
        <x:v>1</x:v>
      </x:c>
      <x:c r="I85" s="2" t="str">
        <x:v>AV.Clean!B2433</x:v>
      </x:c>
      <x:c r="J85" s="2" t="str">
        <x:v>AV.Clean!B2428</x:v>
      </x:c>
      <x:c r="K85" s="13" t="n">
        <x:v>45741.5</x:v>
      </x:c>
      <x:c r="L85" s="13" t="n">
        <x:v>45741.520833333336</x:v>
      </x:c>
    </x:row>
    <x:row r="86" ht="22" customHeight="1">
      <x:c r="A86" s="12" t="n">
        <x:v>45749</x:v>
      </x:c>
      <x:c r="B86" s="14" t="str">
        <x:v>12:30</x:v>
      </x:c>
      <x:c r="C86" s="12" t="n">
        <x:v>45742</x:v>
      </x:c>
      <x:c r="D86" s="9" t="n">
        <x:v>570.2513</x:v>
      </x:c>
      <x:c r="E86" s="9" t="n">
        <x:v>567.8024</x:v>
      </x:c>
      <x:c r="F86" s="10" t="n">
        <x:f>IF(H86=1,E86/D86-1,"")</x:f>
        <x:v>-0.004294422476546655</x:v>
      </x:c>
      <x:c r="G86" s="10" t="n">
        <x:f>IF(H86=1,ABS(F86),"")</x:f>
        <x:v>0.004294422476546655</x:v>
      </x:c>
      <x:c r="H86" s="2" t="n">
        <x:v>1</x:v>
      </x:c>
      <x:c r="I86" s="2" t="str">
        <x:v>AV.Clean!B2419</x:v>
      </x:c>
      <x:c r="J86" s="2" t="str">
        <x:v>AV.Clean!B2414</x:v>
      </x:c>
      <x:c r="K86" s="13" t="n">
        <x:v>45742.5</x:v>
      </x:c>
      <x:c r="L86" s="13" t="n">
        <x:v>45742.520833333336</x:v>
      </x:c>
    </x:row>
    <x:row r="87" ht="22" customHeight="1">
      <x:c r="A87" s="12" t="n">
        <x:v>45749</x:v>
      </x:c>
      <x:c r="B87" s="14" t="str">
        <x:v>12:30</x:v>
      </x:c>
      <x:c r="C87" s="12" t="n">
        <x:v>45743</x:v>
      </x:c>
      <x:c r="D87" s="9" t="n">
        <x:v>565.093</x:v>
      </x:c>
      <x:c r="E87" s="9" t="n">
        <x:v>565.4459</x:v>
      </x:c>
      <x:c r="F87" s="10" t="n">
        <x:f>IF(H87=1,E87/D87-1,"")</x:f>
        <x:v>0.0006244989762749231</x:v>
      </x:c>
      <x:c r="G87" s="10" t="n">
        <x:f>IF(H87=1,ABS(F87),"")</x:f>
        <x:v>0.0006244989762749231</x:v>
      </x:c>
      <x:c r="H87" s="2" t="n">
        <x:v>1</x:v>
      </x:c>
      <x:c r="I87" s="2" t="str">
        <x:v>AV.Clean!B2405</x:v>
      </x:c>
      <x:c r="J87" s="2" t="str">
        <x:v>AV.Clean!B2400</x:v>
      </x:c>
      <x:c r="K87" s="13" t="n">
        <x:v>45743.5</x:v>
      </x:c>
      <x:c r="L87" s="13" t="n">
        <x:v>45743.520833333336</x:v>
      </x:c>
    </x:row>
    <x:row r="88" ht="22" customHeight="1">
      <x:c r="A88" s="12" t="n">
        <x:v>45749</x:v>
      </x:c>
      <x:c r="B88" s="14" t="str">
        <x:v>12:30</x:v>
      </x:c>
      <x:c r="C88" s="12" t="n">
        <x:v>45744</x:v>
      </x:c>
      <x:c r="D88" s="9" t="n">
        <x:v>559.8779</x:v>
      </x:c>
      <x:c r="E88" s="9" t="n">
        <x:v>553.6735</x:v>
      </x:c>
      <x:c r="F88" s="10" t="n">
        <x:f>IF(H88=1,E88/D88-1,"")</x:f>
        <x:v>-0.01108170192107949</x:v>
      </x:c>
      <x:c r="G88" s="10" t="n">
        <x:f>IF(H88=1,ABS(F88),"")</x:f>
        <x:v>0.01108170192107949</x:v>
      </x:c>
      <x:c r="H88" s="2" t="n">
        <x:v>1</x:v>
      </x:c>
      <x:c r="I88" s="2" t="str">
        <x:v>AV.Clean!B2391</x:v>
      </x:c>
      <x:c r="J88" s="2" t="str">
        <x:v>AV.Clean!B2386</x:v>
      </x:c>
      <x:c r="K88" s="13" t="n">
        <x:v>45744.5</x:v>
      </x:c>
      <x:c r="L88" s="13" t="n">
        <x:v>45744.520833333336</x:v>
      </x:c>
    </x:row>
    <x:row r="89" ht="22" customHeight="1">
      <x:c r="A89" s="12" t="n">
        <x:v>45749</x:v>
      </x:c>
      <x:c r="B89" s="14" t="str">
        <x:v>12:30</x:v>
      </x:c>
      <x:c r="C89" s="12" t="n">
        <x:v>45747</x:v>
      </x:c>
      <x:c r="D89" s="9" t="n">
        <x:v>546.5891</x:v>
      </x:c>
      <x:c r="E89" s="9" t="n">
        <x:v>551.2587</x:v>
      </x:c>
      <x:c r="F89" s="10" t="n">
        <x:f>IF(H89=1,E89/D89-1,"")</x:f>
        <x:v>0.008543163411052213</x:v>
      </x:c>
      <x:c r="G89" s="10" t="n">
        <x:f>IF(H89=1,ABS(F89),"")</x:f>
        <x:v>0.008543163411052213</x:v>
      </x:c>
      <x:c r="H89" s="2" t="n">
        <x:v>1</x:v>
      </x:c>
      <x:c r="I89" s="2" t="str">
        <x:v>AV.Clean!B2377</x:v>
      </x:c>
      <x:c r="J89" s="2" t="str">
        <x:v>AV.Clean!B2372</x:v>
      </x:c>
      <x:c r="K89" s="13" t="n">
        <x:v>45747.5</x:v>
      </x:c>
      <x:c r="L89" s="13" t="n">
        <x:v>45747.520833333336</x:v>
      </x:c>
    </x:row>
    <x:row r="90" ht="22" customHeight="1">
      <x:c r="A90" s="12" t="n">
        <x:v>45749</x:v>
      </x:c>
      <x:c r="B90" s="14" t="str">
        <x:v>12:30</x:v>
      </x:c>
      <x:c r="C90" s="12" t="n">
        <x:v>45748</x:v>
      </x:c>
      <x:c r="D90" s="9" t="n">
        <x:v>554.0215</x:v>
      </x:c>
      <x:c r="E90" s="9" t="n">
        <x:v>557.5811</x:v>
      </x:c>
      <x:c r="F90" s="10" t="n">
        <x:f>IF(H90=1,E90/D90-1,"")</x:f>
        <x:v>0.006425021411623932</x:v>
      </x:c>
      <x:c r="G90" s="10" t="n">
        <x:f>IF(H90=1,ABS(F90),"")</x:f>
        <x:v>0.006425021411623932</x:v>
      </x:c>
      <x:c r="H90" s="2" t="n">
        <x:v>1</x:v>
      </x:c>
      <x:c r="I90" s="2" t="str">
        <x:v>AV.Clean!B2363</x:v>
      </x:c>
      <x:c r="J90" s="2" t="str">
        <x:v>AV.Clean!B2358</x:v>
      </x:c>
      <x:c r="K90" s="13" t="n">
        <x:v>45748.5</x:v>
      </x:c>
      <x:c r="L90" s="13" t="n">
        <x:v>45748.520833333336</x:v>
      </x:c>
    </x:row>
    <x:row r="91" ht="22" customHeight="1">
      <x:c r="A91" s="12" t="n">
        <x:v>45749</x:v>
      </x:c>
      <x:c r="B91" s="14" t="str">
        <x:v>13:00</x:v>
      </x:c>
      <x:c r="C91" s="12" t="n">
        <x:v>45729</x:v>
      </x:c>
      <x:c r="D91" s="9" t="n">
        <x:v>549.9453</x:v>
      </x:c>
      <x:c r="E91" s="9" t="n">
        <x:v>547.7903</x:v>
      </x:c>
      <x:c r="F91" s="10" t="n">
        <x:f>IF(H91=1,E91/D91-1,"")</x:f>
        <x:v>-0.003918571537932958</x:v>
      </x:c>
      <x:c r="G91" s="10" t="n">
        <x:f>IF(H91=1,ABS(F91),"")</x:f>
        <x:v>0.003918571537932958</x:v>
      </x:c>
      <x:c r="H91" s="2" t="n">
        <x:v>1</x:v>
      </x:c>
      <x:c r="I91" s="2" t="str">
        <x:v>AV.Clean!B2545</x:v>
      </x:c>
      <x:c r="J91" s="2" t="str">
        <x:v>AV.Clean!B2539</x:v>
      </x:c>
      <x:c r="K91" s="13" t="n">
        <x:v>45729.520833333336</x:v>
      </x:c>
      <x:c r="L91" s="13" t="n">
        <x:v>45729.541666666664</x:v>
      </x:c>
    </x:row>
    <x:row r="92" ht="22" customHeight="1">
      <x:c r="A92" s="12" t="n">
        <x:v>45749</x:v>
      </x:c>
      <x:c r="B92" s="14" t="str">
        <x:v>13:00</x:v>
      </x:c>
      <x:c r="C92" s="12" t="n">
        <x:v>45730</x:v>
      </x:c>
      <x:c r="D92" s="9" t="n">
        <x:v>552.0728</x:v>
      </x:c>
      <x:c r="E92" s="9" t="n">
        <x:v>557.0492</x:v>
      </x:c>
      <x:c r="F92" s="10" t="n">
        <x:f>IF(H92=1,E92/D92-1,"")</x:f>
        <x:v>0.009014028584636069</x:v>
      </x:c>
      <x:c r="G92" s="10" t="n">
        <x:f>IF(H92=1,ABS(F92),"")</x:f>
        <x:v>0.009014028584636069</x:v>
      </x:c>
      <x:c r="H92" s="2" t="n">
        <x:v>1</x:v>
      </x:c>
      <x:c r="I92" s="2" t="str">
        <x:v>AV.Clean!B2531</x:v>
      </x:c>
      <x:c r="J92" s="2" t="str">
        <x:v>AV.Clean!B2525</x:v>
      </x:c>
      <x:c r="K92" s="13" t="n">
        <x:v>45730.520833333336</x:v>
      </x:c>
      <x:c r="L92" s="13" t="n">
        <x:v>45730.541666666664</x:v>
      </x:c>
    </x:row>
    <x:row r="93" ht="22" customHeight="1">
      <x:c r="A93" s="12" t="n">
        <x:v>45749</x:v>
      </x:c>
      <x:c r="B93" s="14" t="str">
        <x:v>13:00</x:v>
      </x:c>
      <x:c r="C93" s="12" t="n">
        <x:v>45733</x:v>
      </x:c>
      <x:c r="D93" s="9" t="n">
        <x:v>560.5039</x:v>
      </x:c>
      <x:c r="E93" s="9" t="n">
        <x:v>559.6266</x:v>
      </x:c>
      <x:c r="F93" s="10" t="n">
        <x:f>IF(H93=1,E93/D93-1,"")</x:f>
        <x:v>-0.0015651987434878167</x:v>
      </x:c>
      <x:c r="G93" s="10" t="n">
        <x:f>IF(H93=1,ABS(F93),"")</x:f>
        <x:v>0.0015651987434878167</x:v>
      </x:c>
      <x:c r="H93" s="2" t="n">
        <x:v>1</x:v>
      </x:c>
      <x:c r="I93" s="2" t="str">
        <x:v>AV.Clean!B2517</x:v>
      </x:c>
      <x:c r="J93" s="2" t="str">
        <x:v>AV.Clean!B2511</x:v>
      </x:c>
      <x:c r="K93" s="13" t="n">
        <x:v>45733.520833333336</x:v>
      </x:c>
      <x:c r="L93" s="13" t="n">
        <x:v>45733.541666666664</x:v>
      </x:c>
    </x:row>
    <x:row r="94" ht="22" customHeight="1">
      <x:c r="A94" s="12" t="n">
        <x:v>45749</x:v>
      </x:c>
      <x:c r="B94" s="14" t="str">
        <x:v>13:00</x:v>
      </x:c>
      <x:c r="C94" s="12" t="n">
        <x:v>45734</x:v>
      </x:c>
      <x:c r="D94" s="9" t="n">
        <x:v>555.8831</x:v>
      </x:c>
      <x:c r="E94" s="9" t="n">
        <x:v>555.9637</x:v>
      </x:c>
      <x:c r="F94" s="10" t="n">
        <x:f>IF(H94=1,E94/D94-1,"")</x:f>
        <x:v>0.0001449945141343001</x:v>
      </x:c>
      <x:c r="G94" s="10" t="n">
        <x:f>IF(H94=1,ABS(F94),"")</x:f>
        <x:v>0.0001449945141343001</x:v>
      </x:c>
      <x:c r="H94" s="2" t="n">
        <x:v>1</x:v>
      </x:c>
      <x:c r="I94" s="2" t="str">
        <x:v>AV.Clean!B2503</x:v>
      </x:c>
      <x:c r="J94" s="2" t="str">
        <x:v>AV.Clean!B2497</x:v>
      </x:c>
      <x:c r="K94" s="13" t="n">
        <x:v>45734.520833333336</x:v>
      </x:c>
      <x:c r="L94" s="13" t="n">
        <x:v>45734.541666666664</x:v>
      </x:c>
    </x:row>
    <x:row r="95" ht="22" customHeight="1">
      <x:c r="A95" s="12" t="n">
        <x:v>45749</x:v>
      </x:c>
      <x:c r="B95" s="14" t="str">
        <x:v>13:00</x:v>
      </x:c>
      <x:c r="C95" s="12" t="n">
        <x:v>45735</x:v>
      </x:c>
      <x:c r="D95" s="9" t="n">
        <x:v>559.2103</x:v>
      </x:c>
      <x:c r="E95" s="9" t="n">
        <x:v>559.9736</x:v>
      </x:c>
      <x:c r="F95" s="10" t="n">
        <x:f>IF(H95=1,E95/D95-1,"")</x:f>
        <x:v>0.0013649605524077568</x:v>
      </x:c>
      <x:c r="G95" s="10" t="n">
        <x:f>IF(H95=1,ABS(F95),"")</x:f>
        <x:v>0.0013649605524077568</x:v>
      </x:c>
      <x:c r="H95" s="2" t="n">
        <x:v>1</x:v>
      </x:c>
      <x:c r="I95" s="2" t="str">
        <x:v>AV.Clean!B2489</x:v>
      </x:c>
      <x:c r="J95" s="2" t="str">
        <x:v>AV.Clean!B2483</x:v>
      </x:c>
      <x:c r="K95" s="13" t="n">
        <x:v>45735.520833333336</x:v>
      </x:c>
      <x:c r="L95" s="13" t="n">
        <x:v>45735.541666666664</x:v>
      </x:c>
    </x:row>
    <x:row r="96" ht="22" customHeight="1">
      <x:c r="A96" s="12" t="n">
        <x:v>45749</x:v>
      </x:c>
      <x:c r="B96" s="14" t="str">
        <x:v>13:00</x:v>
      </x:c>
      <x:c r="C96" s="12" t="n">
        <x:v>45736</x:v>
      </x:c>
      <x:c r="D96" s="9" t="n">
        <x:v>561.6885</x:v>
      </x:c>
      <x:c r="E96" s="9" t="n">
        <x:v>560.9055</x:v>
      </x:c>
      <x:c r="F96" s="10" t="n">
        <x:f>IF(H96=1,E96/D96-1,"")</x:f>
        <x:v>-0.0013940110933373662</x:v>
      </x:c>
      <x:c r="G96" s="10" t="n">
        <x:f>IF(H96=1,ABS(F96),"")</x:f>
        <x:v>0.0013940110933373662</x:v>
      </x:c>
      <x:c r="H96" s="2" t="n">
        <x:v>1</x:v>
      </x:c>
      <x:c r="I96" s="2" t="str">
        <x:v>AV.Clean!B2475</x:v>
      </x:c>
      <x:c r="J96" s="2" t="str">
        <x:v>AV.Clean!B2469</x:v>
      </x:c>
      <x:c r="K96" s="13" t="n">
        <x:v>45736.520833333336</x:v>
      </x:c>
      <x:c r="L96" s="13" t="n">
        <x:v>45736.541666666664</x:v>
      </x:c>
    </x:row>
    <x:row r="97" ht="22" customHeight="1">
      <x:c r="A97" s="12" t="n">
        <x:v>45749</x:v>
      </x:c>
      <x:c r="B97" s="14" t="str">
        <x:v>13:00</x:v>
      </x:c>
      <x:c r="C97" s="12" t="n">
        <x:v>45737</x:v>
      </x:c>
      <x:c r="D97" s="9" t="n">
        <x:v>556.7365</x:v>
      </x:c>
      <x:c r="E97" s="9" t="n">
        <x:v>560.4048</x:v>
      </x:c>
      <x:c r="F97" s="10" t="n">
        <x:f>IF(H97=1,E97/D97-1,"")</x:f>
        <x:v>0.006588933903202143</x:v>
      </x:c>
      <x:c r="G97" s="10" t="n">
        <x:f>IF(H97=1,ABS(F97),"")</x:f>
        <x:v>0.006588933903202143</x:v>
      </x:c>
      <x:c r="H97" s="2" t="n">
        <x:v>1</x:v>
      </x:c>
      <x:c r="I97" s="2" t="str">
        <x:v>AV.Clean!B2461</x:v>
      </x:c>
      <x:c r="J97" s="2" t="str">
        <x:v>AV.Clean!B2455</x:v>
      </x:c>
      <x:c r="K97" s="13" t="n">
        <x:v>45737.520833333336</x:v>
      </x:c>
      <x:c r="L97" s="13" t="n">
        <x:v>45737.541666666664</x:v>
      </x:c>
    </x:row>
    <x:row r="98" ht="22" customHeight="1">
      <x:c r="A98" s="12" t="n">
        <x:v>45749</x:v>
      </x:c>
      <x:c r="B98" s="14" t="str">
        <x:v>13:00</x:v>
      </x:c>
      <x:c r="C98" s="12" t="n">
        <x:v>45740</x:v>
      </x:c>
      <x:c r="D98" s="9" t="n">
        <x:v>569.5275</x:v>
      </x:c>
      <x:c r="E98" s="9" t="n">
        <x:v>569.8705</x:v>
      </x:c>
      <x:c r="F98" s="10" t="n">
        <x:f>IF(H98=1,E98/D98-1,"")</x:f>
        <x:v>0.0006022536225203101</x:v>
      </x:c>
      <x:c r="G98" s="10" t="n">
        <x:f>IF(H98=1,ABS(F98),"")</x:f>
        <x:v>0.0006022536225203101</x:v>
      </x:c>
      <x:c r="H98" s="2" t="n">
        <x:v>1</x:v>
      </x:c>
      <x:c r="I98" s="2" t="str">
        <x:v>AV.Clean!B2447</x:v>
      </x:c>
      <x:c r="J98" s="2" t="str">
        <x:v>AV.Clean!B2441</x:v>
      </x:c>
      <x:c r="K98" s="13" t="n">
        <x:v>45740.520833333336</x:v>
      </x:c>
      <x:c r="L98" s="13" t="n">
        <x:v>45740.541666666664</x:v>
      </x:c>
    </x:row>
    <x:row r="99" ht="22" customHeight="1">
      <x:c r="A99" s="12" t="n">
        <x:v>45749</x:v>
      </x:c>
      <x:c r="B99" s="14" t="str">
        <x:v>13:00</x:v>
      </x:c>
      <x:c r="C99" s="12" t="n">
        <x:v>45741</x:v>
      </x:c>
      <x:c r="D99" s="9" t="n">
        <x:v>571.4266</x:v>
      </x:c>
      <x:c r="E99" s="9" t="n">
        <x:v>571.6802</x:v>
      </x:c>
      <x:c r="F99" s="10" t="n">
        <x:f>IF(H99=1,E99/D99-1,"")</x:f>
        <x:v>0.0004438015311152288</x:v>
      </x:c>
      <x:c r="G99" s="10" t="n">
        <x:f>IF(H99=1,ABS(F99),"")</x:f>
        <x:v>0.0004438015311152288</x:v>
      </x:c>
      <x:c r="H99" s="2" t="n">
        <x:v>1</x:v>
      </x:c>
      <x:c r="I99" s="2" t="str">
        <x:v>AV.Clean!B2433</x:v>
      </x:c>
      <x:c r="J99" s="2" t="str">
        <x:v>AV.Clean!B2427</x:v>
      </x:c>
      <x:c r="K99" s="13" t="n">
        <x:v>45741.520833333336</x:v>
      </x:c>
      <x:c r="L99" s="13" t="n">
        <x:v>45741.541666666664</x:v>
      </x:c>
    </x:row>
    <x:row r="100" ht="22" customHeight="1">
      <x:c r="A100" s="12" t="n">
        <x:v>45749</x:v>
      </x:c>
      <x:c r="B100" s="14" t="str">
        <x:v>13:00</x:v>
      </x:c>
      <x:c r="C100" s="12" t="n">
        <x:v>45742</x:v>
      </x:c>
      <x:c r="D100" s="9" t="n">
        <x:v>570.2513</x:v>
      </x:c>
      <x:c r="E100" s="9" t="n">
        <x:v>566.142</x:v>
      </x:c>
      <x:c r="F100" s="10" t="n">
        <x:f>IF(H100=1,E100/D100-1,"")</x:f>
        <x:v>-0.007206121231113305</x:v>
      </x:c>
      <x:c r="G100" s="10" t="n">
        <x:f>IF(H100=1,ABS(F100),"")</x:f>
        <x:v>0.007206121231113305</x:v>
      </x:c>
      <x:c r="H100" s="2" t="n">
        <x:v>1</x:v>
      </x:c>
      <x:c r="I100" s="2" t="str">
        <x:v>AV.Clean!B2419</x:v>
      </x:c>
      <x:c r="J100" s="2" t="str">
        <x:v>AV.Clean!B2413</x:v>
      </x:c>
      <x:c r="K100" s="13" t="n">
        <x:v>45742.520833333336</x:v>
      </x:c>
      <x:c r="L100" s="13" t="n">
        <x:v>45742.541666666664</x:v>
      </x:c>
    </x:row>
    <x:row r="101" ht="22" customHeight="1">
      <x:c r="A101" s="12" t="n">
        <x:v>45749</x:v>
      </x:c>
      <x:c r="B101" s="14" t="str">
        <x:v>13:00</x:v>
      </x:c>
      <x:c r="C101" s="12" t="n">
        <x:v>45743</x:v>
      </x:c>
      <x:c r="D101" s="9" t="n">
        <x:v>565.093</x:v>
      </x:c>
      <x:c r="E101" s="9" t="n">
        <x:v>563.5469</x:v>
      </x:c>
      <x:c r="F101" s="10" t="n">
        <x:f>IF(H101=1,E101/D101-1,"")</x:f>
        <x:v>-0.0027360098249312736</x:v>
      </x:c>
      <x:c r="G101" s="10" t="n">
        <x:f>IF(H101=1,ABS(F101),"")</x:f>
        <x:v>0.0027360098249312736</x:v>
      </x:c>
      <x:c r="H101" s="2" t="n">
        <x:v>1</x:v>
      </x:c>
      <x:c r="I101" s="2" t="str">
        <x:v>AV.Clean!B2405</x:v>
      </x:c>
      <x:c r="J101" s="2" t="str">
        <x:v>AV.Clean!B2399</x:v>
      </x:c>
      <x:c r="K101" s="13" t="n">
        <x:v>45743.520833333336</x:v>
      </x:c>
      <x:c r="L101" s="13" t="n">
        <x:v>45743.541666666664</x:v>
      </x:c>
    </x:row>
    <x:row r="102" ht="22" customHeight="1">
      <x:c r="A102" s="12" t="n">
        <x:v>45749</x:v>
      </x:c>
      <x:c r="B102" s="14" t="str">
        <x:v>13:00</x:v>
      </x:c>
      <x:c r="C102" s="12" t="n">
        <x:v>45744</x:v>
      </x:c>
      <x:c r="D102" s="9" t="n">
        <x:v>559.8779</x:v>
      </x:c>
      <x:c r="E102" s="9" t="n">
        <x:v>553.3454</x:v>
      </x:c>
      <x:c r="F102" s="10" t="n">
        <x:f>IF(H102=1,E102/D102-1,"")</x:f>
        <x:v>-0.011667722551649051</x:v>
      </x:c>
      <x:c r="G102" s="10" t="n">
        <x:f>IF(H102=1,ABS(F102),"")</x:f>
        <x:v>0.011667722551649051</x:v>
      </x:c>
      <x:c r="H102" s="2" t="n">
        <x:v>1</x:v>
      </x:c>
      <x:c r="I102" s="2" t="str">
        <x:v>AV.Clean!B2391</x:v>
      </x:c>
      <x:c r="J102" s="2" t="str">
        <x:v>AV.Clean!B2385</x:v>
      </x:c>
      <x:c r="K102" s="13" t="n">
        <x:v>45744.520833333336</x:v>
      </x:c>
      <x:c r="L102" s="13" t="n">
        <x:v>45744.541666666664</x:v>
      </x:c>
    </x:row>
    <x:row r="103" ht="22" customHeight="1">
      <x:c r="A103" s="12" t="n">
        <x:v>45749</x:v>
      </x:c>
      <x:c r="B103" s="14" t="str">
        <x:v>13:00</x:v>
      </x:c>
      <x:c r="C103" s="12" t="n">
        <x:v>45747</x:v>
      </x:c>
      <x:c r="D103" s="9" t="n">
        <x:v>546.5891</x:v>
      </x:c>
      <x:c r="E103" s="9" t="n">
        <x:v>550.1039</x:v>
      </x:c>
      <x:c r="F103" s="10" t="n">
        <x:f>IF(H103=1,E103/D103-1,"")</x:f>
        <x:v>0.006430424609638052</x:v>
      </x:c>
      <x:c r="G103" s="10" t="n">
        <x:f>IF(H103=1,ABS(F103),"")</x:f>
        <x:v>0.006430424609638052</x:v>
      </x:c>
      <x:c r="H103" s="2" t="n">
        <x:v>1</x:v>
      </x:c>
      <x:c r="I103" s="2" t="str">
        <x:v>AV.Clean!B2377</x:v>
      </x:c>
      <x:c r="J103" s="2" t="str">
        <x:v>AV.Clean!B2371</x:v>
      </x:c>
      <x:c r="K103" s="13" t="n">
        <x:v>45747.520833333336</x:v>
      </x:c>
      <x:c r="L103" s="13" t="n">
        <x:v>45747.541666666664</x:v>
      </x:c>
    </x:row>
    <x:row r="104" ht="22" customHeight="1">
      <x:c r="A104" s="12" t="n">
        <x:v>45749</x:v>
      </x:c>
      <x:c r="B104" s="14" t="str">
        <x:v>13:00</x:v>
      </x:c>
      <x:c r="C104" s="12" t="n">
        <x:v>45748</x:v>
      </x:c>
      <x:c r="D104" s="9" t="n">
        <x:v>554.0215</x:v>
      </x:c>
      <x:c r="E104" s="9" t="n">
        <x:v>557.4219</x:v>
      </x:c>
      <x:c r="F104" s="10" t="n">
        <x:f>IF(H104=1,E104/D104-1,"")</x:f>
        <x:v>0.006137667942489822</x:v>
      </x:c>
      <x:c r="G104" s="10" t="n">
        <x:f>IF(H104=1,ABS(F104),"")</x:f>
        <x:v>0.006137667942489822</x:v>
      </x:c>
      <x:c r="H104" s="2" t="n">
        <x:v>1</x:v>
      </x:c>
      <x:c r="I104" s="2" t="str">
        <x:v>AV.Clean!B2363</x:v>
      </x:c>
      <x:c r="J104" s="2" t="str">
        <x:v>AV.Clean!B2357</x:v>
      </x:c>
      <x:c r="K104" s="13" t="n">
        <x:v>45748.520833333336</x:v>
      </x:c>
      <x:c r="L104" s="13" t="n">
        <x:v>45748.541666666664</x:v>
      </x:c>
    </x:row>
    <x:row r="105" ht="22" customHeight="1">
      <x:c r="A105" s="12" t="n">
        <x:v>45749</x:v>
      </x:c>
      <x:c r="B105" s="14" t="str">
        <x:v>13:30</x:v>
      </x:c>
      <x:c r="C105" s="12" t="n">
        <x:v>45729</x:v>
      </x:c>
      <x:c r="D105" s="9" t="n">
        <x:v>549.9453</x:v>
      </x:c>
      <x:c r="E105" s="9" t="n">
        <x:v>546.2241</x:v>
      </x:c>
      <x:c r="F105" s="10" t="n">
        <x:f>IF(H105=1,E105/D105-1,"")</x:f>
        <x:v>-0.0067664911401187355</x:v>
      </x:c>
      <x:c r="G105" s="10" t="n">
        <x:f>IF(H105=1,ABS(F105),"")</x:f>
        <x:v>0.0067664911401187355</x:v>
      </x:c>
      <x:c r="H105" s="2" t="n">
        <x:v>1</x:v>
      </x:c>
      <x:c r="I105" s="2" t="str">
        <x:v>AV.Clean!B2545</x:v>
      </x:c>
      <x:c r="J105" s="2" t="str">
        <x:v>AV.Clean!B2538</x:v>
      </x:c>
      <x:c r="K105" s="13" t="n">
        <x:v>45729.541666666664</x:v>
      </x:c>
      <x:c r="L105" s="13" t="n">
        <x:v>45729.5625</x:v>
      </x:c>
    </x:row>
    <x:row r="106" ht="22" customHeight="1">
      <x:c r="A106" s="12" t="n">
        <x:v>45749</x:v>
      </x:c>
      <x:c r="B106" s="14" t="str">
        <x:v>13:30</x:v>
      </x:c>
      <x:c r="C106" s="12" t="n">
        <x:v>45730</x:v>
      </x:c>
      <x:c r="D106" s="9" t="n">
        <x:v>552.0728</x:v>
      </x:c>
      <x:c r="E106" s="9" t="n">
        <x:v>556.5534</x:v>
      </x:c>
      <x:c r="F106" s="10" t="n">
        <x:f>IF(H106=1,E106/D106-1,"")</x:f>
        <x:v>0.008115958619950181</x:v>
      </x:c>
      <x:c r="G106" s="10" t="n">
        <x:f>IF(H106=1,ABS(F106),"")</x:f>
        <x:v>0.008115958619950181</x:v>
      </x:c>
      <x:c r="H106" s="2" t="n">
        <x:v>1</x:v>
      </x:c>
      <x:c r="I106" s="2" t="str">
        <x:v>AV.Clean!B2531</x:v>
      </x:c>
      <x:c r="J106" s="2" t="str">
        <x:v>AV.Clean!B2524</x:v>
      </x:c>
      <x:c r="K106" s="13" t="n">
        <x:v>45730.541666666664</x:v>
      </x:c>
      <x:c r="L106" s="13" t="n">
        <x:v>45730.5625</x:v>
      </x:c>
    </x:row>
    <x:row r="107" ht="22" customHeight="1">
      <x:c r="A107" s="12" t="n">
        <x:v>45749</x:v>
      </x:c>
      <x:c r="B107" s="14" t="str">
        <x:v>13:30</x:v>
      </x:c>
      <x:c r="C107" s="12" t="n">
        <x:v>45733</x:v>
      </x:c>
      <x:c r="D107" s="9" t="n">
        <x:v>560.5039</x:v>
      </x:c>
      <x:c r="E107" s="9" t="n">
        <x:v>560.925</x:v>
      </x:c>
      <x:c r="F107" s="10" t="n">
        <x:f>IF(H107=1,E107/D107-1,"")</x:f>
        <x:v>0.0007512882604383542</x:v>
      </x:c>
      <x:c r="G107" s="10" t="n">
        <x:f>IF(H107=1,ABS(F107),"")</x:f>
        <x:v>0.0007512882604383542</x:v>
      </x:c>
      <x:c r="H107" s="2" t="n">
        <x:v>1</x:v>
      </x:c>
      <x:c r="I107" s="2" t="str">
        <x:v>AV.Clean!B2517</x:v>
      </x:c>
      <x:c r="J107" s="2" t="str">
        <x:v>AV.Clean!B2510</x:v>
      </x:c>
      <x:c r="K107" s="13" t="n">
        <x:v>45733.541666666664</x:v>
      </x:c>
      <x:c r="L107" s="13" t="n">
        <x:v>45733.5625</x:v>
      </x:c>
    </x:row>
    <x:row r="108" ht="22" customHeight="1">
      <x:c r="A108" s="12" t="n">
        <x:v>45749</x:v>
      </x:c>
      <x:c r="B108" s="14" t="str">
        <x:v>13:30</x:v>
      </x:c>
      <x:c r="C108" s="12" t="n">
        <x:v>45734</x:v>
      </x:c>
      <x:c r="D108" s="9" t="n">
        <x:v>555.8831</x:v>
      </x:c>
      <x:c r="E108" s="9" t="n">
        <x:v>555.6911</x:v>
      </x:c>
      <x:c r="F108" s="10" t="n">
        <x:f>IF(H108=1,E108/D108-1,"")</x:f>
        <x:v>-0.00034539636121333483</x:v>
      </x:c>
      <x:c r="G108" s="10" t="n">
        <x:f>IF(H108=1,ABS(F108),"")</x:f>
        <x:v>0.00034539636121333483</x:v>
      </x:c>
      <x:c r="H108" s="2" t="n">
        <x:v>1</x:v>
      </x:c>
      <x:c r="I108" s="2" t="str">
        <x:v>AV.Clean!B2503</x:v>
      </x:c>
      <x:c r="J108" s="2" t="str">
        <x:v>AV.Clean!B2496</x:v>
      </x:c>
      <x:c r="K108" s="13" t="n">
        <x:v>45734.541666666664</x:v>
      </x:c>
      <x:c r="L108" s="13" t="n">
        <x:v>45734.5625</x:v>
      </x:c>
    </x:row>
    <x:row r="109" ht="22" customHeight="1">
      <x:c r="A109" s="12" t="n">
        <x:v>45749</x:v>
      </x:c>
      <x:c r="B109" s="14" t="str">
        <x:v>13:30</x:v>
      </x:c>
      <x:c r="C109" s="12" t="n">
        <x:v>45735</x:v>
      </x:c>
      <x:c r="D109" s="9" t="n">
        <x:v>559.2103</x:v>
      </x:c>
      <x:c r="E109" s="9" t="n">
        <x:v>558.4879</x:v>
      </x:c>
      <x:c r="F109" s="10" t="n">
        <x:f>IF(H109=1,E109/D109-1,"")</x:f>
        <x:v>-0.0012918216992784393</x:v>
      </x:c>
      <x:c r="G109" s="10" t="n">
        <x:f>IF(H109=1,ABS(F109),"")</x:f>
        <x:v>0.0012918216992784393</x:v>
      </x:c>
      <x:c r="H109" s="2" t="n">
        <x:v>1</x:v>
      </x:c>
      <x:c r="I109" s="2" t="str">
        <x:v>AV.Clean!B2489</x:v>
      </x:c>
      <x:c r="J109" s="2" t="str">
        <x:v>AV.Clean!B2482</x:v>
      </x:c>
      <x:c r="K109" s="13" t="n">
        <x:v>45735.541666666664</x:v>
      </x:c>
      <x:c r="L109" s="13" t="n">
        <x:v>45735.5625</x:v>
      </x:c>
    </x:row>
    <x:row r="110" ht="22" customHeight="1">
      <x:c r="A110" s="12" t="n">
        <x:v>45749</x:v>
      </x:c>
      <x:c r="B110" s="14" t="str">
        <x:v>13:30</x:v>
      </x:c>
      <x:c r="C110" s="12" t="n">
        <x:v>45736</x:v>
      </x:c>
      <x:c r="D110" s="9" t="n">
        <x:v>561.6885</x:v>
      </x:c>
      <x:c r="E110" s="9" t="n">
        <x:v>559.8741</x:v>
      </x:c>
      <x:c r="F110" s="10" t="n">
        <x:f>IF(H110=1,E110/D110-1,"")</x:f>
        <x:v>-0.0032302601886988747</x:v>
      </x:c>
      <x:c r="G110" s="10" t="n">
        <x:f>IF(H110=1,ABS(F110),"")</x:f>
        <x:v>0.0032302601886988747</x:v>
      </x:c>
      <x:c r="H110" s="2" t="n">
        <x:v>1</x:v>
      </x:c>
      <x:c r="I110" s="2" t="str">
        <x:v>AV.Clean!B2475</x:v>
      </x:c>
      <x:c r="J110" s="2" t="str">
        <x:v>AV.Clean!B2468</x:v>
      </x:c>
      <x:c r="K110" s="13" t="n">
        <x:v>45736.541666666664</x:v>
      </x:c>
      <x:c r="L110" s="13" t="n">
        <x:v>45736.5625</x:v>
      </x:c>
    </x:row>
    <x:row r="111" ht="22" customHeight="1">
      <x:c r="A111" s="12" t="n">
        <x:v>45749</x:v>
      </x:c>
      <x:c r="B111" s="14" t="str">
        <x:v>13:30</x:v>
      </x:c>
      <x:c r="C111" s="12" t="n">
        <x:v>45737</x:v>
      </x:c>
      <x:c r="D111" s="9" t="n">
        <x:v>556.7365</x:v>
      </x:c>
      <x:c r="E111" s="9" t="n">
        <x:v>558.8935</x:v>
      </x:c>
      <x:c r="F111" s="10" t="n">
        <x:f>IF(H111=1,E111/D111-1,"")</x:f>
        <x:v>0.0038743642638843223</x:v>
      </x:c>
      <x:c r="G111" s="10" t="n">
        <x:f>IF(H111=1,ABS(F111),"")</x:f>
        <x:v>0.0038743642638843223</x:v>
      </x:c>
      <x:c r="H111" s="2" t="n">
        <x:v>1</x:v>
      </x:c>
      <x:c r="I111" s="2" t="str">
        <x:v>AV.Clean!B2461</x:v>
      </x:c>
      <x:c r="J111" s="2" t="str">
        <x:v>AV.Clean!B2454</x:v>
      </x:c>
      <x:c r="K111" s="13" t="n">
        <x:v>45737.541666666664</x:v>
      </x:c>
      <x:c r="L111" s="13" t="n">
        <x:v>45737.5625</x:v>
      </x:c>
    </x:row>
    <x:row r="112" ht="22" customHeight="1">
      <x:c r="A112" s="12" t="n">
        <x:v>45749</x:v>
      </x:c>
      <x:c r="B112" s="14" t="str">
        <x:v>13:30</x:v>
      </x:c>
      <x:c r="C112" s="12" t="n">
        <x:v>45740</x:v>
      </x:c>
      <x:c r="D112" s="9" t="n">
        <x:v>569.5275</x:v>
      </x:c>
      <x:c r="E112" s="9" t="n">
        <x:v>569.8109</x:v>
      </x:c>
      <x:c r="F112" s="10" t="n">
        <x:f>IF(H112=1,E112/D112-1,"")</x:f>
        <x:v>0.0004976054712018119</x:v>
      </x:c>
      <x:c r="G112" s="10" t="n">
        <x:f>IF(H112=1,ABS(F112),"")</x:f>
        <x:v>0.0004976054712018119</x:v>
      </x:c>
      <x:c r="H112" s="2" t="n">
        <x:v>1</x:v>
      </x:c>
      <x:c r="I112" s="2" t="str">
        <x:v>AV.Clean!B2447</x:v>
      </x:c>
      <x:c r="J112" s="2" t="str">
        <x:v>AV.Clean!B2440</x:v>
      </x:c>
      <x:c r="K112" s="13" t="n">
        <x:v>45740.541666666664</x:v>
      </x:c>
      <x:c r="L112" s="13" t="n">
        <x:v>45740.5625</x:v>
      </x:c>
    </x:row>
    <x:row r="113" ht="22" customHeight="1">
      <x:c r="A113" s="12" t="n">
        <x:v>45749</x:v>
      </x:c>
      <x:c r="B113" s="14" t="str">
        <x:v>13:30</x:v>
      </x:c>
      <x:c r="C113" s="12" t="n">
        <x:v>45741</x:v>
      </x:c>
      <x:c r="D113" s="9" t="n">
        <x:v>571.4266</x:v>
      </x:c>
      <x:c r="E113" s="9" t="n">
        <x:v>570.9245</x:v>
      </x:c>
      <x:c r="F113" s="10" t="n">
        <x:f>IF(H113=1,E113/D113-1,"")</x:f>
        <x:v>-0.0008786780314392617</x:v>
      </x:c>
      <x:c r="G113" s="10" t="n">
        <x:f>IF(H113=1,ABS(F113),"")</x:f>
        <x:v>0.0008786780314392617</x:v>
      </x:c>
      <x:c r="H113" s="2" t="n">
        <x:v>1</x:v>
      </x:c>
      <x:c r="I113" s="2" t="str">
        <x:v>AV.Clean!B2433</x:v>
      </x:c>
      <x:c r="J113" s="2" t="str">
        <x:v>AV.Clean!B2426</x:v>
      </x:c>
      <x:c r="K113" s="13" t="n">
        <x:v>45741.541666666664</x:v>
      </x:c>
      <x:c r="L113" s="13" t="n">
        <x:v>45741.5625</x:v>
      </x:c>
    </x:row>
    <x:row r="114" ht="22" customHeight="1">
      <x:c r="A114" s="12" t="n">
        <x:v>45749</x:v>
      </x:c>
      <x:c r="B114" s="14" t="str">
        <x:v>13:30</x:v>
      </x:c>
      <x:c r="C114" s="12" t="n">
        <x:v>45742</x:v>
      </x:c>
      <x:c r="D114" s="9" t="n">
        <x:v>570.2513</x:v>
      </x:c>
      <x:c r="E114" s="9" t="n">
        <x:v>565.6597</x:v>
      </x:c>
      <x:c r="F114" s="10" t="n">
        <x:f>IF(H114=1,E114/D114-1,"")</x:f>
        <x:v>-0.00805188870240181</x:v>
      </x:c>
      <x:c r="G114" s="10" t="n">
        <x:f>IF(H114=1,ABS(F114),"")</x:f>
        <x:v>0.00805188870240181</x:v>
      </x:c>
      <x:c r="H114" s="2" t="n">
        <x:v>1</x:v>
      </x:c>
      <x:c r="I114" s="2" t="str">
        <x:v>AV.Clean!B2419</x:v>
      </x:c>
      <x:c r="J114" s="2" t="str">
        <x:v>AV.Clean!B2412</x:v>
      </x:c>
      <x:c r="K114" s="13" t="n">
        <x:v>45742.541666666664</x:v>
      </x:c>
      <x:c r="L114" s="13" t="n">
        <x:v>45742.5625</x:v>
      </x:c>
    </x:row>
    <x:row r="115" ht="22" customHeight="1">
      <x:c r="A115" s="12" t="n">
        <x:v>45749</x:v>
      </x:c>
      <x:c r="B115" s="14" t="str">
        <x:v>13:30</x:v>
      </x:c>
      <x:c r="C115" s="12" t="n">
        <x:v>45743</x:v>
      </x:c>
      <x:c r="D115" s="9" t="n">
        <x:v>565.093</x:v>
      </x:c>
      <x:c r="E115" s="9" t="n">
        <x:v>563.507</x:v>
      </x:c>
      <x:c r="F115" s="10" t="n">
        <x:f>IF(H115=1,E115/D115-1,"")</x:f>
        <x:v>-0.002806617671781475</x:v>
      </x:c>
      <x:c r="G115" s="10" t="n">
        <x:f>IF(H115=1,ABS(F115),"")</x:f>
        <x:v>0.002806617671781475</x:v>
      </x:c>
      <x:c r="H115" s="2" t="n">
        <x:v>1</x:v>
      </x:c>
      <x:c r="I115" s="2" t="str">
        <x:v>AV.Clean!B2405</x:v>
      </x:c>
      <x:c r="J115" s="2" t="str">
        <x:v>AV.Clean!B2398</x:v>
      </x:c>
      <x:c r="K115" s="13" t="n">
        <x:v>45743.541666666664</x:v>
      </x:c>
      <x:c r="L115" s="13" t="n">
        <x:v>45743.5625</x:v>
      </x:c>
    </x:row>
    <x:row r="116" ht="22" customHeight="1">
      <x:c r="A116" s="12" t="n">
        <x:v>45749</x:v>
      </x:c>
      <x:c r="B116" s="14" t="str">
        <x:v>13:30</x:v>
      </x:c>
      <x:c r="C116" s="12" t="n">
        <x:v>45744</x:v>
      </x:c>
      <x:c r="D116" s="9" t="n">
        <x:v>559.8779</x:v>
      </x:c>
      <x:c r="E116" s="9" t="n">
        <x:v>552.2318</x:v>
      </x:c>
      <x:c r="F116" s="10" t="n">
        <x:f>IF(H116=1,E116/D116-1,"")</x:f>
        <x:v>-0.013656727654368761</x:v>
      </x:c>
      <x:c r="G116" s="10" t="n">
        <x:f>IF(H116=1,ABS(F116),"")</x:f>
        <x:v>0.013656727654368761</x:v>
      </x:c>
      <x:c r="H116" s="2" t="n">
        <x:v>1</x:v>
      </x:c>
      <x:c r="I116" s="2" t="str">
        <x:v>AV.Clean!B2391</x:v>
      </x:c>
      <x:c r="J116" s="2" t="str">
        <x:v>AV.Clean!B2384</x:v>
      </x:c>
      <x:c r="K116" s="13" t="n">
        <x:v>45744.541666666664</x:v>
      </x:c>
      <x:c r="L116" s="13" t="n">
        <x:v>45744.5625</x:v>
      </x:c>
    </x:row>
    <x:row r="117" ht="22" customHeight="1">
      <x:c r="A117" s="12" t="n">
        <x:v>45749</x:v>
      </x:c>
      <x:c r="B117" s="14" t="str">
        <x:v>13:30</x:v>
      </x:c>
      <x:c r="C117" s="12" t="n">
        <x:v>45747</x:v>
      </x:c>
      <x:c r="D117" s="9" t="n">
        <x:v>546.5891</x:v>
      </x:c>
      <x:c r="E117" s="9" t="n">
        <x:v>550.5005</x:v>
      </x:c>
      <x:c r="F117" s="10" t="n">
        <x:f>IF(H117=1,E117/D117-1,"")</x:f>
        <x:v>0.007156015368765978</x:v>
      </x:c>
      <x:c r="G117" s="10" t="n">
        <x:f>IF(H117=1,ABS(F117),"")</x:f>
        <x:v>0.007156015368765978</x:v>
      </x:c>
      <x:c r="H117" s="2" t="n">
        <x:v>1</x:v>
      </x:c>
      <x:c r="I117" s="2" t="str">
        <x:v>AV.Clean!B2377</x:v>
      </x:c>
      <x:c r="J117" s="2" t="str">
        <x:v>AV.Clean!B2370</x:v>
      </x:c>
      <x:c r="K117" s="13" t="n">
        <x:v>45747.541666666664</x:v>
      </x:c>
      <x:c r="L117" s="13" t="n">
        <x:v>45747.5625</x:v>
      </x:c>
    </x:row>
    <x:row r="118" ht="22" customHeight="1">
      <x:c r="A118" s="12" t="n">
        <x:v>45749</x:v>
      </x:c>
      <x:c r="B118" s="14" t="str">
        <x:v>13:30</x:v>
      </x:c>
      <x:c r="C118" s="12" t="n">
        <x:v>45748</x:v>
      </x:c>
      <x:c r="D118" s="9" t="n">
        <x:v>554.0215</x:v>
      </x:c>
      <x:c r="E118" s="9" t="n">
        <x:v>556.179</x:v>
      </x:c>
      <x:c r="F118" s="10" t="n">
        <x:f>IF(H118=1,E118/D118-1,"")</x:f>
        <x:v>0.00389425320136505</x:v>
      </x:c>
      <x:c r="G118" s="10" t="n">
        <x:f>IF(H118=1,ABS(F118),"")</x:f>
        <x:v>0.00389425320136505</x:v>
      </x:c>
      <x:c r="H118" s="2" t="n">
        <x:v>1</x:v>
      </x:c>
      <x:c r="I118" s="2" t="str">
        <x:v>AV.Clean!B2363</x:v>
      </x:c>
      <x:c r="J118" s="2" t="str">
        <x:v>AV.Clean!B2356</x:v>
      </x:c>
      <x:c r="K118" s="13" t="n">
        <x:v>45748.541666666664</x:v>
      </x:c>
      <x:c r="L118" s="13" t="n">
        <x:v>45748.5625</x:v>
      </x:c>
    </x:row>
    <x:row r="119" ht="22" customHeight="1">
      <x:c r="A119" s="12" t="n">
        <x:v>45749</x:v>
      </x:c>
      <x:c r="B119" s="14" t="str">
        <x:v>14:00</x:v>
      </x:c>
      <x:c r="C119" s="12" t="n">
        <x:v>45729</x:v>
      </x:c>
      <x:c r="D119" s="9" t="n">
        <x:v>549.9453</x:v>
      </x:c>
      <x:c r="E119" s="9" t="n">
        <x:v>545.2228</x:v>
      </x:c>
      <x:c r="F119" s="10" t="n">
        <x:f>IF(H119=1,E119/D119-1,"")</x:f>
        <x:v>-0.008587217674194125</x:v>
      </x:c>
      <x:c r="G119" s="10" t="n">
        <x:f>IF(H119=1,ABS(F119),"")</x:f>
        <x:v>0.008587217674194125</x:v>
      </x:c>
      <x:c r="H119" s="2" t="n">
        <x:v>1</x:v>
      </x:c>
      <x:c r="I119" s="2" t="str">
        <x:v>AV.Clean!B2545</x:v>
      </x:c>
      <x:c r="J119" s="2" t="str">
        <x:v>AV.Clean!B2537</x:v>
      </x:c>
      <x:c r="K119" s="13" t="n">
        <x:v>45729.5625</x:v>
      </x:c>
      <x:c r="L119" s="13" t="n">
        <x:v>45729.583333333336</x:v>
      </x:c>
    </x:row>
    <x:row r="120" ht="22" customHeight="1">
      <x:c r="A120" s="12" t="n">
        <x:v>45749</x:v>
      </x:c>
      <x:c r="B120" s="14" t="str">
        <x:v>14:00</x:v>
      </x:c>
      <x:c r="C120" s="12" t="n">
        <x:v>45730</x:v>
      </x:c>
      <x:c r="D120" s="9" t="n">
        <x:v>552.0728</x:v>
      </x:c>
      <x:c r="E120" s="9" t="n">
        <x:v>555.8001</x:v>
      </x:c>
      <x:c r="F120" s="10" t="n">
        <x:f>IF(H120=1,E120/D120-1,"")</x:f>
        <x:v>0.006751464661906903</x:v>
      </x:c>
      <x:c r="G120" s="10" t="n">
        <x:f>IF(H120=1,ABS(F120),"")</x:f>
        <x:v>0.006751464661906903</x:v>
      </x:c>
      <x:c r="H120" s="2" t="n">
        <x:v>1</x:v>
      </x:c>
      <x:c r="I120" s="2" t="str">
        <x:v>AV.Clean!B2531</x:v>
      </x:c>
      <x:c r="J120" s="2" t="str">
        <x:v>AV.Clean!B2523</x:v>
      </x:c>
      <x:c r="K120" s="13" t="n">
        <x:v>45730.5625</x:v>
      </x:c>
      <x:c r="L120" s="13" t="n">
        <x:v>45730.583333333336</x:v>
      </x:c>
    </x:row>
    <x:row r="121" ht="22" customHeight="1">
      <x:c r="A121" s="12" t="n">
        <x:v>45749</x:v>
      </x:c>
      <x:c r="B121" s="14" t="str">
        <x:v>14:00</x:v>
      </x:c>
      <x:c r="C121" s="12" t="n">
        <x:v>45733</x:v>
      </x:c>
      <x:c r="D121" s="9" t="n">
        <x:v>560.5039</x:v>
      </x:c>
      <x:c r="E121" s="9" t="n">
        <x:v>562.1842</x:v>
      </x:c>
      <x:c r="F121" s="10" t="n">
        <x:f>IF(H121=1,E121/D121-1,"")</x:f>
        <x:v>0.002997838195238245</x:v>
      </x:c>
      <x:c r="G121" s="10" t="n">
        <x:f>IF(H121=1,ABS(F121),"")</x:f>
        <x:v>0.002997838195238245</x:v>
      </x:c>
      <x:c r="H121" s="2" t="n">
        <x:v>1</x:v>
      </x:c>
      <x:c r="I121" s="2" t="str">
        <x:v>AV.Clean!B2517</x:v>
      </x:c>
      <x:c r="J121" s="2" t="str">
        <x:v>AV.Clean!B2509</x:v>
      </x:c>
      <x:c r="K121" s="13" t="n">
        <x:v>45733.5625</x:v>
      </x:c>
      <x:c r="L121" s="13" t="n">
        <x:v>45733.583333333336</x:v>
      </x:c>
    </x:row>
    <x:row r="122" ht="22" customHeight="1">
      <x:c r="A122" s="12" t="n">
        <x:v>45749</x:v>
      </x:c>
      <x:c r="B122" s="14" t="str">
        <x:v>14:00</x:v>
      </x:c>
      <x:c r="C122" s="12" t="n">
        <x:v>45734</x:v>
      </x:c>
      <x:c r="D122" s="9" t="n">
        <x:v>555.8831</x:v>
      </x:c>
      <x:c r="E122" s="9" t="n">
        <x:v>555.9489</x:v>
      </x:c>
      <x:c r="F122" s="10" t="n">
        <x:f>IF(H122=1,E122/D122-1,"")</x:f>
        <x:v>0.00011837021129079695</x:v>
      </x:c>
      <x:c r="G122" s="10" t="n">
        <x:f>IF(H122=1,ABS(F122),"")</x:f>
        <x:v>0.00011837021129079695</x:v>
      </x:c>
      <x:c r="H122" s="2" t="n">
        <x:v>1</x:v>
      </x:c>
      <x:c r="I122" s="2" t="str">
        <x:v>AV.Clean!B2503</x:v>
      </x:c>
      <x:c r="J122" s="2" t="str">
        <x:v>AV.Clean!B2495</x:v>
      </x:c>
      <x:c r="K122" s="13" t="n">
        <x:v>45734.5625</x:v>
      </x:c>
      <x:c r="L122" s="13" t="n">
        <x:v>45734.583333333336</x:v>
      </x:c>
    </x:row>
    <x:row r="123" ht="22" customHeight="1">
      <x:c r="A123" s="12" t="n">
        <x:v>45749</x:v>
      </x:c>
      <x:c r="B123" s="14" t="str">
        <x:v>14:00</x:v>
      </x:c>
      <x:c r="C123" s="12" t="n">
        <x:v>45735</x:v>
      </x:c>
      <x:c r="D123" s="9" t="n">
        <x:v>559.2103</x:v>
      </x:c>
      <x:c r="E123" s="9" t="n">
        <x:v>557.872</x:v>
      </x:c>
      <x:c r="F123" s="10" t="n">
        <x:f>IF(H123=1,E123/D123-1,"")</x:f>
        <x:v>-0.002393196262658215</x:v>
      </x:c>
      <x:c r="G123" s="10" t="n">
        <x:f>IF(H123=1,ABS(F123),"")</x:f>
        <x:v>0.002393196262658215</x:v>
      </x:c>
      <x:c r="H123" s="2" t="n">
        <x:v>1</x:v>
      </x:c>
      <x:c r="I123" s="2" t="str">
        <x:v>AV.Clean!B2489</x:v>
      </x:c>
      <x:c r="J123" s="2" t="str">
        <x:v>AV.Clean!B2481</x:v>
      </x:c>
      <x:c r="K123" s="13" t="n">
        <x:v>45735.5625</x:v>
      </x:c>
      <x:c r="L123" s="13" t="n">
        <x:v>45735.583333333336</x:v>
      </x:c>
    </x:row>
    <x:row r="124" ht="22" customHeight="1">
      <x:c r="A124" s="12" t="n">
        <x:v>45749</x:v>
      </x:c>
      <x:c r="B124" s="14" t="str">
        <x:v>14:00</x:v>
      </x:c>
      <x:c r="C124" s="12" t="n">
        <x:v>45736</x:v>
      </x:c>
      <x:c r="D124" s="9" t="n">
        <x:v>561.6885</x:v>
      </x:c>
      <x:c r="E124" s="9" t="n">
        <x:v>560.2801</x:v>
      </x:c>
      <x:c r="F124" s="10" t="n">
        <x:f>IF(H124=1,E124/D124-1,"")</x:f>
        <x:v>-0.0025074396217833472</x:v>
      </x:c>
      <x:c r="G124" s="10" t="n">
        <x:f>IF(H124=1,ABS(F124),"")</x:f>
        <x:v>0.0025074396217833472</x:v>
      </x:c>
      <x:c r="H124" s="2" t="n">
        <x:v>1</x:v>
      </x:c>
      <x:c r="I124" s="2" t="str">
        <x:v>AV.Clean!B2475</x:v>
      </x:c>
      <x:c r="J124" s="2" t="str">
        <x:v>AV.Clean!B2467</x:v>
      </x:c>
      <x:c r="K124" s="13" t="n">
        <x:v>45736.5625</x:v>
      </x:c>
      <x:c r="L124" s="13" t="n">
        <x:v>45736.583333333336</x:v>
      </x:c>
    </x:row>
    <x:row r="125" ht="22" customHeight="1">
      <x:c r="A125" s="12" t="n">
        <x:v>45749</x:v>
      </x:c>
      <x:c r="B125" s="14" t="str">
        <x:v>14:00</x:v>
      </x:c>
      <x:c r="C125" s="12" t="n">
        <x:v>45737</x:v>
      </x:c>
      <x:c r="D125" s="9" t="n">
        <x:v>556.7365</x:v>
      </x:c>
      <x:c r="E125" s="9" t="n">
        <x:v>559.684</x:v>
      </x:c>
      <x:c r="F125" s="10" t="n">
        <x:f>IF(H125=1,E125/D125-1,"")</x:f>
        <x:v>0.005294246021232629</x:v>
      </x:c>
      <x:c r="G125" s="10" t="n">
        <x:f>IF(H125=1,ABS(F125),"")</x:f>
        <x:v>0.005294246021232629</x:v>
      </x:c>
      <x:c r="H125" s="2" t="n">
        <x:v>1</x:v>
      </x:c>
      <x:c r="I125" s="2" t="str">
        <x:v>AV.Clean!B2461</x:v>
      </x:c>
      <x:c r="J125" s="2" t="str">
        <x:v>AV.Clean!B2453</x:v>
      </x:c>
      <x:c r="K125" s="13" t="n">
        <x:v>45737.5625</x:v>
      </x:c>
      <x:c r="L125" s="13" t="n">
        <x:v>45737.583333333336</x:v>
      </x:c>
    </x:row>
    <x:row r="126" ht="22" customHeight="1">
      <x:c r="A126" s="12" t="n">
        <x:v>45749</x:v>
      </x:c>
      <x:c r="B126" s="14" t="str">
        <x:v>14:00</x:v>
      </x:c>
      <x:c r="C126" s="12" t="n">
        <x:v>45740</x:v>
      </x:c>
      <x:c r="D126" s="9" t="n">
        <x:v>569.5275</x:v>
      </x:c>
      <x:c r="E126" s="9" t="n">
        <x:v>569.8257</x:v>
      </x:c>
      <x:c r="F126" s="10" t="n">
        <x:f>IF(H126=1,E126/D126-1,"")</x:f>
        <x:v>0.0005235919248849363</x:v>
      </x:c>
      <x:c r="G126" s="10" t="n">
        <x:f>IF(H126=1,ABS(F126),"")</x:f>
        <x:v>0.0005235919248849363</x:v>
      </x:c>
      <x:c r="H126" s="2" t="n">
        <x:v>1</x:v>
      </x:c>
      <x:c r="I126" s="2" t="str">
        <x:v>AV.Clean!B2447</x:v>
      </x:c>
      <x:c r="J126" s="2" t="str">
        <x:v>AV.Clean!B2439</x:v>
      </x:c>
      <x:c r="K126" s="13" t="n">
        <x:v>45740.5625</x:v>
      </x:c>
      <x:c r="L126" s="13" t="n">
        <x:v>45740.583333333336</x:v>
      </x:c>
    </x:row>
    <x:row r="127" ht="22" customHeight="1">
      <x:c r="A127" s="12" t="n">
        <x:v>45749</x:v>
      </x:c>
      <x:c r="B127" s="14" t="str">
        <x:v>14:00</x:v>
      </x:c>
      <x:c r="C127" s="12" t="n">
        <x:v>45741</x:v>
      </x:c>
      <x:c r="D127" s="9" t="n">
        <x:v>571.4266</x:v>
      </x:c>
      <x:c r="E127" s="9" t="n">
        <x:v>570.8151</x:v>
      </x:c>
      <x:c r="F127" s="10" t="n">
        <x:f>IF(H127=1,E127/D127-1,"")</x:f>
        <x:v>-0.0010701286919438946</x:v>
      </x:c>
      <x:c r="G127" s="10" t="n">
        <x:f>IF(H127=1,ABS(F127),"")</x:f>
        <x:v>0.0010701286919438946</x:v>
      </x:c>
      <x:c r="H127" s="2" t="n">
        <x:v>1</x:v>
      </x:c>
      <x:c r="I127" s="2" t="str">
        <x:v>AV.Clean!B2433</x:v>
      </x:c>
      <x:c r="J127" s="2" t="str">
        <x:v>AV.Clean!B2425</x:v>
      </x:c>
      <x:c r="K127" s="13" t="n">
        <x:v>45741.5625</x:v>
      </x:c>
      <x:c r="L127" s="13" t="n">
        <x:v>45741.583333333336</x:v>
      </x:c>
    </x:row>
    <x:row r="128" ht="22" customHeight="1">
      <x:c r="A128" s="12" t="n">
        <x:v>45749</x:v>
      </x:c>
      <x:c r="B128" s="14" t="str">
        <x:v>14:00</x:v>
      </x:c>
      <x:c r="C128" s="12" t="n">
        <x:v>45742</x:v>
      </x:c>
      <x:c r="D128" s="9" t="n">
        <x:v>570.2513</x:v>
      </x:c>
      <x:c r="E128" s="9" t="n">
        <x:v>564.829</x:v>
      </x:c>
      <x:c r="F128" s="10" t="n">
        <x:f>IF(H128=1,E128/D128-1,"")</x:f>
        <x:v>-0.009508614886103883</x:v>
      </x:c>
      <x:c r="G128" s="10" t="n">
        <x:f>IF(H128=1,ABS(F128),"")</x:f>
        <x:v>0.009508614886103883</x:v>
      </x:c>
      <x:c r="H128" s="2" t="n">
        <x:v>1</x:v>
      </x:c>
      <x:c r="I128" s="2" t="str">
        <x:v>AV.Clean!B2419</x:v>
      </x:c>
      <x:c r="J128" s="2" t="str">
        <x:v>AV.Clean!B2411</x:v>
      </x:c>
      <x:c r="K128" s="13" t="n">
        <x:v>45742.5625</x:v>
      </x:c>
      <x:c r="L128" s="13" t="n">
        <x:v>45742.583333333336</x:v>
      </x:c>
    </x:row>
    <x:row r="129" ht="22" customHeight="1">
      <x:c r="A129" s="12" t="n">
        <x:v>45749</x:v>
      </x:c>
      <x:c r="B129" s="14" t="str">
        <x:v>14:00</x:v>
      </x:c>
      <x:c r="C129" s="12" t="n">
        <x:v>45743</x:v>
      </x:c>
      <x:c r="D129" s="9" t="n">
        <x:v>565.093</x:v>
      </x:c>
      <x:c r="E129" s="9" t="n">
        <x:v>563.3579</x:v>
      </x:c>
      <x:c r="F129" s="10" t="n">
        <x:f>IF(H129=1,E129/D129-1,"")</x:f>
        <x:v>-0.0030704680468524037</x:v>
      </x:c>
      <x:c r="G129" s="10" t="n">
        <x:f>IF(H129=1,ABS(F129),"")</x:f>
        <x:v>0.0030704680468524037</x:v>
      </x:c>
      <x:c r="H129" s="2" t="n">
        <x:v>1</x:v>
      </x:c>
      <x:c r="I129" s="2" t="str">
        <x:v>AV.Clean!B2405</x:v>
      </x:c>
      <x:c r="J129" s="2" t="str">
        <x:v>AV.Clean!B2397</x:v>
      </x:c>
      <x:c r="K129" s="13" t="n">
        <x:v>45743.5625</x:v>
      </x:c>
      <x:c r="L129" s="13" t="n">
        <x:v>45743.583333333336</x:v>
      </x:c>
    </x:row>
    <x:row r="130" ht="22" customHeight="1">
      <x:c r="A130" s="12" t="n">
        <x:v>45749</x:v>
      </x:c>
      <x:c r="B130" s="14" t="str">
        <x:v>14:00</x:v>
      </x:c>
      <x:c r="C130" s="12" t="n">
        <x:v>45744</x:v>
      </x:c>
      <x:c r="D130" s="9" t="n">
        <x:v>559.8779</x:v>
      </x:c>
      <x:c r="E130" s="9" t="n">
        <x:v>553.2062</x:v>
      </x:c>
      <x:c r="F130" s="10" t="n">
        <x:f>IF(H130=1,E130/D130-1,"")</x:f>
        <x:v>-0.011916348189489168</x:v>
      </x:c>
      <x:c r="G130" s="10" t="n">
        <x:f>IF(H130=1,ABS(F130),"")</x:f>
        <x:v>0.011916348189489168</x:v>
      </x:c>
      <x:c r="H130" s="2" t="n">
        <x:v>1</x:v>
      </x:c>
      <x:c r="I130" s="2" t="str">
        <x:v>AV.Clean!B2391</x:v>
      </x:c>
      <x:c r="J130" s="2" t="str">
        <x:v>AV.Clean!B2383</x:v>
      </x:c>
      <x:c r="K130" s="13" t="n">
        <x:v>45744.5625</x:v>
      </x:c>
      <x:c r="L130" s="13" t="n">
        <x:v>45744.583333333336</x:v>
      </x:c>
    </x:row>
    <x:row r="131" ht="22" customHeight="1">
      <x:c r="A131" s="12" t="n">
        <x:v>45749</x:v>
      </x:c>
      <x:c r="B131" s="14" t="str">
        <x:v>14:00</x:v>
      </x:c>
      <x:c r="C131" s="12" t="n">
        <x:v>45747</x:v>
      </x:c>
      <x:c r="D131" s="9" t="n">
        <x:v>546.5891</x:v>
      </x:c>
      <x:c r="E131" s="9" t="n">
        <x:v>549.9448</x:v>
      </x:c>
      <x:c r="F131" s="10" t="n">
        <x:f>IF(H131=1,E131/D131-1,"")</x:f>
        <x:v>0.006139346723160077</x:v>
      </x:c>
      <x:c r="G131" s="10" t="n">
        <x:f>IF(H131=1,ABS(F131),"")</x:f>
        <x:v>0.006139346723160077</x:v>
      </x:c>
      <x:c r="H131" s="2" t="n">
        <x:v>1</x:v>
      </x:c>
      <x:c r="I131" s="2" t="str">
        <x:v>AV.Clean!B2377</x:v>
      </x:c>
      <x:c r="J131" s="2" t="str">
        <x:v>AV.Clean!B2369</x:v>
      </x:c>
      <x:c r="K131" s="13" t="n">
        <x:v>45747.5625</x:v>
      </x:c>
      <x:c r="L131" s="13" t="n">
        <x:v>45747.583333333336</x:v>
      </x:c>
    </x:row>
    <x:row r="132" ht="22" customHeight="1">
      <x:c r="A132" s="12" t="n">
        <x:v>45749</x:v>
      </x:c>
      <x:c r="B132" s="14" t="str">
        <x:v>14:00</x:v>
      </x:c>
      <x:c r="C132" s="12" t="n">
        <x:v>45748</x:v>
      </x:c>
      <x:c r="D132" s="9" t="n">
        <x:v>554.0215</x:v>
      </x:c>
      <x:c r="E132" s="9" t="n">
        <x:v>555.8809</x:v>
      </x:c>
      <x:c r="F132" s="10" t="n">
        <x:f>IF(H132=1,E132/D132-1,"")</x:f>
        <x:v>0.0033561874403791325</x:v>
      </x:c>
      <x:c r="G132" s="10" t="n">
        <x:f>IF(H132=1,ABS(F132),"")</x:f>
        <x:v>0.0033561874403791325</x:v>
      </x:c>
      <x:c r="H132" s="2" t="n">
        <x:v>1</x:v>
      </x:c>
      <x:c r="I132" s="2" t="str">
        <x:v>AV.Clean!B2363</x:v>
      </x:c>
      <x:c r="J132" s="2" t="str">
        <x:v>AV.Clean!B2355</x:v>
      </x:c>
      <x:c r="K132" s="13" t="n">
        <x:v>45748.5625</x:v>
      </x:c>
      <x:c r="L132" s="13" t="n">
        <x:v>45748.583333333336</x:v>
      </x:c>
    </x:row>
    <x:row r="133" ht="22" customHeight="1">
      <x:c r="A133" s="12" t="n">
        <x:v>45749</x:v>
      </x:c>
      <x:c r="B133" s="14" t="str">
        <x:v>14:30</x:v>
      </x:c>
      <x:c r="C133" s="12" t="n">
        <x:v>45729</x:v>
      </x:c>
      <x:c r="D133" s="9" t="n">
        <x:v>549.9453</x:v>
      </x:c>
      <x:c r="E133" s="9" t="n">
        <x:v>548.2857</x:v>
      </x:c>
      <x:c r="F133" s="10" t="n">
        <x:f>IF(H133=1,E133/D133-1,"")</x:f>
        <x:v>-0.0030177546748739736</x:v>
      </x:c>
      <x:c r="G133" s="10" t="n">
        <x:f>IF(H133=1,ABS(F133),"")</x:f>
        <x:v>0.0030177546748739736</x:v>
      </x:c>
      <x:c r="H133" s="2" t="n">
        <x:v>1</x:v>
      </x:c>
      <x:c r="I133" s="2" t="str">
        <x:v>AV.Clean!B2545</x:v>
      </x:c>
      <x:c r="J133" s="2" t="str">
        <x:v>AV.Clean!B2536</x:v>
      </x:c>
      <x:c r="K133" s="13" t="n">
        <x:v>45729.583333333336</x:v>
      </x:c>
      <x:c r="L133" s="13" t="n">
        <x:v>45729.604166666664</x:v>
      </x:c>
    </x:row>
    <x:row r="134" ht="22" customHeight="1">
      <x:c r="A134" s="12" t="n">
        <x:v>45749</x:v>
      </x:c>
      <x:c r="B134" s="14" t="str">
        <x:v>14:30</x:v>
      </x:c>
      <x:c r="C134" s="12" t="n">
        <x:v>45730</x:v>
      </x:c>
      <x:c r="D134" s="9" t="n">
        <x:v>552.0728</x:v>
      </x:c>
      <x:c r="E134" s="9" t="n">
        <x:v>555.8398</x:v>
      </x:c>
      <x:c r="F134" s="10" t="n">
        <x:f>IF(H134=1,E134/D134-1,"")</x:f>
        <x:v>0.0068233754678730385</x:v>
      </x:c>
      <x:c r="G134" s="10" t="n">
        <x:f>IF(H134=1,ABS(F134),"")</x:f>
        <x:v>0.0068233754678730385</x:v>
      </x:c>
      <x:c r="H134" s="2" t="n">
        <x:v>1</x:v>
      </x:c>
      <x:c r="I134" s="2" t="str">
        <x:v>AV.Clean!B2531</x:v>
      </x:c>
      <x:c r="J134" s="2" t="str">
        <x:v>AV.Clean!B2522</x:v>
      </x:c>
      <x:c r="K134" s="13" t="n">
        <x:v>45730.583333333336</x:v>
      </x:c>
      <x:c r="L134" s="13" t="n">
        <x:v>45730.604166666664</x:v>
      </x:c>
    </x:row>
    <x:row r="135" ht="22" customHeight="1">
      <x:c r="A135" s="12" t="n">
        <x:v>45749</x:v>
      </x:c>
      <x:c r="B135" s="14" t="str">
        <x:v>14:30</x:v>
      </x:c>
      <x:c r="C135" s="12" t="n">
        <x:v>45733</x:v>
      </x:c>
      <x:c r="D135" s="9" t="n">
        <x:v>560.5039</x:v>
      </x:c>
      <x:c r="E135" s="9" t="n">
        <x:v>563.691</x:v>
      </x:c>
      <x:c r="F135" s="10" t="n">
        <x:f>IF(H135=1,E135/D135-1,"")</x:f>
        <x:v>0.005686133495235168</x:v>
      </x:c>
      <x:c r="G135" s="10" t="n">
        <x:f>IF(H135=1,ABS(F135),"")</x:f>
        <x:v>0.005686133495235168</x:v>
      </x:c>
      <x:c r="H135" s="2" t="n">
        <x:v>1</x:v>
      </x:c>
      <x:c r="I135" s="2" t="str">
        <x:v>AV.Clean!B2517</x:v>
      </x:c>
      <x:c r="J135" s="2" t="str">
        <x:v>AV.Clean!B2508</x:v>
      </x:c>
      <x:c r="K135" s="13" t="n">
        <x:v>45733.583333333336</x:v>
      </x:c>
      <x:c r="L135" s="13" t="n">
        <x:v>45733.604166666664</x:v>
      </x:c>
    </x:row>
    <x:row r="136" ht="22" customHeight="1">
      <x:c r="A136" s="12" t="n">
        <x:v>45749</x:v>
      </x:c>
      <x:c r="B136" s="14" t="str">
        <x:v>14:30</x:v>
      </x:c>
      <x:c r="C136" s="12" t="n">
        <x:v>45734</x:v>
      </x:c>
      <x:c r="D136" s="9" t="n">
        <x:v>555.8831</x:v>
      </x:c>
      <x:c r="E136" s="9" t="n">
        <x:v>555.6415</x:v>
      </x:c>
      <x:c r="F136" s="10" t="n">
        <x:f>IF(H136=1,E136/D136-1,"")</x:f>
        <x:v>-0.0004346237545269638</x:v>
      </x:c>
      <x:c r="G136" s="10" t="n">
        <x:f>IF(H136=1,ABS(F136),"")</x:f>
        <x:v>0.0004346237545269638</x:v>
      </x:c>
      <x:c r="H136" s="2" t="n">
        <x:v>1</x:v>
      </x:c>
      <x:c r="I136" s="2" t="str">
        <x:v>AV.Clean!B2503</x:v>
      </x:c>
      <x:c r="J136" s="2" t="str">
        <x:v>AV.Clean!B2494</x:v>
      </x:c>
      <x:c r="K136" s="13" t="n">
        <x:v>45734.583333333336</x:v>
      </x:c>
      <x:c r="L136" s="13" t="n">
        <x:v>45734.604166666664</x:v>
      </x:c>
    </x:row>
    <x:row r="137" ht="22" customHeight="1">
      <x:c r="A137" s="12" t="n">
        <x:v>45749</x:v>
      </x:c>
      <x:c r="B137" s="14" t="str">
        <x:v>14:30</x:v>
      </x:c>
      <x:c r="C137" s="12" t="n">
        <x:v>45735</x:v>
      </x:c>
      <x:c r="D137" s="9" t="n">
        <x:v>559.2103</x:v>
      </x:c>
      <x:c r="E137" s="9" t="n">
        <x:v>559.8348</x:v>
      </x:c>
      <x:c r="F137" s="10" t="n">
        <x:f>IF(H137=1,E137/D137-1,"")</x:f>
        <x:v>0.0011167533931331075</x:v>
      </x:c>
      <x:c r="G137" s="10" t="n">
        <x:f>IF(H137=1,ABS(F137),"")</x:f>
        <x:v>0.0011167533931331075</x:v>
      </x:c>
      <x:c r="H137" s="2" t="n">
        <x:v>1</x:v>
      </x:c>
      <x:c r="I137" s="2" t="str">
        <x:v>AV.Clean!B2489</x:v>
      </x:c>
      <x:c r="J137" s="2" t="str">
        <x:v>AV.Clean!B2480</x:v>
      </x:c>
      <x:c r="K137" s="13" t="n">
        <x:v>45735.583333333336</x:v>
      </x:c>
      <x:c r="L137" s="13" t="n">
        <x:v>45735.604166666664</x:v>
      </x:c>
    </x:row>
    <x:row r="138" ht="22" customHeight="1">
      <x:c r="A138" s="12" t="n">
        <x:v>45749</x:v>
      </x:c>
      <x:c r="B138" s="14" t="str">
        <x:v>14:30</x:v>
      </x:c>
      <x:c r="C138" s="12" t="n">
        <x:v>45736</x:v>
      </x:c>
      <x:c r="D138" s="9" t="n">
        <x:v>561.6885</x:v>
      </x:c>
      <x:c r="E138" s="9" t="n">
        <x:v>559.2301</x:v>
      </x:c>
      <x:c r="F138" s="10" t="n">
        <x:f>IF(H138=1,E138/D138-1,"")</x:f>
        <x:v>-0.004376803156909914</x:v>
      </x:c>
      <x:c r="G138" s="10" t="n">
        <x:f>IF(H138=1,ABS(F138),"")</x:f>
        <x:v>0.004376803156909914</x:v>
      </x:c>
      <x:c r="H138" s="2" t="n">
        <x:v>1</x:v>
      </x:c>
      <x:c r="I138" s="2" t="str">
        <x:v>AV.Clean!B2475</x:v>
      </x:c>
      <x:c r="J138" s="2" t="str">
        <x:v>AV.Clean!B2466</x:v>
      </x:c>
      <x:c r="K138" s="13" t="n">
        <x:v>45736.583333333336</x:v>
      </x:c>
      <x:c r="L138" s="13" t="n">
        <x:v>45736.604166666664</x:v>
      </x:c>
    </x:row>
    <x:row r="139" ht="22" customHeight="1">
      <x:c r="A139" s="12" t="n">
        <x:v>45749</x:v>
      </x:c>
      <x:c r="B139" s="14" t="str">
        <x:v>14:30</x:v>
      </x:c>
      <x:c r="C139" s="12" t="n">
        <x:v>45737</x:v>
      </x:c>
      <x:c r="D139" s="9" t="n">
        <x:v>556.7365</x:v>
      </x:c>
      <x:c r="E139" s="9" t="n">
        <x:v>558.9134</x:v>
      </x:c>
      <x:c r="F139" s="10" t="n">
        <x:f>IF(H139=1,E139/D139-1,"")</x:f>
        <x:v>0.0039101082828232325</x:v>
      </x:c>
      <x:c r="G139" s="10" t="n">
        <x:f>IF(H139=1,ABS(F139),"")</x:f>
        <x:v>0.0039101082828232325</x:v>
      </x:c>
      <x:c r="H139" s="2" t="n">
        <x:v>1</x:v>
      </x:c>
      <x:c r="I139" s="2" t="str">
        <x:v>AV.Clean!B2461</x:v>
      </x:c>
      <x:c r="J139" s="2" t="str">
        <x:v>AV.Clean!B2452</x:v>
      </x:c>
      <x:c r="K139" s="13" t="n">
        <x:v>45737.583333333336</x:v>
      </x:c>
      <x:c r="L139" s="13" t="n">
        <x:v>45737.604166666664</x:v>
      </x:c>
    </x:row>
    <x:row r="140" ht="22" customHeight="1">
      <x:c r="A140" s="12" t="n">
        <x:v>45749</x:v>
      </x:c>
      <x:c r="B140" s="14" t="str">
        <x:v>14:30</x:v>
      </x:c>
      <x:c r="C140" s="12" t="n">
        <x:v>45740</x:v>
      </x:c>
      <x:c r="D140" s="9" t="n">
        <x:v>569.5275</x:v>
      </x:c>
      <x:c r="E140" s="9" t="n">
        <x:v>569.1398</x:v>
      </x:c>
      <x:c r="F140" s="10" t="n">
        <x:f>IF(H140=1,E140/D140-1,"")</x:f>
        <x:v>-0.0006807397360092393</x:v>
      </x:c>
      <x:c r="G140" s="10" t="n">
        <x:f>IF(H140=1,ABS(F140),"")</x:f>
        <x:v>0.0006807397360092393</x:v>
      </x:c>
      <x:c r="H140" s="2" t="n">
        <x:v>1</x:v>
      </x:c>
      <x:c r="I140" s="2" t="str">
        <x:v>AV.Clean!B2447</x:v>
      </x:c>
      <x:c r="J140" s="2" t="str">
        <x:v>AV.Clean!B2438</x:v>
      </x:c>
      <x:c r="K140" s="13" t="n">
        <x:v>45740.583333333336</x:v>
      </x:c>
      <x:c r="L140" s="13" t="n">
        <x:v>45740.604166666664</x:v>
      </x:c>
    </x:row>
    <x:row r="141" ht="22" customHeight="1">
      <x:c r="A141" s="12" t="n">
        <x:v>45749</x:v>
      </x:c>
      <x:c r="B141" s="14" t="str">
        <x:v>14:30</x:v>
      </x:c>
      <x:c r="C141" s="12" t="n">
        <x:v>45741</x:v>
      </x:c>
      <x:c r="D141" s="9" t="n">
        <x:v>571.4266</x:v>
      </x:c>
      <x:c r="E141" s="9" t="n">
        <x:v>571.188</x:v>
      </x:c>
      <x:c r="F141" s="10" t="n">
        <x:f>IF(H141=1,E141/D141-1,"")</x:f>
        <x:v>-0.0004175514405525549</x:v>
      </x:c>
      <x:c r="G141" s="10" t="n">
        <x:f>IF(H141=1,ABS(F141),"")</x:f>
        <x:v>0.0004175514405525549</x:v>
      </x:c>
      <x:c r="H141" s="2" t="n">
        <x:v>1</x:v>
      </x:c>
      <x:c r="I141" s="2" t="str">
        <x:v>AV.Clean!B2433</x:v>
      </x:c>
      <x:c r="J141" s="2" t="str">
        <x:v>AV.Clean!B2424</x:v>
      </x:c>
      <x:c r="K141" s="13" t="n">
        <x:v>45741.583333333336</x:v>
      </x:c>
      <x:c r="L141" s="13" t="n">
        <x:v>45741.604166666664</x:v>
      </x:c>
    </x:row>
    <x:row r="142" ht="22" customHeight="1">
      <x:c r="A142" s="12" t="n">
        <x:v>45749</x:v>
      </x:c>
      <x:c r="B142" s="14" t="str">
        <x:v>14:30</x:v>
      </x:c>
      <x:c r="C142" s="12" t="n">
        <x:v>45742</x:v>
      </x:c>
      <x:c r="D142" s="9" t="n">
        <x:v>570.2513</x:v>
      </x:c>
      <x:c r="E142" s="9" t="n">
        <x:v>565.9132</x:v>
      </x:c>
      <x:c r="F142" s="10" t="n">
        <x:f>IF(H142=1,E142/D142-1,"")</x:f>
        <x:v>-0.007607347848220702</x:v>
      </x:c>
      <x:c r="G142" s="10" t="n">
        <x:f>IF(H142=1,ABS(F142),"")</x:f>
        <x:v>0.007607347848220702</x:v>
      </x:c>
      <x:c r="H142" s="2" t="n">
        <x:v>1</x:v>
      </x:c>
      <x:c r="I142" s="2" t="str">
        <x:v>AV.Clean!B2419</x:v>
      </x:c>
      <x:c r="J142" s="2" t="str">
        <x:v>AV.Clean!B2410</x:v>
      </x:c>
      <x:c r="K142" s="13" t="n">
        <x:v>45742.583333333336</x:v>
      </x:c>
      <x:c r="L142" s="13" t="n">
        <x:v>45742.604166666664</x:v>
      </x:c>
    </x:row>
    <x:row r="143" ht="22" customHeight="1">
      <x:c r="A143" s="12" t="n">
        <x:v>45749</x:v>
      </x:c>
      <x:c r="B143" s="14" t="str">
        <x:v>14:30</x:v>
      </x:c>
      <x:c r="C143" s="12" t="n">
        <x:v>45743</x:v>
      </x:c>
      <x:c r="D143" s="9" t="n">
        <x:v>565.093</x:v>
      </x:c>
      <x:c r="E143" s="9" t="n">
        <x:v>564.6605</x:v>
      </x:c>
      <x:c r="F143" s="10" t="n">
        <x:f>IF(H143=1,E143/D143-1,"")</x:f>
        <x:v>-0.0007653607459303657</x:v>
      </x:c>
      <x:c r="G143" s="10" t="n">
        <x:f>IF(H143=1,ABS(F143),"")</x:f>
        <x:v>0.0007653607459303657</x:v>
      </x:c>
      <x:c r="H143" s="2" t="n">
        <x:v>1</x:v>
      </x:c>
      <x:c r="I143" s="2" t="str">
        <x:v>AV.Clean!B2405</x:v>
      </x:c>
      <x:c r="J143" s="2" t="str">
        <x:v>AV.Clean!B2396</x:v>
      </x:c>
      <x:c r="K143" s="13" t="n">
        <x:v>45743.583333333336</x:v>
      </x:c>
      <x:c r="L143" s="13" t="n">
        <x:v>45743.604166666664</x:v>
      </x:c>
    </x:row>
    <x:row r="144" ht="22" customHeight="1">
      <x:c r="A144" s="12" t="n">
        <x:v>45749</x:v>
      </x:c>
      <x:c r="B144" s="14" t="str">
        <x:v>14:30</x:v>
      </x:c>
      <x:c r="C144" s="12" t="n">
        <x:v>45744</x:v>
      </x:c>
      <x:c r="D144" s="9" t="n">
        <x:v>559.8779</x:v>
      </x:c>
      <x:c r="E144" s="9" t="n">
        <x:v>552.7886</x:v>
      </x:c>
      <x:c r="F144" s="10" t="n">
        <x:f>IF(H144=1,E144/D144-1,"")</x:f>
        <x:v>-0.012662225103009073</x:v>
      </x:c>
      <x:c r="G144" s="10" t="n">
        <x:f>IF(H144=1,ABS(F144),"")</x:f>
        <x:v>0.012662225103009073</x:v>
      </x:c>
      <x:c r="H144" s="2" t="n">
        <x:v>1</x:v>
      </x:c>
      <x:c r="I144" s="2" t="str">
        <x:v>AV.Clean!B2391</x:v>
      </x:c>
      <x:c r="J144" s="2" t="str">
        <x:v>AV.Clean!B2382</x:v>
      </x:c>
      <x:c r="K144" s="13" t="n">
        <x:v>45744.583333333336</x:v>
      </x:c>
      <x:c r="L144" s="13" t="n">
        <x:v>45744.604166666664</x:v>
      </x:c>
    </x:row>
    <x:row r="145" ht="22" customHeight="1">
      <x:c r="A145" s="12" t="n">
        <x:v>45749</x:v>
      </x:c>
      <x:c r="B145" s="14" t="str">
        <x:v>14:30</x:v>
      </x:c>
      <x:c r="C145" s="12" t="n">
        <x:v>45747</x:v>
      </x:c>
      <x:c r="D145" s="9" t="n">
        <x:v>546.5891</x:v>
      </x:c>
      <x:c r="E145" s="9" t="n">
        <x:v>553.6934</x:v>
      </x:c>
      <x:c r="F145" s="10" t="n">
        <x:f>IF(H145=1,E145/D145-1,"")</x:f>
        <x:v>0.012997514952273859</x:v>
      </x:c>
      <x:c r="G145" s="10" t="n">
        <x:f>IF(H145=1,ABS(F145),"")</x:f>
        <x:v>0.012997514952273859</x:v>
      </x:c>
      <x:c r="H145" s="2" t="n">
        <x:v>1</x:v>
      </x:c>
      <x:c r="I145" s="2" t="str">
        <x:v>AV.Clean!B2377</x:v>
      </x:c>
      <x:c r="J145" s="2" t="str">
        <x:v>AV.Clean!B2368</x:v>
      </x:c>
      <x:c r="K145" s="13" t="n">
        <x:v>45747.583333333336</x:v>
      </x:c>
      <x:c r="L145" s="13" t="n">
        <x:v>45747.604166666664</x:v>
      </x:c>
    </x:row>
    <x:row r="146" ht="22" customHeight="1">
      <x:c r="A146" s="12" t="n">
        <x:v>45749</x:v>
      </x:c>
      <x:c r="B146" s="14" t="str">
        <x:v>14:30</x:v>
      </x:c>
      <x:c r="C146" s="12" t="n">
        <x:v>45748</x:v>
      </x:c>
      <x:c r="D146" s="9" t="n">
        <x:v>554.0215</x:v>
      </x:c>
      <x:c r="E146" s="9" t="n">
        <x:v>553.5442</x:v>
      </x:c>
      <x:c r="F146" s="10" t="n">
        <x:f>IF(H146=1,E146/D146-1,"")</x:f>
        <x:v>-0.0008615189121720102</x:v>
      </x:c>
      <x:c r="G146" s="10" t="n">
        <x:f>IF(H146=1,ABS(F146),"")</x:f>
        <x:v>0.0008615189121720102</x:v>
      </x:c>
      <x:c r="H146" s="2" t="n">
        <x:v>1</x:v>
      </x:c>
      <x:c r="I146" s="2" t="str">
        <x:v>AV.Clean!B2363</x:v>
      </x:c>
      <x:c r="J146" s="2" t="str">
        <x:v>AV.Clean!B2354</x:v>
      </x:c>
      <x:c r="K146" s="13" t="n">
        <x:v>45748.583333333336</x:v>
      </x:c>
      <x:c r="L146" s="13" t="n">
        <x:v>45748.604166666664</x:v>
      </x:c>
    </x:row>
    <x:row r="147" ht="22" customHeight="1">
      <x:c r="A147" s="12" t="n">
        <x:v>45749</x:v>
      </x:c>
      <x:c r="B147" s="14" t="str">
        <x:v>15:00</x:v>
      </x:c>
      <x:c r="C147" s="12" t="n">
        <x:v>45729</x:v>
      </x:c>
      <x:c r="D147" s="9" t="n">
        <x:v>549.9453</x:v>
      </x:c>
      <x:c r="E147" s="9" t="n">
        <x:v>548.9898</x:v>
      </x:c>
      <x:c r="F147" s="10" t="n">
        <x:f>IF(H147=1,E147/D147-1,"")</x:f>
        <x:v>-0.0017374455241276898</x:v>
      </x:c>
      <x:c r="G147" s="10" t="n">
        <x:f>IF(H147=1,ABS(F147),"")</x:f>
        <x:v>0.0017374455241276898</x:v>
      </x:c>
      <x:c r="H147" s="2" t="n">
        <x:v>1</x:v>
      </x:c>
      <x:c r="I147" s="2" t="str">
        <x:v>AV.Clean!B2545</x:v>
      </x:c>
      <x:c r="J147" s="2" t="str">
        <x:v>AV.Clean!B2535</x:v>
      </x:c>
      <x:c r="K147" s="13" t="n">
        <x:v>45729.604166666664</x:v>
      </x:c>
      <x:c r="L147" s="13" t="n">
        <x:v>45729.625</x:v>
      </x:c>
    </x:row>
    <x:row r="148" ht="22" customHeight="1">
      <x:c r="A148" s="12" t="n">
        <x:v>45749</x:v>
      </x:c>
      <x:c r="B148" s="14" t="str">
        <x:v>15:00</x:v>
      </x:c>
      <x:c r="C148" s="12" t="n">
        <x:v>45730</x:v>
      </x:c>
      <x:c r="D148" s="9" t="n">
        <x:v>552.0728</x:v>
      </x:c>
      <x:c r="E148" s="9" t="n">
        <x:v>556.856</x:v>
      </x:c>
      <x:c r="F148" s="10" t="n">
        <x:f>IF(H148=1,E148/D148-1,"")</x:f>
        <x:v>0.008664074737969374</x:v>
      </x:c>
      <x:c r="G148" s="10" t="n">
        <x:f>IF(H148=1,ABS(F148),"")</x:f>
        <x:v>0.008664074737969374</x:v>
      </x:c>
      <x:c r="H148" s="2" t="n">
        <x:v>1</x:v>
      </x:c>
      <x:c r="I148" s="2" t="str">
        <x:v>AV.Clean!B2531</x:v>
      </x:c>
      <x:c r="J148" s="2" t="str">
        <x:v>AV.Clean!B2521</x:v>
      </x:c>
      <x:c r="K148" s="13" t="n">
        <x:v>45730.604166666664</x:v>
      </x:c>
      <x:c r="L148" s="13" t="n">
        <x:v>45730.625</x:v>
      </x:c>
    </x:row>
    <x:row r="149" ht="22" customHeight="1">
      <x:c r="A149" s="12" t="n">
        <x:v>45749</x:v>
      </x:c>
      <x:c r="B149" s="14" t="str">
        <x:v>15:00</x:v>
      </x:c>
      <x:c r="C149" s="12" t="n">
        <x:v>45733</x:v>
      </x:c>
      <x:c r="D149" s="9" t="n">
        <x:v>560.5039</x:v>
      </x:c>
      <x:c r="E149" s="9" t="n">
        <x:v>564.2604</x:v>
      </x:c>
      <x:c r="F149" s="10" t="n">
        <x:f>IF(H149=1,E149/D149-1,"")</x:f>
        <x:v>0.006702005106476339</x:v>
      </x:c>
      <x:c r="G149" s="10" t="n">
        <x:f>IF(H149=1,ABS(F149),"")</x:f>
        <x:v>0.006702005106476339</x:v>
      </x:c>
      <x:c r="H149" s="2" t="n">
        <x:v>1</x:v>
      </x:c>
      <x:c r="I149" s="2" t="str">
        <x:v>AV.Clean!B2517</x:v>
      </x:c>
      <x:c r="J149" s="2" t="str">
        <x:v>AV.Clean!B2507</x:v>
      </x:c>
      <x:c r="K149" s="13" t="n">
        <x:v>45733.604166666664</x:v>
      </x:c>
      <x:c r="L149" s="13" t="n">
        <x:v>45733.625</x:v>
      </x:c>
    </x:row>
    <x:row r="150" ht="22" customHeight="1">
      <x:c r="A150" s="12" t="n">
        <x:v>45749</x:v>
      </x:c>
      <x:c r="B150" s="14" t="str">
        <x:v>15:00</x:v>
      </x:c>
      <x:c r="C150" s="12" t="n">
        <x:v>45734</x:v>
      </x:c>
      <x:c r="D150" s="9" t="n">
        <x:v>555.8831</x:v>
      </x:c>
      <x:c r="E150" s="9" t="n">
        <x:v>556.483</x:v>
      </x:c>
      <x:c r="F150" s="10" t="n">
        <x:f>IF(H150=1,E150/D150-1,"")</x:f>
        <x:v>0.001079183734853384</x:v>
      </x:c>
      <x:c r="G150" s="10" t="n">
        <x:f>IF(H150=1,ABS(F150),"")</x:f>
        <x:v>0.001079183734853384</x:v>
      </x:c>
      <x:c r="H150" s="2" t="n">
        <x:v>1</x:v>
      </x:c>
      <x:c r="I150" s="2" t="str">
        <x:v>AV.Clean!B2503</x:v>
      </x:c>
      <x:c r="J150" s="2" t="str">
        <x:v>AV.Clean!B2493</x:v>
      </x:c>
      <x:c r="K150" s="13" t="n">
        <x:v>45734.604166666664</x:v>
      </x:c>
      <x:c r="L150" s="13" t="n">
        <x:v>45734.625</x:v>
      </x:c>
    </x:row>
    <x:row r="151" ht="22" customHeight="1">
      <x:c r="A151" s="12" t="n">
        <x:v>45749</x:v>
      </x:c>
      <x:c r="B151" s="14" t="str">
        <x:v>15:00</x:v>
      </x:c>
      <x:c r="C151" s="12" t="n">
        <x:v>45735</x:v>
      </x:c>
      <x:c r="D151" s="9" t="n">
        <x:v>559.2103</x:v>
      </x:c>
      <x:c r="E151" s="9" t="n">
        <x:v>563.3044</x:v>
      </x:c>
      <x:c r="F151" s="10" t="n">
        <x:f>IF(H151=1,E151/D151-1,"")</x:f>
        <x:v>0.0073212170805867505</x:v>
      </x:c>
      <x:c r="G151" s="10" t="n">
        <x:f>IF(H151=1,ABS(F151),"")</x:f>
        <x:v>0.0073212170805867505</x:v>
      </x:c>
      <x:c r="H151" s="2" t="n">
        <x:v>1</x:v>
      </x:c>
      <x:c r="I151" s="2" t="str">
        <x:v>AV.Clean!B2489</x:v>
      </x:c>
      <x:c r="J151" s="2" t="str">
        <x:v>AV.Clean!B2479</x:v>
      </x:c>
      <x:c r="K151" s="13" t="n">
        <x:v>45735.604166666664</x:v>
      </x:c>
      <x:c r="L151" s="13" t="n">
        <x:v>45735.625</x:v>
      </x:c>
    </x:row>
    <x:row r="152" ht="22" customHeight="1">
      <x:c r="A152" s="12" t="n">
        <x:v>45749</x:v>
      </x:c>
      <x:c r="B152" s="14" t="str">
        <x:v>15:00</x:v>
      </x:c>
      <x:c r="C152" s="12" t="n">
        <x:v>45736</x:v>
      </x:c>
      <x:c r="D152" s="9" t="n">
        <x:v>561.6885</x:v>
      </x:c>
      <x:c r="E152" s="9" t="n">
        <x:v>559.4779</x:v>
      </x:c>
      <x:c r="F152" s="10" t="n">
        <x:f>IF(H152=1,E152/D152-1,"")</x:f>
        <x:v>-0.003935633362620039</x:v>
      </x:c>
      <x:c r="G152" s="10" t="n">
        <x:f>IF(H152=1,ABS(F152),"")</x:f>
        <x:v>0.003935633362620039</x:v>
      </x:c>
      <x:c r="H152" s="2" t="n">
        <x:v>1</x:v>
      </x:c>
      <x:c r="I152" s="2" t="str">
        <x:v>AV.Clean!B2475</x:v>
      </x:c>
      <x:c r="J152" s="2" t="str">
        <x:v>AV.Clean!B2465</x:v>
      </x:c>
      <x:c r="K152" s="13" t="n">
        <x:v>45736.604166666664</x:v>
      </x:c>
      <x:c r="L152" s="13" t="n">
        <x:v>45736.625</x:v>
      </x:c>
    </x:row>
    <x:row r="153" ht="22" customHeight="1">
      <x:c r="A153" s="12" t="n">
        <x:v>45749</x:v>
      </x:c>
      <x:c r="B153" s="14" t="str">
        <x:v>15:00</x:v>
      </x:c>
      <x:c r="C153" s="12" t="n">
        <x:v>45737</x:v>
      </x:c>
      <x:c r="D153" s="9" t="n">
        <x:v>556.7365</x:v>
      </x:c>
      <x:c r="E153" s="9" t="n">
        <x:v>559.3409</x:v>
      </x:c>
      <x:c r="F153" s="10" t="n">
        <x:f>IF(H153=1,E153/D153-1,"")</x:f>
        <x:v>0.004677976026360886</x:v>
      </x:c>
      <x:c r="G153" s="10" t="n">
        <x:f>IF(H153=1,ABS(F153),"")</x:f>
        <x:v>0.004677976026360886</x:v>
      </x:c>
      <x:c r="H153" s="2" t="n">
        <x:v>1</x:v>
      </x:c>
      <x:c r="I153" s="2" t="str">
        <x:v>AV.Clean!B2461</x:v>
      </x:c>
      <x:c r="J153" s="2" t="str">
        <x:v>AV.Clean!B2451</x:v>
      </x:c>
      <x:c r="K153" s="13" t="n">
        <x:v>45737.604166666664</x:v>
      </x:c>
      <x:c r="L153" s="13" t="n">
        <x:v>45737.625</x:v>
      </x:c>
    </x:row>
    <x:row r="154" ht="22" customHeight="1">
      <x:c r="A154" s="12" t="n">
        <x:v>45749</x:v>
      </x:c>
      <x:c r="B154" s="14" t="str">
        <x:v>15:00</x:v>
      </x:c>
      <x:c r="C154" s="12" t="n">
        <x:v>45740</x:v>
      </x:c>
      <x:c r="D154" s="9" t="n">
        <x:v>569.5275</x:v>
      </x:c>
      <x:c r="E154" s="9" t="n">
        <x:v>570.3677</x:v>
      </x:c>
      <x:c r="F154" s="10" t="n">
        <x:f>IF(H154=1,E154/D154-1,"")</x:f>
        <x:v>0.001475257998955204</x:v>
      </x:c>
      <x:c r="G154" s="10" t="n">
        <x:f>IF(H154=1,ABS(F154),"")</x:f>
        <x:v>0.001475257998955204</x:v>
      </x:c>
      <x:c r="H154" s="2" t="n">
        <x:v>1</x:v>
      </x:c>
      <x:c r="I154" s="2" t="str">
        <x:v>AV.Clean!B2447</x:v>
      </x:c>
      <x:c r="J154" s="2" t="str">
        <x:v>AV.Clean!B2437</x:v>
      </x:c>
      <x:c r="K154" s="13" t="n">
        <x:v>45740.604166666664</x:v>
      </x:c>
      <x:c r="L154" s="13" t="n">
        <x:v>45740.625</x:v>
      </x:c>
    </x:row>
    <x:row r="155" ht="22" customHeight="1">
      <x:c r="A155" s="12" t="n">
        <x:v>45749</x:v>
      </x:c>
      <x:c r="B155" s="14" t="str">
        <x:v>15:00</x:v>
      </x:c>
      <x:c r="C155" s="12" t="n">
        <x:v>45741</x:v>
      </x:c>
      <x:c r="D155" s="9" t="n">
        <x:v>571.4266</x:v>
      </x:c>
      <x:c r="E155" s="9" t="n">
        <x:v>570.656</x:v>
      </x:c>
      <x:c r="F155" s="10" t="n">
        <x:f>IF(H155=1,E155/D155-1,"")</x:f>
        <x:v>-0.0013485546525136005</x:v>
      </x:c>
      <x:c r="G155" s="10" t="n">
        <x:f>IF(H155=1,ABS(F155),"")</x:f>
        <x:v>0.0013485546525136005</x:v>
      </x:c>
      <x:c r="H155" s="2" t="n">
        <x:v>1</x:v>
      </x:c>
      <x:c r="I155" s="2" t="str">
        <x:v>AV.Clean!B2433</x:v>
      </x:c>
      <x:c r="J155" s="2" t="str">
        <x:v>AV.Clean!B2423</x:v>
      </x:c>
      <x:c r="K155" s="13" t="n">
        <x:v>45741.604166666664</x:v>
      </x:c>
      <x:c r="L155" s="13" t="n">
        <x:v>45741.625</x:v>
      </x:c>
    </x:row>
    <x:row r="156" ht="22" customHeight="1">
      <x:c r="A156" s="12" t="n">
        <x:v>45749</x:v>
      </x:c>
      <x:c r="B156" s="14" t="str">
        <x:v>15:00</x:v>
      </x:c>
      <x:c r="C156" s="12" t="n">
        <x:v>45742</x:v>
      </x:c>
      <x:c r="D156" s="9" t="n">
        <x:v>570.2513</x:v>
      </x:c>
      <x:c r="E156" s="9" t="n">
        <x:v>564.1931</x:v>
      </x:c>
      <x:c r="F156" s="10" t="n">
        <x:f>IF(H156=1,E156/D156-1,"")</x:f>
        <x:v>-0.010623737289156665</x:v>
      </x:c>
      <x:c r="G156" s="10" t="n">
        <x:f>IF(H156=1,ABS(F156),"")</x:f>
        <x:v>0.010623737289156665</x:v>
      </x:c>
      <x:c r="H156" s="2" t="n">
        <x:v>1</x:v>
      </x:c>
      <x:c r="I156" s="2" t="str">
        <x:v>AV.Clean!B2419</x:v>
      </x:c>
      <x:c r="J156" s="2" t="str">
        <x:v>AV.Clean!B2409</x:v>
      </x:c>
      <x:c r="K156" s="13" t="n">
        <x:v>45742.604166666664</x:v>
      </x:c>
      <x:c r="L156" s="13" t="n">
        <x:v>45742.625</x:v>
      </x:c>
    </x:row>
    <x:row r="157" ht="22" customHeight="1">
      <x:c r="A157" s="12" t="n">
        <x:v>45749</x:v>
      </x:c>
      <x:c r="B157" s="14" t="str">
        <x:v>15:00</x:v>
      </x:c>
      <x:c r="C157" s="12" t="n">
        <x:v>45743</x:v>
      </x:c>
      <x:c r="D157" s="9" t="n">
        <x:v>565.093</x:v>
      </x:c>
      <x:c r="E157" s="9" t="n">
        <x:v>564.3074</x:v>
      </x:c>
      <x:c r="F157" s="10" t="n">
        <x:f>IF(H157=1,E157/D157-1,"")</x:f>
        <x:v>-0.0013902136462492498</x:v>
      </x:c>
      <x:c r="G157" s="10" t="n">
        <x:f>IF(H157=1,ABS(F157),"")</x:f>
        <x:v>0.0013902136462492498</x:v>
      </x:c>
      <x:c r="H157" s="2" t="n">
        <x:v>1</x:v>
      </x:c>
      <x:c r="I157" s="2" t="str">
        <x:v>AV.Clean!B2405</x:v>
      </x:c>
      <x:c r="J157" s="2" t="str">
        <x:v>AV.Clean!B2395</x:v>
      </x:c>
      <x:c r="K157" s="13" t="n">
        <x:v>45743.604166666664</x:v>
      </x:c>
      <x:c r="L157" s="13" t="n">
        <x:v>45743.625</x:v>
      </x:c>
    </x:row>
    <x:row r="158" ht="22" customHeight="1">
      <x:c r="A158" s="12" t="n">
        <x:v>45749</x:v>
      </x:c>
      <x:c r="B158" s="14" t="str">
        <x:v>15:00</x:v>
      </x:c>
      <x:c r="C158" s="12" t="n">
        <x:v>45744</x:v>
      </x:c>
      <x:c r="D158" s="9" t="n">
        <x:v>559.8779</x:v>
      </x:c>
      <x:c r="E158" s="9" t="n">
        <x:v>552.9675</x:v>
      </x:c>
      <x:c r="F158" s="10" t="n">
        <x:f>IF(H158=1,E158/D158-1,"")</x:f>
        <x:v>-0.012342691147480545</x:v>
      </x:c>
      <x:c r="G158" s="10" t="n">
        <x:f>IF(H158=1,ABS(F158),"")</x:f>
        <x:v>0.012342691147480545</x:v>
      </x:c>
      <x:c r="H158" s="2" t="n">
        <x:v>1</x:v>
      </x:c>
      <x:c r="I158" s="2" t="str">
        <x:v>AV.Clean!B2391</x:v>
      </x:c>
      <x:c r="J158" s="2" t="str">
        <x:v>AV.Clean!B2381</x:v>
      </x:c>
      <x:c r="K158" s="13" t="n">
        <x:v>45744.604166666664</x:v>
      </x:c>
      <x:c r="L158" s="13" t="n">
        <x:v>45744.625</x:v>
      </x:c>
    </x:row>
    <x:row r="159" ht="22" customHeight="1">
      <x:c r="A159" s="12" t="n">
        <x:v>45749</x:v>
      </x:c>
      <x:c r="B159" s="14" t="str">
        <x:v>15:00</x:v>
      </x:c>
      <x:c r="C159" s="12" t="n">
        <x:v>45747</x:v>
      </x:c>
      <x:c r="D159" s="9" t="n">
        <x:v>546.5891</x:v>
      </x:c>
      <x:c r="E159" s="9" t="n">
        <x:v>553.1987</x:v>
      </x:c>
      <x:c r="F159" s="10" t="n">
        <x:f>IF(H159=1,E159/D159-1,"")</x:f>
        <x:v>0.012092447507643378</x:v>
      </x:c>
      <x:c r="G159" s="10" t="n">
        <x:f>IF(H159=1,ABS(F159),"")</x:f>
        <x:v>0.012092447507643378</x:v>
      </x:c>
      <x:c r="H159" s="2" t="n">
        <x:v>1</x:v>
      </x:c>
      <x:c r="I159" s="2" t="str">
        <x:v>AV.Clean!B2377</x:v>
      </x:c>
      <x:c r="J159" s="2" t="str">
        <x:v>AV.Clean!B2367</x:v>
      </x:c>
      <x:c r="K159" s="13" t="n">
        <x:v>45747.604166666664</x:v>
      </x:c>
      <x:c r="L159" s="13" t="n">
        <x:v>45747.625</x:v>
      </x:c>
    </x:row>
    <x:row r="160" ht="22" customHeight="1">
      <x:c r="A160" s="12" t="n">
        <x:v>45749</x:v>
      </x:c>
      <x:c r="B160" s="14" t="str">
        <x:v>15:00</x:v>
      </x:c>
      <x:c r="C160" s="12" t="n">
        <x:v>45748</x:v>
      </x:c>
      <x:c r="D160" s="9" t="n">
        <x:v>554.0215</x:v>
      </x:c>
      <x:c r="E160" s="9" t="n">
        <x:v>554.2999</x:v>
      </x:c>
      <x:c r="F160" s="10" t="n">
        <x:f>IF(H160=1,E160/D160-1,"")</x:f>
        <x:v>0.0005025075741647012</x:v>
      </x:c>
      <x:c r="G160" s="10" t="n">
        <x:f>IF(H160=1,ABS(F160),"")</x:f>
        <x:v>0.0005025075741647012</x:v>
      </x:c>
      <x:c r="H160" s="2" t="n">
        <x:v>1</x:v>
      </x:c>
      <x:c r="I160" s="2" t="str">
        <x:v>AV.Clean!B2363</x:v>
      </x:c>
      <x:c r="J160" s="2" t="str">
        <x:v>AV.Clean!B2353</x:v>
      </x:c>
      <x:c r="K160" s="13" t="n">
        <x:v>45748.604166666664</x:v>
      </x:c>
      <x:c r="L160" s="13" t="n">
        <x:v>45748.625</x:v>
      </x:c>
    </x:row>
    <x:row r="161" ht="22" customHeight="1">
      <x:c r="A161" s="12" t="n">
        <x:v>45749</x:v>
      </x:c>
      <x:c r="B161" s="14" t="str">
        <x:v>15:30</x:v>
      </x:c>
      <x:c r="C161" s="12" t="n">
        <x:v>45729</x:v>
      </x:c>
      <x:c r="D161" s="9" t="n">
        <x:v>549.9453</x:v>
      </x:c>
      <x:c r="E161" s="9" t="n">
        <x:v>546.6899</x:v>
      </x:c>
      <x:c r="F161" s="10" t="n">
        <x:f>IF(H161=1,E161/D161-1,"")</x:f>
        <x:v>-0.005919497811873287</x:v>
      </x:c>
      <x:c r="G161" s="10" t="n">
        <x:f>IF(H161=1,ABS(F161),"")</x:f>
        <x:v>0.005919497811873287</x:v>
      </x:c>
      <x:c r="H161" s="2" t="n">
        <x:v>1</x:v>
      </x:c>
      <x:c r="I161" s="2" t="str">
        <x:v>AV.Clean!B2545</x:v>
      </x:c>
      <x:c r="J161" s="2" t="str">
        <x:v>AV.Clean!B2534</x:v>
      </x:c>
      <x:c r="K161" s="13" t="n">
        <x:v>45729.625</x:v>
      </x:c>
      <x:c r="L161" s="13" t="n">
        <x:v>45729.645833333336</x:v>
      </x:c>
    </x:row>
    <x:row r="162" ht="22" customHeight="1">
      <x:c r="A162" s="12" t="n">
        <x:v>45749</x:v>
      </x:c>
      <x:c r="B162" s="14" t="str">
        <x:v>15:30</x:v>
      </x:c>
      <x:c r="C162" s="12" t="n">
        <x:v>45730</x:v>
      </x:c>
      <x:c r="D162" s="9" t="n">
        <x:v>552.0728</x:v>
      </x:c>
      <x:c r="E162" s="9" t="n">
        <x:v>556.9501</x:v>
      </x:c>
      <x:c r="F162" s="10" t="n">
        <x:f>IF(H162=1,E162/D162-1,"")</x:f>
        <x:v>0.008834523273017592</x:v>
      </x:c>
      <x:c r="G162" s="10" t="n">
        <x:f>IF(H162=1,ABS(F162),"")</x:f>
        <x:v>0.008834523273017592</x:v>
      </x:c>
      <x:c r="H162" s="2" t="n">
        <x:v>1</x:v>
      </x:c>
      <x:c r="I162" s="2" t="str">
        <x:v>AV.Clean!B2531</x:v>
      </x:c>
      <x:c r="J162" s="2" t="str">
        <x:v>AV.Clean!B2520</x:v>
      </x:c>
      <x:c r="K162" s="13" t="n">
        <x:v>45730.625</x:v>
      </x:c>
      <x:c r="L162" s="13" t="n">
        <x:v>45730.645833333336</x:v>
      </x:c>
    </x:row>
    <x:row r="163" ht="22" customHeight="1">
      <x:c r="A163" s="12" t="n">
        <x:v>45749</x:v>
      </x:c>
      <x:c r="B163" s="14" t="str">
        <x:v>15:30</x:v>
      </x:c>
      <x:c r="C163" s="12" t="n">
        <x:v>45733</x:v>
      </x:c>
      <x:c r="D163" s="9" t="n">
        <x:v>560.5039</x:v>
      </x:c>
      <x:c r="E163" s="9" t="n">
        <x:v>563.9587</x:v>
      </x:c>
      <x:c r="F163" s="10" t="n">
        <x:f>IF(H163=1,E163/D163-1,"")</x:f>
        <x:v>0.006163739449448924</x:v>
      </x:c>
      <x:c r="G163" s="10" t="n">
        <x:f>IF(H163=1,ABS(F163),"")</x:f>
        <x:v>0.006163739449448924</x:v>
      </x:c>
      <x:c r="H163" s="2" t="n">
        <x:v>1</x:v>
      </x:c>
      <x:c r="I163" s="2" t="str">
        <x:v>AV.Clean!B2517</x:v>
      </x:c>
      <x:c r="J163" s="2" t="str">
        <x:v>AV.Clean!B2506</x:v>
      </x:c>
      <x:c r="K163" s="13" t="n">
        <x:v>45733.625</x:v>
      </x:c>
      <x:c r="L163" s="13" t="n">
        <x:v>45733.645833333336</x:v>
      </x:c>
    </x:row>
    <x:row r="164" ht="22" customHeight="1">
      <x:c r="A164" s="12" t="n">
        <x:v>45749</x:v>
      </x:c>
      <x:c r="B164" s="14" t="str">
        <x:v>15:30</x:v>
      </x:c>
      <x:c r="C164" s="12" t="n">
        <x:v>45734</x:v>
      </x:c>
      <x:c r="D164" s="9" t="n">
        <x:v>555.8831</x:v>
      </x:c>
      <x:c r="E164" s="9" t="n">
        <x:v>556.4049</x:v>
      </x:c>
      <x:c r="F164" s="10" t="n">
        <x:f>IF(H164=1,E164/D164-1,"")</x:f>
        <x:v>0.0009386865691725088</x:v>
      </x:c>
      <x:c r="G164" s="10" t="n">
        <x:f>IF(H164=1,ABS(F164),"")</x:f>
        <x:v>0.0009386865691725088</x:v>
      </x:c>
      <x:c r="H164" s="2" t="n">
        <x:v>1</x:v>
      </x:c>
      <x:c r="I164" s="2" t="str">
        <x:v>AV.Clean!B2503</x:v>
      </x:c>
      <x:c r="J164" s="2" t="str">
        <x:v>AV.Clean!B2492</x:v>
      </x:c>
      <x:c r="K164" s="13" t="n">
        <x:v>45734.625</x:v>
      </x:c>
      <x:c r="L164" s="13" t="n">
        <x:v>45734.645833333336</x:v>
      </x:c>
    </x:row>
    <x:row r="165" ht="22" customHeight="1">
      <x:c r="A165" s="12" t="n">
        <x:v>45749</x:v>
      </x:c>
      <x:c r="B165" s="14" t="str">
        <x:v>15:30</x:v>
      </x:c>
      <x:c r="C165" s="12" t="n">
        <x:v>45735</x:v>
      </x:c>
      <x:c r="D165" s="9" t="n">
        <x:v>559.2103</x:v>
      </x:c>
      <x:c r="E165" s="9" t="n">
        <x:v>562.1594</x:v>
      </x:c>
      <x:c r="F165" s="10" t="n">
        <x:f>IF(H165=1,E165/D165-1,"")</x:f>
        <x:v>0.005273686840174596</x:v>
      </x:c>
      <x:c r="G165" s="10" t="n">
        <x:f>IF(H165=1,ABS(F165),"")</x:f>
        <x:v>0.005273686840174596</x:v>
      </x:c>
      <x:c r="H165" s="2" t="n">
        <x:v>1</x:v>
      </x:c>
      <x:c r="I165" s="2" t="str">
        <x:v>AV.Clean!B2489</x:v>
      </x:c>
      <x:c r="J165" s="2" t="str">
        <x:v>AV.Clean!B2478</x:v>
      </x:c>
      <x:c r="K165" s="13" t="n">
        <x:v>45735.625</x:v>
      </x:c>
      <x:c r="L165" s="13" t="n">
        <x:v>45735.645833333336</x:v>
      </x:c>
    </x:row>
    <x:row r="166" ht="22" customHeight="1">
      <x:c r="A166" s="12" t="n">
        <x:v>45749</x:v>
      </x:c>
      <x:c r="B166" s="14" t="str">
        <x:v>15:30</x:v>
      </x:c>
      <x:c r="C166" s="12" t="n">
        <x:v>45736</x:v>
      </x:c>
      <x:c r="D166" s="9" t="n">
        <x:v>561.6885</x:v>
      </x:c>
      <x:c r="E166" s="9" t="n">
        <x:v>559.8992</x:v>
      </x:c>
      <x:c r="F166" s="10" t="n">
        <x:f>IF(H166=1,E166/D166-1,"")</x:f>
        <x:v>-0.0031855734984782558</x:v>
      </x:c>
      <x:c r="G166" s="10" t="n">
        <x:f>IF(H166=1,ABS(F166),"")</x:f>
        <x:v>0.0031855734984782558</x:v>
      </x:c>
      <x:c r="H166" s="2" t="n">
        <x:v>1</x:v>
      </x:c>
      <x:c r="I166" s="2" t="str">
        <x:v>AV.Clean!B2475</x:v>
      </x:c>
      <x:c r="J166" s="2" t="str">
        <x:v>AV.Clean!B2464</x:v>
      </x:c>
      <x:c r="K166" s="13" t="n">
        <x:v>45736.625</x:v>
      </x:c>
      <x:c r="L166" s="13" t="n">
        <x:v>45736.645833333336</x:v>
      </x:c>
    </x:row>
    <x:row r="167" ht="22" customHeight="1">
      <x:c r="A167" s="12" t="n">
        <x:v>45749</x:v>
      </x:c>
      <x:c r="B167" s="14" t="str">
        <x:v>15:30</x:v>
      </x:c>
      <x:c r="C167" s="12" t="n">
        <x:v>45737</x:v>
      </x:c>
      <x:c r="D167" s="9" t="n">
        <x:v>556.7365</x:v>
      </x:c>
      <x:c r="E167" s="9" t="n">
        <x:v>558.814</x:v>
      </x:c>
      <x:c r="F167" s="10" t="n">
        <x:f>IF(H167=1,E167/D167-1,"")</x:f>
        <x:v>0.0037315678063141178</x:v>
      </x:c>
      <x:c r="G167" s="10" t="n">
        <x:f>IF(H167=1,ABS(F167),"")</x:f>
        <x:v>0.0037315678063141178</x:v>
      </x:c>
      <x:c r="H167" s="2" t="n">
        <x:v>1</x:v>
      </x:c>
      <x:c r="I167" s="2" t="str">
        <x:v>AV.Clean!B2461</x:v>
      </x:c>
      <x:c r="J167" s="2" t="str">
        <x:v>AV.Clean!B2450</x:v>
      </x:c>
      <x:c r="K167" s="13" t="n">
        <x:v>45737.625</x:v>
      </x:c>
      <x:c r="L167" s="13" t="n">
        <x:v>45737.645833333336</x:v>
      </x:c>
    </x:row>
    <x:row r="168" ht="22" customHeight="1">
      <x:c r="A168" s="12" t="n">
        <x:v>45749</x:v>
      </x:c>
      <x:c r="B168" s="14" t="str">
        <x:v>15:30</x:v>
      </x:c>
      <x:c r="C168" s="12" t="n">
        <x:v>45740</x:v>
      </x:c>
      <x:c r="D168" s="9" t="n">
        <x:v>569.5275</x:v>
      </x:c>
      <x:c r="E168" s="9" t="n">
        <x:v>570.7157</x:v>
      </x:c>
      <x:c r="F168" s="10" t="n">
        <x:f>IF(H168=1,E168/D168-1,"")</x:f>
        <x:v>0.002086290828800852</x:v>
      </x:c>
      <x:c r="G168" s="10" t="n">
        <x:f>IF(H168=1,ABS(F168),"")</x:f>
        <x:v>0.002086290828800852</x:v>
      </x:c>
      <x:c r="H168" s="2" t="n">
        <x:v>1</x:v>
      </x:c>
      <x:c r="I168" s="2" t="str">
        <x:v>AV.Clean!B2447</x:v>
      </x:c>
      <x:c r="J168" s="2" t="str">
        <x:v>AV.Clean!B2436</x:v>
      </x:c>
      <x:c r="K168" s="13" t="n">
        <x:v>45740.625</x:v>
      </x:c>
      <x:c r="L168" s="13" t="n">
        <x:v>45740.645833333336</x:v>
      </x:c>
    </x:row>
    <x:row r="169" ht="22" customHeight="1">
      <x:c r="A169" s="12" t="n">
        <x:v>45749</x:v>
      </x:c>
      <x:c r="B169" s="14" t="str">
        <x:v>15:30</x:v>
      </x:c>
      <x:c r="C169" s="12" t="n">
        <x:v>45741</x:v>
      </x:c>
      <x:c r="D169" s="9" t="n">
        <x:v>571.4266</x:v>
      </x:c>
      <x:c r="E169" s="9" t="n">
        <x:v>570.9146</x:v>
      </x:c>
      <x:c r="F169" s="10" t="n">
        <x:f>IF(H169=1,E169/D169-1,"")</x:f>
        <x:v>-0.0008960030912107397</x:v>
      </x:c>
      <x:c r="G169" s="10" t="n">
        <x:f>IF(H169=1,ABS(F169),"")</x:f>
        <x:v>0.0008960030912107397</x:v>
      </x:c>
      <x:c r="H169" s="2" t="n">
        <x:v>1</x:v>
      </x:c>
      <x:c r="I169" s="2" t="str">
        <x:v>AV.Clean!B2433</x:v>
      </x:c>
      <x:c r="J169" s="2" t="str">
        <x:v>AV.Clean!B2422</x:v>
      </x:c>
      <x:c r="K169" s="13" t="n">
        <x:v>45741.625</x:v>
      </x:c>
      <x:c r="L169" s="13" t="n">
        <x:v>45741.645833333336</x:v>
      </x:c>
    </x:row>
    <x:row r="170" ht="22" customHeight="1">
      <x:c r="A170" s="12" t="n">
        <x:v>45749</x:v>
      </x:c>
      <x:c r="B170" s="14" t="str">
        <x:v>15:30</x:v>
      </x:c>
      <x:c r="C170" s="12" t="n">
        <x:v>45742</x:v>
      </x:c>
      <x:c r="D170" s="9" t="n">
        <x:v>570.2513</x:v>
      </x:c>
      <x:c r="E170" s="9" t="n">
        <x:v>564.5113</x:v>
      </x:c>
      <x:c r="F170" s="10" t="n">
        <x:f>IF(H170=1,E170/D170-1,"")</x:f>
        <x:v>-0.010065737684420872</x:v>
      </x:c>
      <x:c r="G170" s="10" t="n">
        <x:f>IF(H170=1,ABS(F170),"")</x:f>
        <x:v>0.010065737684420872</x:v>
      </x:c>
      <x:c r="H170" s="2" t="n">
        <x:v>1</x:v>
      </x:c>
      <x:c r="I170" s="2" t="str">
        <x:v>AV.Clean!B2419</x:v>
      </x:c>
      <x:c r="J170" s="2" t="str">
        <x:v>AV.Clean!B2408</x:v>
      </x:c>
      <x:c r="K170" s="13" t="n">
        <x:v>45742.625</x:v>
      </x:c>
      <x:c r="L170" s="13" t="n">
        <x:v>45742.645833333336</x:v>
      </x:c>
    </x:row>
    <x:row r="171" ht="22" customHeight="1">
      <x:c r="A171" s="12" t="n">
        <x:v>45749</x:v>
      </x:c>
      <x:c r="B171" s="14" t="str">
        <x:v>15:30</x:v>
      </x:c>
      <x:c r="C171" s="12" t="n">
        <x:v>45743</x:v>
      </x:c>
      <x:c r="D171" s="9" t="n">
        <x:v>565.093</x:v>
      </x:c>
      <x:c r="E171" s="9" t="n">
        <x:v>566.5098</x:v>
      </x:c>
      <x:c r="F171" s="10" t="n">
        <x:f>IF(H171=1,E171/D171-1,"")</x:f>
        <x:v>0.002507197930252225</x:v>
      </x:c>
      <x:c r="G171" s="10" t="n">
        <x:f>IF(H171=1,ABS(F171),"")</x:f>
        <x:v>0.002507197930252225</x:v>
      </x:c>
      <x:c r="H171" s="2" t="n">
        <x:v>1</x:v>
      </x:c>
      <x:c r="I171" s="2" t="str">
        <x:v>AV.Clean!B2405</x:v>
      </x:c>
      <x:c r="J171" s="2" t="str">
        <x:v>AV.Clean!B2394</x:v>
      </x:c>
      <x:c r="K171" s="13" t="n">
        <x:v>45743.625</x:v>
      </x:c>
      <x:c r="L171" s="13" t="n">
        <x:v>45743.645833333336</x:v>
      </x:c>
    </x:row>
    <x:row r="172" ht="22" customHeight="1">
      <x:c r="A172" s="12" t="n">
        <x:v>45749</x:v>
      </x:c>
      <x:c r="B172" s="14" t="str">
        <x:v>15:30</x:v>
      </x:c>
      <x:c r="C172" s="12" t="n">
        <x:v>45744</x:v>
      </x:c>
      <x:c r="D172" s="9" t="n">
        <x:v>559.8779</x:v>
      </x:c>
      <x:c r="E172" s="9" t="n">
        <x:v>552.6295</x:v>
      </x:c>
      <x:c r="F172" s="10" t="n">
        <x:f>IF(H172=1,E172/D172-1,"")</x:f>
        <x:v>-0.012946394204879197</x:v>
      </x:c>
      <x:c r="G172" s="10" t="n">
        <x:f>IF(H172=1,ABS(F172),"")</x:f>
        <x:v>0.012946394204879197</x:v>
      </x:c>
      <x:c r="H172" s="2" t="n">
        <x:v>1</x:v>
      </x:c>
      <x:c r="I172" s="2" t="str">
        <x:v>AV.Clean!B2391</x:v>
      </x:c>
      <x:c r="J172" s="2" t="str">
        <x:v>AV.Clean!B2380</x:v>
      </x:c>
      <x:c r="K172" s="13" t="n">
        <x:v>45744.625</x:v>
      </x:c>
      <x:c r="L172" s="13" t="n">
        <x:v>45744.645833333336</x:v>
      </x:c>
    </x:row>
    <x:row r="173" ht="22" customHeight="1">
      <x:c r="A173" s="12" t="n">
        <x:v>45749</x:v>
      </x:c>
      <x:c r="B173" s="14" t="str">
        <x:v>15:30</x:v>
      </x:c>
      <x:c r="C173" s="12" t="n">
        <x:v>45747</x:v>
      </x:c>
      <x:c r="D173" s="9" t="n">
        <x:v>546.5891</x:v>
      </x:c>
      <x:c r="E173" s="9" t="n">
        <x:v>554.2104</x:v>
      </x:c>
      <x:c r="F173" s="10" t="n">
        <x:f>IF(H173=1,E173/D173-1,"")</x:f>
        <x:v>0.01394338086873681</x:v>
      </x:c>
      <x:c r="G173" s="10" t="n">
        <x:f>IF(H173=1,ABS(F173),"")</x:f>
        <x:v>0.01394338086873681</x:v>
      </x:c>
      <x:c r="H173" s="2" t="n">
        <x:v>1</x:v>
      </x:c>
      <x:c r="I173" s="2" t="str">
        <x:v>AV.Clean!B2377</x:v>
      </x:c>
      <x:c r="J173" s="2" t="str">
        <x:v>AV.Clean!B2366</x:v>
      </x:c>
      <x:c r="K173" s="13" t="n">
        <x:v>45747.625</x:v>
      </x:c>
      <x:c r="L173" s="13" t="n">
        <x:v>45747.645833333336</x:v>
      </x:c>
    </x:row>
    <x:row r="174" ht="22" customHeight="1">
      <x:c r="A174" s="12" t="n">
        <x:v>45749</x:v>
      </x:c>
      <x:c r="B174" s="14" t="str">
        <x:v>15:30</x:v>
      </x:c>
      <x:c r="C174" s="12" t="n">
        <x:v>45748</x:v>
      </x:c>
      <x:c r="D174" s="9" t="n">
        <x:v>554.0215</x:v>
      </x:c>
      <x:c r="E174" s="9" t="n">
        <x:v>555.1848</x:v>
      </x:c>
      <x:c r="F174" s="10" t="n">
        <x:f>IF(H174=1,E174/D174-1,"")</x:f>
        <x:v>0.0020997380065574944</x:v>
      </x:c>
      <x:c r="G174" s="10" t="n">
        <x:f>IF(H174=1,ABS(F174),"")</x:f>
        <x:v>0.0020997380065574944</x:v>
      </x:c>
      <x:c r="H174" s="2" t="n">
        <x:v>1</x:v>
      </x:c>
      <x:c r="I174" s="2" t="str">
        <x:v>AV.Clean!B2363</x:v>
      </x:c>
      <x:c r="J174" s="2" t="str">
        <x:v>AV.Clean!B2352</x:v>
      </x:c>
      <x:c r="K174" s="13" t="n">
        <x:v>45748.625</x:v>
      </x:c>
      <x:c r="L174" s="13" t="n">
        <x:v>45748.645833333336</x:v>
      </x:c>
    </x:row>
    <x:row r="175" ht="22" customHeight="1">
      <x:c r="A175" s="12" t="n">
        <x:v>45749</x:v>
      </x:c>
      <x:c r="B175" s="14" t="str">
        <x:v>16:00</x:v>
      </x:c>
      <x:c r="C175" s="12" t="n">
        <x:v>45729</x:v>
      </x:c>
      <x:c r="D175" s="9" t="n">
        <x:v>549.9453</x:v>
      </x:c>
      <x:c r="E175" s="9" t="n">
        <x:v>546.6305</x:v>
      </x:c>
      <x:c r="F175" s="10" t="n">
        <x:f>IF(H175=1,E175/D175-1,"")</x:f>
        <x:v>-0.006027508554032557</x:v>
      </x:c>
      <x:c r="G175" s="10" t="n">
        <x:f>IF(H175=1,ABS(F175),"")</x:f>
        <x:v>0.006027508554032557</x:v>
      </x:c>
      <x:c r="H175" s="2" t="n">
        <x:v>1</x:v>
      </x:c>
      <x:c r="I175" s="2" t="str">
        <x:v>AV.Clean!B2545</x:v>
      </x:c>
      <x:c r="J175" s="2" t="str">
        <x:v>AV.Clean!B2532</x:v>
      </x:c>
      <x:c r="K175" s="13" t="n">
        <x:v>45729.666666666664</x:v>
      </x:c>
      <x:c r="L175" s="13" t="n">
        <x:v>45729.666666666664</x:v>
      </x:c>
    </x:row>
    <x:row r="176" ht="22" customHeight="1">
      <x:c r="A176" s="12" t="n">
        <x:v>45749</x:v>
      </x:c>
      <x:c r="B176" s="14" t="str">
        <x:v>16:00</x:v>
      </x:c>
      <x:c r="C176" s="12" t="n">
        <x:v>45730</x:v>
      </x:c>
      <x:c r="D176" s="9" t="n">
        <x:v>552.0728</x:v>
      </x:c>
      <x:c r="E176" s="9" t="n">
        <x:v>557.9216</x:v>
      </x:c>
      <x:c r="F176" s="10" t="n">
        <x:f>IF(H176=1,E176/D176-1,"")</x:f>
        <x:v>0.010594254960577532</x:v>
      </x:c>
      <x:c r="G176" s="10" t="n">
        <x:f>IF(H176=1,ABS(F176),"")</x:f>
        <x:v>0.010594254960577532</x:v>
      </x:c>
      <x:c r="H176" s="2" t="n">
        <x:v>1</x:v>
      </x:c>
      <x:c r="I176" s="2" t="str">
        <x:v>AV.Clean!B2531</x:v>
      </x:c>
      <x:c r="J176" s="2" t="str">
        <x:v>AV.Clean!B2518</x:v>
      </x:c>
      <x:c r="K176" s="13" t="n">
        <x:v>45730.666666666664</x:v>
      </x:c>
      <x:c r="L176" s="13" t="n">
        <x:v>45730.666666666664</x:v>
      </x:c>
    </x:row>
    <x:row r="177" ht="22" customHeight="1">
      <x:c r="A177" s="12" t="n">
        <x:v>45749</x:v>
      </x:c>
      <x:c r="B177" s="14" t="str">
        <x:v>16:00</x:v>
      </x:c>
      <x:c r="C177" s="12" t="n">
        <x:v>45733</x:v>
      </x:c>
      <x:c r="D177" s="9" t="n">
        <x:v>560.5039</x:v>
      </x:c>
      <x:c r="E177" s="9" t="n">
        <x:v>562.2239</x:v>
      </x:c>
      <x:c r="F177" s="10" t="n">
        <x:f>IF(H177=1,E177/D177-1,"")</x:f>
        <x:v>0.0030686673188178304</x:v>
      </x:c>
      <x:c r="G177" s="10" t="n">
        <x:f>IF(H177=1,ABS(F177),"")</x:f>
        <x:v>0.0030686673188178304</x:v>
      </x:c>
      <x:c r="H177" s="2" t="n">
        <x:v>1</x:v>
      </x:c>
      <x:c r="I177" s="2" t="str">
        <x:v>AV.Clean!B2517</x:v>
      </x:c>
      <x:c r="J177" s="2" t="str">
        <x:v>AV.Clean!B2504</x:v>
      </x:c>
      <x:c r="K177" s="13" t="n">
        <x:v>45733.666666666664</x:v>
      </x:c>
      <x:c r="L177" s="13" t="n">
        <x:v>45733.666666666664</x:v>
      </x:c>
    </x:row>
    <x:row r="178" ht="22" customHeight="1">
      <x:c r="A178" s="12" t="n">
        <x:v>45749</x:v>
      </x:c>
      <x:c r="B178" s="14" t="str">
        <x:v>16:00</x:v>
      </x:c>
      <x:c r="C178" s="12" t="n">
        <x:v>45734</x:v>
      </x:c>
      <x:c r="D178" s="9" t="n">
        <x:v>555.8831</x:v>
      </x:c>
      <x:c r="E178" s="9" t="n">
        <x:v>556.1472</x:v>
      </x:c>
      <x:c r="F178" s="10" t="n">
        <x:f>IF(H178=1,E178/D178-1,"")</x:f>
        <x:v>0.0004750998906064563</x:v>
      </x:c>
      <x:c r="G178" s="10" t="n">
        <x:f>IF(H178=1,ABS(F178),"")</x:f>
        <x:v>0.0004750998906064563</x:v>
      </x:c>
      <x:c r="H178" s="2" t="n">
        <x:v>1</x:v>
      </x:c>
      <x:c r="I178" s="2" t="str">
        <x:v>AV.Clean!B2503</x:v>
      </x:c>
      <x:c r="J178" s="2" t="str">
        <x:v>AV.Clean!B2490</x:v>
      </x:c>
      <x:c r="K178" s="13" t="n">
        <x:v>45734.666666666664</x:v>
      </x:c>
      <x:c r="L178" s="13" t="n">
        <x:v>45734.666666666664</x:v>
      </x:c>
    </x:row>
    <x:row r="179" ht="22" customHeight="1">
      <x:c r="A179" s="12" t="n">
        <x:v>45749</x:v>
      </x:c>
      <x:c r="B179" s="14" t="str">
        <x:v>16:00</x:v>
      </x:c>
      <x:c r="C179" s="12" t="n">
        <x:v>45735</x:v>
      </x:c>
      <x:c r="D179" s="9" t="n">
        <x:v>559.2103</x:v>
      </x:c>
      <x:c r="E179" s="9" t="n">
        <x:v>562.204</x:v>
      </x:c>
      <x:c r="F179" s="10" t="n">
        <x:f>IF(H179=1,E179/D179-1,"")</x:f>
        <x:v>0.005353442166569522</x:v>
      </x:c>
      <x:c r="G179" s="10" t="n">
        <x:f>IF(H179=1,ABS(F179),"")</x:f>
        <x:v>0.005353442166569522</x:v>
      </x:c>
      <x:c r="H179" s="2" t="n">
        <x:v>1</x:v>
      </x:c>
      <x:c r="I179" s="2" t="str">
        <x:v>AV.Clean!B2489</x:v>
      </x:c>
      <x:c r="J179" s="2" t="str">
        <x:v>AV.Clean!B2476</x:v>
      </x:c>
      <x:c r="K179" s="13" t="n">
        <x:v>45735.666666666664</x:v>
      </x:c>
      <x:c r="L179" s="13" t="n">
        <x:v>45735.666666666664</x:v>
      </x:c>
    </x:row>
    <x:row r="180" ht="22" customHeight="1">
      <x:c r="A180" s="12" t="n">
        <x:v>45749</x:v>
      </x:c>
      <x:c r="B180" s="14" t="str">
        <x:v>16:00</x:v>
      </x:c>
      <x:c r="C180" s="12" t="n">
        <x:v>45736</x:v>
      </x:c>
      <x:c r="D180" s="9" t="n">
        <x:v>561.6885</x:v>
      </x:c>
      <x:c r="E180" s="9" t="n">
        <x:v>560.5782</x:v>
      </x:c>
      <x:c r="F180" s="10" t="n">
        <x:f>IF(H180=1,E180/D180-1,"")</x:f>
        <x:v>-0.0019767184124295234</x:v>
      </x:c>
      <x:c r="G180" s="10" t="n">
        <x:f>IF(H180=1,ABS(F180),"")</x:f>
        <x:v>0.0019767184124295234</x:v>
      </x:c>
      <x:c r="H180" s="2" t="n">
        <x:v>1</x:v>
      </x:c>
      <x:c r="I180" s="2" t="str">
        <x:v>AV.Clean!B2475</x:v>
      </x:c>
      <x:c r="J180" s="2" t="str">
        <x:v>AV.Clean!B2462</x:v>
      </x:c>
      <x:c r="K180" s="13" t="n">
        <x:v>45736.666666666664</x:v>
      </x:c>
      <x:c r="L180" s="13" t="n">
        <x:v>45736.666666666664</x:v>
      </x:c>
    </x:row>
    <x:row r="181" ht="22" customHeight="1">
      <x:c r="A181" s="12" t="n">
        <x:v>45749</x:v>
      </x:c>
      <x:c r="B181" s="14" t="str">
        <x:v>16:00</x:v>
      </x:c>
      <x:c r="C181" s="12" t="n">
        <x:v>45737</x:v>
      </x:c>
      <x:c r="D181" s="9" t="n">
        <x:v>556.7365</x:v>
      </x:c>
      <x:c r="E181" s="9" t="n">
        <x:v>560.7628</x:v>
      </x:c>
      <x:c r="F181" s="10" t="n">
        <x:f>IF(H181=1,E181/D181-1,"")</x:f>
        <x:v>0.0072319670077316545</x:v>
      </x:c>
      <x:c r="G181" s="10" t="n">
        <x:f>IF(H181=1,ABS(F181),"")</x:f>
        <x:v>0.0072319670077316545</x:v>
      </x:c>
      <x:c r="H181" s="2" t="n">
        <x:v>1</x:v>
      </x:c>
      <x:c r="I181" s="2" t="str">
        <x:v>AV.Clean!B2461</x:v>
      </x:c>
      <x:c r="J181" s="2" t="str">
        <x:v>AV.Clean!B2448</x:v>
      </x:c>
      <x:c r="K181" s="13" t="n">
        <x:v>45737.666666666664</x:v>
      </x:c>
      <x:c r="L181" s="13" t="n">
        <x:v>45737.666666666664</x:v>
      </x:c>
    </x:row>
    <x:row r="182" ht="22" customHeight="1">
      <x:c r="A182" s="12" t="n">
        <x:v>45749</x:v>
      </x:c>
      <x:c r="B182" s="14" t="str">
        <x:v>16:00</x:v>
      </x:c>
      <x:c r="C182" s="12" t="n">
        <x:v>45740</x:v>
      </x:c>
      <x:c r="D182" s="9" t="n">
        <x:v>569.5275</x:v>
      </x:c>
      <x:c r="E182" s="9" t="n">
        <x:v>570.8052</x:v>
      </x:c>
      <x:c r="F182" s="10" t="n">
        <x:f>IF(H182=1,E182/D182-1,"")</x:f>
        <x:v>0.002243438639925266</x:v>
      </x:c>
      <x:c r="G182" s="10" t="n">
        <x:f>IF(H182=1,ABS(F182),"")</x:f>
        <x:v>0.002243438639925266</x:v>
      </x:c>
      <x:c r="H182" s="2" t="n">
        <x:v>1</x:v>
      </x:c>
      <x:c r="I182" s="2" t="str">
        <x:v>AV.Clean!B2447</x:v>
      </x:c>
      <x:c r="J182" s="2" t="str">
        <x:v>AV.Clean!B2434</x:v>
      </x:c>
      <x:c r="K182" s="13" t="n">
        <x:v>45740.666666666664</x:v>
      </x:c>
      <x:c r="L182" s="13" t="n">
        <x:v>45740.666666666664</x:v>
      </x:c>
    </x:row>
    <x:row r="183" ht="22" customHeight="1">
      <x:c r="A183" s="12" t="n">
        <x:v>45749</x:v>
      </x:c>
      <x:c r="B183" s="14" t="str">
        <x:v>16:00</x:v>
      </x:c>
      <x:c r="C183" s="12" t="n">
        <x:v>45741</x:v>
      </x:c>
      <x:c r="D183" s="9" t="n">
        <x:v>571.4266</x:v>
      </x:c>
      <x:c r="E183" s="9" t="n">
        <x:v>572.1773</x:v>
      </x:c>
      <x:c r="F183" s="10" t="n">
        <x:f>IF(H183=1,E183/D183-1,"")</x:f>
        <x:v>0.0013137295323668585</x:v>
      </x:c>
      <x:c r="G183" s="10" t="n">
        <x:f>IF(H183=1,ABS(F183),"")</x:f>
        <x:v>0.0013137295323668585</x:v>
      </x:c>
      <x:c r="H183" s="2" t="n">
        <x:v>1</x:v>
      </x:c>
      <x:c r="I183" s="2" t="str">
        <x:v>AV.Clean!B2433</x:v>
      </x:c>
      <x:c r="J183" s="2" t="str">
        <x:v>AV.Clean!B2420</x:v>
      </x:c>
      <x:c r="K183" s="13" t="n">
        <x:v>45741.666666666664</x:v>
      </x:c>
      <x:c r="L183" s="13" t="n">
        <x:v>45741.666666666664</x:v>
      </x:c>
    </x:row>
    <x:row r="184" ht="22" customHeight="1">
      <x:c r="A184" s="12" t="n">
        <x:v>45749</x:v>
      </x:c>
      <x:c r="B184" s="14" t="str">
        <x:v>16:00</x:v>
      </x:c>
      <x:c r="C184" s="12" t="n">
        <x:v>45742</x:v>
      </x:c>
      <x:c r="D184" s="9" t="n">
        <x:v>570.2513</x:v>
      </x:c>
      <x:c r="E184" s="9" t="n">
        <x:v>565.3465</x:v>
      </x:c>
      <x:c r="F184" s="10" t="n">
        <x:f>IF(H184=1,E184/D184-1,"")</x:f>
        <x:v>-0.008601120242952565</x:v>
      </x:c>
      <x:c r="G184" s="10" t="n">
        <x:f>IF(H184=1,ABS(F184),"")</x:f>
        <x:v>0.008601120242952565</x:v>
      </x:c>
      <x:c r="H184" s="2" t="n">
        <x:v>1</x:v>
      </x:c>
      <x:c r="I184" s="2" t="str">
        <x:v>AV.Clean!B2419</x:v>
      </x:c>
      <x:c r="J184" s="2" t="str">
        <x:v>AV.Clean!B2406</x:v>
      </x:c>
      <x:c r="K184" s="13" t="n">
        <x:v>45742.666666666664</x:v>
      </x:c>
      <x:c r="L184" s="13" t="n">
        <x:v>45742.666666666664</x:v>
      </x:c>
    </x:row>
    <x:row r="185" ht="22" customHeight="1">
      <x:c r="A185" s="12" t="n">
        <x:v>45749</x:v>
      </x:c>
      <x:c r="B185" s="14" t="str">
        <x:v>16:00</x:v>
      </x:c>
      <x:c r="C185" s="12" t="n">
        <x:v>45743</x:v>
      </x:c>
      <x:c r="D185" s="9" t="n">
        <x:v>565.093</x:v>
      </x:c>
      <x:c r="E185" s="9" t="n">
        <x:v>563.8452</x:v>
      </x:c>
      <x:c r="F185" s="10" t="n">
        <x:f>IF(H185=1,E185/D185-1,"")</x:f>
        <x:v>-0.0022081321127672693</x:v>
      </x:c>
      <x:c r="G185" s="10" t="n">
        <x:f>IF(H185=1,ABS(F185),"")</x:f>
        <x:v>0.0022081321127672693</x:v>
      </x:c>
      <x:c r="H185" s="2" t="n">
        <x:v>1</x:v>
      </x:c>
      <x:c r="I185" s="2" t="str">
        <x:v>AV.Clean!B2405</x:v>
      </x:c>
      <x:c r="J185" s="2" t="str">
        <x:v>AV.Clean!B2392</x:v>
      </x:c>
      <x:c r="K185" s="13" t="n">
        <x:v>45743.666666666664</x:v>
      </x:c>
      <x:c r="L185" s="13" t="n">
        <x:v>45743.666666666664</x:v>
      </x:c>
    </x:row>
    <x:row r="186" ht="22" customHeight="1">
      <x:c r="A186" s="12" t="n">
        <x:v>45749</x:v>
      </x:c>
      <x:c r="B186" s="14" t="str">
        <x:v>16:00</x:v>
      </x:c>
      <x:c r="C186" s="12" t="n">
        <x:v>45744</x:v>
      </x:c>
      <x:c r="D186" s="9" t="n">
        <x:v>559.8779</x:v>
      </x:c>
      <x:c r="E186" s="9" t="n">
        <x:v>552.4902</x:v>
      </x:c>
      <x:c r="F186" s="10" t="n">
        <x:f>IF(H186=1,E186/D186-1,"")</x:f>
        <x:v>-0.01319519845309125</x:v>
      </x:c>
      <x:c r="G186" s="10" t="n">
        <x:f>IF(H186=1,ABS(F186),"")</x:f>
        <x:v>0.01319519845309125</x:v>
      </x:c>
      <x:c r="H186" s="2" t="n">
        <x:v>1</x:v>
      </x:c>
      <x:c r="I186" s="2" t="str">
        <x:v>AV.Clean!B2391</x:v>
      </x:c>
      <x:c r="J186" s="2" t="str">
        <x:v>AV.Clean!B2378</x:v>
      </x:c>
      <x:c r="K186" s="13" t="n">
        <x:v>45744.666666666664</x:v>
      </x:c>
      <x:c r="L186" s="13" t="n">
        <x:v>45744.666666666664</x:v>
      </x:c>
    </x:row>
    <x:row r="187" ht="22" customHeight="1">
      <x:c r="A187" s="12" t="n">
        <x:v>45749</x:v>
      </x:c>
      <x:c r="B187" s="14" t="str">
        <x:v>16:00</x:v>
      </x:c>
      <x:c r="C187" s="12" t="n">
        <x:v>45747</x:v>
      </x:c>
      <x:c r="D187" s="9" t="n">
        <x:v>546.5891</x:v>
      </x:c>
      <x:c r="E187" s="9" t="n">
        <x:v>556.199</x:v>
      </x:c>
      <x:c r="F187" s="10" t="n">
        <x:f>IF(H187=1,E187/D187-1,"")</x:f>
        <x:v>0.017581580020530785</x:v>
      </x:c>
      <x:c r="G187" s="10" t="n">
        <x:f>IF(H187=1,ABS(F187),"")</x:f>
        <x:v>0.017581580020530785</x:v>
      </x:c>
      <x:c r="H187" s="2" t="n">
        <x:v>1</x:v>
      </x:c>
      <x:c r="I187" s="2" t="str">
        <x:v>AV.Clean!B2377</x:v>
      </x:c>
      <x:c r="J187" s="2" t="str">
        <x:v>AV.Clean!B2364</x:v>
      </x:c>
      <x:c r="K187" s="13" t="n">
        <x:v>45747.666666666664</x:v>
      </x:c>
      <x:c r="L187" s="13" t="n">
        <x:v>45747.666666666664</x:v>
      </x:c>
    </x:row>
    <x:row r="188" ht="22" customHeight="1">
      <x:c r="A188" s="12" t="n">
        <x:v>45749</x:v>
      </x:c>
      <x:c r="B188" s="14" t="str">
        <x:v>16:00</x:v>
      </x:c>
      <x:c r="C188" s="12" t="n">
        <x:v>45748</x:v>
      </x:c>
      <x:c r="D188" s="9" t="n">
        <x:v>554.0215</x:v>
      </x:c>
      <x:c r="E188" s="9" t="n">
        <x:v>557.77</x:v>
      </x:c>
      <x:c r="F188" s="10" t="n">
        <x:f>IF(H188=1,E188/D188-1,"")</x:f>
        <x:v>0.006765982908605528</x:v>
      </x:c>
      <x:c r="G188" s="10" t="n">
        <x:f>IF(H188=1,ABS(F188),"")</x:f>
        <x:v>0.006765982908605528</x:v>
      </x:c>
      <x:c r="H188" s="2" t="n">
        <x:v>1</x:v>
      </x:c>
      <x:c r="I188" s="2" t="str">
        <x:v>AV.Clean!B2363</x:v>
      </x:c>
      <x:c r="J188" s="2" t="str">
        <x:v>AV.Clean!B2350</x:v>
      </x:c>
      <x:c r="K188" s="13" t="n">
        <x:v>45748.666666666664</x:v>
      </x:c>
      <x:c r="L188" s="13" t="n">
        <x:v>45748.666666666664</x:v>
      </x:c>
    </x:row>
    <x:row r="189" ht="22" customHeight="1">
      <x:c r="A189" s="12" t="n">
        <x:v>45841</x:v>
      </x:c>
      <x:c r="B189" s="14" t="str">
        <x:v>10:00</x:v>
      </x:c>
      <x:c r="C189" s="12" t="n">
        <x:v>45820</x:v>
      </x:c>
      <x:c r="D189" s="9" t="n">
        <x:v>597.3827</x:v>
      </x:c>
      <x:c r="E189" s="9" t="n">
        <x:v>597.3827</x:v>
      </x:c>
      <x:c r="F189" s="10" t="n">
        <x:f>IF(H189=1,E189/D189-1,"")</x:f>
        <x:v>0</x:v>
      </x:c>
      <x:c r="G189" s="10" t="n">
        <x:f>IF(H189=1,ABS(F189),"")</x:f>
        <x:v>0</x:v>
      </x:c>
      <x:c r="H189" s="2" t="n">
        <x:v>1</x:v>
      </x:c>
      <x:c r="I189" s="2" t="str">
        <x:v>AV.Clean!B1663</x:v>
      </x:c>
      <x:c r="J189" s="2" t="str">
        <x:v>AV.Clean!B1663</x:v>
      </x:c>
      <x:c r="K189" s="13" t="n">
        <x:v>45820.395833333336</x:v>
      </x:c>
      <x:c r="L189" s="13" t="n">
        <x:v>45820.416666666664</x:v>
      </x:c>
    </x:row>
    <x:row r="190" ht="22" customHeight="1">
      <x:c r="A190" s="12" t="n">
        <x:v>45841</x:v>
      </x:c>
      <x:c r="B190" s="14" t="str">
        <x:v>10:00</x:v>
      </x:c>
      <x:c r="C190" s="12" t="n">
        <x:v>45821</x:v>
      </x:c>
      <x:c r="D190" s="9" t="n">
        <x:v>595.3643</x:v>
      </x:c>
      <x:c r="E190" s="9" t="n">
        <x:v>595.3643</x:v>
      </x:c>
      <x:c r="F190" s="10" t="n">
        <x:f>IF(H190=1,E190/D190-1,"")</x:f>
        <x:v>0</x:v>
      </x:c>
      <x:c r="G190" s="10" t="n">
        <x:f>IF(H190=1,ABS(F190),"")</x:f>
        <x:v>0</x:v>
      </x:c>
      <x:c r="H190" s="2" t="n">
        <x:v>1</x:v>
      </x:c>
      <x:c r="I190" s="2" t="str">
        <x:v>AV.Clean!B1649</x:v>
      </x:c>
      <x:c r="J190" s="2" t="str">
        <x:v>AV.Clean!B1649</x:v>
      </x:c>
      <x:c r="K190" s="13" t="n">
        <x:v>45821.395833333336</x:v>
      </x:c>
      <x:c r="L190" s="13" t="n">
        <x:v>45821.416666666664</x:v>
      </x:c>
    </x:row>
    <x:row r="191" ht="22" customHeight="1">
      <x:c r="A191" s="12" t="n">
        <x:v>45841</x:v>
      </x:c>
      <x:c r="B191" s="14" t="str">
        <x:v>10:00</x:v>
      </x:c>
      <x:c r="C191" s="12" t="n">
        <x:v>45824</x:v>
      </x:c>
      <x:c r="D191" s="9" t="n">
        <x:v>599.764</x:v>
      </x:c>
      <x:c r="E191" s="9" t="n">
        <x:v>599.764</x:v>
      </x:c>
      <x:c r="F191" s="10" t="n">
        <x:f>IF(H191=1,E191/D191-1,"")</x:f>
        <x:v>0</x:v>
      </x:c>
      <x:c r="G191" s="10" t="n">
        <x:f>IF(H191=1,ABS(F191),"")</x:f>
        <x:v>0</x:v>
      </x:c>
      <x:c r="H191" s="2" t="n">
        <x:v>1</x:v>
      </x:c>
      <x:c r="I191" s="2" t="str">
        <x:v>AV.Clean!B1635</x:v>
      </x:c>
      <x:c r="J191" s="2" t="str">
        <x:v>AV.Clean!B1635</x:v>
      </x:c>
      <x:c r="K191" s="13" t="n">
        <x:v>45824.395833333336</x:v>
      </x:c>
      <x:c r="L191" s="13" t="n">
        <x:v>45824.416666666664</x:v>
      </x:c>
    </x:row>
    <x:row r="192" ht="22" customHeight="1">
      <x:c r="A192" s="12" t="n">
        <x:v>45841</x:v>
      </x:c>
      <x:c r="B192" s="14" t="str">
        <x:v>10:00</x:v>
      </x:c>
      <x:c r="C192" s="12" t="n">
        <x:v>45825</x:v>
      </x:c>
      <x:c r="D192" s="9" t="n">
        <x:v>597.5616</x:v>
      </x:c>
      <x:c r="E192" s="9" t="n">
        <x:v>597.5616</x:v>
      </x:c>
      <x:c r="F192" s="10" t="n">
        <x:f>IF(H192=1,E192/D192-1,"")</x:f>
        <x:v>0</x:v>
      </x:c>
      <x:c r="G192" s="10" t="n">
        <x:f>IF(H192=1,ABS(F192),"")</x:f>
        <x:v>0</x:v>
      </x:c>
      <x:c r="H192" s="2" t="n">
        <x:v>1</x:v>
      </x:c>
      <x:c r="I192" s="2" t="str">
        <x:v>AV.Clean!B1621</x:v>
      </x:c>
      <x:c r="J192" s="2" t="str">
        <x:v>AV.Clean!B1621</x:v>
      </x:c>
      <x:c r="K192" s="13" t="n">
        <x:v>45825.395833333336</x:v>
      </x:c>
      <x:c r="L192" s="13" t="n">
        <x:v>45825.416666666664</x:v>
      </x:c>
    </x:row>
    <x:row r="193" ht="22" customHeight="1">
      <x:c r="A193" s="12" t="n">
        <x:v>45841</x:v>
      </x:c>
      <x:c r="B193" s="14" t="str">
        <x:v>10:00</x:v>
      </x:c>
      <x:c r="C193" s="12" t="n">
        <x:v>45826</x:v>
      </x:c>
      <x:c r="D193" s="9" t="n">
        <x:v>595.76</x:v>
      </x:c>
      <x:c r="E193" s="9" t="n">
        <x:v>595.76</x:v>
      </x:c>
      <x:c r="F193" s="10" t="n">
        <x:f>IF(H193=1,E193/D193-1,"")</x:f>
        <x:v>0</x:v>
      </x:c>
      <x:c r="G193" s="10" t="n">
        <x:f>IF(H193=1,ABS(F193),"")</x:f>
        <x:v>0</x:v>
      </x:c>
      <x:c r="H193" s="2" t="n">
        <x:v>1</x:v>
      </x:c>
      <x:c r="I193" s="2" t="str">
        <x:v>AV.Clean!B1607</x:v>
      </x:c>
      <x:c r="J193" s="2" t="str">
        <x:v>AV.Clean!B1607</x:v>
      </x:c>
      <x:c r="K193" s="13" t="n">
        <x:v>45826.395833333336</x:v>
      </x:c>
      <x:c r="L193" s="13" t="n">
        <x:v>45826.416666666664</x:v>
      </x:c>
    </x:row>
    <x:row r="194" ht="22" customHeight="1">
      <x:c r="A194" s="12" t="n">
        <x:v>45841</x:v>
      </x:c>
      <x:c r="B194" s="14" t="str">
        <x:v>10:00</x:v>
      </x:c>
      <x:c r="C194" s="12" t="n">
        <x:v>45828</x:v>
      </x:c>
      <x:c r="D194" s="9" t="n">
        <x:v>595.5987</x:v>
      </x:c>
      <x:c r="E194" s="9" t="n">
        <x:v>595.5987</x:v>
      </x:c>
      <x:c r="F194" s="10" t="n">
        <x:f>IF(H194=1,E194/D194-1,"")</x:f>
        <x:v>0</x:v>
      </x:c>
      <x:c r="G194" s="10" t="n">
        <x:f>IF(H194=1,ABS(F194),"")</x:f>
        <x:v>0</x:v>
      </x:c>
      <x:c r="H194" s="2" t="n">
        <x:v>1</x:v>
      </x:c>
      <x:c r="I194" s="2" t="str">
        <x:v>AV.Clean!B1593</x:v>
      </x:c>
      <x:c r="J194" s="2" t="str">
        <x:v>AV.Clean!B1593</x:v>
      </x:c>
      <x:c r="K194" s="13" t="n">
        <x:v>45828.395833333336</x:v>
      </x:c>
      <x:c r="L194" s="13" t="n">
        <x:v>45828.416666666664</x:v>
      </x:c>
    </x:row>
    <x:row r="195" ht="22" customHeight="1">
      <x:c r="A195" s="12" t="n">
        <x:v>45841</x:v>
      </x:c>
      <x:c r="B195" s="14" t="str">
        <x:v>10:00</x:v>
      </x:c>
      <x:c r="C195" s="12" t="n">
        <x:v>45831</x:v>
      </x:c>
      <x:c r="D195" s="9" t="n">
        <x:v>595.1</x:v>
      </x:c>
      <x:c r="E195" s="9" t="n">
        <x:v>595.1</x:v>
      </x:c>
      <x:c r="F195" s="10" t="n">
        <x:f>IF(H195=1,E195/D195-1,"")</x:f>
        <x:v>0</x:v>
      </x:c>
      <x:c r="G195" s="10" t="n">
        <x:f>IF(H195=1,ABS(F195),"")</x:f>
        <x:v>0</x:v>
      </x:c>
      <x:c r="H195" s="2" t="n">
        <x:v>1</x:v>
      </x:c>
      <x:c r="I195" s="2" t="str">
        <x:v>AV.Clean!B1579</x:v>
      </x:c>
      <x:c r="J195" s="2" t="str">
        <x:v>AV.Clean!B1579</x:v>
      </x:c>
      <x:c r="K195" s="13" t="n">
        <x:v>45831.395833333336</x:v>
      </x:c>
      <x:c r="L195" s="13" t="n">
        <x:v>45831.416666666664</x:v>
      </x:c>
    </x:row>
    <x:row r="196" ht="22" customHeight="1">
      <x:c r="A196" s="12" t="n">
        <x:v>45841</x:v>
      </x:c>
      <x:c r="B196" s="14" t="str">
        <x:v>10:00</x:v>
      </x:c>
      <x:c r="C196" s="12" t="n">
        <x:v>45832</x:v>
      </x:c>
      <x:c r="D196" s="9" t="n">
        <x:v>602.2103</x:v>
      </x:c>
      <x:c r="E196" s="9" t="n">
        <x:v>602.2103</x:v>
      </x:c>
      <x:c r="F196" s="10" t="n">
        <x:f>IF(H196=1,E196/D196-1,"")</x:f>
        <x:v>0</x:v>
      </x:c>
      <x:c r="G196" s="10" t="n">
        <x:f>IF(H196=1,ABS(F196),"")</x:f>
        <x:v>0</x:v>
      </x:c>
      <x:c r="H196" s="2" t="n">
        <x:v>1</x:v>
      </x:c>
      <x:c r="I196" s="2" t="str">
        <x:v>AV.Clean!B1565</x:v>
      </x:c>
      <x:c r="J196" s="2" t="str">
        <x:v>AV.Clean!B1565</x:v>
      </x:c>
      <x:c r="K196" s="13" t="n">
        <x:v>45832.395833333336</x:v>
      </x:c>
      <x:c r="L196" s="13" t="n">
        <x:v>45832.416666666664</x:v>
      </x:c>
    </x:row>
    <x:row r="197" ht="22" customHeight="1">
      <x:c r="A197" s="12" t="n">
        <x:v>45841</x:v>
      </x:c>
      <x:c r="B197" s="14" t="str">
        <x:v>10:00</x:v>
      </x:c>
      <x:c r="C197" s="12" t="n">
        <x:v>45833</x:v>
      </x:c>
      <x:c r="D197" s="9" t="n">
        <x:v>606.5084</x:v>
      </x:c>
      <x:c r="E197" s="9" t="n">
        <x:v>606.5084</x:v>
      </x:c>
      <x:c r="F197" s="10" t="n">
        <x:f>IF(H197=1,E197/D197-1,"")</x:f>
        <x:v>0</x:v>
      </x:c>
      <x:c r="G197" s="10" t="n">
        <x:f>IF(H197=1,ABS(F197),"")</x:f>
        <x:v>0</x:v>
      </x:c>
      <x:c r="H197" s="2" t="n">
        <x:v>1</x:v>
      </x:c>
      <x:c r="I197" s="2" t="str">
        <x:v>AV.Clean!B1551</x:v>
      </x:c>
      <x:c r="J197" s="2" t="str">
        <x:v>AV.Clean!B1551</x:v>
      </x:c>
      <x:c r="K197" s="13" t="n">
        <x:v>45833.395833333336</x:v>
      </x:c>
      <x:c r="L197" s="13" t="n">
        <x:v>45833.416666666664</x:v>
      </x:c>
    </x:row>
    <x:row r="198" ht="22" customHeight="1">
      <x:c r="A198" s="12" t="n">
        <x:v>45841</x:v>
      </x:c>
      <x:c r="B198" s="14" t="str">
        <x:v>10:00</x:v>
      </x:c>
      <x:c r="C198" s="12" t="n">
        <x:v>45834</x:v>
      </x:c>
      <x:c r="D198" s="9" t="n">
        <x:v>607.5355</x:v>
      </x:c>
      <x:c r="E198" s="9" t="n">
        <x:v>607.5355</x:v>
      </x:c>
      <x:c r="F198" s="10" t="n">
        <x:f>IF(H198=1,E198/D198-1,"")</x:f>
        <x:v>0</x:v>
      </x:c>
      <x:c r="G198" s="10" t="n">
        <x:f>IF(H198=1,ABS(F198),"")</x:f>
        <x:v>0</x:v>
      </x:c>
      <x:c r="H198" s="2" t="n">
        <x:v>1</x:v>
      </x:c>
      <x:c r="I198" s="2" t="str">
        <x:v>AV.Clean!B1537</x:v>
      </x:c>
      <x:c r="J198" s="2" t="str">
        <x:v>AV.Clean!B1537</x:v>
      </x:c>
      <x:c r="K198" s="13" t="n">
        <x:v>45834.395833333336</x:v>
      </x:c>
      <x:c r="L198" s="13" t="n">
        <x:v>45834.416666666664</x:v>
      </x:c>
    </x:row>
    <x:row r="199" ht="22" customHeight="1">
      <x:c r="A199" s="12" t="n">
        <x:v>45841</x:v>
      </x:c>
      <x:c r="B199" s="14" t="str">
        <x:v>10:00</x:v>
      </x:c>
      <x:c r="C199" s="12" t="n">
        <x:v>45835</x:v>
      </x:c>
      <x:c r="D199" s="9" t="n">
        <x:v>612.7512</x:v>
      </x:c>
      <x:c r="E199" s="9" t="n">
        <x:v>612.7512</x:v>
      </x:c>
      <x:c r="F199" s="10" t="n">
        <x:f>IF(H199=1,E199/D199-1,"")</x:f>
        <x:v>0</x:v>
      </x:c>
      <x:c r="G199" s="10" t="n">
        <x:f>IF(H199=1,ABS(F199),"")</x:f>
        <x:v>0</x:v>
      </x:c>
      <x:c r="H199" s="2" t="n">
        <x:v>1</x:v>
      </x:c>
      <x:c r="I199" s="2" t="str">
        <x:v>AV.Clean!B1523</x:v>
      </x:c>
      <x:c r="J199" s="2" t="str">
        <x:v>AV.Clean!B1523</x:v>
      </x:c>
      <x:c r="K199" s="13" t="n">
        <x:v>45835.395833333336</x:v>
      </x:c>
      <x:c r="L199" s="13" t="n">
        <x:v>45835.416666666664</x:v>
      </x:c>
    </x:row>
    <x:row r="200" ht="22" customHeight="1">
      <x:c r="A200" s="12" t="n">
        <x:v>45841</x:v>
      </x:c>
      <x:c r="B200" s="14" t="str">
        <x:v>10:00</x:v>
      </x:c>
      <x:c r="C200" s="12" t="n">
        <x:v>45838</x:v>
      </x:c>
      <x:c r="D200" s="9" t="n">
        <x:v>614.6858</x:v>
      </x:c>
      <x:c r="E200" s="9" t="n">
        <x:v>614.6858</x:v>
      </x:c>
      <x:c r="F200" s="10" t="n">
        <x:f>IF(H200=1,E200/D200-1,"")</x:f>
        <x:v>0</x:v>
      </x:c>
      <x:c r="G200" s="10" t="n">
        <x:f>IF(H200=1,ABS(F200),"")</x:f>
        <x:v>0</x:v>
      </x:c>
      <x:c r="H200" s="2" t="n">
        <x:v>1</x:v>
      </x:c>
      <x:c r="I200" s="2" t="str">
        <x:v>AV.Clean!B1509</x:v>
      </x:c>
      <x:c r="J200" s="2" t="str">
        <x:v>AV.Clean!B1509</x:v>
      </x:c>
      <x:c r="K200" s="13" t="n">
        <x:v>45838.395833333336</x:v>
      </x:c>
      <x:c r="L200" s="13" t="n">
        <x:v>45838.416666666664</x:v>
      </x:c>
    </x:row>
    <x:row r="201" ht="22" customHeight="1">
      <x:c r="A201" s="12" t="n">
        <x:v>45841</x:v>
      </x:c>
      <x:c r="B201" s="14" t="str">
        <x:v>10:00</x:v>
      </x:c>
      <x:c r="C201" s="12" t="n">
        <x:v>45839</x:v>
      </x:c>
      <x:c r="D201" s="9" t="n">
        <x:v>615.4553</x:v>
      </x:c>
      <x:c r="E201" s="9" t="n">
        <x:v>615.4553</x:v>
      </x:c>
      <x:c r="F201" s="10" t="n">
        <x:f>IF(H201=1,E201/D201-1,"")</x:f>
        <x:v>0</x:v>
      </x:c>
      <x:c r="G201" s="10" t="n">
        <x:f>IF(H201=1,ABS(F201),"")</x:f>
        <x:v>0</x:v>
      </x:c>
      <x:c r="H201" s="2" t="n">
        <x:v>1</x:v>
      </x:c>
      <x:c r="I201" s="2" t="str">
        <x:v>AV.Clean!B1495</x:v>
      </x:c>
      <x:c r="J201" s="2" t="str">
        <x:v>AV.Clean!B1495</x:v>
      </x:c>
      <x:c r="K201" s="13" t="n">
        <x:v>45839.395833333336</x:v>
      </x:c>
      <x:c r="L201" s="13" t="n">
        <x:v>45839.416666666664</x:v>
      </x:c>
    </x:row>
    <x:row r="202" ht="22" customHeight="1">
      <x:c r="A202" s="12" t="n">
        <x:v>45841</x:v>
      </x:c>
      <x:c r="B202" s="14" t="str">
        <x:v>10:00</x:v>
      </x:c>
      <x:c r="C202" s="12" t="n">
        <x:v>45840</x:v>
      </x:c>
      <x:c r="D202" s="9" t="n">
        <x:v>615.5932</x:v>
      </x:c>
      <x:c r="E202" s="9" t="n">
        <x:v>615.5932</x:v>
      </x:c>
      <x:c r="F202" s="10" t="n">
        <x:f>IF(H202=1,E202/D202-1,"")</x:f>
        <x:v>0</x:v>
      </x:c>
      <x:c r="G202" s="10" t="n">
        <x:f>IF(H202=1,ABS(F202),"")</x:f>
        <x:v>0</x:v>
      </x:c>
      <x:c r="H202" s="2" t="n">
        <x:v>1</x:v>
      </x:c>
      <x:c r="I202" s="2" t="str">
        <x:v>AV.Clean!B1481</x:v>
      </x:c>
      <x:c r="J202" s="2" t="str">
        <x:v>AV.Clean!B1481</x:v>
      </x:c>
      <x:c r="K202" s="13" t="n">
        <x:v>45840.395833333336</x:v>
      </x:c>
      <x:c r="L202" s="13" t="n">
        <x:v>45840.416666666664</x:v>
      </x:c>
    </x:row>
    <x:row r="203" ht="22" customHeight="1">
      <x:c r="A203" s="12" t="n">
        <x:v>45841</x:v>
      </x:c>
      <x:c r="B203" s="14" t="str">
        <x:v>10:30</x:v>
      </x:c>
      <x:c r="C203" s="12" t="n">
        <x:v>45820</x:v>
      </x:c>
      <x:c r="D203" s="9" t="n">
        <x:v>597.3827</x:v>
      </x:c>
      <x:c r="E203" s="9" t="n">
        <x:v>599.0829</x:v>
      </x:c>
      <x:c r="F203" s="10" t="n">
        <x:f>IF(H203=1,E203/D203-1,"")</x:f>
        <x:v>0.0028460817496054336</x:v>
      </x:c>
      <x:c r="G203" s="10" t="n">
        <x:f>IF(H203=1,ABS(F203),"")</x:f>
        <x:v>0.0028460817496054336</x:v>
      </x:c>
      <x:c r="H203" s="2" t="n">
        <x:v>1</x:v>
      </x:c>
      <x:c r="I203" s="2" t="str">
        <x:v>AV.Clean!B1663</x:v>
      </x:c>
      <x:c r="J203" s="2" t="str">
        <x:v>AV.Clean!B1662</x:v>
      </x:c>
      <x:c r="K203" s="13" t="n">
        <x:v>45820.416666666664</x:v>
      </x:c>
      <x:c r="L203" s="13" t="n">
        <x:v>45820.4375</x:v>
      </x:c>
    </x:row>
    <x:row r="204" ht="22" customHeight="1">
      <x:c r="A204" s="12" t="n">
        <x:v>45841</x:v>
      </x:c>
      <x:c r="B204" s="14" t="str">
        <x:v>10:30</x:v>
      </x:c>
      <x:c r="C204" s="12" t="n">
        <x:v>45821</x:v>
      </x:c>
      <x:c r="D204" s="9" t="n">
        <x:v>595.3643</x:v>
      </x:c>
      <x:c r="E204" s="9" t="n">
        <x:v>593.4453</x:v>
      </x:c>
      <x:c r="F204" s="10" t="n">
        <x:f>IF(H204=1,E204/D204-1,"")</x:f>
        <x:v>-0.003223236596483825</x:v>
      </x:c>
      <x:c r="G204" s="10" t="n">
        <x:f>IF(H204=1,ABS(F204),"")</x:f>
        <x:v>0.003223236596483825</x:v>
      </x:c>
      <x:c r="H204" s="2" t="n">
        <x:v>1</x:v>
      </x:c>
      <x:c r="I204" s="2" t="str">
        <x:v>AV.Clean!B1649</x:v>
      </x:c>
      <x:c r="J204" s="2" t="str">
        <x:v>AV.Clean!B1648</x:v>
      </x:c>
      <x:c r="K204" s="13" t="n">
        <x:v>45821.416666666664</x:v>
      </x:c>
      <x:c r="L204" s="13" t="n">
        <x:v>45821.4375</x:v>
      </x:c>
    </x:row>
    <x:row r="205" ht="22" customHeight="1">
      <x:c r="A205" s="12" t="n">
        <x:v>45841</x:v>
      </x:c>
      <x:c r="B205" s="14" t="str">
        <x:v>10:30</x:v>
      </x:c>
      <x:c r="C205" s="12" t="n">
        <x:v>45824</x:v>
      </x:c>
      <x:c r="D205" s="9" t="n">
        <x:v>599.764</x:v>
      </x:c>
      <x:c r="E205" s="9" t="n">
        <x:v>600.6539</x:v>
      </x:c>
      <x:c r="F205" s="10" t="n">
        <x:f>IF(H205=1,E205/D205-1,"")</x:f>
        <x:v>0.0014837502751081644</x:v>
      </x:c>
      <x:c r="G205" s="10" t="n">
        <x:f>IF(H205=1,ABS(F205),"")</x:f>
        <x:v>0.0014837502751081644</x:v>
      </x:c>
      <x:c r="H205" s="2" t="n">
        <x:v>1</x:v>
      </x:c>
      <x:c r="I205" s="2" t="str">
        <x:v>AV.Clean!B1635</x:v>
      </x:c>
      <x:c r="J205" s="2" t="str">
        <x:v>AV.Clean!B1634</x:v>
      </x:c>
      <x:c r="K205" s="13" t="n">
        <x:v>45824.416666666664</x:v>
      </x:c>
      <x:c r="L205" s="13" t="n">
        <x:v>45824.4375</x:v>
      </x:c>
    </x:row>
    <x:row r="206" ht="22" customHeight="1">
      <x:c r="A206" s="12" t="n">
        <x:v>45841</x:v>
      </x:c>
      <x:c r="B206" s="14" t="str">
        <x:v>10:30</x:v>
      </x:c>
      <x:c r="C206" s="12" t="n">
        <x:v>45825</x:v>
      </x:c>
      <x:c r="D206" s="9" t="n">
        <x:v>597.5616</x:v>
      </x:c>
      <x:c r="E206" s="9" t="n">
        <x:v>597.7108</x:v>
      </x:c>
      <x:c r="F206" s="10" t="n">
        <x:f>IF(H206=1,E206/D206-1,"")</x:f>
        <x:v>0.00024968137176140104</x:v>
      </x:c>
      <x:c r="G206" s="10" t="n">
        <x:f>IF(H206=1,ABS(F206),"")</x:f>
        <x:v>0.00024968137176140104</x:v>
      </x:c>
      <x:c r="H206" s="2" t="n">
        <x:v>1</x:v>
      </x:c>
      <x:c r="I206" s="2" t="str">
        <x:v>AV.Clean!B1621</x:v>
      </x:c>
      <x:c r="J206" s="2" t="str">
        <x:v>AV.Clean!B1620</x:v>
      </x:c>
      <x:c r="K206" s="13" t="n">
        <x:v>45825.416666666664</x:v>
      </x:c>
      <x:c r="L206" s="13" t="n">
        <x:v>45825.4375</x:v>
      </x:c>
    </x:row>
    <x:row r="207" ht="22" customHeight="1">
      <x:c r="A207" s="12" t="n">
        <x:v>45841</x:v>
      </x:c>
      <x:c r="B207" s="14" t="str">
        <x:v>10:30</x:v>
      </x:c>
      <x:c r="C207" s="12" t="n">
        <x:v>45826</x:v>
      </x:c>
      <x:c r="D207" s="9" t="n">
        <x:v>595.76</x:v>
      </x:c>
      <x:c r="E207" s="9" t="n">
        <x:v>597.3151</x:v>
      </x:c>
      <x:c r="F207" s="10" t="n">
        <x:f>IF(H207=1,E207/D207-1,"")</x:f>
        <x:v>0.002610279307103669</x:v>
      </x:c>
      <x:c r="G207" s="10" t="n">
        <x:f>IF(H207=1,ABS(F207),"")</x:f>
        <x:v>0.002610279307103669</x:v>
      </x:c>
      <x:c r="H207" s="2" t="n">
        <x:v>1</x:v>
      </x:c>
      <x:c r="I207" s="2" t="str">
        <x:v>AV.Clean!B1607</x:v>
      </x:c>
      <x:c r="J207" s="2" t="str">
        <x:v>AV.Clean!B1606</x:v>
      </x:c>
      <x:c r="K207" s="13" t="n">
        <x:v>45826.416666666664</x:v>
      </x:c>
      <x:c r="L207" s="13" t="n">
        <x:v>45826.4375</x:v>
      </x:c>
    </x:row>
    <x:row r="208" ht="22" customHeight="1">
      <x:c r="A208" s="12" t="n">
        <x:v>45841</x:v>
      </x:c>
      <x:c r="B208" s="14" t="str">
        <x:v>10:30</x:v>
      </x:c>
      <x:c r="C208" s="12" t="n">
        <x:v>45828</x:v>
      </x:c>
      <x:c r="D208" s="9" t="n">
        <x:v>595.5987</x:v>
      </x:c>
      <x:c r="E208" s="9" t="n">
        <x:v>594.4918</x:v>
      </x:c>
      <x:c r="F208" s="10" t="n">
        <x:f>IF(H208=1,E208/D208-1,"")</x:f>
        <x:v>-0.0018584661114942058</x:v>
      </x:c>
      <x:c r="G208" s="10" t="n">
        <x:f>IF(H208=1,ABS(F208),"")</x:f>
        <x:v>0.0018584661114942058</x:v>
      </x:c>
      <x:c r="H208" s="2" t="n">
        <x:v>1</x:v>
      </x:c>
      <x:c r="I208" s="2" t="str">
        <x:v>AV.Clean!B1593</x:v>
      </x:c>
      <x:c r="J208" s="2" t="str">
        <x:v>AV.Clean!B1592</x:v>
      </x:c>
      <x:c r="K208" s="13" t="n">
        <x:v>45828.416666666664</x:v>
      </x:c>
      <x:c r="L208" s="13" t="n">
        <x:v>45828.4375</x:v>
      </x:c>
    </x:row>
    <x:row r="209" ht="22" customHeight="1">
      <x:c r="A209" s="12" t="n">
        <x:v>45841</x:v>
      </x:c>
      <x:c r="B209" s="14" t="str">
        <x:v>10:30</x:v>
      </x:c>
      <x:c r="C209" s="12" t="n">
        <x:v>45831</x:v>
      </x:c>
      <x:c r="D209" s="9" t="n">
        <x:v>595.1</x:v>
      </x:c>
      <x:c r="E209" s="9" t="n">
        <x:v>595.9451</x:v>
      </x:c>
      <x:c r="F209" s="10" t="n">
        <x:f>IF(H209=1,E209/D209-1,"")</x:f>
        <x:v>0.0014200974626112917</x:v>
      </x:c>
      <x:c r="G209" s="10" t="n">
        <x:f>IF(H209=1,ABS(F209),"")</x:f>
        <x:v>0.0014200974626112917</x:v>
      </x:c>
      <x:c r="H209" s="2" t="n">
        <x:v>1</x:v>
      </x:c>
      <x:c r="I209" s="2" t="str">
        <x:v>AV.Clean!B1579</x:v>
      </x:c>
      <x:c r="J209" s="2" t="str">
        <x:v>AV.Clean!B1578</x:v>
      </x:c>
      <x:c r="K209" s="13" t="n">
        <x:v>45831.416666666664</x:v>
      </x:c>
      <x:c r="L209" s="13" t="n">
        <x:v>45831.4375</x:v>
      </x:c>
    </x:row>
    <x:row r="210" ht="22" customHeight="1">
      <x:c r="A210" s="12" t="n">
        <x:v>45841</x:v>
      </x:c>
      <x:c r="B210" s="14" t="str">
        <x:v>10:30</x:v>
      </x:c>
      <x:c r="C210" s="12" t="n">
        <x:v>45832</x:v>
      </x:c>
      <x:c r="D210" s="9" t="n">
        <x:v>602.2103</x:v>
      </x:c>
      <x:c r="E210" s="9" t="n">
        <x:v>602.9533</x:v>
      </x:c>
      <x:c r="F210" s="10" t="n">
        <x:f>IF(H210=1,E210/D210-1,"")</x:f>
        <x:v>0.0012337882630037988</x:v>
      </x:c>
      <x:c r="G210" s="10" t="n">
        <x:f>IF(H210=1,ABS(F210),"")</x:f>
        <x:v>0.0012337882630037988</x:v>
      </x:c>
      <x:c r="H210" s="2" t="n">
        <x:v>1</x:v>
      </x:c>
      <x:c r="I210" s="2" t="str">
        <x:v>AV.Clean!B1565</x:v>
      </x:c>
      <x:c r="J210" s="2" t="str">
        <x:v>AV.Clean!B1564</x:v>
      </x:c>
      <x:c r="K210" s="13" t="n">
        <x:v>45832.416666666664</x:v>
      </x:c>
      <x:c r="L210" s="13" t="n">
        <x:v>45832.4375</x:v>
      </x:c>
    </x:row>
    <x:row r="211" ht="22" customHeight="1">
      <x:c r="A211" s="12" t="n">
        <x:v>45841</x:v>
      </x:c>
      <x:c r="B211" s="14" t="str">
        <x:v>10:30</x:v>
      </x:c>
      <x:c r="C211" s="12" t="n">
        <x:v>45833</x:v>
      </x:c>
      <x:c r="D211" s="9" t="n">
        <x:v>606.5084</x:v>
      </x:c>
      <x:c r="E211" s="9" t="n">
        <x:v>606.0497</x:v>
      </x:c>
      <x:c r="F211" s="10" t="n">
        <x:f>IF(H211=1,E211/D211-1,"")</x:f>
        <x:v>-0.0007562962029874498</x:v>
      </x:c>
      <x:c r="G211" s="10" t="n">
        <x:f>IF(H211=1,ABS(F211),"")</x:f>
        <x:v>0.0007562962029874498</x:v>
      </x:c>
      <x:c r="H211" s="2" t="n">
        <x:v>1</x:v>
      </x:c>
      <x:c r="I211" s="2" t="str">
        <x:v>AV.Clean!B1551</x:v>
      </x:c>
      <x:c r="J211" s="2" t="str">
        <x:v>AV.Clean!B1550</x:v>
      </x:c>
      <x:c r="K211" s="13" t="n">
        <x:v>45833.416666666664</x:v>
      </x:c>
      <x:c r="L211" s="13" t="n">
        <x:v>45833.4375</x:v>
      </x:c>
    </x:row>
    <x:row r="212" ht="22" customHeight="1">
      <x:c r="A212" s="12" t="n">
        <x:v>45841</x:v>
      </x:c>
      <x:c r="B212" s="14" t="str">
        <x:v>10:30</x:v>
      </x:c>
      <x:c r="C212" s="12" t="n">
        <x:v>45834</x:v>
      </x:c>
      <x:c r="D212" s="9" t="n">
        <x:v>607.5355</x:v>
      </x:c>
      <x:c r="E212" s="9" t="n">
        <x:v>608.2635</x:v>
      </x:c>
      <x:c r="F212" s="10" t="n">
        <x:f>IF(H212=1,E212/D212-1,"")</x:f>
        <x:v>0.0011982838862916179</x:v>
      </x:c>
      <x:c r="G212" s="10" t="n">
        <x:f>IF(H212=1,ABS(F212),"")</x:f>
        <x:v>0.0011982838862916179</x:v>
      </x:c>
      <x:c r="H212" s="2" t="n">
        <x:v>1</x:v>
      </x:c>
      <x:c r="I212" s="2" t="str">
        <x:v>AV.Clean!B1537</x:v>
      </x:c>
      <x:c r="J212" s="2" t="str">
        <x:v>AV.Clean!B1536</x:v>
      </x:c>
      <x:c r="K212" s="13" t="n">
        <x:v>45834.416666666664</x:v>
      </x:c>
      <x:c r="L212" s="13" t="n">
        <x:v>45834.4375</x:v>
      </x:c>
    </x:row>
    <x:row r="213" ht="22" customHeight="1">
      <x:c r="A213" s="12" t="n">
        <x:v>45841</x:v>
      </x:c>
      <x:c r="B213" s="14" t="str">
        <x:v>10:30</x:v>
      </x:c>
      <x:c r="C213" s="12" t="n">
        <x:v>45835</x:v>
      </x:c>
      <x:c r="D213" s="9" t="n">
        <x:v>612.7512</x:v>
      </x:c>
      <x:c r="E213" s="9" t="n">
        <x:v>613.1999</x:v>
      </x:c>
      <x:c r="F213" s="10" t="n">
        <x:f>IF(H213=1,E213/D213-1,"")</x:f>
        <x:v>0.0007322711077513144</x:v>
      </x:c>
      <x:c r="G213" s="10" t="n">
        <x:f>IF(H213=1,ABS(F213),"")</x:f>
        <x:v>0.0007322711077513144</x:v>
      </x:c>
      <x:c r="H213" s="2" t="n">
        <x:v>1</x:v>
      </x:c>
      <x:c r="I213" s="2" t="str">
        <x:v>AV.Clean!B1523</x:v>
      </x:c>
      <x:c r="J213" s="2" t="str">
        <x:v>AV.Clean!B1522</x:v>
      </x:c>
      <x:c r="K213" s="13" t="n">
        <x:v>45835.416666666664</x:v>
      </x:c>
      <x:c r="L213" s="13" t="n">
        <x:v>45835.4375</x:v>
      </x:c>
    </x:row>
    <x:row r="214" ht="22" customHeight="1">
      <x:c r="A214" s="12" t="n">
        <x:v>45841</x:v>
      </x:c>
      <x:c r="B214" s="14" t="str">
        <x:v>10:30</x:v>
      </x:c>
      <x:c r="C214" s="12" t="n">
        <x:v>45838</x:v>
      </x:c>
      <x:c r="D214" s="9" t="n">
        <x:v>614.6858</x:v>
      </x:c>
      <x:c r="E214" s="9" t="n">
        <x:v>615.0248</x:v>
      </x:c>
      <x:c r="F214" s="10" t="n">
        <x:f>IF(H214=1,E214/D214-1,"")</x:f>
        <x:v>0.0005515012710559652</x:v>
      </x:c>
      <x:c r="G214" s="10" t="n">
        <x:f>IF(H214=1,ABS(F214),"")</x:f>
        <x:v>0.0005515012710559652</x:v>
      </x:c>
      <x:c r="H214" s="2" t="n">
        <x:v>1</x:v>
      </x:c>
      <x:c r="I214" s="2" t="str">
        <x:v>AV.Clean!B1509</x:v>
      </x:c>
      <x:c r="J214" s="2" t="str">
        <x:v>AV.Clean!B1508</x:v>
      </x:c>
      <x:c r="K214" s="13" t="n">
        <x:v>45838.416666666664</x:v>
      </x:c>
      <x:c r="L214" s="13" t="n">
        <x:v>45838.4375</x:v>
      </x:c>
    </x:row>
    <x:row r="215" ht="22" customHeight="1">
      <x:c r="A215" s="12" t="n">
        <x:v>45841</x:v>
      </x:c>
      <x:c r="B215" s="14" t="str">
        <x:v>10:30</x:v>
      </x:c>
      <x:c r="C215" s="12" t="n">
        <x:v>45839</x:v>
      </x:c>
      <x:c r="D215" s="9" t="n">
        <x:v>615.4553</x:v>
      </x:c>
      <x:c r="E215" s="9" t="n">
        <x:v>615.324</x:v>
      </x:c>
      <x:c r="F215" s="10" t="n">
        <x:f>IF(H215=1,E215/D215-1,"")</x:f>
        <x:v>-0.00021333799546452425</x:v>
      </x:c>
      <x:c r="G215" s="10" t="n">
        <x:f>IF(H215=1,ABS(F215),"")</x:f>
        <x:v>0.00021333799546452425</x:v>
      </x:c>
      <x:c r="H215" s="2" t="n">
        <x:v>1</x:v>
      </x:c>
      <x:c r="I215" s="2" t="str">
        <x:v>AV.Clean!B1495</x:v>
      </x:c>
      <x:c r="J215" s="2" t="str">
        <x:v>AV.Clean!B1494</x:v>
      </x:c>
      <x:c r="K215" s="13" t="n">
        <x:v>45839.416666666664</x:v>
      </x:c>
      <x:c r="L215" s="13" t="n">
        <x:v>45839.4375</x:v>
      </x:c>
    </x:row>
    <x:row r="216" ht="22" customHeight="1">
      <x:c r="A216" s="12" t="n">
        <x:v>45841</x:v>
      </x:c>
      <x:c r="B216" s="14" t="str">
        <x:v>10:30</x:v>
      </x:c>
      <x:c r="C216" s="12" t="n">
        <x:v>45840</x:v>
      </x:c>
      <x:c r="D216" s="9" t="n">
        <x:v>615.5932</x:v>
      </x:c>
      <x:c r="E216" s="9" t="n">
        <x:v>616.9395</x:v>
      </x:c>
      <x:c r="F216" s="10" t="n">
        <x:f>IF(H216=1,E216/D216-1,"")</x:f>
        <x:v>0.0021869962176319646</x:v>
      </x:c>
      <x:c r="G216" s="10" t="n">
        <x:f>IF(H216=1,ABS(F216),"")</x:f>
        <x:v>0.0021869962176319646</x:v>
      </x:c>
      <x:c r="H216" s="2" t="n">
        <x:v>1</x:v>
      </x:c>
      <x:c r="I216" s="2" t="str">
        <x:v>AV.Clean!B1481</x:v>
      </x:c>
      <x:c r="J216" s="2" t="str">
        <x:v>AV.Clean!B1480</x:v>
      </x:c>
      <x:c r="K216" s="13" t="n">
        <x:v>45840.416666666664</x:v>
      </x:c>
      <x:c r="L216" s="13" t="n">
        <x:v>45840.4375</x:v>
      </x:c>
    </x:row>
    <x:row r="217" ht="22" customHeight="1">
      <x:c r="A217" s="12" t="n">
        <x:v>45841</x:v>
      </x:c>
      <x:c r="B217" s="14" t="str">
        <x:v>11:00</x:v>
      </x:c>
      <x:c r="C217" s="12" t="n">
        <x:v>45820</x:v>
      </x:c>
      <x:c r="D217" s="9" t="n">
        <x:v>597.3827</x:v>
      </x:c>
      <x:c r="E217" s="9" t="n">
        <x:v>599.262</x:v>
      </x:c>
      <x:c r="F217" s="10" t="n">
        <x:f>IF(H217=1,E217/D217-1,"")</x:f>
        <x:v>0.003145889561247728</x:v>
      </x:c>
      <x:c r="G217" s="10" t="n">
        <x:f>IF(H217=1,ABS(F217),"")</x:f>
        <x:v>0.003145889561247728</x:v>
      </x:c>
      <x:c r="H217" s="2" t="n">
        <x:v>1</x:v>
      </x:c>
      <x:c r="I217" s="2" t="str">
        <x:v>AV.Clean!B1663</x:v>
      </x:c>
      <x:c r="J217" s="2" t="str">
        <x:v>AV.Clean!B1661</x:v>
      </x:c>
      <x:c r="K217" s="13" t="n">
        <x:v>45820.4375</x:v>
      </x:c>
      <x:c r="L217" s="13" t="n">
        <x:v>45820.458333333336</x:v>
      </x:c>
    </x:row>
    <x:row r="218" ht="22" customHeight="1">
      <x:c r="A218" s="12" t="n">
        <x:v>45841</x:v>
      </x:c>
      <x:c r="B218" s="14" t="str">
        <x:v>11:00</x:v>
      </x:c>
      <x:c r="C218" s="12" t="n">
        <x:v>45821</x:v>
      </x:c>
      <x:c r="D218" s="9" t="n">
        <x:v>595.3643</x:v>
      </x:c>
      <x:c r="E218" s="9" t="n">
        <x:v>595.7869</x:v>
      </x:c>
      <x:c r="F218" s="10" t="n">
        <x:f>IF(H218=1,E218/D218-1,"")</x:f>
        <x:v>0.0007098175016539976</x:v>
      </x:c>
      <x:c r="G218" s="10" t="n">
        <x:f>IF(H218=1,ABS(F218),"")</x:f>
        <x:v>0.0007098175016539976</x:v>
      </x:c>
      <x:c r="H218" s="2" t="n">
        <x:v>1</x:v>
      </x:c>
      <x:c r="I218" s="2" t="str">
        <x:v>AV.Clean!B1649</x:v>
      </x:c>
      <x:c r="J218" s="2" t="str">
        <x:v>AV.Clean!B1647</x:v>
      </x:c>
      <x:c r="K218" s="13" t="n">
        <x:v>45821.4375</x:v>
      </x:c>
      <x:c r="L218" s="13" t="n">
        <x:v>45821.458333333336</x:v>
      </x:c>
    </x:row>
    <x:row r="219" ht="22" customHeight="1">
      <x:c r="A219" s="12" t="n">
        <x:v>45841</x:v>
      </x:c>
      <x:c r="B219" s="14" t="str">
        <x:v>11:00</x:v>
      </x:c>
      <x:c r="C219" s="12" t="n">
        <x:v>45824</x:v>
      </x:c>
      <x:c r="D219" s="9" t="n">
        <x:v>599.764</x:v>
      </x:c>
      <x:c r="E219" s="9" t="n">
        <x:v>600.4749</x:v>
      </x:c>
      <x:c r="F219" s="10" t="n">
        <x:f>IF(H219=1,E219/D219-1,"")</x:f>
        <x:v>0.0011852995511567599</x:v>
      </x:c>
      <x:c r="G219" s="10" t="n">
        <x:f>IF(H219=1,ABS(F219),"")</x:f>
        <x:v>0.0011852995511567599</x:v>
      </x:c>
      <x:c r="H219" s="2" t="n">
        <x:v>1</x:v>
      </x:c>
      <x:c r="I219" s="2" t="str">
        <x:v>AV.Clean!B1635</x:v>
      </x:c>
      <x:c r="J219" s="2" t="str">
        <x:v>AV.Clean!B1633</x:v>
      </x:c>
      <x:c r="K219" s="13" t="n">
        <x:v>45824.4375</x:v>
      </x:c>
      <x:c r="L219" s="13" t="n">
        <x:v>45824.458333333336</x:v>
      </x:c>
    </x:row>
    <x:row r="220" ht="22" customHeight="1">
      <x:c r="A220" s="12" t="n">
        <x:v>45841</x:v>
      </x:c>
      <x:c r="B220" s="14" t="str">
        <x:v>11:00</x:v>
      </x:c>
      <x:c r="C220" s="12" t="n">
        <x:v>45825</x:v>
      </x:c>
      <x:c r="D220" s="9" t="n">
        <x:v>597.5616</x:v>
      </x:c>
      <x:c r="E220" s="9" t="n">
        <x:v>597.0446</x:v>
      </x:c>
      <x:c r="F220" s="10" t="n">
        <x:f>IF(H220=1,E220/D220-1,"")</x:f>
        <x:v>-0.0008651827694418079</x:v>
      </x:c>
      <x:c r="G220" s="10" t="n">
        <x:f>IF(H220=1,ABS(F220),"")</x:f>
        <x:v>0.0008651827694418079</x:v>
      </x:c>
      <x:c r="H220" s="2" t="n">
        <x:v>1</x:v>
      </x:c>
      <x:c r="I220" s="2" t="str">
        <x:v>AV.Clean!B1621</x:v>
      </x:c>
      <x:c r="J220" s="2" t="str">
        <x:v>AV.Clean!B1619</x:v>
      </x:c>
      <x:c r="K220" s="13" t="n">
        <x:v>45825.4375</x:v>
      </x:c>
      <x:c r="L220" s="13" t="n">
        <x:v>45825.458333333336</x:v>
      </x:c>
    </x:row>
    <x:row r="221" ht="22" customHeight="1">
      <x:c r="A221" s="12" t="n">
        <x:v>45841</x:v>
      </x:c>
      <x:c r="B221" s="14" t="str">
        <x:v>11:00</x:v>
      </x:c>
      <x:c r="C221" s="12" t="n">
        <x:v>45826</x:v>
      </x:c>
      <x:c r="D221" s="9" t="n">
        <x:v>595.76</x:v>
      </x:c>
      <x:c r="E221" s="9" t="n">
        <x:v>597.4224</x:v>
      </x:c>
      <x:c r="F221" s="10" t="n">
        <x:f>IF(H221=1,E221/D221-1,"")</x:f>
        <x:v>0.002790385390090133</x:v>
      </x:c>
      <x:c r="G221" s="10" t="n">
        <x:f>IF(H221=1,ABS(F221),"")</x:f>
        <x:v>0.002790385390090133</x:v>
      </x:c>
      <x:c r="H221" s="2" t="n">
        <x:v>1</x:v>
      </x:c>
      <x:c r="I221" s="2" t="str">
        <x:v>AV.Clean!B1607</x:v>
      </x:c>
      <x:c r="J221" s="2" t="str">
        <x:v>AV.Clean!B1605</x:v>
      </x:c>
      <x:c r="K221" s="13" t="n">
        <x:v>45826.4375</x:v>
      </x:c>
      <x:c r="L221" s="13" t="n">
        <x:v>45826.458333333336</x:v>
      </x:c>
    </x:row>
    <x:row r="222" ht="22" customHeight="1">
      <x:c r="A222" s="12" t="n">
        <x:v>45841</x:v>
      </x:c>
      <x:c r="B222" s="14" t="str">
        <x:v>11:00</x:v>
      </x:c>
      <x:c r="C222" s="12" t="n">
        <x:v>45828</x:v>
      </x:c>
      <x:c r="D222" s="9" t="n">
        <x:v>595.5987</x:v>
      </x:c>
      <x:c r="E222" s="9" t="n">
        <x:v>592.597</x:v>
      </x:c>
      <x:c r="F222" s="10" t="n">
        <x:f>IF(H222=1,E222/D222-1,"")</x:f>
        <x:v>-0.005039802806822813</x:v>
      </x:c>
      <x:c r="G222" s="10" t="n">
        <x:f>IF(H222=1,ABS(F222),"")</x:f>
        <x:v>0.005039802806822813</x:v>
      </x:c>
      <x:c r="H222" s="2" t="n">
        <x:v>1</x:v>
      </x:c>
      <x:c r="I222" s="2" t="str">
        <x:v>AV.Clean!B1593</x:v>
      </x:c>
      <x:c r="J222" s="2" t="str">
        <x:v>AV.Clean!B1591</x:v>
      </x:c>
      <x:c r="K222" s="13" t="n">
        <x:v>45828.4375</x:v>
      </x:c>
      <x:c r="L222" s="13" t="n">
        <x:v>45828.458333333336</x:v>
      </x:c>
    </x:row>
    <x:row r="223" ht="22" customHeight="1">
      <x:c r="A223" s="12" t="n">
        <x:v>45841</x:v>
      </x:c>
      <x:c r="B223" s="14" t="str">
        <x:v>11:00</x:v>
      </x:c>
      <x:c r="C223" s="12" t="n">
        <x:v>45831</x:v>
      </x:c>
      <x:c r="D223" s="9" t="n">
        <x:v>595.1</x:v>
      </x:c>
      <x:c r="E223" s="9" t="n">
        <x:v>594.8107</x:v>
      </x:c>
      <x:c r="F223" s="10" t="n">
        <x:f>IF(H223=1,E223/D223-1,"")</x:f>
        <x:v>-0.00048613678373388147</x:v>
      </x:c>
      <x:c r="G223" s="10" t="n">
        <x:f>IF(H223=1,ABS(F223),"")</x:f>
        <x:v>0.00048613678373388147</x:v>
      </x:c>
      <x:c r="H223" s="2" t="n">
        <x:v>1</x:v>
      </x:c>
      <x:c r="I223" s="2" t="str">
        <x:v>AV.Clean!B1579</x:v>
      </x:c>
      <x:c r="J223" s="2" t="str">
        <x:v>AV.Clean!B1577</x:v>
      </x:c>
      <x:c r="K223" s="13" t="n">
        <x:v>45831.4375</x:v>
      </x:c>
      <x:c r="L223" s="13" t="n">
        <x:v>45831.458333333336</x:v>
      </x:c>
    </x:row>
    <x:row r="224" ht="22" customHeight="1">
      <x:c r="A224" s="12" t="n">
        <x:v>45841</x:v>
      </x:c>
      <x:c r="B224" s="14" t="str">
        <x:v>11:00</x:v>
      </x:c>
      <x:c r="C224" s="12" t="n">
        <x:v>45832</x:v>
      </x:c>
      <x:c r="D224" s="9" t="n">
        <x:v>602.2103</x:v>
      </x:c>
      <x:c r="E224" s="9" t="n">
        <x:v>603.3273</x:v>
      </x:c>
      <x:c r="F224" s="10" t="n">
        <x:f>IF(H224=1,E224/D224-1,"")</x:f>
        <x:v>0.001854833768203612</x:v>
      </x:c>
      <x:c r="G224" s="10" t="n">
        <x:f>IF(H224=1,ABS(F224),"")</x:f>
        <x:v>0.001854833768203612</x:v>
      </x:c>
      <x:c r="H224" s="2" t="n">
        <x:v>1</x:v>
      </x:c>
      <x:c r="I224" s="2" t="str">
        <x:v>AV.Clean!B1565</x:v>
      </x:c>
      <x:c r="J224" s="2" t="str">
        <x:v>AV.Clean!B1563</x:v>
      </x:c>
      <x:c r="K224" s="13" t="n">
        <x:v>45832.4375</x:v>
      </x:c>
      <x:c r="L224" s="13" t="n">
        <x:v>45832.458333333336</x:v>
      </x:c>
    </x:row>
    <x:row r="225" ht="22" customHeight="1">
      <x:c r="A225" s="12" t="n">
        <x:v>45841</x:v>
      </x:c>
      <x:c r="B225" s="14" t="str">
        <x:v>11:00</x:v>
      </x:c>
      <x:c r="C225" s="12" t="n">
        <x:v>45833</x:v>
      </x:c>
      <x:c r="D225" s="9" t="n">
        <x:v>606.5084</x:v>
      </x:c>
      <x:c r="E225" s="9" t="n">
        <x:v>606.0497</x:v>
      </x:c>
      <x:c r="F225" s="10" t="n">
        <x:f>IF(H225=1,E225/D225-1,"")</x:f>
        <x:v>-0.0007562962029874498</x:v>
      </x:c>
      <x:c r="G225" s="10" t="n">
        <x:f>IF(H225=1,ABS(F225),"")</x:f>
        <x:v>0.0007562962029874498</x:v>
      </x:c>
      <x:c r="H225" s="2" t="n">
        <x:v>1</x:v>
      </x:c>
      <x:c r="I225" s="2" t="str">
        <x:v>AV.Clean!B1551</x:v>
      </x:c>
      <x:c r="J225" s="2" t="str">
        <x:v>AV.Clean!B1549</x:v>
      </x:c>
      <x:c r="K225" s="13" t="n">
        <x:v>45833.4375</x:v>
      </x:c>
      <x:c r="L225" s="13" t="n">
        <x:v>45833.458333333336</x:v>
      </x:c>
    </x:row>
    <x:row r="226" ht="22" customHeight="1">
      <x:c r="A226" s="12" t="n">
        <x:v>45841</x:v>
      </x:c>
      <x:c r="B226" s="14" t="str">
        <x:v>11:00</x:v>
      </x:c>
      <x:c r="C226" s="12" t="n">
        <x:v>45834</x:v>
      </x:c>
      <x:c r="D226" s="9" t="n">
        <x:v>607.5355</x:v>
      </x:c>
      <x:c r="E226" s="9" t="n">
        <x:v>608.7123</x:v>
      </x:c>
      <x:c r="F226" s="10" t="n">
        <x:f>IF(H226=1,E226/D226-1,"")</x:f>
        <x:v>0.001937006150257936</x:v>
      </x:c>
      <x:c r="G226" s="10" t="n">
        <x:f>IF(H226=1,ABS(F226),"")</x:f>
        <x:v>0.001937006150257936</x:v>
      </x:c>
      <x:c r="H226" s="2" t="n">
        <x:v>1</x:v>
      </x:c>
      <x:c r="I226" s="2" t="str">
        <x:v>AV.Clean!B1537</x:v>
      </x:c>
      <x:c r="J226" s="2" t="str">
        <x:v>AV.Clean!B1535</x:v>
      </x:c>
      <x:c r="K226" s="13" t="n">
        <x:v>45834.4375</x:v>
      </x:c>
      <x:c r="L226" s="13" t="n">
        <x:v>45834.458333333336</x:v>
      </x:c>
    </x:row>
    <x:row r="227" ht="22" customHeight="1">
      <x:c r="A227" s="12" t="n">
        <x:v>45841</x:v>
      </x:c>
      <x:c r="B227" s="14" t="str">
        <x:v>11:00</x:v>
      </x:c>
      <x:c r="C227" s="12" t="n">
        <x:v>45835</x:v>
      </x:c>
      <x:c r="D227" s="9" t="n">
        <x:v>612.7512</x:v>
      </x:c>
      <x:c r="E227" s="9" t="n">
        <x:v>613.1151</x:v>
      </x:c>
      <x:c r="F227" s="10" t="n">
        <x:f>IF(H227=1,E227/D227-1,"")</x:f>
        <x:v>0.0005938788859163324</x:v>
      </x:c>
      <x:c r="G227" s="10" t="n">
        <x:f>IF(H227=1,ABS(F227),"")</x:f>
        <x:v>0.0005938788859163324</x:v>
      </x:c>
      <x:c r="H227" s="2" t="n">
        <x:v>1</x:v>
      </x:c>
      <x:c r="I227" s="2" t="str">
        <x:v>AV.Clean!B1523</x:v>
      </x:c>
      <x:c r="J227" s="2" t="str">
        <x:v>AV.Clean!B1521</x:v>
      </x:c>
      <x:c r="K227" s="13" t="n">
        <x:v>45835.4375</x:v>
      </x:c>
      <x:c r="L227" s="13" t="n">
        <x:v>45835.458333333336</x:v>
      </x:c>
    </x:row>
    <x:row r="228" ht="22" customHeight="1">
      <x:c r="A228" s="12" t="n">
        <x:v>45841</x:v>
      </x:c>
      <x:c r="B228" s="14" t="str">
        <x:v>11:00</x:v>
      </x:c>
      <x:c r="C228" s="12" t="n">
        <x:v>45838</x:v>
      </x:c>
      <x:c r="D228" s="9" t="n">
        <x:v>614.6858</x:v>
      </x:c>
      <x:c r="E228" s="9" t="n">
        <x:v>614.3517</x:v>
      </x:c>
      <x:c r="F228" s="10" t="n">
        <x:f>IF(H228=1,E228/D228-1,"")</x:f>
        <x:v>-0.0005435297187602606</x:v>
      </x:c>
      <x:c r="G228" s="10" t="n">
        <x:f>IF(H228=1,ABS(F228),"")</x:f>
        <x:v>0.0005435297187602606</x:v>
      </x:c>
      <x:c r="H228" s="2" t="n">
        <x:v>1</x:v>
      </x:c>
      <x:c r="I228" s="2" t="str">
        <x:v>AV.Clean!B1509</x:v>
      </x:c>
      <x:c r="J228" s="2" t="str">
        <x:v>AV.Clean!B1507</x:v>
      </x:c>
      <x:c r="K228" s="13" t="n">
        <x:v>45838.4375</x:v>
      </x:c>
      <x:c r="L228" s="13" t="n">
        <x:v>45838.458333333336</x:v>
      </x:c>
    </x:row>
    <x:row r="229" ht="22" customHeight="1">
      <x:c r="A229" s="12" t="n">
        <x:v>45841</x:v>
      </x:c>
      <x:c r="B229" s="14" t="str">
        <x:v>11:00</x:v>
      </x:c>
      <x:c r="C229" s="12" t="n">
        <x:v>45839</x:v>
      </x:c>
      <x:c r="D229" s="9" t="n">
        <x:v>615.4553</x:v>
      </x:c>
      <x:c r="E229" s="9" t="n">
        <x:v>614.7456</x:v>
      </x:c>
      <x:c r="F229" s="10" t="n">
        <x:f>IF(H229=1,E229/D229-1,"")</x:f>
        <x:v>-0.0011531300485997376</x:v>
      </x:c>
      <x:c r="G229" s="10" t="n">
        <x:f>IF(H229=1,ABS(F229),"")</x:f>
        <x:v>0.0011531300485997376</x:v>
      </x:c>
      <x:c r="H229" s="2" t="n">
        <x:v>1</x:v>
      </x:c>
      <x:c r="I229" s="2" t="str">
        <x:v>AV.Clean!B1495</x:v>
      </x:c>
      <x:c r="J229" s="2" t="str">
        <x:v>AV.Clean!B1493</x:v>
      </x:c>
      <x:c r="K229" s="13" t="n">
        <x:v>45839.4375</x:v>
      </x:c>
      <x:c r="L229" s="13" t="n">
        <x:v>45839.458333333336</x:v>
      </x:c>
    </x:row>
    <x:row r="230" ht="22" customHeight="1">
      <x:c r="A230" s="12" t="n">
        <x:v>45841</x:v>
      </x:c>
      <x:c r="B230" s="14" t="str">
        <x:v>11:00</x:v>
      </x:c>
      <x:c r="C230" s="12" t="n">
        <x:v>45840</x:v>
      </x:c>
      <x:c r="D230" s="9" t="n">
        <x:v>615.5932</x:v>
      </x:c>
      <x:c r="E230" s="9" t="n">
        <x:v>617.1091</x:v>
      </x:c>
      <x:c r="F230" s="10" t="n">
        <x:f>IF(H230=1,E230/D230-1,"")</x:f>
        <x:v>0.002462502834664093</x:v>
      </x:c>
      <x:c r="G230" s="10" t="n">
        <x:f>IF(H230=1,ABS(F230),"")</x:f>
        <x:v>0.002462502834664093</x:v>
      </x:c>
      <x:c r="H230" s="2" t="n">
        <x:v>1</x:v>
      </x:c>
      <x:c r="I230" s="2" t="str">
        <x:v>AV.Clean!B1481</x:v>
      </x:c>
      <x:c r="J230" s="2" t="str">
        <x:v>AV.Clean!B1479</x:v>
      </x:c>
      <x:c r="K230" s="13" t="n">
        <x:v>45840.4375</x:v>
      </x:c>
      <x:c r="L230" s="13" t="n">
        <x:v>45840.458333333336</x:v>
      </x:c>
    </x:row>
    <x:row r="231" ht="22" customHeight="1">
      <x:c r="A231" s="12" t="n">
        <x:v>45841</x:v>
      </x:c>
      <x:c r="B231" s="14" t="str">
        <x:v>11:30</x:v>
      </x:c>
      <x:c r="C231" s="12" t="n">
        <x:v>45820</x:v>
      </x:c>
      <x:c r="D231" s="9" t="n">
        <x:v>597.3827</x:v>
      </x:c>
      <x:c r="E231" s="9" t="n">
        <x:v>598.9736</x:v>
      </x:c>
      <x:c r="F231" s="10" t="n">
        <x:f>IF(H231=1,E231/D231-1,"")</x:f>
        <x:v>0.00266311696003263</x:v>
      </x:c>
      <x:c r="G231" s="10" t="n">
        <x:f>IF(H231=1,ABS(F231),"")</x:f>
        <x:v>0.00266311696003263</x:v>
      </x:c>
      <x:c r="H231" s="2" t="n">
        <x:v>1</x:v>
      </x:c>
      <x:c r="I231" s="2" t="str">
        <x:v>AV.Clean!B1663</x:v>
      </x:c>
      <x:c r="J231" s="2" t="str">
        <x:v>AV.Clean!B1660</x:v>
      </x:c>
      <x:c r="K231" s="13" t="n">
        <x:v>45820.458333333336</x:v>
      </x:c>
      <x:c r="L231" s="13" t="n">
        <x:v>45820.479166666664</x:v>
      </x:c>
    </x:row>
    <x:row r="232" ht="22" customHeight="1">
      <x:c r="A232" s="12" t="n">
        <x:v>45841</x:v>
      </x:c>
      <x:c r="B232" s="14" t="str">
        <x:v>11:30</x:v>
      </x:c>
      <x:c r="C232" s="12" t="n">
        <x:v>45821</x:v>
      </x:c>
      <x:c r="D232" s="9" t="n">
        <x:v>595.3643</x:v>
      </x:c>
      <x:c r="E232" s="9" t="n">
        <x:v>597.1541</x:v>
      </x:c>
      <x:c r="F232" s="10" t="n">
        <x:f>IF(H232=1,E232/D232-1,"")</x:f>
        <x:v>0.003006226607809692</x:v>
      </x:c>
      <x:c r="G232" s="10" t="n">
        <x:f>IF(H232=1,ABS(F232),"")</x:f>
        <x:v>0.003006226607809692</x:v>
      </x:c>
      <x:c r="H232" s="2" t="n">
        <x:v>1</x:v>
      </x:c>
      <x:c r="I232" s="2" t="str">
        <x:v>AV.Clean!B1649</x:v>
      </x:c>
      <x:c r="J232" s="2" t="str">
        <x:v>AV.Clean!B1646</x:v>
      </x:c>
      <x:c r="K232" s="13" t="n">
        <x:v>45821.458333333336</x:v>
      </x:c>
      <x:c r="L232" s="13" t="n">
        <x:v>45821.479166666664</x:v>
      </x:c>
    </x:row>
    <x:row r="233" ht="22" customHeight="1">
      <x:c r="A233" s="12" t="n">
        <x:v>45841</x:v>
      </x:c>
      <x:c r="B233" s="14" t="str">
        <x:v>11:30</x:v>
      </x:c>
      <x:c r="C233" s="12" t="n">
        <x:v>45824</x:v>
      </x:c>
      <x:c r="D233" s="9" t="n">
        <x:v>599.764</x:v>
      </x:c>
      <x:c r="E233" s="9" t="n">
        <x:v>599.9182</x:v>
      </x:c>
      <x:c r="F233" s="10" t="n">
        <x:f>IF(H233=1,E233/D233-1,"")</x:f>
        <x:v>0.000257101126442949</x:v>
      </x:c>
      <x:c r="G233" s="10" t="n">
        <x:f>IF(H233=1,ABS(F233),"")</x:f>
        <x:v>0.000257101126442949</x:v>
      </x:c>
      <x:c r="H233" s="2" t="n">
        <x:v>1</x:v>
      </x:c>
      <x:c r="I233" s="2" t="str">
        <x:v>AV.Clean!B1635</x:v>
      </x:c>
      <x:c r="J233" s="2" t="str">
        <x:v>AV.Clean!B1632</x:v>
      </x:c>
      <x:c r="K233" s="13" t="n">
        <x:v>45824.458333333336</x:v>
      </x:c>
      <x:c r="L233" s="13" t="n">
        <x:v>45824.479166666664</x:v>
      </x:c>
    </x:row>
    <x:row r="234" ht="22" customHeight="1">
      <x:c r="A234" s="12" t="n">
        <x:v>45841</x:v>
      </x:c>
      <x:c r="B234" s="14" t="str">
        <x:v>11:30</x:v>
      </x:c>
      <x:c r="C234" s="12" t="n">
        <x:v>45825</x:v>
      </x:c>
      <x:c r="D234" s="9" t="n">
        <x:v>597.5616</x:v>
      </x:c>
      <x:c r="E234" s="9" t="n">
        <x:v>597.0148</x:v>
      </x:c>
      <x:c r="F234" s="10" t="n">
        <x:f>IF(H234=1,E234/D234-1,"")</x:f>
        <x:v>-0.0009150521050883542</x:v>
      </x:c>
      <x:c r="G234" s="10" t="n">
        <x:f>IF(H234=1,ABS(F234),"")</x:f>
        <x:v>0.0009150521050883542</x:v>
      </x:c>
      <x:c r="H234" s="2" t="n">
        <x:v>1</x:v>
      </x:c>
      <x:c r="I234" s="2" t="str">
        <x:v>AV.Clean!B1621</x:v>
      </x:c>
      <x:c r="J234" s="2" t="str">
        <x:v>AV.Clean!B1618</x:v>
      </x:c>
      <x:c r="K234" s="13" t="n">
        <x:v>45825.458333333336</x:v>
      </x:c>
      <x:c r="L234" s="13" t="n">
        <x:v>45825.479166666664</x:v>
      </x:c>
    </x:row>
    <x:row r="235" ht="22" customHeight="1">
      <x:c r="A235" s="12" t="n">
        <x:v>45841</x:v>
      </x:c>
      <x:c r="B235" s="14" t="str">
        <x:v>11:30</x:v>
      </x:c>
      <x:c r="C235" s="12" t="n">
        <x:v>45826</x:v>
      </x:c>
      <x:c r="D235" s="9" t="n">
        <x:v>595.76</x:v>
      </x:c>
      <x:c r="E235" s="9" t="n">
        <x:v>596.7166</x:v>
      </x:c>
      <x:c r="F235" s="10" t="n">
        <x:f>IF(H235=1,E235/D235-1,"")</x:f>
        <x:v>0.0016056801396535647</x:v>
      </x:c>
      <x:c r="G235" s="10" t="n">
        <x:f>IF(H235=1,ABS(F235),"")</x:f>
        <x:v>0.0016056801396535647</x:v>
      </x:c>
      <x:c r="H235" s="2" t="n">
        <x:v>1</x:v>
      </x:c>
      <x:c r="I235" s="2" t="str">
        <x:v>AV.Clean!B1607</x:v>
      </x:c>
      <x:c r="J235" s="2" t="str">
        <x:v>AV.Clean!B1604</x:v>
      </x:c>
      <x:c r="K235" s="13" t="n">
        <x:v>45826.458333333336</x:v>
      </x:c>
      <x:c r="L235" s="13" t="n">
        <x:v>45826.479166666664</x:v>
      </x:c>
    </x:row>
    <x:row r="236" ht="22" customHeight="1">
      <x:c r="A236" s="12" t="n">
        <x:v>45841</x:v>
      </x:c>
      <x:c r="B236" s="14" t="str">
        <x:v>11:30</x:v>
      </x:c>
      <x:c r="C236" s="12" t="n">
        <x:v>45828</x:v>
      </x:c>
      <x:c r="D236" s="9" t="n">
        <x:v>595.5987</x:v>
      </x:c>
      <x:c r="E236" s="9" t="n">
        <x:v>593.4695</x:v>
      </x:c>
      <x:c r="F236" s="10" t="n">
        <x:f>IF(H236=1,E236/D236-1,"")</x:f>
        <x:v>-0.003574890274273601</x:v>
      </x:c>
      <x:c r="G236" s="10" t="n">
        <x:f>IF(H236=1,ABS(F236),"")</x:f>
        <x:v>0.003574890274273601</x:v>
      </x:c>
      <x:c r="H236" s="2" t="n">
        <x:v>1</x:v>
      </x:c>
      <x:c r="I236" s="2" t="str">
        <x:v>AV.Clean!B1593</x:v>
      </x:c>
      <x:c r="J236" s="2" t="str">
        <x:v>AV.Clean!B1590</x:v>
      </x:c>
      <x:c r="K236" s="13" t="n">
        <x:v>45828.458333333336</x:v>
      </x:c>
      <x:c r="L236" s="13" t="n">
        <x:v>45828.479166666664</x:v>
      </x:c>
    </x:row>
    <x:row r="237" ht="22" customHeight="1">
      <x:c r="A237" s="12" t="n">
        <x:v>45841</x:v>
      </x:c>
      <x:c r="B237" s="14" t="str">
        <x:v>11:30</x:v>
      </x:c>
      <x:c r="C237" s="12" t="n">
        <x:v>45831</x:v>
      </x:c>
      <x:c r="D237" s="9" t="n">
        <x:v>595.1</x:v>
      </x:c>
      <x:c r="E237" s="9" t="n">
        <x:v>594.7809</x:v>
      </x:c>
      <x:c r="F237" s="10" t="n">
        <x:f>IF(H237=1,E237/D237-1,"")</x:f>
        <x:v>-0.000536212401277214</x:v>
      </x:c>
      <x:c r="G237" s="10" t="n">
        <x:f>IF(H237=1,ABS(F237),"")</x:f>
        <x:v>0.000536212401277214</x:v>
      </x:c>
      <x:c r="H237" s="2" t="n">
        <x:v>1</x:v>
      </x:c>
      <x:c r="I237" s="2" t="str">
        <x:v>AV.Clean!B1579</x:v>
      </x:c>
      <x:c r="J237" s="2" t="str">
        <x:v>AV.Clean!B1576</x:v>
      </x:c>
      <x:c r="K237" s="13" t="n">
        <x:v>45831.458333333336</x:v>
      </x:c>
      <x:c r="L237" s="13" t="n">
        <x:v>45831.479166666664</x:v>
      </x:c>
    </x:row>
    <x:row r="238" ht="22" customHeight="1">
      <x:c r="A238" s="12" t="n">
        <x:v>45841</x:v>
      </x:c>
      <x:c r="B238" s="14" t="str">
        <x:v>11:30</x:v>
      </x:c>
      <x:c r="C238" s="12" t="n">
        <x:v>45832</x:v>
      </x:c>
      <x:c r="D238" s="9" t="n">
        <x:v>602.2103</x:v>
      </x:c>
      <x:c r="E238" s="9" t="n">
        <x:v>604.1051</x:v>
      </x:c>
      <x:c r="F238" s="10" t="n">
        <x:f>IF(H238=1,E238/D238-1,"")</x:f>
        <x:v>0.0031464091530817306</x:v>
      </x:c>
      <x:c r="G238" s="10" t="n">
        <x:f>IF(H238=1,ABS(F238),"")</x:f>
        <x:v>0.0031464091530817306</x:v>
      </x:c>
      <x:c r="H238" s="2" t="n">
        <x:v>1</x:v>
      </x:c>
      <x:c r="I238" s="2" t="str">
        <x:v>AV.Clean!B1565</x:v>
      </x:c>
      <x:c r="J238" s="2" t="str">
        <x:v>AV.Clean!B1562</x:v>
      </x:c>
      <x:c r="K238" s="13" t="n">
        <x:v>45832.458333333336</x:v>
      </x:c>
      <x:c r="L238" s="13" t="n">
        <x:v>45832.479166666664</x:v>
      </x:c>
    </x:row>
    <x:row r="239" ht="22" customHeight="1">
      <x:c r="A239" s="12" t="n">
        <x:v>45841</x:v>
      </x:c>
      <x:c r="B239" s="14" t="str">
        <x:v>11:30</x:v>
      </x:c>
      <x:c r="C239" s="12" t="n">
        <x:v>45833</x:v>
      </x:c>
      <x:c r="D239" s="9" t="n">
        <x:v>606.5084</x:v>
      </x:c>
      <x:c r="E239" s="9" t="n">
        <x:v>605.4912</x:v>
      </x:c>
      <x:c r="F239" s="10" t="n">
        <x:f>IF(H239=1,E239/D239-1,"")</x:f>
        <x:v>-0.0016771408277280742</x:v>
      </x:c>
      <x:c r="G239" s="10" t="n">
        <x:f>IF(H239=1,ABS(F239),"")</x:f>
        <x:v>0.0016771408277280742</x:v>
      </x:c>
      <x:c r="H239" s="2" t="n">
        <x:v>1</x:v>
      </x:c>
      <x:c r="I239" s="2" t="str">
        <x:v>AV.Clean!B1551</x:v>
      </x:c>
      <x:c r="J239" s="2" t="str">
        <x:v>AV.Clean!B1548</x:v>
      </x:c>
      <x:c r="K239" s="13" t="n">
        <x:v>45833.458333333336</x:v>
      </x:c>
      <x:c r="L239" s="13" t="n">
        <x:v>45833.479166666664</x:v>
      </x:c>
    </x:row>
    <x:row r="240" ht="22" customHeight="1">
      <x:c r="A240" s="12" t="n">
        <x:v>45841</x:v>
      </x:c>
      <x:c r="B240" s="14" t="str">
        <x:v>11:30</x:v>
      </x:c>
      <x:c r="C240" s="12" t="n">
        <x:v>45834</x:v>
      </x:c>
      <x:c r="D240" s="9" t="n">
        <x:v>607.5355</x:v>
      </x:c>
      <x:c r="E240" s="9" t="n">
        <x:v>608.3633</x:v>
      </x:c>
      <x:c r="F240" s="10" t="n">
        <x:f>IF(H240=1,E240/D240-1,"")</x:f>
        <x:v>0.0013625541223516446</x:v>
      </x:c>
      <x:c r="G240" s="10" t="n">
        <x:f>IF(H240=1,ABS(F240),"")</x:f>
        <x:v>0.0013625541223516446</x:v>
      </x:c>
      <x:c r="H240" s="2" t="n">
        <x:v>1</x:v>
      </x:c>
      <x:c r="I240" s="2" t="str">
        <x:v>AV.Clean!B1537</x:v>
      </x:c>
      <x:c r="J240" s="2" t="str">
        <x:v>AV.Clean!B1534</x:v>
      </x:c>
      <x:c r="K240" s="13" t="n">
        <x:v>45834.458333333336</x:v>
      </x:c>
      <x:c r="L240" s="13" t="n">
        <x:v>45834.479166666664</x:v>
      </x:c>
    </x:row>
    <x:row r="241" ht="22" customHeight="1">
      <x:c r="A241" s="12" t="n">
        <x:v>45841</x:v>
      </x:c>
      <x:c r="B241" s="14" t="str">
        <x:v>11:30</x:v>
      </x:c>
      <x:c r="C241" s="12" t="n">
        <x:v>45835</x:v>
      </x:c>
      <x:c r="D241" s="9" t="n">
        <x:v>612.7512</x:v>
      </x:c>
      <x:c r="E241" s="9" t="n">
        <x:v>613.6486</x:v>
      </x:c>
      <x:c r="F241" s="10" t="n">
        <x:f>IF(H241=1,E241/D241-1,"")</x:f>
        <x:v>0.0014645422155026289</x:v>
      </x:c>
      <x:c r="G241" s="10" t="n">
        <x:f>IF(H241=1,ABS(F241),"")</x:f>
        <x:v>0.0014645422155026289</x:v>
      </x:c>
      <x:c r="H241" s="2" t="n">
        <x:v>1</x:v>
      </x:c>
      <x:c r="I241" s="2" t="str">
        <x:v>AV.Clean!B1523</x:v>
      </x:c>
      <x:c r="J241" s="2" t="str">
        <x:v>AV.Clean!B1520</x:v>
      </x:c>
      <x:c r="K241" s="13" t="n">
        <x:v>45835.458333333336</x:v>
      </x:c>
      <x:c r="L241" s="13" t="n">
        <x:v>45835.479166666664</x:v>
      </x:c>
    </x:row>
    <x:row r="242" ht="22" customHeight="1">
      <x:c r="A242" s="12" t="n">
        <x:v>45841</x:v>
      </x:c>
      <x:c r="B242" s="14" t="str">
        <x:v>11:30</x:v>
      </x:c>
      <x:c r="C242" s="12" t="n">
        <x:v>45838</x:v>
      </x:c>
      <x:c r="D242" s="9" t="n">
        <x:v>614.6858</x:v>
      </x:c>
      <x:c r="E242" s="9" t="n">
        <x:v>614.5162</x:v>
      </x:c>
      <x:c r="F242" s="10" t="n">
        <x:f>IF(H242=1,E242/D242-1,"")</x:f>
        <x:v>-0.0002759133202685504</x:v>
      </x:c>
      <x:c r="G242" s="10" t="n">
        <x:f>IF(H242=1,ABS(F242),"")</x:f>
        <x:v>0.0002759133202685504</x:v>
      </x:c>
      <x:c r="H242" s="2" t="n">
        <x:v>1</x:v>
      </x:c>
      <x:c r="I242" s="2" t="str">
        <x:v>AV.Clean!B1509</x:v>
      </x:c>
      <x:c r="J242" s="2" t="str">
        <x:v>AV.Clean!B1506</x:v>
      </x:c>
      <x:c r="K242" s="13" t="n">
        <x:v>45838.458333333336</x:v>
      </x:c>
      <x:c r="L242" s="13" t="n">
        <x:v>45838.479166666664</x:v>
      </x:c>
    </x:row>
    <x:row r="243" ht="22" customHeight="1">
      <x:c r="A243" s="12" t="n">
        <x:v>45841</x:v>
      </x:c>
      <x:c r="B243" s="14" t="str">
        <x:v>11:30</x:v>
      </x:c>
      <x:c r="C243" s="12" t="n">
        <x:v>45839</x:v>
      </x:c>
      <x:c r="D243" s="9" t="n">
        <x:v>615.4553</x:v>
      </x:c>
      <x:c r="E243" s="9" t="n">
        <x:v>615.5831</x:v>
      </x:c>
      <x:c r="F243" s="10" t="n">
        <x:f>IF(H243=1,E243/D243-1,"")</x:f>
        <x:v>0.0002076511486699406</x:v>
      </x:c>
      <x:c r="G243" s="10" t="n">
        <x:f>IF(H243=1,ABS(F243),"")</x:f>
        <x:v>0.0002076511486699406</x:v>
      </x:c>
      <x:c r="H243" s="2" t="n">
        <x:v>1</x:v>
      </x:c>
      <x:c r="I243" s="2" t="str">
        <x:v>AV.Clean!B1495</x:v>
      </x:c>
      <x:c r="J243" s="2" t="str">
        <x:v>AV.Clean!B1492</x:v>
      </x:c>
      <x:c r="K243" s="13" t="n">
        <x:v>45839.458333333336</x:v>
      </x:c>
      <x:c r="L243" s="13" t="n">
        <x:v>45839.479166666664</x:v>
      </x:c>
    </x:row>
    <x:row r="244" ht="22" customHeight="1">
      <x:c r="A244" s="12" t="n">
        <x:v>45841</x:v>
      </x:c>
      <x:c r="B244" s="14" t="str">
        <x:v>11:30</x:v>
      </x:c>
      <x:c r="C244" s="12" t="n">
        <x:v>45840</x:v>
      </x:c>
      <x:c r="D244" s="9" t="n">
        <x:v>615.5932</x:v>
      </x:c>
      <x:c r="E244" s="9" t="n">
        <x:v>617.0493</x:v>
      </x:c>
      <x:c r="F244" s="10" t="n">
        <x:f>IF(H244=1,E244/D244-1,"")</x:f>
        <x:v>0.002365360760970159</x:v>
      </x:c>
      <x:c r="G244" s="10" t="n">
        <x:f>IF(H244=1,ABS(F244),"")</x:f>
        <x:v>0.002365360760970159</x:v>
      </x:c>
      <x:c r="H244" s="2" t="n">
        <x:v>1</x:v>
      </x:c>
      <x:c r="I244" s="2" t="str">
        <x:v>AV.Clean!B1481</x:v>
      </x:c>
      <x:c r="J244" s="2" t="str">
        <x:v>AV.Clean!B1478</x:v>
      </x:c>
      <x:c r="K244" s="13" t="n">
        <x:v>45840.458333333336</x:v>
      </x:c>
      <x:c r="L244" s="13" t="n">
        <x:v>45840.479166666664</x:v>
      </x:c>
    </x:row>
    <x:row r="245" ht="22" customHeight="1">
      <x:c r="A245" s="12" t="n">
        <x:v>45841</x:v>
      </x:c>
      <x:c r="B245" s="14" t="str">
        <x:v>12:00</x:v>
      </x:c>
      <x:c r="C245" s="12" t="n">
        <x:v>45820</x:v>
      </x:c>
      <x:c r="D245" s="9" t="n">
        <x:v>597.3827</x:v>
      </x:c>
      <x:c r="E245" s="9" t="n">
        <x:v>599.063</x:v>
      </x:c>
      <x:c r="F245" s="10" t="n">
        <x:f>IF(H245=1,E245/D245-1,"")</x:f>
        <x:v>0.0028127697705340182</x:v>
      </x:c>
      <x:c r="G245" s="10" t="n">
        <x:f>IF(H245=1,ABS(F245),"")</x:f>
        <x:v>0.0028127697705340182</x:v>
      </x:c>
      <x:c r="H245" s="2" t="n">
        <x:v>1</x:v>
      </x:c>
      <x:c r="I245" s="2" t="str">
        <x:v>AV.Clean!B1663</x:v>
      </x:c>
      <x:c r="J245" s="2" t="str">
        <x:v>AV.Clean!B1659</x:v>
      </x:c>
      <x:c r="K245" s="13" t="n">
        <x:v>45820.479166666664</x:v>
      </x:c>
      <x:c r="L245" s="13" t="n">
        <x:v>45820.5</x:v>
      </x:c>
    </x:row>
    <x:row r="246" ht="22" customHeight="1">
      <x:c r="A246" s="12" t="n">
        <x:v>45841</x:v>
      </x:c>
      <x:c r="B246" s="14" t="str">
        <x:v>12:00</x:v>
      </x:c>
      <x:c r="C246" s="12" t="n">
        <x:v>45821</x:v>
      </x:c>
      <x:c r="D246" s="9" t="n">
        <x:v>595.3643</x:v>
      </x:c>
      <x:c r="E246" s="9" t="n">
        <x:v>597.8102</x:v>
      </x:c>
      <x:c r="F246" s="10" t="n">
        <x:f>IF(H246=1,E246/D246-1,"")</x:f>
        <x:v>0.004108240954320053</x:v>
      </x:c>
      <x:c r="G246" s="10" t="n">
        <x:f>IF(H246=1,ABS(F246),"")</x:f>
        <x:v>0.004108240954320053</x:v>
      </x:c>
      <x:c r="H246" s="2" t="n">
        <x:v>1</x:v>
      </x:c>
      <x:c r="I246" s="2" t="str">
        <x:v>AV.Clean!B1649</x:v>
      </x:c>
      <x:c r="J246" s="2" t="str">
        <x:v>AV.Clean!B1645</x:v>
      </x:c>
      <x:c r="K246" s="13" t="n">
        <x:v>45821.479166666664</x:v>
      </x:c>
      <x:c r="L246" s="13" t="n">
        <x:v>45821.5</x:v>
      </x:c>
    </x:row>
    <x:row r="247" ht="22" customHeight="1">
      <x:c r="A247" s="12" t="n">
        <x:v>45841</x:v>
      </x:c>
      <x:c r="B247" s="14" t="str">
        <x:v>12:00</x:v>
      </x:c>
      <x:c r="C247" s="12" t="n">
        <x:v>45824</x:v>
      </x:c>
      <x:c r="D247" s="9" t="n">
        <x:v>599.764</x:v>
      </x:c>
      <x:c r="E247" s="9" t="n">
        <x:v>599.6994</x:v>
      </x:c>
      <x:c r="F247" s="10" t="n">
        <x:f>IF(H247=1,E247/D247-1,"")</x:f>
        <x:v>-0.00010770903221946071</x:v>
      </x:c>
      <x:c r="G247" s="10" t="n">
        <x:f>IF(H247=1,ABS(F247),"")</x:f>
        <x:v>0.00010770903221946071</x:v>
      </x:c>
      <x:c r="H247" s="2" t="n">
        <x:v>1</x:v>
      </x:c>
      <x:c r="I247" s="2" t="str">
        <x:v>AV.Clean!B1635</x:v>
      </x:c>
      <x:c r="J247" s="2" t="str">
        <x:v>AV.Clean!B1631</x:v>
      </x:c>
      <x:c r="K247" s="13" t="n">
        <x:v>45824.479166666664</x:v>
      </x:c>
      <x:c r="L247" s="13" t="n">
        <x:v>45824.5</x:v>
      </x:c>
    </x:row>
    <x:row r="248" ht="22" customHeight="1">
      <x:c r="A248" s="12" t="n">
        <x:v>45841</x:v>
      </x:c>
      <x:c r="B248" s="14" t="str">
        <x:v>12:00</x:v>
      </x:c>
      <x:c r="C248" s="12" t="n">
        <x:v>45825</x:v>
      </x:c>
      <x:c r="D248" s="9" t="n">
        <x:v>597.5616</x:v>
      </x:c>
      <x:c r="E248" s="9" t="n">
        <x:v>597.2932</x:v>
      </x:c>
      <x:c r="F248" s="10" t="n">
        <x:f>IF(H248=1,E248/D248-1,"")</x:f>
        <x:v>-0.0004491587143484743</x:v>
      </x:c>
      <x:c r="G248" s="10" t="n">
        <x:f>IF(H248=1,ABS(F248),"")</x:f>
        <x:v>0.0004491587143484743</x:v>
      </x:c>
      <x:c r="H248" s="2" t="n">
        <x:v>1</x:v>
      </x:c>
      <x:c r="I248" s="2" t="str">
        <x:v>AV.Clean!B1621</x:v>
      </x:c>
      <x:c r="J248" s="2" t="str">
        <x:v>AV.Clean!B1617</x:v>
      </x:c>
      <x:c r="K248" s="13" t="n">
        <x:v>45825.479166666664</x:v>
      </x:c>
      <x:c r="L248" s="13" t="n">
        <x:v>45825.5</x:v>
      </x:c>
    </x:row>
    <x:row r="249" ht="22" customHeight="1">
      <x:c r="A249" s="12" t="n">
        <x:v>45841</x:v>
      </x:c>
      <x:c r="B249" s="14" t="str">
        <x:v>12:00</x:v>
      </x:c>
      <x:c r="C249" s="12" t="n">
        <x:v>45826</x:v>
      </x:c>
      <x:c r="D249" s="9" t="n">
        <x:v>595.76</x:v>
      </x:c>
      <x:c r="E249" s="9" t="n">
        <x:v>596.2882</x:v>
      </x:c>
      <x:c r="F249" s="10" t="n">
        <x:f>IF(H249=1,E249/D249-1,"")</x:f>
        <x:v>0.0008865986303208118</x:v>
      </x:c>
      <x:c r="G249" s="10" t="n">
        <x:f>IF(H249=1,ABS(F249),"")</x:f>
        <x:v>0.0008865986303208118</x:v>
      </x:c>
      <x:c r="H249" s="2" t="n">
        <x:v>1</x:v>
      </x:c>
      <x:c r="I249" s="2" t="str">
        <x:v>AV.Clean!B1607</x:v>
      </x:c>
      <x:c r="J249" s="2" t="str">
        <x:v>AV.Clean!B1603</x:v>
      </x:c>
      <x:c r="K249" s="13" t="n">
        <x:v>45826.479166666664</x:v>
      </x:c>
      <x:c r="L249" s="13" t="n">
        <x:v>45826.5</x:v>
      </x:c>
    </x:row>
    <x:row r="250" ht="22" customHeight="1">
      <x:c r="A250" s="12" t="n">
        <x:v>45841</x:v>
      </x:c>
      <x:c r="B250" s="14" t="str">
        <x:v>12:00</x:v>
      </x:c>
      <x:c r="C250" s="12" t="n">
        <x:v>45828</x:v>
      </x:c>
      <x:c r="D250" s="9" t="n">
        <x:v>595.5987</x:v>
      </x:c>
      <x:c r="E250" s="9" t="n">
        <x:v>593.0059</x:v>
      </x:c>
      <x:c r="F250" s="10" t="n">
        <x:f>IF(H250=1,E250/D250-1,"")</x:f>
        <x:v>-0.004353266721367932</x:v>
      </x:c>
      <x:c r="G250" s="10" t="n">
        <x:f>IF(H250=1,ABS(F250),"")</x:f>
        <x:v>0.004353266721367932</x:v>
      </x:c>
      <x:c r="H250" s="2" t="n">
        <x:v>1</x:v>
      </x:c>
      <x:c r="I250" s="2" t="str">
        <x:v>AV.Clean!B1593</x:v>
      </x:c>
      <x:c r="J250" s="2" t="str">
        <x:v>AV.Clean!B1589</x:v>
      </x:c>
      <x:c r="K250" s="13" t="n">
        <x:v>45828.479166666664</x:v>
      </x:c>
      <x:c r="L250" s="13" t="n">
        <x:v>45828.5</x:v>
      </x:c>
    </x:row>
    <x:row r="251" ht="22" customHeight="1">
      <x:c r="A251" s="12" t="n">
        <x:v>45841</x:v>
      </x:c>
      <x:c r="B251" s="14" t="str">
        <x:v>12:00</x:v>
      </x:c>
      <x:c r="C251" s="12" t="n">
        <x:v>45831</x:v>
      </x:c>
      <x:c r="D251" s="9" t="n">
        <x:v>595.1</x:v>
      </x:c>
      <x:c r="E251" s="9" t="n">
        <x:v>594.2025</x:v>
      </x:c>
      <x:c r="F251" s="10" t="n">
        <x:f>IF(H251=1,E251/D251-1,"")</x:f>
        <x:v>-0.001508149890774746</x:v>
      </x:c>
      <x:c r="G251" s="10" t="n">
        <x:f>IF(H251=1,ABS(F251),"")</x:f>
        <x:v>0.001508149890774746</x:v>
      </x:c>
      <x:c r="H251" s="2" t="n">
        <x:v>1</x:v>
      </x:c>
      <x:c r="I251" s="2" t="str">
        <x:v>AV.Clean!B1579</x:v>
      </x:c>
      <x:c r="J251" s="2" t="str">
        <x:v>AV.Clean!B1575</x:v>
      </x:c>
      <x:c r="K251" s="13" t="n">
        <x:v>45831.479166666664</x:v>
      </x:c>
      <x:c r="L251" s="13" t="n">
        <x:v>45831.5</x:v>
      </x:c>
    </x:row>
    <x:row r="252" ht="22" customHeight="1">
      <x:c r="A252" s="12" t="n">
        <x:v>45841</x:v>
      </x:c>
      <x:c r="B252" s="14" t="str">
        <x:v>12:00</x:v>
      </x:c>
      <x:c r="C252" s="12" t="n">
        <x:v>45832</x:v>
      </x:c>
      <x:c r="D252" s="9" t="n">
        <x:v>602.2103</x:v>
      </x:c>
      <x:c r="E252" s="9" t="n">
        <x:v>604.11</x:v>
      </x:c>
      <x:c r="F252" s="10" t="n">
        <x:f>IF(H252=1,E252/D252-1,"")</x:f>
        <x:v>0.003154545845529544</x:v>
      </x:c>
      <x:c r="G252" s="10" t="n">
        <x:f>IF(H252=1,ABS(F252),"")</x:f>
        <x:v>0.003154545845529544</x:v>
      </x:c>
      <x:c r="H252" s="2" t="n">
        <x:v>1</x:v>
      </x:c>
      <x:c r="I252" s="2" t="str">
        <x:v>AV.Clean!B1565</x:v>
      </x:c>
      <x:c r="J252" s="2" t="str">
        <x:v>AV.Clean!B1561</x:v>
      </x:c>
      <x:c r="K252" s="13" t="n">
        <x:v>45832.479166666664</x:v>
      </x:c>
      <x:c r="L252" s="13" t="n">
        <x:v>45832.5</x:v>
      </x:c>
    </x:row>
    <x:row r="253" ht="22" customHeight="1">
      <x:c r="A253" s="12" t="n">
        <x:v>45841</x:v>
      </x:c>
      <x:c r="B253" s="14" t="str">
        <x:v>12:00</x:v>
      </x:c>
      <x:c r="C253" s="12" t="n">
        <x:v>45833</x:v>
      </x:c>
      <x:c r="D253" s="9" t="n">
        <x:v>606.5084</x:v>
      </x:c>
      <x:c r="E253" s="9" t="n">
        <x:v>605.212</x:v>
      </x:c>
      <x:c r="F253" s="10" t="n">
        <x:f>IF(H253=1,E253/D253-1,"")</x:f>
        <x:v>-0.0021374807010093866</x:v>
      </x:c>
      <x:c r="G253" s="10" t="n">
        <x:f>IF(H253=1,ABS(F253),"")</x:f>
        <x:v>0.0021374807010093866</x:v>
      </x:c>
      <x:c r="H253" s="2" t="n">
        <x:v>1</x:v>
      </x:c>
      <x:c r="I253" s="2" t="str">
        <x:v>AV.Clean!B1551</x:v>
      </x:c>
      <x:c r="J253" s="2" t="str">
        <x:v>AV.Clean!B1547</x:v>
      </x:c>
      <x:c r="K253" s="13" t="n">
        <x:v>45833.479166666664</x:v>
      </x:c>
      <x:c r="L253" s="13" t="n">
        <x:v>45833.5</x:v>
      </x:c>
    </x:row>
    <x:row r="254" ht="22" customHeight="1">
      <x:c r="A254" s="12" t="n">
        <x:v>45841</x:v>
      </x:c>
      <x:c r="B254" s="14" t="str">
        <x:v>12:00</x:v>
      </x:c>
      <x:c r="C254" s="12" t="n">
        <x:v>45834</x:v>
      </x:c>
      <x:c r="D254" s="9" t="n">
        <x:v>607.5355</x:v>
      </x:c>
      <x:c r="E254" s="9" t="n">
        <x:v>608.842</x:v>
      </x:c>
      <x:c r="F254" s="10" t="n">
        <x:f>IF(H254=1,E254/D254-1,"")</x:f>
        <x:v>0.002150491617362249</x:v>
      </x:c>
      <x:c r="G254" s="10" t="n">
        <x:f>IF(H254=1,ABS(F254),"")</x:f>
        <x:v>0.002150491617362249</x:v>
      </x:c>
      <x:c r="H254" s="2" t="n">
        <x:v>1</x:v>
      </x:c>
      <x:c r="I254" s="2" t="str">
        <x:v>AV.Clean!B1537</x:v>
      </x:c>
      <x:c r="J254" s="2" t="str">
        <x:v>AV.Clean!B1533</x:v>
      </x:c>
      <x:c r="K254" s="13" t="n">
        <x:v>45834.479166666664</x:v>
      </x:c>
      <x:c r="L254" s="13" t="n">
        <x:v>45834.5</x:v>
      </x:c>
    </x:row>
    <x:row r="255" ht="22" customHeight="1">
      <x:c r="A255" s="12" t="n">
        <x:v>45841</x:v>
      </x:c>
      <x:c r="B255" s="14" t="str">
        <x:v>12:00</x:v>
      </x:c>
      <x:c r="C255" s="12" t="n">
        <x:v>45835</x:v>
      </x:c>
      <x:c r="D255" s="9" t="n">
        <x:v>612.7512</x:v>
      </x:c>
      <x:c r="E255" s="9" t="n">
        <x:v>614.1971</x:v>
      </x:c>
      <x:c r="F255" s="10" t="n">
        <x:f>IF(H255=1,E255/D255-1,"")</x:f>
        <x:v>0.0023596853013096997</x:v>
      </x:c>
      <x:c r="G255" s="10" t="n">
        <x:f>IF(H255=1,ABS(F255),"")</x:f>
        <x:v>0.0023596853013096997</x:v>
      </x:c>
      <x:c r="H255" s="2" t="n">
        <x:v>1</x:v>
      </x:c>
      <x:c r="I255" s="2" t="str">
        <x:v>AV.Clean!B1523</x:v>
      </x:c>
      <x:c r="J255" s="2" t="str">
        <x:v>AV.Clean!B1519</x:v>
      </x:c>
      <x:c r="K255" s="13" t="n">
        <x:v>45835.479166666664</x:v>
      </x:c>
      <x:c r="L255" s="13" t="n">
        <x:v>45835.5</x:v>
      </x:c>
    </x:row>
    <x:row r="256" ht="22" customHeight="1">
      <x:c r="A256" s="12" t="n">
        <x:v>45841</x:v>
      </x:c>
      <x:c r="B256" s="14" t="str">
        <x:v>12:00</x:v>
      </x:c>
      <x:c r="C256" s="12" t="n">
        <x:v>45838</x:v>
      </x:c>
      <x:c r="D256" s="9" t="n">
        <x:v>614.6858</x:v>
      </x:c>
      <x:c r="E256" s="9" t="n">
        <x:v>614.7755</x:v>
      </x:c>
      <x:c r="F256" s="10" t="n">
        <x:f>IF(H256=1,E256/D256-1,"")</x:f>
        <x:v>0.00014592821242986886</x:v>
      </x:c>
      <x:c r="G256" s="10" t="n">
        <x:f>IF(H256=1,ABS(F256),"")</x:f>
        <x:v>0.00014592821242986886</x:v>
      </x:c>
      <x:c r="H256" s="2" t="n">
        <x:v>1</x:v>
      </x:c>
      <x:c r="I256" s="2" t="str">
        <x:v>AV.Clean!B1509</x:v>
      </x:c>
      <x:c r="J256" s="2" t="str">
        <x:v>AV.Clean!B1505</x:v>
      </x:c>
      <x:c r="K256" s="13" t="n">
        <x:v>45838.479166666664</x:v>
      </x:c>
      <x:c r="L256" s="13" t="n">
        <x:v>45838.5</x:v>
      </x:c>
    </x:row>
    <x:row r="257" ht="22" customHeight="1">
      <x:c r="A257" s="12" t="n">
        <x:v>45841</x:v>
      </x:c>
      <x:c r="B257" s="14" t="str">
        <x:v>12:00</x:v>
      </x:c>
      <x:c r="C257" s="12" t="n">
        <x:v>45839</x:v>
      </x:c>
      <x:c r="D257" s="9" t="n">
        <x:v>615.4553</x:v>
      </x:c>
      <x:c r="E257" s="9" t="n">
        <x:v>615.2741</x:v>
      </x:c>
      <x:c r="F257" s="10" t="n">
        <x:f>IF(H257=1,E257/D257-1,"")</x:f>
        <x:v>-0.00029441618262116</x:v>
      </x:c>
      <x:c r="G257" s="10" t="n">
        <x:f>IF(H257=1,ABS(F257),"")</x:f>
        <x:v>0.00029441618262116</x:v>
      </x:c>
      <x:c r="H257" s="2" t="n">
        <x:v>1</x:v>
      </x:c>
      <x:c r="I257" s="2" t="str">
        <x:v>AV.Clean!B1495</x:v>
      </x:c>
      <x:c r="J257" s="2" t="str">
        <x:v>AV.Clean!B1491</x:v>
      </x:c>
      <x:c r="K257" s="13" t="n">
        <x:v>45839.479166666664</x:v>
      </x:c>
      <x:c r="L257" s="13" t="n">
        <x:v>45839.5</x:v>
      </x:c>
    </x:row>
    <x:row r="258" ht="22" customHeight="1">
      <x:c r="A258" s="12" t="n">
        <x:v>45841</x:v>
      </x:c>
      <x:c r="B258" s="14" t="str">
        <x:v>12:00</x:v>
      </x:c>
      <x:c r="C258" s="12" t="n">
        <x:v>45840</x:v>
      </x:c>
      <x:c r="D258" s="9" t="n">
        <x:v>615.5932</x:v>
      </x:c>
      <x:c r="E258" s="9" t="n">
        <x:v>617.5528</x:v>
      </x:c>
      <x:c r="F258" s="10" t="n">
        <x:f>IF(H258=1,E258/D258-1,"")</x:f>
        <x:v>0.0031832710302843736</x:v>
      </x:c>
      <x:c r="G258" s="10" t="n">
        <x:f>IF(H258=1,ABS(F258),"")</x:f>
        <x:v>0.0031832710302843736</x:v>
      </x:c>
      <x:c r="H258" s="2" t="n">
        <x:v>1</x:v>
      </x:c>
      <x:c r="I258" s="2" t="str">
        <x:v>AV.Clean!B1481</x:v>
      </x:c>
      <x:c r="J258" s="2" t="str">
        <x:v>AV.Clean!B1477</x:v>
      </x:c>
      <x:c r="K258" s="13" t="n">
        <x:v>45840.479166666664</x:v>
      </x:c>
      <x:c r="L258" s="13" t="n">
        <x:v>45840.5</x:v>
      </x:c>
    </x:row>
    <x:row r="259" ht="22" customHeight="1">
      <x:c r="A259" s="12" t="n">
        <x:v>45841</x:v>
      </x:c>
      <x:c r="B259" s="14" t="str">
        <x:v>12:30</x:v>
      </x:c>
      <x:c r="C259" s="12" t="n">
        <x:v>45820</x:v>
      </x:c>
      <x:c r="D259" s="9" t="n">
        <x:v>597.3827</x:v>
      </x:c>
      <x:c r="E259" s="9" t="n">
        <x:v>599.5403</x:v>
      </x:c>
      <x:c r="F259" s="10" t="n">
        <x:f>IF(H259=1,E259/D259-1,"")</x:f>
        <x:v>0.0036117550776078033</x:v>
      </x:c>
      <x:c r="G259" s="10" t="n">
        <x:f>IF(H259=1,ABS(F259),"")</x:f>
        <x:v>0.0036117550776078033</x:v>
      </x:c>
      <x:c r="H259" s="2" t="n">
        <x:v>1</x:v>
      </x:c>
      <x:c r="I259" s="2" t="str">
        <x:v>AV.Clean!B1663</x:v>
      </x:c>
      <x:c r="J259" s="2" t="str">
        <x:v>AV.Clean!B1658</x:v>
      </x:c>
      <x:c r="K259" s="13" t="n">
        <x:v>45820.5</x:v>
      </x:c>
      <x:c r="L259" s="13" t="n">
        <x:v>45820.520833333336</x:v>
      </x:c>
    </x:row>
    <x:row r="260" ht="22" customHeight="1">
      <x:c r="A260" s="12" t="n">
        <x:v>45841</x:v>
      </x:c>
      <x:c r="B260" s="14" t="str">
        <x:v>12:30</x:v>
      </x:c>
      <x:c r="C260" s="12" t="n">
        <x:v>45821</x:v>
      </x:c>
      <x:c r="D260" s="9" t="n">
        <x:v>595.3643</x:v>
      </x:c>
      <x:c r="E260" s="9" t="n">
        <x:v>597.4732</x:v>
      </x:c>
      <x:c r="F260" s="10" t="n">
        <x:f>IF(H260=1,E260/D260-1,"")</x:f>
        <x:v>0.003542200968382092</x:v>
      </x:c>
      <x:c r="G260" s="10" t="n">
        <x:f>IF(H260=1,ABS(F260),"")</x:f>
        <x:v>0.003542200968382092</x:v>
      </x:c>
      <x:c r="H260" s="2" t="n">
        <x:v>1</x:v>
      </x:c>
      <x:c r="I260" s="2" t="str">
        <x:v>AV.Clean!B1649</x:v>
      </x:c>
      <x:c r="J260" s="2" t="str">
        <x:v>AV.Clean!B1644</x:v>
      </x:c>
      <x:c r="K260" s="13" t="n">
        <x:v>45821.5</x:v>
      </x:c>
      <x:c r="L260" s="13" t="n">
        <x:v>45821.520833333336</x:v>
      </x:c>
    </x:row>
    <x:row r="261" ht="22" customHeight="1">
      <x:c r="A261" s="12" t="n">
        <x:v>45841</x:v>
      </x:c>
      <x:c r="B261" s="14" t="str">
        <x:v>12:30</x:v>
      </x:c>
      <x:c r="C261" s="12" t="n">
        <x:v>45824</x:v>
      </x:c>
      <x:c r="D261" s="9" t="n">
        <x:v>599.764</x:v>
      </x:c>
      <x:c r="E261" s="9" t="n">
        <x:v>599.6099</x:v>
      </x:c>
      <x:c r="F261" s="10" t="n">
        <x:f>IF(H261=1,E261/D261-1,"")</x:f>
        <x:v>-0.00025693439419505193</x:v>
      </x:c>
      <x:c r="G261" s="10" t="n">
        <x:f>IF(H261=1,ABS(F261),"")</x:f>
        <x:v>0.00025693439419505193</x:v>
      </x:c>
      <x:c r="H261" s="2" t="n">
        <x:v>1</x:v>
      </x:c>
      <x:c r="I261" s="2" t="str">
        <x:v>AV.Clean!B1635</x:v>
      </x:c>
      <x:c r="J261" s="2" t="str">
        <x:v>AV.Clean!B1630</x:v>
      </x:c>
      <x:c r="K261" s="13" t="n">
        <x:v>45824.5</x:v>
      </x:c>
      <x:c r="L261" s="13" t="n">
        <x:v>45824.520833333336</x:v>
      </x:c>
    </x:row>
    <x:row r="262" ht="22" customHeight="1">
      <x:c r="A262" s="12" t="n">
        <x:v>45841</x:v>
      </x:c>
      <x:c r="B262" s="14" t="str">
        <x:v>12:30</x:v>
      </x:c>
      <x:c r="C262" s="12" t="n">
        <x:v>45825</x:v>
      </x:c>
      <x:c r="D262" s="9" t="n">
        <x:v>597.5616</x:v>
      </x:c>
      <x:c r="E262" s="9" t="n">
        <x:v>597.7108</x:v>
      </x:c>
      <x:c r="F262" s="10" t="n">
        <x:f>IF(H262=1,E262/D262-1,"")</x:f>
        <x:v>0.00024968137176140104</x:v>
      </x:c>
      <x:c r="G262" s="10" t="n">
        <x:f>IF(H262=1,ABS(F262),"")</x:f>
        <x:v>0.00024968137176140104</x:v>
      </x:c>
      <x:c r="H262" s="2" t="n">
        <x:v>1</x:v>
      </x:c>
      <x:c r="I262" s="2" t="str">
        <x:v>AV.Clean!B1621</x:v>
      </x:c>
      <x:c r="J262" s="2" t="str">
        <x:v>AV.Clean!B1616</x:v>
      </x:c>
      <x:c r="K262" s="13" t="n">
        <x:v>45825.5</x:v>
      </x:c>
      <x:c r="L262" s="13" t="n">
        <x:v>45825.520833333336</x:v>
      </x:c>
    </x:row>
    <x:row r="263" ht="22" customHeight="1">
      <x:c r="A263" s="12" t="n">
        <x:v>45841</x:v>
      </x:c>
      <x:c r="B263" s="14" t="str">
        <x:v>12:30</x:v>
      </x:c>
      <x:c r="C263" s="12" t="n">
        <x:v>45826</x:v>
      </x:c>
      <x:c r="D263" s="9" t="n">
        <x:v>595.76</x:v>
      </x:c>
      <x:c r="E263" s="9" t="n">
        <x:v>596.0355</x:v>
      </x:c>
      <x:c r="F263" s="10" t="n">
        <x:f>IF(H263=1,E263/D263-1,"")</x:f>
        <x:v>0.00046243453739758245</x:v>
      </x:c>
      <x:c r="G263" s="10" t="n">
        <x:f>IF(H263=1,ABS(F263),"")</x:f>
        <x:v>0.00046243453739758245</x:v>
      </x:c>
      <x:c r="H263" s="2" t="n">
        <x:v>1</x:v>
      </x:c>
      <x:c r="I263" s="2" t="str">
        <x:v>AV.Clean!B1607</x:v>
      </x:c>
      <x:c r="J263" s="2" t="str">
        <x:v>AV.Clean!B1602</x:v>
      </x:c>
      <x:c r="K263" s="13" t="n">
        <x:v>45826.5</x:v>
      </x:c>
      <x:c r="L263" s="13" t="n">
        <x:v>45826.520833333336</x:v>
      </x:c>
    </x:row>
    <x:row r="264" ht="22" customHeight="1">
      <x:c r="A264" s="12" t="n">
        <x:v>45841</x:v>
      </x:c>
      <x:c r="B264" s="14" t="str">
        <x:v>12:30</x:v>
      </x:c>
      <x:c r="C264" s="12" t="n">
        <x:v>45828</x:v>
      </x:c>
      <x:c r="D264" s="9" t="n">
        <x:v>595.5987</x:v>
      </x:c>
      <x:c r="E264" s="9" t="n">
        <x:v>593.32</x:v>
      </x:c>
      <x:c r="F264" s="10" t="n">
        <x:f>IF(H264=1,E264/D264-1,"")</x:f>
        <x:v>-0.0038258982096501803</x:v>
      </x:c>
      <x:c r="G264" s="10" t="n">
        <x:f>IF(H264=1,ABS(F264),"")</x:f>
        <x:v>0.0038258982096501803</x:v>
      </x:c>
      <x:c r="H264" s="2" t="n">
        <x:v>1</x:v>
      </x:c>
      <x:c r="I264" s="2" t="str">
        <x:v>AV.Clean!B1593</x:v>
      </x:c>
      <x:c r="J264" s="2" t="str">
        <x:v>AV.Clean!B1588</x:v>
      </x:c>
      <x:c r="K264" s="13" t="n">
        <x:v>45828.5</x:v>
      </x:c>
      <x:c r="L264" s="13" t="n">
        <x:v>45828.520833333336</x:v>
      </x:c>
    </x:row>
    <x:row r="265" ht="22" customHeight="1">
      <x:c r="A265" s="12" t="n">
        <x:v>45841</x:v>
      </x:c>
      <x:c r="B265" s="14" t="str">
        <x:v>12:30</x:v>
      </x:c>
      <x:c r="C265" s="12" t="n">
        <x:v>45831</x:v>
      </x:c>
      <x:c r="D265" s="9" t="n">
        <x:v>595.1</x:v>
      </x:c>
      <x:c r="E265" s="9" t="n">
        <x:v>592.597</x:v>
      </x:c>
      <x:c r="F265" s="10" t="n">
        <x:f>IF(H265=1,E265/D265-1,"")</x:f>
        <x:v>-0.004206015795664708</x:v>
      </x:c>
      <x:c r="G265" s="10" t="n">
        <x:f>IF(H265=1,ABS(F265),"")</x:f>
        <x:v>0.004206015795664708</x:v>
      </x:c>
      <x:c r="H265" s="2" t="n">
        <x:v>1</x:v>
      </x:c>
      <x:c r="I265" s="2" t="str">
        <x:v>AV.Clean!B1579</x:v>
      </x:c>
      <x:c r="J265" s="2" t="str">
        <x:v>AV.Clean!B1574</x:v>
      </x:c>
      <x:c r="K265" s="13" t="n">
        <x:v>45831.5</x:v>
      </x:c>
      <x:c r="L265" s="13" t="n">
        <x:v>45831.520833333336</x:v>
      </x:c>
    </x:row>
    <x:row r="266" ht="22" customHeight="1">
      <x:c r="A266" s="12" t="n">
        <x:v>45841</x:v>
      </x:c>
      <x:c r="B266" s="14" t="str">
        <x:v>12:30</x:v>
      </x:c>
      <x:c r="C266" s="12" t="n">
        <x:v>45832</x:v>
      </x:c>
      <x:c r="D266" s="9" t="n">
        <x:v>602.2103</x:v>
      </x:c>
      <x:c r="E266" s="9" t="n">
        <x:v>604.8231</x:v>
      </x:c>
      <x:c r="F266" s="10" t="n">
        <x:f>IF(H266=1,E266/D266-1,"")</x:f>
        <x:v>0.004338683679106836</x:v>
      </x:c>
      <x:c r="G266" s="10" t="n">
        <x:f>IF(H266=1,ABS(F266),"")</x:f>
        <x:v>0.004338683679106836</x:v>
      </x:c>
      <x:c r="H266" s="2" t="n">
        <x:v>1</x:v>
      </x:c>
      <x:c r="I266" s="2" t="str">
        <x:v>AV.Clean!B1565</x:v>
      </x:c>
      <x:c r="J266" s="2" t="str">
        <x:v>AV.Clean!B1560</x:v>
      </x:c>
      <x:c r="K266" s="13" t="n">
        <x:v>45832.5</x:v>
      </x:c>
      <x:c r="L266" s="13" t="n">
        <x:v>45832.520833333336</x:v>
      </x:c>
    </x:row>
    <x:row r="267" ht="22" customHeight="1">
      <x:c r="A267" s="12" t="n">
        <x:v>45841</x:v>
      </x:c>
      <x:c r="B267" s="14" t="str">
        <x:v>12:30</x:v>
      </x:c>
      <x:c r="C267" s="12" t="n">
        <x:v>45833</x:v>
      </x:c>
      <x:c r="D267" s="9" t="n">
        <x:v>606.5084</x:v>
      </x:c>
      <x:c r="E267" s="9" t="n">
        <x:v>605.2719</x:v>
      </x:c>
      <x:c r="F267" s="10" t="n">
        <x:f>IF(H267=1,E267/D267-1,"")</x:f>
        <x:v>-0.002038718672321971</x:v>
      </x:c>
      <x:c r="G267" s="10" t="n">
        <x:f>IF(H267=1,ABS(F267),"")</x:f>
        <x:v>0.002038718672321971</x:v>
      </x:c>
      <x:c r="H267" s="2" t="n">
        <x:v>1</x:v>
      </x:c>
      <x:c r="I267" s="2" t="str">
        <x:v>AV.Clean!B1551</x:v>
      </x:c>
      <x:c r="J267" s="2" t="str">
        <x:v>AV.Clean!B1546</x:v>
      </x:c>
      <x:c r="K267" s="13" t="n">
        <x:v>45833.5</x:v>
      </x:c>
      <x:c r="L267" s="13" t="n">
        <x:v>45833.520833333336</x:v>
      </x:c>
    </x:row>
    <x:row r="268" ht="22" customHeight="1">
      <x:c r="A268" s="12" t="n">
        <x:v>45841</x:v>
      </x:c>
      <x:c r="B268" s="14" t="str">
        <x:v>12:30</x:v>
      </x:c>
      <x:c r="C268" s="12" t="n">
        <x:v>45834</x:v>
      </x:c>
      <x:c r="D268" s="9" t="n">
        <x:v>607.5355</x:v>
      </x:c>
      <x:c r="E268" s="9" t="n">
        <x:v>609.201</x:v>
      </x:c>
      <x:c r="F268" s="10" t="n">
        <x:f>IF(H268=1,E268/D268-1,"")</x:f>
        <x:v>0.002741403588761626</x:v>
      </x:c>
      <x:c r="G268" s="10" t="n">
        <x:f>IF(H268=1,ABS(F268),"")</x:f>
        <x:v>0.002741403588761626</x:v>
      </x:c>
      <x:c r="H268" s="2" t="n">
        <x:v>1</x:v>
      </x:c>
      <x:c r="I268" s="2" t="str">
        <x:v>AV.Clean!B1537</x:v>
      </x:c>
      <x:c r="J268" s="2" t="str">
        <x:v>AV.Clean!B1532</x:v>
      </x:c>
      <x:c r="K268" s="13" t="n">
        <x:v>45834.5</x:v>
      </x:c>
      <x:c r="L268" s="13" t="n">
        <x:v>45834.520833333336</x:v>
      </x:c>
    </x:row>
    <x:row r="269" ht="22" customHeight="1">
      <x:c r="A269" s="12" t="n">
        <x:v>45841</x:v>
      </x:c>
      <x:c r="B269" s="14" t="str">
        <x:v>12:30</x:v>
      </x:c>
      <x:c r="C269" s="12" t="n">
        <x:v>45835</x:v>
      </x:c>
      <x:c r="D269" s="9" t="n">
        <x:v>612.7512</x:v>
      </x:c>
      <x:c r="E269" s="9" t="n">
        <x:v>614.596</x:v>
      </x:c>
      <x:c r="F269" s="10" t="n">
        <x:f>IF(H269=1,E269/D269-1,"")</x:f>
        <x:v>0.003010683618408283</x:v>
      </x:c>
      <x:c r="G269" s="10" t="n">
        <x:f>IF(H269=1,ABS(F269),"")</x:f>
        <x:v>0.003010683618408283</x:v>
      </x:c>
      <x:c r="H269" s="2" t="n">
        <x:v>1</x:v>
      </x:c>
      <x:c r="I269" s="2" t="str">
        <x:v>AV.Clean!B1523</x:v>
      </x:c>
      <x:c r="J269" s="2" t="str">
        <x:v>AV.Clean!B1518</x:v>
      </x:c>
      <x:c r="K269" s="13" t="n">
        <x:v>45835.5</x:v>
      </x:c>
      <x:c r="L269" s="13" t="n">
        <x:v>45835.520833333336</x:v>
      </x:c>
    </x:row>
    <x:row r="270" ht="22" customHeight="1">
      <x:c r="A270" s="12" t="n">
        <x:v>45841</x:v>
      </x:c>
      <x:c r="B270" s="14" t="str">
        <x:v>12:30</x:v>
      </x:c>
      <x:c r="C270" s="12" t="n">
        <x:v>45838</x:v>
      </x:c>
      <x:c r="D270" s="9" t="n">
        <x:v>614.6858</x:v>
      </x:c>
      <x:c r="E270" s="9" t="n">
        <x:v>614.5162</x:v>
      </x:c>
      <x:c r="F270" s="10" t="n">
        <x:f>IF(H270=1,E270/D270-1,"")</x:f>
        <x:v>-0.0002759133202685504</x:v>
      </x:c>
      <x:c r="G270" s="10" t="n">
        <x:f>IF(H270=1,ABS(F270),"")</x:f>
        <x:v>0.0002759133202685504</x:v>
      </x:c>
      <x:c r="H270" s="2" t="n">
        <x:v>1</x:v>
      </x:c>
      <x:c r="I270" s="2" t="str">
        <x:v>AV.Clean!B1509</x:v>
      </x:c>
      <x:c r="J270" s="2" t="str">
        <x:v>AV.Clean!B1504</x:v>
      </x:c>
      <x:c r="K270" s="13" t="n">
        <x:v>45838.5</x:v>
      </x:c>
      <x:c r="L270" s="13" t="n">
        <x:v>45838.520833333336</x:v>
      </x:c>
    </x:row>
    <x:row r="271" ht="22" customHeight="1">
      <x:c r="A271" s="12" t="n">
        <x:v>45841</x:v>
      </x:c>
      <x:c r="B271" s="14" t="str">
        <x:v>12:30</x:v>
      </x:c>
      <x:c r="C271" s="12" t="n">
        <x:v>45839</x:v>
      </x:c>
      <x:c r="D271" s="9" t="n">
        <x:v>615.4553</x:v>
      </x:c>
      <x:c r="E271" s="9" t="n">
        <x:v>615.5932</x:v>
      </x:c>
      <x:c r="F271" s="10" t="n">
        <x:f>IF(H271=1,E271/D271-1,"")</x:f>
        <x:v>0.0002240617637057074</x:v>
      </x:c>
      <x:c r="G271" s="10" t="n">
        <x:f>IF(H271=1,ABS(F271),"")</x:f>
        <x:v>0.0002240617637057074</x:v>
      </x:c>
      <x:c r="H271" s="2" t="n">
        <x:v>1</x:v>
      </x:c>
      <x:c r="I271" s="2" t="str">
        <x:v>AV.Clean!B1495</x:v>
      </x:c>
      <x:c r="J271" s="2" t="str">
        <x:v>AV.Clean!B1490</x:v>
      </x:c>
      <x:c r="K271" s="13" t="n">
        <x:v>45839.5</x:v>
      </x:c>
      <x:c r="L271" s="13" t="n">
        <x:v>45839.520833333336</x:v>
      </x:c>
    </x:row>
    <x:row r="272" ht="22" customHeight="1">
      <x:c r="A272" s="12" t="n">
        <x:v>45841</x:v>
      </x:c>
      <x:c r="B272" s="14" t="str">
        <x:v>12:30</x:v>
      </x:c>
      <x:c r="C272" s="12" t="n">
        <x:v>45840</x:v>
      </x:c>
      <x:c r="D272" s="9" t="n">
        <x:v>615.5932</x:v>
      </x:c>
      <x:c r="E272" s="9" t="n">
        <x:v>617.4282</x:v>
      </x:c>
      <x:c r="F272" s="10" t="n">
        <x:f>IF(H272=1,E272/D272-1,"")</x:f>
        <x:v>0.0029808646359315016</x:v>
      </x:c>
      <x:c r="G272" s="10" t="n">
        <x:f>IF(H272=1,ABS(F272),"")</x:f>
        <x:v>0.0029808646359315016</x:v>
      </x:c>
      <x:c r="H272" s="2" t="n">
        <x:v>1</x:v>
      </x:c>
      <x:c r="I272" s="2" t="str">
        <x:v>AV.Clean!B1481</x:v>
      </x:c>
      <x:c r="J272" s="2" t="str">
        <x:v>AV.Clean!B1476</x:v>
      </x:c>
      <x:c r="K272" s="13" t="n">
        <x:v>45840.5</x:v>
      </x:c>
      <x:c r="L272" s="13" t="n">
        <x:v>45840.520833333336</x:v>
      </x:c>
    </x:row>
    <x:row r="273" ht="22" customHeight="1">
      <x:c r="A273" s="12" t="n">
        <x:v>45841</x:v>
      </x:c>
      <x:c r="B273" s="14" t="str">
        <x:v>13:00</x:v>
      </x:c>
      <x:c r="C273" s="12" t="n">
        <x:v>45820</x:v>
      </x:c>
      <x:c r="D273" s="9" t="n">
        <x:v>597.3827</x:v>
      </x:c>
      <x:c r="E273" s="9" t="n">
        <x:v>599.0134</x:v>
      </x:c>
      <x:c r="F273" s="10" t="n">
        <x:f>IF(H273=1,E273/D273-1,"")</x:f>
        <x:v>0.0027297409181752386</x:v>
      </x:c>
      <x:c r="G273" s="10" t="n">
        <x:f>IF(H273=1,ABS(F273),"")</x:f>
        <x:v>0.0027297409181752386</x:v>
      </x:c>
      <x:c r="H273" s="2" t="n">
        <x:v>1</x:v>
      </x:c>
      <x:c r="I273" s="2" t="str">
        <x:v>AV.Clean!B1663</x:v>
      </x:c>
      <x:c r="J273" s="2" t="str">
        <x:v>AV.Clean!B1657</x:v>
      </x:c>
      <x:c r="K273" s="13" t="n">
        <x:v>45820.520833333336</x:v>
      </x:c>
      <x:c r="L273" s="13" t="n">
        <x:v>45820.541666666664</x:v>
      </x:c>
    </x:row>
    <x:row r="274" ht="22" customHeight="1">
      <x:c r="A274" s="12" t="n">
        <x:v>45841</x:v>
      </x:c>
      <x:c r="B274" s="14" t="str">
        <x:v>13:00</x:v>
      </x:c>
      <x:c r="C274" s="12" t="n">
        <x:v>45821</x:v>
      </x:c>
      <x:c r="D274" s="9" t="n">
        <x:v>595.3643</x:v>
      </x:c>
      <x:c r="E274" s="9" t="n">
        <x:v>597.5616</x:v>
      </x:c>
      <x:c r="F274" s="10" t="n">
        <x:f>IF(H274=1,E274/D274-1,"")</x:f>
        <x:v>0.0036906814869483995</x:v>
      </x:c>
      <x:c r="G274" s="10" t="n">
        <x:f>IF(H274=1,ABS(F274),"")</x:f>
        <x:v>0.0036906814869483995</x:v>
      </x:c>
      <x:c r="H274" s="2" t="n">
        <x:v>1</x:v>
      </x:c>
      <x:c r="I274" s="2" t="str">
        <x:v>AV.Clean!B1649</x:v>
      </x:c>
      <x:c r="J274" s="2" t="str">
        <x:v>AV.Clean!B1643</x:v>
      </x:c>
      <x:c r="K274" s="13" t="n">
        <x:v>45821.520833333336</x:v>
      </x:c>
      <x:c r="L274" s="13" t="n">
        <x:v>45821.541666666664</x:v>
      </x:c>
    </x:row>
    <x:row r="275" ht="22" customHeight="1">
      <x:c r="A275" s="12" t="n">
        <x:v>45841</x:v>
      </x:c>
      <x:c r="B275" s="14" t="str">
        <x:v>13:00</x:v>
      </x:c>
      <x:c r="C275" s="12" t="n">
        <x:v>45824</x:v>
      </x:c>
      <x:c r="D275" s="9" t="n">
        <x:v>599.764</x:v>
      </x:c>
      <x:c r="E275" s="9" t="n">
        <x:v>599.2719</x:v>
      </x:c>
      <x:c r="F275" s="10" t="n">
        <x:f>IF(H275=1,E275/D275-1,"")</x:f>
        <x:v>-0.0008204893924944612</x:v>
      </x:c>
      <x:c r="G275" s="10" t="n">
        <x:f>IF(H275=1,ABS(F275),"")</x:f>
        <x:v>0.0008204893924944612</x:v>
      </x:c>
      <x:c r="H275" s="2" t="n">
        <x:v>1</x:v>
      </x:c>
      <x:c r="I275" s="2" t="str">
        <x:v>AV.Clean!B1635</x:v>
      </x:c>
      <x:c r="J275" s="2" t="str">
        <x:v>AV.Clean!B1629</x:v>
      </x:c>
      <x:c r="K275" s="13" t="n">
        <x:v>45824.520833333336</x:v>
      </x:c>
      <x:c r="L275" s="13" t="n">
        <x:v>45824.541666666664</x:v>
      </x:c>
    </x:row>
    <x:row r="276" ht="22" customHeight="1">
      <x:c r="A276" s="12" t="n">
        <x:v>45841</x:v>
      </x:c>
      <x:c r="B276" s="14" t="str">
        <x:v>13:00</x:v>
      </x:c>
      <x:c r="C276" s="12" t="n">
        <x:v>45825</x:v>
      </x:c>
      <x:c r="D276" s="9" t="n">
        <x:v>597.5616</x:v>
      </x:c>
      <x:c r="E276" s="9" t="n">
        <x:v>596.3287</x:v>
      </x:c>
      <x:c r="F276" s="10" t="n">
        <x:f>IF(H276=1,E276/D276-1,"")</x:f>
        <x:v>-0.0020632182523107057</x:v>
      </x:c>
      <x:c r="G276" s="10" t="n">
        <x:f>IF(H276=1,ABS(F276),"")</x:f>
        <x:v>0.0020632182523107057</x:v>
      </x:c>
      <x:c r="H276" s="2" t="n">
        <x:v>1</x:v>
      </x:c>
      <x:c r="I276" s="2" t="str">
        <x:v>AV.Clean!B1621</x:v>
      </x:c>
      <x:c r="J276" s="2" t="str">
        <x:v>AV.Clean!B1615</x:v>
      </x:c>
      <x:c r="K276" s="13" t="n">
        <x:v>45825.520833333336</x:v>
      </x:c>
      <x:c r="L276" s="13" t="n">
        <x:v>45825.541666666664</x:v>
      </x:c>
    </x:row>
    <x:row r="277" ht="22" customHeight="1">
      <x:c r="A277" s="12" t="n">
        <x:v>45841</x:v>
      </x:c>
      <x:c r="B277" s="14" t="str">
        <x:v>13:00</x:v>
      </x:c>
      <x:c r="C277" s="12" t="n">
        <x:v>45826</x:v>
      </x:c>
      <x:c r="D277" s="9" t="n">
        <x:v>595.76</x:v>
      </x:c>
      <x:c r="E277" s="9" t="n">
        <x:v>595.9907</x:v>
      </x:c>
      <x:c r="F277" s="10" t="n">
        <x:f>IF(H277=1,E277/D277-1,"")</x:f>
        <x:v>0.00038723647106220227</x:v>
      </x:c>
      <x:c r="G277" s="10" t="n">
        <x:f>IF(H277=1,ABS(F277),"")</x:f>
        <x:v>0.00038723647106220227</x:v>
      </x:c>
      <x:c r="H277" s="2" t="n">
        <x:v>1</x:v>
      </x:c>
      <x:c r="I277" s="2" t="str">
        <x:v>AV.Clean!B1607</x:v>
      </x:c>
      <x:c r="J277" s="2" t="str">
        <x:v>AV.Clean!B1601</x:v>
      </x:c>
      <x:c r="K277" s="13" t="n">
        <x:v>45826.520833333336</x:v>
      </x:c>
      <x:c r="L277" s="13" t="n">
        <x:v>45826.541666666664</x:v>
      </x:c>
    </x:row>
    <x:row r="278" ht="22" customHeight="1">
      <x:c r="A278" s="12" t="n">
        <x:v>45841</x:v>
      </x:c>
      <x:c r="B278" s="14" t="str">
        <x:v>13:00</x:v>
      </x:c>
      <x:c r="C278" s="12" t="n">
        <x:v>45828</x:v>
      </x:c>
      <x:c r="D278" s="9" t="n">
        <x:v>595.5987</x:v>
      </x:c>
      <x:c r="E278" s="9" t="n">
        <x:v>593.6342</x:v>
      </x:c>
      <x:c r="F278" s="10" t="n">
        <x:f>IF(H278=1,E278/D278-1,"")</x:f>
        <x:v>-0.003298361799648042</x:v>
      </x:c>
      <x:c r="G278" s="10" t="n">
        <x:f>IF(H278=1,ABS(F278),"")</x:f>
        <x:v>0.003298361799648042</x:v>
      </x:c>
      <x:c r="H278" s="2" t="n">
        <x:v>1</x:v>
      </x:c>
      <x:c r="I278" s="2" t="str">
        <x:v>AV.Clean!B1593</x:v>
      </x:c>
      <x:c r="J278" s="2" t="str">
        <x:v>AV.Clean!B1587</x:v>
      </x:c>
      <x:c r="K278" s="13" t="n">
        <x:v>45828.520833333336</x:v>
      </x:c>
      <x:c r="L278" s="13" t="n">
        <x:v>45828.541666666664</x:v>
      </x:c>
    </x:row>
    <x:row r="279" ht="22" customHeight="1">
      <x:c r="A279" s="12" t="n">
        <x:v>45841</x:v>
      </x:c>
      <x:c r="B279" s="14" t="str">
        <x:v>13:00</x:v>
      </x:c>
      <x:c r="C279" s="12" t="n">
        <x:v>45831</x:v>
      </x:c>
      <x:c r="D279" s="9" t="n">
        <x:v>595.1</x:v>
      </x:c>
      <x:c r="E279" s="9" t="n">
        <x:v>591.9388</x:v>
      </x:c>
      <x:c r="F279" s="10" t="n">
        <x:f>IF(H279=1,E279/D279-1,"")</x:f>
        <x:v>-0.0053120483952276976</x:v>
      </x:c>
      <x:c r="G279" s="10" t="n">
        <x:f>IF(H279=1,ABS(F279),"")</x:f>
        <x:v>0.0053120483952276976</x:v>
      </x:c>
      <x:c r="H279" s="2" t="n">
        <x:v>1</x:v>
      </x:c>
      <x:c r="I279" s="2" t="str">
        <x:v>AV.Clean!B1579</x:v>
      </x:c>
      <x:c r="J279" s="2" t="str">
        <x:v>AV.Clean!B1573</x:v>
      </x:c>
      <x:c r="K279" s="13" t="n">
        <x:v>45831.520833333336</x:v>
      </x:c>
      <x:c r="L279" s="13" t="n">
        <x:v>45831.541666666664</x:v>
      </x:c>
    </x:row>
    <x:row r="280" ht="22" customHeight="1">
      <x:c r="A280" s="12" t="n">
        <x:v>45841</x:v>
      </x:c>
      <x:c r="B280" s="14" t="str">
        <x:v>13:00</x:v>
      </x:c>
      <x:c r="C280" s="12" t="n">
        <x:v>45832</x:v>
      </x:c>
      <x:c r="D280" s="9" t="n">
        <x:v>602.2103</x:v>
      </x:c>
      <x:c r="E280" s="9" t="n">
        <x:v>604.9627</x:v>
      </x:c>
      <x:c r="F280" s="10" t="n">
        <x:f>IF(H280=1,E280/D280-1,"")</x:f>
        <x:v>0.004570496386395284</x:v>
      </x:c>
      <x:c r="G280" s="10" t="n">
        <x:f>IF(H280=1,ABS(F280),"")</x:f>
        <x:v>0.004570496386395284</x:v>
      </x:c>
      <x:c r="H280" s="2" t="n">
        <x:v>1</x:v>
      </x:c>
      <x:c r="I280" s="2" t="str">
        <x:v>AV.Clean!B1565</x:v>
      </x:c>
      <x:c r="J280" s="2" t="str">
        <x:v>AV.Clean!B1559</x:v>
      </x:c>
      <x:c r="K280" s="13" t="n">
        <x:v>45832.520833333336</x:v>
      </x:c>
      <x:c r="L280" s="13" t="n">
        <x:v>45832.541666666664</x:v>
      </x:c>
    </x:row>
    <x:row r="281" ht="22" customHeight="1">
      <x:c r="A281" s="12" t="n">
        <x:v>45841</x:v>
      </x:c>
      <x:c r="B281" s="14" t="str">
        <x:v>13:00</x:v>
      </x:c>
      <x:c r="C281" s="12" t="n">
        <x:v>45833</x:v>
      </x:c>
      <x:c r="D281" s="9" t="n">
        <x:v>606.5084</x:v>
      </x:c>
      <x:c r="E281" s="9" t="n">
        <x:v>605.0524</x:v>
      </x:c>
      <x:c r="F281" s="10" t="n">
        <x:f>IF(H281=1,E281/D281-1,"")</x:f>
        <x:v>-0.0024006262732717554</x:v>
      </x:c>
      <x:c r="G281" s="10" t="n">
        <x:f>IF(H281=1,ABS(F281),"")</x:f>
        <x:v>0.0024006262732717554</x:v>
      </x:c>
      <x:c r="H281" s="2" t="n">
        <x:v>1</x:v>
      </x:c>
      <x:c r="I281" s="2" t="str">
        <x:v>AV.Clean!B1551</x:v>
      </x:c>
      <x:c r="J281" s="2" t="str">
        <x:v>AV.Clean!B1545</x:v>
      </x:c>
      <x:c r="K281" s="13" t="n">
        <x:v>45833.520833333336</x:v>
      </x:c>
      <x:c r="L281" s="13" t="n">
        <x:v>45833.541666666664</x:v>
      </x:c>
    </x:row>
    <x:row r="282" ht="22" customHeight="1">
      <x:c r="A282" s="12" t="n">
        <x:v>45841</x:v>
      </x:c>
      <x:c r="B282" s="14" t="str">
        <x:v>13:00</x:v>
      </x:c>
      <x:c r="C282" s="12" t="n">
        <x:v>45834</x:v>
      </x:c>
      <x:c r="D282" s="9" t="n">
        <x:v>607.5355</x:v>
      </x:c>
      <x:c r="E282" s="9" t="n">
        <x:v>609.1511</x:v>
      </x:c>
      <x:c r="F282" s="10" t="n">
        <x:f>IF(H282=1,E282/D282-1,"")</x:f>
        <x:v>0.0026592684707313907</x:v>
      </x:c>
      <x:c r="G282" s="10" t="n">
        <x:f>IF(H282=1,ABS(F282),"")</x:f>
        <x:v>0.0026592684707313907</x:v>
      </x:c>
      <x:c r="H282" s="2" t="n">
        <x:v>1</x:v>
      </x:c>
      <x:c r="I282" s="2" t="str">
        <x:v>AV.Clean!B1537</x:v>
      </x:c>
      <x:c r="J282" s="2" t="str">
        <x:v>AV.Clean!B1531</x:v>
      </x:c>
      <x:c r="K282" s="13" t="n">
        <x:v>45834.520833333336</x:v>
      </x:c>
      <x:c r="L282" s="13" t="n">
        <x:v>45834.541666666664</x:v>
      </x:c>
    </x:row>
    <x:row r="283" ht="22" customHeight="1">
      <x:c r="A283" s="12" t="n">
        <x:v>45841</x:v>
      </x:c>
      <x:c r="B283" s="14" t="str">
        <x:v>13:00</x:v>
      </x:c>
      <x:c r="C283" s="12" t="n">
        <x:v>45835</x:v>
      </x:c>
      <x:c r="D283" s="9" t="n">
        <x:v>612.7512</x:v>
      </x:c>
      <x:c r="E283" s="9" t="n">
        <x:v>614.242</x:v>
      </x:c>
      <x:c r="F283" s="10" t="n">
        <x:f>IF(H283=1,E283/D283-1,"")</x:f>
        <x:v>0.0024329613715974308</x:v>
      </x:c>
      <x:c r="G283" s="10" t="n">
        <x:f>IF(H283=1,ABS(F283),"")</x:f>
        <x:v>0.0024329613715974308</x:v>
      </x:c>
      <x:c r="H283" s="2" t="n">
        <x:v>1</x:v>
      </x:c>
      <x:c r="I283" s="2" t="str">
        <x:v>AV.Clean!B1523</x:v>
      </x:c>
      <x:c r="J283" s="2" t="str">
        <x:v>AV.Clean!B1517</x:v>
      </x:c>
      <x:c r="K283" s="13" t="n">
        <x:v>45835.520833333336</x:v>
      </x:c>
      <x:c r="L283" s="13" t="n">
        <x:v>45835.541666666664</x:v>
      </x:c>
    </x:row>
    <x:row r="284" ht="22" customHeight="1">
      <x:c r="A284" s="12" t="n">
        <x:v>45841</x:v>
      </x:c>
      <x:c r="B284" s="14" t="str">
        <x:v>13:00</x:v>
      </x:c>
      <x:c r="C284" s="12" t="n">
        <x:v>45838</x:v>
      </x:c>
      <x:c r="D284" s="9" t="n">
        <x:v>614.6858</x:v>
      </x:c>
      <x:c r="E284" s="9" t="n">
        <x:v>614.955</x:v>
      </x:c>
      <x:c r="F284" s="10" t="n">
        <x:f>IF(H284=1,E284/D284-1,"")</x:f>
        <x:v>0.00043794732203039644</x:v>
      </x:c>
      <x:c r="G284" s="10" t="n">
        <x:f>IF(H284=1,ABS(F284),"")</x:f>
        <x:v>0.00043794732203039644</x:v>
      </x:c>
      <x:c r="H284" s="2" t="n">
        <x:v>1</x:v>
      </x:c>
      <x:c r="I284" s="2" t="str">
        <x:v>AV.Clean!B1509</x:v>
      </x:c>
      <x:c r="J284" s="2" t="str">
        <x:v>AV.Clean!B1503</x:v>
      </x:c>
      <x:c r="K284" s="13" t="n">
        <x:v>45838.520833333336</x:v>
      </x:c>
      <x:c r="L284" s="13" t="n">
        <x:v>45838.541666666664</x:v>
      </x:c>
    </x:row>
    <x:row r="285" ht="22" customHeight="1">
      <x:c r="A285" s="12" t="n">
        <x:v>45841</x:v>
      </x:c>
      <x:c r="B285" s="14" t="str">
        <x:v>13:00</x:v>
      </x:c>
      <x:c r="C285" s="12" t="n">
        <x:v>45839</x:v>
      </x:c>
      <x:c r="D285" s="9" t="n">
        <x:v>615.4553</x:v>
      </x:c>
      <x:c r="E285" s="9" t="n">
        <x:v>615.4138</x:v>
      </x:c>
      <x:c r="F285" s="10" t="n">
        <x:f>IF(H285=1,E285/D285-1,"")</x:f>
        <x:v>-0.00006742975484963498</x:v>
      </x:c>
      <x:c r="G285" s="10" t="n">
        <x:f>IF(H285=1,ABS(F285),"")</x:f>
        <x:v>0.00006742975484963498</x:v>
      </x:c>
      <x:c r="H285" s="2" t="n">
        <x:v>1</x:v>
      </x:c>
      <x:c r="I285" s="2" t="str">
        <x:v>AV.Clean!B1495</x:v>
      </x:c>
      <x:c r="J285" s="2" t="str">
        <x:v>AV.Clean!B1489</x:v>
      </x:c>
      <x:c r="K285" s="13" t="n">
        <x:v>45839.520833333336</x:v>
      </x:c>
      <x:c r="L285" s="13" t="n">
        <x:v>45839.541666666664</x:v>
      </x:c>
    </x:row>
    <x:row r="286" ht="22" customHeight="1">
      <x:c r="A286" s="12" t="n">
        <x:v>45841</x:v>
      </x:c>
      <x:c r="B286" s="14" t="str">
        <x:v>13:00</x:v>
      </x:c>
      <x:c r="C286" s="12" t="n">
        <x:v>45840</x:v>
      </x:c>
      <x:c r="D286" s="9" t="n">
        <x:v>615.5932</x:v>
      </x:c>
      <x:c r="E286" s="9" t="n">
        <x:v>617.8354</x:v>
      </x:c>
      <x:c r="F286" s="10" t="n">
        <x:f>IF(H286=1,E286/D286-1,"")</x:f>
        <x:v>0.00364234042871181</x:v>
      </x:c>
      <x:c r="G286" s="10" t="n">
        <x:f>IF(H286=1,ABS(F286),"")</x:f>
        <x:v>0.00364234042871181</x:v>
      </x:c>
      <x:c r="H286" s="2" t="n">
        <x:v>1</x:v>
      </x:c>
      <x:c r="I286" s="2" t="str">
        <x:v>AV.Clean!B1481</x:v>
      </x:c>
      <x:c r="J286" s="2" t="str">
        <x:v>AV.Clean!B1475</x:v>
      </x:c>
      <x:c r="K286" s="13" t="n">
        <x:v>45840.520833333336</x:v>
      </x:c>
      <x:c r="L286" s="13" t="n">
        <x:v>45840.541666666664</x:v>
      </x:c>
    </x:row>
    <x:row r="287" ht="22" customHeight="1">
      <x:c r="A287" s="12" t="n">
        <x:v>45940</x:v>
      </x:c>
      <x:c r="B287" s="14" t="str">
        <x:v>10:00</x:v>
      </x:c>
      <x:c r="C287" s="12" t="n">
        <x:v>45922</x:v>
      </x:c>
      <x:c r="D287" s="9" t="n">
        <x:v>663.43</x:v>
      </x:c>
      <x:c r="E287" s="9" t="n">
        <x:v>663.43</x:v>
      </x:c>
      <x:c r="F287" s="10" t="n">
        <x:f>IF(H287=1,E287/D287-1,"")</x:f>
        <x:v>0</x:v>
      </x:c>
      <x:c r="G287" s="10" t="n">
        <x:f>IF(H287=1,ABS(F287),"")</x:f>
        <x:v>0</x:v>
      </x:c>
      <x:c r="H287" s="2" t="n">
        <x:v>1</x:v>
      </x:c>
      <x:c r="I287" s="2" t="str">
        <x:v>AV.Clean!B699</x:v>
      </x:c>
      <x:c r="J287" s="2" t="str">
        <x:v>AV.Clean!B699</x:v>
      </x:c>
      <x:c r="K287" s="13" t="n">
        <x:v>45922.395833333336</x:v>
      </x:c>
      <x:c r="L287" s="13" t="n">
        <x:v>45922.416666666664</x:v>
      </x:c>
    </x:row>
    <x:row r="288" ht="22" customHeight="1">
      <x:c r="A288" s="12" t="n">
        <x:v>45940</x:v>
      </x:c>
      <x:c r="B288" s="14" t="str">
        <x:v>10:00</x:v>
      </x:c>
      <x:c r="C288" s="12" t="n">
        <x:v>45923</x:v>
      </x:c>
      <x:c r="D288" s="9" t="n">
        <x:v>666.78</x:v>
      </x:c>
      <x:c r="E288" s="9" t="n">
        <x:v>666.78</x:v>
      </x:c>
      <x:c r="F288" s="10" t="n">
        <x:f>IF(H288=1,E288/D288-1,"")</x:f>
        <x:v>0</x:v>
      </x:c>
      <x:c r="G288" s="10" t="n">
        <x:f>IF(H288=1,ABS(F288),"")</x:f>
        <x:v>0</x:v>
      </x:c>
      <x:c r="H288" s="2" t="n">
        <x:v>1</x:v>
      </x:c>
      <x:c r="I288" s="2" t="str">
        <x:v>AV.Clean!B685</x:v>
      </x:c>
      <x:c r="J288" s="2" t="str">
        <x:v>AV.Clean!B685</x:v>
      </x:c>
      <x:c r="K288" s="13" t="n">
        <x:v>45923.395833333336</x:v>
      </x:c>
      <x:c r="L288" s="13" t="n">
        <x:v>45923.416666666664</x:v>
      </x:c>
    </x:row>
    <x:row r="289" ht="22" customHeight="1">
      <x:c r="A289" s="12" t="n">
        <x:v>45940</x:v>
      </x:c>
      <x:c r="B289" s="14" t="str">
        <x:v>10:00</x:v>
      </x:c>
      <x:c r="C289" s="12" t="n">
        <x:v>45924</x:v>
      </x:c>
      <x:c r="D289" s="9" t="n">
        <x:v>663.015</x:v>
      </x:c>
      <x:c r="E289" s="9" t="n">
        <x:v>663.015</x:v>
      </x:c>
      <x:c r="F289" s="10" t="n">
        <x:f>IF(H289=1,E289/D289-1,"")</x:f>
        <x:v>0</x:v>
      </x:c>
      <x:c r="G289" s="10" t="n">
        <x:f>IF(H289=1,ABS(F289),"")</x:f>
        <x:v>0</x:v>
      </x:c>
      <x:c r="H289" s="2" t="n">
        <x:v>1</x:v>
      </x:c>
      <x:c r="I289" s="2" t="str">
        <x:v>AV.Clean!B671</x:v>
      </x:c>
      <x:c r="J289" s="2" t="str">
        <x:v>AV.Clean!B671</x:v>
      </x:c>
      <x:c r="K289" s="13" t="n">
        <x:v>45924.395833333336</x:v>
      </x:c>
      <x:c r="L289" s="13" t="n">
        <x:v>45924.416666666664</x:v>
      </x:c>
    </x:row>
    <x:row r="290" ht="22" customHeight="1">
      <x:c r="A290" s="12" t="n">
        <x:v>45940</x:v>
      </x:c>
      <x:c r="B290" s="14" t="str">
        <x:v>10:00</x:v>
      </x:c>
      <x:c r="C290" s="12" t="n">
        <x:v>45925</x:v>
      </x:c>
      <x:c r="D290" s="9" t="n">
        <x:v>655.99</x:v>
      </x:c>
      <x:c r="E290" s="9" t="n">
        <x:v>655.99</x:v>
      </x:c>
      <x:c r="F290" s="10" t="n">
        <x:f>IF(H290=1,E290/D290-1,"")</x:f>
        <x:v>0</x:v>
      </x:c>
      <x:c r="G290" s="10" t="n">
        <x:f>IF(H290=1,ABS(F290),"")</x:f>
        <x:v>0</x:v>
      </x:c>
      <x:c r="H290" s="2" t="n">
        <x:v>1</x:v>
      </x:c>
      <x:c r="I290" s="2" t="str">
        <x:v>AV.Clean!B657</x:v>
      </x:c>
      <x:c r="J290" s="2" t="str">
        <x:v>AV.Clean!B657</x:v>
      </x:c>
      <x:c r="K290" s="13" t="n">
        <x:v>45925.395833333336</x:v>
      </x:c>
      <x:c r="L290" s="13" t="n">
        <x:v>45925.416666666664</x:v>
      </x:c>
    </x:row>
    <x:row r="291" ht="22" customHeight="1">
      <x:c r="A291" s="12" t="n">
        <x:v>45940</x:v>
      </x:c>
      <x:c r="B291" s="14" t="str">
        <x:v>10:00</x:v>
      </x:c>
      <x:c r="C291" s="12" t="n">
        <x:v>45926</x:v>
      </x:c>
      <x:c r="D291" s="9" t="n">
        <x:v>661.83</x:v>
      </x:c>
      <x:c r="E291" s="9" t="n">
        <x:v>661.83</x:v>
      </x:c>
      <x:c r="F291" s="10" t="n">
        <x:f>IF(H291=1,E291/D291-1,"")</x:f>
        <x:v>0</x:v>
      </x:c>
      <x:c r="G291" s="10" t="n">
        <x:f>IF(H291=1,ABS(F291),"")</x:f>
        <x:v>0</x:v>
      </x:c>
      <x:c r="H291" s="2" t="n">
        <x:v>1</x:v>
      </x:c>
      <x:c r="I291" s="2" t="str">
        <x:v>AV.Clean!B643</x:v>
      </x:c>
      <x:c r="J291" s="2" t="str">
        <x:v>AV.Clean!B643</x:v>
      </x:c>
      <x:c r="K291" s="13" t="n">
        <x:v>45926.395833333336</x:v>
      </x:c>
      <x:c r="L291" s="13" t="n">
        <x:v>45926.416666666664</x:v>
      </x:c>
    </x:row>
    <x:row r="292" ht="22" customHeight="1">
      <x:c r="A292" s="12" t="n">
        <x:v>45940</x:v>
      </x:c>
      <x:c r="B292" s="14" t="str">
        <x:v>10:00</x:v>
      </x:c>
      <x:c r="C292" s="12" t="n">
        <x:v>45929</x:v>
      </x:c>
      <x:c r="D292" s="9" t="n">
        <x:v>664.61</x:v>
      </x:c>
      <x:c r="E292" s="9" t="n">
        <x:v>664.61</x:v>
      </x:c>
      <x:c r="F292" s="10" t="n">
        <x:f>IF(H292=1,E292/D292-1,"")</x:f>
        <x:v>0</x:v>
      </x:c>
      <x:c r="G292" s="10" t="n">
        <x:f>IF(H292=1,ABS(F292),"")</x:f>
        <x:v>0</x:v>
      </x:c>
      <x:c r="H292" s="2" t="n">
        <x:v>1</x:v>
      </x:c>
      <x:c r="I292" s="2" t="str">
        <x:v>AV.Clean!B629</x:v>
      </x:c>
      <x:c r="J292" s="2" t="str">
        <x:v>AV.Clean!B629</x:v>
      </x:c>
      <x:c r="K292" s="13" t="n">
        <x:v>45929.395833333336</x:v>
      </x:c>
      <x:c r="L292" s="13" t="n">
        <x:v>45929.416666666664</x:v>
      </x:c>
    </x:row>
    <x:row r="293" ht="22" customHeight="1">
      <x:c r="A293" s="12" t="n">
        <x:v>45940</x:v>
      </x:c>
      <x:c r="B293" s="14" t="str">
        <x:v>10:00</x:v>
      </x:c>
      <x:c r="C293" s="12" t="n">
        <x:v>45930</x:v>
      </x:c>
      <x:c r="D293" s="9" t="n">
        <x:v>663.065</x:v>
      </x:c>
      <x:c r="E293" s="9" t="n">
        <x:v>663.065</x:v>
      </x:c>
      <x:c r="F293" s="10" t="n">
        <x:f>IF(H293=1,E293/D293-1,"")</x:f>
        <x:v>0</x:v>
      </x:c>
      <x:c r="G293" s="10" t="n">
        <x:f>IF(H293=1,ABS(F293),"")</x:f>
        <x:v>0</x:v>
      </x:c>
      <x:c r="H293" s="2" t="n">
        <x:v>1</x:v>
      </x:c>
      <x:c r="I293" s="2" t="str">
        <x:v>AV.Clean!B615</x:v>
      </x:c>
      <x:c r="J293" s="2" t="str">
        <x:v>AV.Clean!B615</x:v>
      </x:c>
      <x:c r="K293" s="13" t="n">
        <x:v>45930.395833333336</x:v>
      </x:c>
      <x:c r="L293" s="13" t="n">
        <x:v>45930.416666666664</x:v>
      </x:c>
    </x:row>
    <x:row r="294" ht="22" customHeight="1">
      <x:c r="A294" s="12" t="n">
        <x:v>45940</x:v>
      </x:c>
      <x:c r="B294" s="14" t="str">
        <x:v>10:00</x:v>
      </x:c>
      <x:c r="C294" s="12" t="n">
        <x:v>45931</x:v>
      </x:c>
      <x:c r="D294" s="9" t="n">
        <x:v>663.6824</x:v>
      </x:c>
      <x:c r="E294" s="9" t="n">
        <x:v>663.6824</x:v>
      </x:c>
      <x:c r="F294" s="10" t="n">
        <x:f>IF(H294=1,E294/D294-1,"")</x:f>
        <x:v>0</x:v>
      </x:c>
      <x:c r="G294" s="10" t="n">
        <x:f>IF(H294=1,ABS(F294),"")</x:f>
        <x:v>0</x:v>
      </x:c>
      <x:c r="H294" s="2" t="n">
        <x:v>1</x:v>
      </x:c>
      <x:c r="I294" s="2" t="str">
        <x:v>AV.Clean!B601</x:v>
      </x:c>
      <x:c r="J294" s="2" t="str">
        <x:v>AV.Clean!B601</x:v>
      </x:c>
      <x:c r="K294" s="13" t="n">
        <x:v>45931.395833333336</x:v>
      </x:c>
      <x:c r="L294" s="13" t="n">
        <x:v>45931.416666666664</x:v>
      </x:c>
    </x:row>
    <x:row r="295" ht="22" customHeight="1">
      <x:c r="A295" s="12" t="n">
        <x:v>45940</x:v>
      </x:c>
      <x:c r="B295" s="14" t="str">
        <x:v>10:00</x:v>
      </x:c>
      <x:c r="C295" s="12" t="n">
        <x:v>45932</x:v>
      </x:c>
      <x:c r="D295" s="9" t="n">
        <x:v>669.3</x:v>
      </x:c>
      <x:c r="E295" s="9" t="n">
        <x:v>669.3</x:v>
      </x:c>
      <x:c r="F295" s="10" t="n">
        <x:f>IF(H295=1,E295/D295-1,"")</x:f>
        <x:v>0</x:v>
      </x:c>
      <x:c r="G295" s="10" t="n">
        <x:f>IF(H295=1,ABS(F295),"")</x:f>
        <x:v>0</x:v>
      </x:c>
      <x:c r="H295" s="2" t="n">
        <x:v>1</x:v>
      </x:c>
      <x:c r="I295" s="2" t="str">
        <x:v>AV.Clean!B587</x:v>
      </x:c>
      <x:c r="J295" s="2" t="str">
        <x:v>AV.Clean!B587</x:v>
      </x:c>
      <x:c r="K295" s="13" t="n">
        <x:v>45932.395833333336</x:v>
      </x:c>
      <x:c r="L295" s="13" t="n">
        <x:v>45932.416666666664</x:v>
      </x:c>
    </x:row>
    <x:row r="296" ht="22" customHeight="1">
      <x:c r="A296" s="12" t="n">
        <x:v>45940</x:v>
      </x:c>
      <x:c r="B296" s="14" t="str">
        <x:v>10:00</x:v>
      </x:c>
      <x:c r="C296" s="12" t="n">
        <x:v>45933</x:v>
      </x:c>
      <x:c r="D296" s="9" t="n">
        <x:v>670.67</x:v>
      </x:c>
      <x:c r="E296" s="9" t="n">
        <x:v>670.67</x:v>
      </x:c>
      <x:c r="F296" s="10" t="n">
        <x:f>IF(H296=1,E296/D296-1,"")</x:f>
        <x:v>0</x:v>
      </x:c>
      <x:c r="G296" s="10" t="n">
        <x:f>IF(H296=1,ABS(F296),"")</x:f>
        <x:v>0</x:v>
      </x:c>
      <x:c r="H296" s="2" t="n">
        <x:v>1</x:v>
      </x:c>
      <x:c r="I296" s="2" t="str">
        <x:v>AV.Clean!B573</x:v>
      </x:c>
      <x:c r="J296" s="2" t="str">
        <x:v>AV.Clean!B573</x:v>
      </x:c>
      <x:c r="K296" s="13" t="n">
        <x:v>45933.395833333336</x:v>
      </x:c>
      <x:c r="L296" s="13" t="n">
        <x:v>45933.416666666664</x:v>
      </x:c>
    </x:row>
    <x:row r="297" ht="22" customHeight="1">
      <x:c r="A297" s="12" t="n">
        <x:v>45940</x:v>
      </x:c>
      <x:c r="B297" s="14" t="str">
        <x:v>10:00</x:v>
      </x:c>
      <x:c r="C297" s="12" t="n">
        <x:v>45936</x:v>
      </x:c>
      <x:c r="D297" s="9" t="n">
        <x:v>669.95</x:v>
      </x:c>
      <x:c r="E297" s="9" t="n">
        <x:v>669.95</x:v>
      </x:c>
      <x:c r="F297" s="10" t="n">
        <x:f>IF(H297=1,E297/D297-1,"")</x:f>
        <x:v>0</x:v>
      </x:c>
      <x:c r="G297" s="10" t="n">
        <x:f>IF(H297=1,ABS(F297),"")</x:f>
        <x:v>0</x:v>
      </x:c>
      <x:c r="H297" s="2" t="n">
        <x:v>1</x:v>
      </x:c>
      <x:c r="I297" s="2" t="str">
        <x:v>AV.Clean!B559</x:v>
      </x:c>
      <x:c r="J297" s="2" t="str">
        <x:v>AV.Clean!B559</x:v>
      </x:c>
      <x:c r="K297" s="13" t="n">
        <x:v>45936.395833333336</x:v>
      </x:c>
      <x:c r="L297" s="13" t="n">
        <x:v>45936.416666666664</x:v>
      </x:c>
    </x:row>
    <x:row r="298" ht="22" customHeight="1">
      <x:c r="A298" s="12" t="n">
        <x:v>45940</x:v>
      </x:c>
      <x:c r="B298" s="14" t="str">
        <x:v>10:00</x:v>
      </x:c>
      <x:c r="C298" s="12" t="n">
        <x:v>45937</x:v>
      </x:c>
      <x:c r="D298" s="9" t="n">
        <x:v>672.095</x:v>
      </x:c>
      <x:c r="E298" s="9" t="n">
        <x:v>672.095</x:v>
      </x:c>
      <x:c r="F298" s="10" t="n">
        <x:f>IF(H298=1,E298/D298-1,"")</x:f>
        <x:v>0</x:v>
      </x:c>
      <x:c r="G298" s="10" t="n">
        <x:f>IF(H298=1,ABS(F298),"")</x:f>
        <x:v>0</x:v>
      </x:c>
      <x:c r="H298" s="2" t="n">
        <x:v>1</x:v>
      </x:c>
      <x:c r="I298" s="2" t="str">
        <x:v>AV.Clean!B545</x:v>
      </x:c>
      <x:c r="J298" s="2" t="str">
        <x:v>AV.Clean!B545</x:v>
      </x:c>
      <x:c r="K298" s="13" t="n">
        <x:v>45937.395833333336</x:v>
      </x:c>
      <x:c r="L298" s="13" t="n">
        <x:v>45937.416666666664</x:v>
      </x:c>
    </x:row>
    <x:row r="299" ht="22" customHeight="1">
      <x:c r="A299" s="12" t="n">
        <x:v>45940</x:v>
      </x:c>
      <x:c r="B299" s="14" t="str">
        <x:v>10:00</x:v>
      </x:c>
      <x:c r="C299" s="12" t="n">
        <x:v>45938</x:v>
      </x:c>
      <x:c r="D299" s="9" t="n">
        <x:v>670.385</x:v>
      </x:c>
      <x:c r="E299" s="9" t="n">
        <x:v>670.385</x:v>
      </x:c>
      <x:c r="F299" s="10" t="n">
        <x:f>IF(H299=1,E299/D299-1,"")</x:f>
        <x:v>0</x:v>
      </x:c>
      <x:c r="G299" s="10" t="n">
        <x:f>IF(H299=1,ABS(F299),"")</x:f>
        <x:v>0</x:v>
      </x:c>
      <x:c r="H299" s="2" t="n">
        <x:v>1</x:v>
      </x:c>
      <x:c r="I299" s="2" t="str">
        <x:v>AV.Clean!B531</x:v>
      </x:c>
      <x:c r="J299" s="2" t="str">
        <x:v>AV.Clean!B531</x:v>
      </x:c>
      <x:c r="K299" s="13" t="n">
        <x:v>45938.395833333336</x:v>
      </x:c>
      <x:c r="L299" s="13" t="n">
        <x:v>45938.416666666664</x:v>
      </x:c>
    </x:row>
    <x:row r="300" ht="22" customHeight="1">
      <x:c r="A300" s="12" t="n">
        <x:v>45940</x:v>
      </x:c>
      <x:c r="B300" s="14" t="str">
        <x:v>10:00</x:v>
      </x:c>
      <x:c r="C300" s="12" t="n">
        <x:v>45939</x:v>
      </x:c>
      <x:c r="D300" s="9" t="n">
        <x:v>671.73</x:v>
      </x:c>
      <x:c r="E300" s="9" t="n">
        <x:v>671.73</x:v>
      </x:c>
      <x:c r="F300" s="10" t="n">
        <x:f>IF(H300=1,E300/D300-1,"")</x:f>
        <x:v>0</x:v>
      </x:c>
      <x:c r="G300" s="10" t="n">
        <x:f>IF(H300=1,ABS(F300),"")</x:f>
        <x:v>0</x:v>
      </x:c>
      <x:c r="H300" s="2" t="n">
        <x:v>1</x:v>
      </x:c>
      <x:c r="I300" s="2" t="str">
        <x:v>AV.Clean!B517</x:v>
      </x:c>
      <x:c r="J300" s="2" t="str">
        <x:v>AV.Clean!B517</x:v>
      </x:c>
      <x:c r="K300" s="13" t="n">
        <x:v>45939.395833333336</x:v>
      </x:c>
      <x:c r="L300" s="13" t="n">
        <x:v>45939.416666666664</x:v>
      </x:c>
    </x:row>
    <x:row r="301" ht="22" customHeight="1">
      <x:c r="A301" s="12" t="n">
        <x:v>45940</x:v>
      </x:c>
      <x:c r="B301" s="14" t="str">
        <x:v>10:30</x:v>
      </x:c>
      <x:c r="C301" s="12" t="n">
        <x:v>45922</x:v>
      </x:c>
      <x:c r="D301" s="9" t="n">
        <x:v>663.43</x:v>
      </x:c>
      <x:c r="E301" s="9" t="n">
        <x:v>664.07</x:v>
      </x:c>
      <x:c r="F301" s="10" t="n">
        <x:f>IF(H301=1,E301/D301-1,"")</x:f>
        <x:v>0.0009646835385799246</x:v>
      </x:c>
      <x:c r="G301" s="10" t="n">
        <x:f>IF(H301=1,ABS(F301),"")</x:f>
        <x:v>0.0009646835385799246</x:v>
      </x:c>
      <x:c r="H301" s="2" t="n">
        <x:v>1</x:v>
      </x:c>
      <x:c r="I301" s="2" t="str">
        <x:v>AV.Clean!B699</x:v>
      </x:c>
      <x:c r="J301" s="2" t="str">
        <x:v>AV.Clean!B698</x:v>
      </x:c>
      <x:c r="K301" s="13" t="n">
        <x:v>45922.416666666664</x:v>
      </x:c>
      <x:c r="L301" s="13" t="n">
        <x:v>45922.4375</x:v>
      </x:c>
    </x:row>
    <x:row r="302" ht="22" customHeight="1">
      <x:c r="A302" s="12" t="n">
        <x:v>45940</x:v>
      </x:c>
      <x:c r="B302" s="14" t="str">
        <x:v>10:30</x:v>
      </x:c>
      <x:c r="C302" s="12" t="n">
        <x:v>45923</x:v>
      </x:c>
      <x:c r="D302" s="9" t="n">
        <x:v>666.78</x:v>
      </x:c>
      <x:c r="E302" s="9" t="n">
        <x:v>666.6101</x:v>
      </x:c>
      <x:c r="F302" s="10" t="n">
        <x:f>IF(H302=1,E302/D302-1,"")</x:f>
        <x:v>-0.0002548066828639284</x:v>
      </x:c>
      <x:c r="G302" s="10" t="n">
        <x:f>IF(H302=1,ABS(F302),"")</x:f>
        <x:v>0.0002548066828639284</x:v>
      </x:c>
      <x:c r="H302" s="2" t="n">
        <x:v>1</x:v>
      </x:c>
      <x:c r="I302" s="2" t="str">
        <x:v>AV.Clean!B685</x:v>
      </x:c>
      <x:c r="J302" s="2" t="str">
        <x:v>AV.Clean!B684</x:v>
      </x:c>
      <x:c r="K302" s="13" t="n">
        <x:v>45923.416666666664</x:v>
      </x:c>
      <x:c r="L302" s="13" t="n">
        <x:v>45923.4375</x:v>
      </x:c>
    </x:row>
    <x:row r="303" ht="22" customHeight="1">
      <x:c r="A303" s="12" t="n">
        <x:v>45940</x:v>
      </x:c>
      <x:c r="B303" s="14" t="str">
        <x:v>10:30</x:v>
      </x:c>
      <x:c r="C303" s="12" t="n">
        <x:v>45924</x:v>
      </x:c>
      <x:c r="D303" s="9" t="n">
        <x:v>663.015</x:v>
      </x:c>
      <x:c r="E303" s="9" t="n">
        <x:v>663.17</x:v>
      </x:c>
      <x:c r="F303" s="10" t="n">
        <x:f>IF(H303=1,E303/D303-1,"")</x:f>
        <x:v>0.00023378053286871037</x:v>
      </x:c>
      <x:c r="G303" s="10" t="n">
        <x:f>IF(H303=1,ABS(F303),"")</x:f>
        <x:v>0.00023378053286871037</x:v>
      </x:c>
      <x:c r="H303" s="2" t="n">
        <x:v>1</x:v>
      </x:c>
      <x:c r="I303" s="2" t="str">
        <x:v>AV.Clean!B671</x:v>
      </x:c>
      <x:c r="J303" s="2" t="str">
        <x:v>AV.Clean!B670</x:v>
      </x:c>
      <x:c r="K303" s="13" t="n">
        <x:v>45924.416666666664</x:v>
      </x:c>
      <x:c r="L303" s="13" t="n">
        <x:v>45924.4375</x:v>
      </x:c>
    </x:row>
    <x:row r="304" ht="22" customHeight="1">
      <x:c r="A304" s="12" t="n">
        <x:v>45940</x:v>
      </x:c>
      <x:c r="B304" s="14" t="str">
        <x:v>10:30</x:v>
      </x:c>
      <x:c r="C304" s="12" t="n">
        <x:v>45925</x:v>
      </x:c>
      <x:c r="D304" s="9" t="n">
        <x:v>655.99</x:v>
      </x:c>
      <x:c r="E304" s="9" t="n">
        <x:v>658.52</x:v>
      </x:c>
      <x:c r="F304" s="10" t="n">
        <x:f>IF(H304=1,E304/D304-1,"")</x:f>
        <x:v>0.0038567661092394623</x:v>
      </x:c>
      <x:c r="G304" s="10" t="n">
        <x:f>IF(H304=1,ABS(F304),"")</x:f>
        <x:v>0.0038567661092394623</x:v>
      </x:c>
      <x:c r="H304" s="2" t="n">
        <x:v>1</x:v>
      </x:c>
      <x:c r="I304" s="2" t="str">
        <x:v>AV.Clean!B657</x:v>
      </x:c>
      <x:c r="J304" s="2" t="str">
        <x:v>AV.Clean!B656</x:v>
      </x:c>
      <x:c r="K304" s="13" t="n">
        <x:v>45925.416666666664</x:v>
      </x:c>
      <x:c r="L304" s="13" t="n">
        <x:v>45925.4375</x:v>
      </x:c>
    </x:row>
    <x:row r="305" ht="22" customHeight="1">
      <x:c r="A305" s="12" t="n">
        <x:v>45940</x:v>
      </x:c>
      <x:c r="B305" s="14" t="str">
        <x:v>10:30</x:v>
      </x:c>
      <x:c r="C305" s="12" t="n">
        <x:v>45926</x:v>
      </x:c>
      <x:c r="D305" s="9" t="n">
        <x:v>661.83</x:v>
      </x:c>
      <x:c r="E305" s="9" t="n">
        <x:v>658.69</x:v>
      </x:c>
      <x:c r="F305" s="10" t="n">
        <x:f>IF(H305=1,E305/D305-1,"")</x:f>
        <x:v>-0.004744420772705982</x:v>
      </x:c>
      <x:c r="G305" s="10" t="n">
        <x:f>IF(H305=1,ABS(F305),"")</x:f>
        <x:v>0.004744420772705982</x:v>
      </x:c>
      <x:c r="H305" s="2" t="n">
        <x:v>1</x:v>
      </x:c>
      <x:c r="I305" s="2" t="str">
        <x:v>AV.Clean!B643</x:v>
      </x:c>
      <x:c r="J305" s="2" t="str">
        <x:v>AV.Clean!B642</x:v>
      </x:c>
      <x:c r="K305" s="13" t="n">
        <x:v>45926.416666666664</x:v>
      </x:c>
      <x:c r="L305" s="13" t="n">
        <x:v>45926.4375</x:v>
      </x:c>
    </x:row>
    <x:row r="306" ht="22" customHeight="1">
      <x:c r="A306" s="12" t="n">
        <x:v>45940</x:v>
      </x:c>
      <x:c r="B306" s="14" t="str">
        <x:v>10:30</x:v>
      </x:c>
      <x:c r="C306" s="12" t="n">
        <x:v>45929</x:v>
      </x:c>
      <x:c r="D306" s="9" t="n">
        <x:v>664.61</x:v>
      </x:c>
      <x:c r="E306" s="9" t="n">
        <x:v>664.76</x:v>
      </x:c>
      <x:c r="F306" s="10" t="n">
        <x:f>IF(H306=1,E306/D306-1,"")</x:f>
        <x:v>0.0002256962730022849</x:v>
      </x:c>
      <x:c r="G306" s="10" t="n">
        <x:f>IF(H306=1,ABS(F306),"")</x:f>
        <x:v>0.0002256962730022849</x:v>
      </x:c>
      <x:c r="H306" s="2" t="n">
        <x:v>1</x:v>
      </x:c>
      <x:c r="I306" s="2" t="str">
        <x:v>AV.Clean!B629</x:v>
      </x:c>
      <x:c r="J306" s="2" t="str">
        <x:v>AV.Clean!B628</x:v>
      </x:c>
      <x:c r="K306" s="13" t="n">
        <x:v>45929.416666666664</x:v>
      </x:c>
      <x:c r="L306" s="13" t="n">
        <x:v>45929.4375</x:v>
      </x:c>
    </x:row>
    <x:row r="307" ht="22" customHeight="1">
      <x:c r="A307" s="12" t="n">
        <x:v>45940</x:v>
      </x:c>
      <x:c r="B307" s="14" t="str">
        <x:v>10:30</x:v>
      </x:c>
      <x:c r="C307" s="12" t="n">
        <x:v>45930</x:v>
      </x:c>
      <x:c r="D307" s="9" t="n">
        <x:v>663.065</x:v>
      </x:c>
      <x:c r="E307" s="9" t="n">
        <x:v>662.89</x:v>
      </x:c>
      <x:c r="F307" s="10" t="n">
        <x:f>IF(H307=1,E307/D307-1,"")</x:f>
        <x:v>-0.0002639258594557825</x:v>
      </x:c>
      <x:c r="G307" s="10" t="n">
        <x:f>IF(H307=1,ABS(F307),"")</x:f>
        <x:v>0.0002639258594557825</x:v>
      </x:c>
      <x:c r="H307" s="2" t="n">
        <x:v>1</x:v>
      </x:c>
      <x:c r="I307" s="2" t="str">
        <x:v>AV.Clean!B615</x:v>
      </x:c>
      <x:c r="J307" s="2" t="str">
        <x:v>AV.Clean!B614</x:v>
      </x:c>
      <x:c r="K307" s="13" t="n">
        <x:v>45930.416666666664</x:v>
      </x:c>
      <x:c r="L307" s="13" t="n">
        <x:v>45930.4375</x:v>
      </x:c>
    </x:row>
    <x:row r="308" ht="22" customHeight="1">
      <x:c r="A308" s="12" t="n">
        <x:v>45940</x:v>
      </x:c>
      <x:c r="B308" s="14" t="str">
        <x:v>10:30</x:v>
      </x:c>
      <x:c r="C308" s="12" t="n">
        <x:v>45931</x:v>
      </x:c>
      <x:c r="D308" s="9" t="n">
        <x:v>663.6824</x:v>
      </x:c>
      <x:c r="E308" s="9" t="n">
        <x:v>665.585</x:v>
      </x:c>
      <x:c r="F308" s="10" t="n">
        <x:f>IF(H308=1,E308/D308-1,"")</x:f>
        <x:v>0.0028667326419986594</x:v>
      </x:c>
      <x:c r="G308" s="10" t="n">
        <x:f>IF(H308=1,ABS(F308),"")</x:f>
        <x:v>0.0028667326419986594</x:v>
      </x:c>
      <x:c r="H308" s="2" t="n">
        <x:v>1</x:v>
      </x:c>
      <x:c r="I308" s="2" t="str">
        <x:v>AV.Clean!B601</x:v>
      </x:c>
      <x:c r="J308" s="2" t="str">
        <x:v>AV.Clean!B600</x:v>
      </x:c>
      <x:c r="K308" s="13" t="n">
        <x:v>45931.416666666664</x:v>
      </x:c>
      <x:c r="L308" s="13" t="n">
        <x:v>45931.4375</x:v>
      </x:c>
    </x:row>
    <x:row r="309" ht="22" customHeight="1">
      <x:c r="A309" s="12" t="n">
        <x:v>45940</x:v>
      </x:c>
      <x:c r="B309" s="14" t="str">
        <x:v>10:30</x:v>
      </x:c>
      <x:c r="C309" s="12" t="n">
        <x:v>45932</x:v>
      </x:c>
      <x:c r="D309" s="9" t="n">
        <x:v>669.3</x:v>
      </x:c>
      <x:c r="E309" s="9" t="n">
        <x:v>668.735</x:v>
      </x:c>
      <x:c r="F309" s="10" t="n">
        <x:f>IF(H309=1,E309/D309-1,"")</x:f>
        <x:v>-0.0008441655460927899</x:v>
      </x:c>
      <x:c r="G309" s="10" t="n">
        <x:f>IF(H309=1,ABS(F309),"")</x:f>
        <x:v>0.0008441655460927899</x:v>
      </x:c>
      <x:c r="H309" s="2" t="n">
        <x:v>1</x:v>
      </x:c>
      <x:c r="I309" s="2" t="str">
        <x:v>AV.Clean!B587</x:v>
      </x:c>
      <x:c r="J309" s="2" t="str">
        <x:v>AV.Clean!B586</x:v>
      </x:c>
      <x:c r="K309" s="13" t="n">
        <x:v>45932.416666666664</x:v>
      </x:c>
      <x:c r="L309" s="13" t="n">
        <x:v>45932.4375</x:v>
      </x:c>
    </x:row>
    <x:row r="310" ht="22" customHeight="1">
      <x:c r="A310" s="12" t="n">
        <x:v>45940</x:v>
      </x:c>
      <x:c r="B310" s="14" t="str">
        <x:v>10:30</x:v>
      </x:c>
      <x:c r="C310" s="12" t="n">
        <x:v>45933</x:v>
      </x:c>
      <x:c r="D310" s="9" t="n">
        <x:v>670.67</x:v>
      </x:c>
      <x:c r="E310" s="9" t="n">
        <x:v>671.365</x:v>
      </x:c>
      <x:c r="F310" s="10" t="n">
        <x:f>IF(H310=1,E310/D310-1,"")</x:f>
        <x:v>0.0010362771556802208</x:v>
      </x:c>
      <x:c r="G310" s="10" t="n">
        <x:f>IF(H310=1,ABS(F310),"")</x:f>
        <x:v>0.0010362771556802208</x:v>
      </x:c>
      <x:c r="H310" s="2" t="n">
        <x:v>1</x:v>
      </x:c>
      <x:c r="I310" s="2" t="str">
        <x:v>AV.Clean!B573</x:v>
      </x:c>
      <x:c r="J310" s="2" t="str">
        <x:v>AV.Clean!B572</x:v>
      </x:c>
      <x:c r="K310" s="13" t="n">
        <x:v>45933.416666666664</x:v>
      </x:c>
      <x:c r="L310" s="13" t="n">
        <x:v>45933.4375</x:v>
      </x:c>
    </x:row>
    <x:row r="311" ht="22" customHeight="1">
      <x:c r="A311" s="12" t="n">
        <x:v>45940</x:v>
      </x:c>
      <x:c r="B311" s="14" t="str">
        <x:v>10:30</x:v>
      </x:c>
      <x:c r="C311" s="12" t="n">
        <x:v>45936</x:v>
      </x:c>
      <x:c r="D311" s="9" t="n">
        <x:v>669.95</x:v>
      </x:c>
      <x:c r="E311" s="9" t="n">
        <x:v>670.5</x:v>
      </x:c>
      <x:c r="F311" s="10" t="n">
        <x:f>IF(H311=1,E311/D311-1,"")</x:f>
        <x:v>0.0008209567878199042</x:v>
      </x:c>
      <x:c r="G311" s="10" t="n">
        <x:f>IF(H311=1,ABS(F311),"")</x:f>
        <x:v>0.0008209567878199042</x:v>
      </x:c>
      <x:c r="H311" s="2" t="n">
        <x:v>1</x:v>
      </x:c>
      <x:c r="I311" s="2" t="str">
        <x:v>AV.Clean!B559</x:v>
      </x:c>
      <x:c r="J311" s="2" t="str">
        <x:v>AV.Clean!B558</x:v>
      </x:c>
      <x:c r="K311" s="13" t="n">
        <x:v>45936.416666666664</x:v>
      </x:c>
      <x:c r="L311" s="13" t="n">
        <x:v>45936.4375</x:v>
      </x:c>
    </x:row>
    <x:row r="312" ht="22" customHeight="1">
      <x:c r="A312" s="12" t="n">
        <x:v>45940</x:v>
      </x:c>
      <x:c r="B312" s="14" t="str">
        <x:v>10:30</x:v>
      </x:c>
      <x:c r="C312" s="12" t="n">
        <x:v>45937</x:v>
      </x:c>
      <x:c r="D312" s="9" t="n">
        <x:v>672.095</x:v>
      </x:c>
      <x:c r="E312" s="9" t="n">
        <x:v>671.3</x:v>
      </x:c>
      <x:c r="F312" s="10" t="n">
        <x:f>IF(H312=1,E312/D312-1,"")</x:f>
        <x:v>-0.0011828684932935207</x:v>
      </x:c>
      <x:c r="G312" s="10" t="n">
        <x:f>IF(H312=1,ABS(F312),"")</x:f>
        <x:v>0.0011828684932935207</x:v>
      </x:c>
      <x:c r="H312" s="2" t="n">
        <x:v>1</x:v>
      </x:c>
      <x:c r="I312" s="2" t="str">
        <x:v>AV.Clean!B545</x:v>
      </x:c>
      <x:c r="J312" s="2" t="str">
        <x:v>AV.Clean!B544</x:v>
      </x:c>
      <x:c r="K312" s="13" t="n">
        <x:v>45937.416666666664</x:v>
      </x:c>
      <x:c r="L312" s="13" t="n">
        <x:v>45937.4375</x:v>
      </x:c>
    </x:row>
    <x:row r="313" ht="22" customHeight="1">
      <x:c r="A313" s="12" t="n">
        <x:v>45940</x:v>
      </x:c>
      <x:c r="B313" s="14" t="str">
        <x:v>10:30</x:v>
      </x:c>
      <x:c r="C313" s="12" t="n">
        <x:v>45938</x:v>
      </x:c>
      <x:c r="D313" s="9" t="n">
        <x:v>670.385</x:v>
      </x:c>
      <x:c r="E313" s="9" t="n">
        <x:v>671.91</x:v>
      </x:c>
      <x:c r="F313" s="10" t="n">
        <x:f>IF(H313=1,E313/D313-1,"")</x:f>
        <x:v>0.0022748122347606703</x:v>
      </x:c>
      <x:c r="G313" s="10" t="n">
        <x:f>IF(H313=1,ABS(F313),"")</x:f>
        <x:v>0.0022748122347606703</x:v>
      </x:c>
      <x:c r="H313" s="2" t="n">
        <x:v>1</x:v>
      </x:c>
      <x:c r="I313" s="2" t="str">
        <x:v>AV.Clean!B531</x:v>
      </x:c>
      <x:c r="J313" s="2" t="str">
        <x:v>AV.Clean!B530</x:v>
      </x:c>
      <x:c r="K313" s="13" t="n">
        <x:v>45938.416666666664</x:v>
      </x:c>
      <x:c r="L313" s="13" t="n">
        <x:v>45938.4375</x:v>
      </x:c>
    </x:row>
    <x:row r="314" ht="22" customHeight="1">
      <x:c r="A314" s="12" t="n">
        <x:v>45940</x:v>
      </x:c>
      <x:c r="B314" s="14" t="str">
        <x:v>10:30</x:v>
      </x:c>
      <x:c r="C314" s="12" t="n">
        <x:v>45939</x:v>
      </x:c>
      <x:c r="D314" s="9" t="n">
        <x:v>671.73</x:v>
      </x:c>
      <x:c r="E314" s="9" t="n">
        <x:v>671.18</x:v>
      </x:c>
      <x:c r="F314" s="10" t="n">
        <x:f>IF(H314=1,E314/D314-1,"")</x:f>
        <x:v>-0.0008187813556043144</x:v>
      </x:c>
      <x:c r="G314" s="10" t="n">
        <x:f>IF(H314=1,ABS(F314),"")</x:f>
        <x:v>0.0008187813556043144</x:v>
      </x:c>
      <x:c r="H314" s="2" t="n">
        <x:v>1</x:v>
      </x:c>
      <x:c r="I314" s="2" t="str">
        <x:v>AV.Clean!B517</x:v>
      </x:c>
      <x:c r="J314" s="2" t="str">
        <x:v>AV.Clean!B516</x:v>
      </x:c>
      <x:c r="K314" s="13" t="n">
        <x:v>45939.416666666664</x:v>
      </x:c>
      <x:c r="L314" s="13" t="n">
        <x:v>45939.4375</x:v>
      </x:c>
    </x:row>
    <x:row r="315" ht="22" customHeight="1">
      <x:c r="A315" s="12" t="n">
        <x:v>45940</x:v>
      </x:c>
      <x:c r="B315" s="14" t="str">
        <x:v>11:00</x:v>
      </x:c>
      <x:c r="C315" s="12" t="n">
        <x:v>45922</x:v>
      </x:c>
      <x:c r="D315" s="9" t="n">
        <x:v>663.43</x:v>
      </x:c>
      <x:c r="E315" s="9" t="n">
        <x:v>664.96</x:v>
      </x:c>
      <x:c r="F315" s="10" t="n">
        <x:f>IF(H315=1,E315/D315-1,"")</x:f>
        <x:v>0.0023061965844175525</x:v>
      </x:c>
      <x:c r="G315" s="10" t="n">
        <x:f>IF(H315=1,ABS(F315),"")</x:f>
        <x:v>0.0023061965844175525</x:v>
      </x:c>
      <x:c r="H315" s="2" t="n">
        <x:v>1</x:v>
      </x:c>
      <x:c r="I315" s="2" t="str">
        <x:v>AV.Clean!B699</x:v>
      </x:c>
      <x:c r="J315" s="2" t="str">
        <x:v>AV.Clean!B697</x:v>
      </x:c>
      <x:c r="K315" s="13" t="n">
        <x:v>45922.4375</x:v>
      </x:c>
      <x:c r="L315" s="13" t="n">
        <x:v>45922.458333333336</x:v>
      </x:c>
    </x:row>
    <x:row r="316" ht="22" customHeight="1">
      <x:c r="A316" s="12" t="n">
        <x:v>45940</x:v>
      </x:c>
      <x:c r="B316" s="14" t="str">
        <x:v>11:00</x:v>
      </x:c>
      <x:c r="C316" s="12" t="n">
        <x:v>45923</x:v>
      </x:c>
      <x:c r="D316" s="9" t="n">
        <x:v>666.78</x:v>
      </x:c>
      <x:c r="E316" s="9" t="n">
        <x:v>666.35</x:v>
      </x:c>
      <x:c r="F316" s="10" t="n">
        <x:f>IF(H316=1,E316/D316-1,"")</x:f>
        <x:v>-0.0006448903686372409</x:v>
      </x:c>
      <x:c r="G316" s="10" t="n">
        <x:f>IF(H316=1,ABS(F316),"")</x:f>
        <x:v>0.0006448903686372409</x:v>
      </x:c>
      <x:c r="H316" s="2" t="n">
        <x:v>1</x:v>
      </x:c>
      <x:c r="I316" s="2" t="str">
        <x:v>AV.Clean!B685</x:v>
      </x:c>
      <x:c r="J316" s="2" t="str">
        <x:v>AV.Clean!B683</x:v>
      </x:c>
      <x:c r="K316" s="13" t="n">
        <x:v>45923.4375</x:v>
      </x:c>
      <x:c r="L316" s="13" t="n">
        <x:v>45923.458333333336</x:v>
      </x:c>
    </x:row>
    <x:row r="317" ht="22" customHeight="1">
      <x:c r="A317" s="12" t="n">
        <x:v>45940</x:v>
      </x:c>
      <x:c r="B317" s="14" t="str">
        <x:v>11:00</x:v>
      </x:c>
      <x:c r="C317" s="12" t="n">
        <x:v>45924</x:v>
      </x:c>
      <x:c r="D317" s="9" t="n">
        <x:v>663.015</x:v>
      </x:c>
      <x:c r="E317" s="9" t="n">
        <x:v>663.02</x:v>
      </x:c>
      <x:c r="F317" s="10" t="n">
        <x:f>IF(H317=1,E317/D317-1,"")</x:f>
        <x:v>0.000007541307511793605</x:v>
      </x:c>
      <x:c r="G317" s="10" t="n">
        <x:f>IF(H317=1,ABS(F317),"")</x:f>
        <x:v>0.000007541307511793605</x:v>
      </x:c>
      <x:c r="H317" s="2" t="n">
        <x:v>1</x:v>
      </x:c>
      <x:c r="I317" s="2" t="str">
        <x:v>AV.Clean!B671</x:v>
      </x:c>
      <x:c r="J317" s="2" t="str">
        <x:v>AV.Clean!B669</x:v>
      </x:c>
      <x:c r="K317" s="13" t="n">
        <x:v>45924.4375</x:v>
      </x:c>
      <x:c r="L317" s="13" t="n">
        <x:v>45924.458333333336</x:v>
      </x:c>
    </x:row>
    <x:row r="318" ht="22" customHeight="1">
      <x:c r="A318" s="12" t="n">
        <x:v>45940</x:v>
      </x:c>
      <x:c r="B318" s="14" t="str">
        <x:v>11:00</x:v>
      </x:c>
      <x:c r="C318" s="12" t="n">
        <x:v>45925</x:v>
      </x:c>
      <x:c r="D318" s="9" t="n">
        <x:v>655.99</x:v>
      </x:c>
      <x:c r="E318" s="9" t="n">
        <x:v>658.78</x:v>
      </x:c>
      <x:c r="F318" s="10" t="n">
        <x:f>IF(H318=1,E318/D318-1,"")</x:f>
        <x:v>0.00425311361453673</x:v>
      </x:c>
      <x:c r="G318" s="10" t="n">
        <x:f>IF(H318=1,ABS(F318),"")</x:f>
        <x:v>0.00425311361453673</x:v>
      </x:c>
      <x:c r="H318" s="2" t="n">
        <x:v>1</x:v>
      </x:c>
      <x:c r="I318" s="2" t="str">
        <x:v>AV.Clean!B657</x:v>
      </x:c>
      <x:c r="J318" s="2" t="str">
        <x:v>AV.Clean!B655</x:v>
      </x:c>
      <x:c r="K318" s="13" t="n">
        <x:v>45925.4375</x:v>
      </x:c>
      <x:c r="L318" s="13" t="n">
        <x:v>45925.458333333336</x:v>
      </x:c>
    </x:row>
    <x:row r="319" ht="22" customHeight="1">
      <x:c r="A319" s="12" t="n">
        <x:v>45940</x:v>
      </x:c>
      <x:c r="B319" s="14" t="str">
        <x:v>11:00</x:v>
      </x:c>
      <x:c r="C319" s="12" t="n">
        <x:v>45926</x:v>
      </x:c>
      <x:c r="D319" s="9" t="n">
        <x:v>661.83</x:v>
      </x:c>
      <x:c r="E319" s="9" t="n">
        <x:v>658.45</x:v>
      </x:c>
      <x:c r="F319" s="10" t="n">
        <x:f>IF(H319=1,E319/D319-1,"")</x:f>
        <x:v>-0.00510705165979175</x:v>
      </x:c>
      <x:c r="G319" s="10" t="n">
        <x:f>IF(H319=1,ABS(F319),"")</x:f>
        <x:v>0.00510705165979175</x:v>
      </x:c>
      <x:c r="H319" s="2" t="n">
        <x:v>1</x:v>
      </x:c>
      <x:c r="I319" s="2" t="str">
        <x:v>AV.Clean!B643</x:v>
      </x:c>
      <x:c r="J319" s="2" t="str">
        <x:v>AV.Clean!B641</x:v>
      </x:c>
      <x:c r="K319" s="13" t="n">
        <x:v>45926.4375</x:v>
      </x:c>
      <x:c r="L319" s="13" t="n">
        <x:v>45926.458333333336</x:v>
      </x:c>
    </x:row>
    <x:row r="320" ht="22" customHeight="1">
      <x:c r="A320" s="12" t="n">
        <x:v>45940</x:v>
      </x:c>
      <x:c r="B320" s="14" t="str">
        <x:v>11:00</x:v>
      </x:c>
      <x:c r="C320" s="12" t="n">
        <x:v>45929</x:v>
      </x:c>
      <x:c r="D320" s="9" t="n">
        <x:v>664.61</x:v>
      </x:c>
      <x:c r="E320" s="9" t="n">
        <x:v>664.47</x:v>
      </x:c>
      <x:c r="F320" s="10" t="n">
        <x:f>IF(H320=1,E320/D320-1,"")</x:f>
        <x:v>-0.00021064985480201415</x:v>
      </x:c>
      <x:c r="G320" s="10" t="n">
        <x:f>IF(H320=1,ABS(F320),"")</x:f>
        <x:v>0.00021064985480201415</x:v>
      </x:c>
      <x:c r="H320" s="2" t="n">
        <x:v>1</x:v>
      </x:c>
      <x:c r="I320" s="2" t="str">
        <x:v>AV.Clean!B629</x:v>
      </x:c>
      <x:c r="J320" s="2" t="str">
        <x:v>AV.Clean!B627</x:v>
      </x:c>
      <x:c r="K320" s="13" t="n">
        <x:v>45929.4375</x:v>
      </x:c>
      <x:c r="L320" s="13" t="n">
        <x:v>45929.458333333336</x:v>
      </x:c>
    </x:row>
    <x:row r="321" ht="22" customHeight="1">
      <x:c r="A321" s="12" t="n">
        <x:v>45940</x:v>
      </x:c>
      <x:c r="B321" s="14" t="str">
        <x:v>11:00</x:v>
      </x:c>
      <x:c r="C321" s="12" t="n">
        <x:v>45930</x:v>
      </x:c>
      <x:c r="D321" s="9" t="n">
        <x:v>663.065</x:v>
      </x:c>
      <x:c r="E321" s="9" t="n">
        <x:v>663.23</x:v>
      </x:c>
      <x:c r="F321" s="10" t="n">
        <x:f>IF(H321=1,E321/D321-1,"")</x:f>
        <x:v>0.0002488443817725283</x:v>
      </x:c>
      <x:c r="G321" s="10" t="n">
        <x:f>IF(H321=1,ABS(F321),"")</x:f>
        <x:v>0.0002488443817725283</x:v>
      </x:c>
      <x:c r="H321" s="2" t="n">
        <x:v>1</x:v>
      </x:c>
      <x:c r="I321" s="2" t="str">
        <x:v>AV.Clean!B615</x:v>
      </x:c>
      <x:c r="J321" s="2" t="str">
        <x:v>AV.Clean!B613</x:v>
      </x:c>
      <x:c r="K321" s="13" t="n">
        <x:v>45930.4375</x:v>
      </x:c>
      <x:c r="L321" s="13" t="n">
        <x:v>45930.458333333336</x:v>
      </x:c>
    </x:row>
    <x:row r="322" ht="22" customHeight="1">
      <x:c r="A322" s="12" t="n">
        <x:v>45940</x:v>
      </x:c>
      <x:c r="B322" s="14" t="str">
        <x:v>11:00</x:v>
      </x:c>
      <x:c r="C322" s="12" t="n">
        <x:v>45931</x:v>
      </x:c>
      <x:c r="D322" s="9" t="n">
        <x:v>663.6824</x:v>
      </x:c>
      <x:c r="E322" s="9" t="n">
        <x:v>665.81</x:v>
      </x:c>
      <x:c r="F322" s="10" t="n">
        <x:f>IF(H322=1,E322/D322-1,"")</x:f>
        <x:v>0.003205750220286019</x:v>
      </x:c>
      <x:c r="G322" s="10" t="n">
        <x:f>IF(H322=1,ABS(F322),"")</x:f>
        <x:v>0.003205750220286019</x:v>
      </x:c>
      <x:c r="H322" s="2" t="n">
        <x:v>1</x:v>
      </x:c>
      <x:c r="I322" s="2" t="str">
        <x:v>AV.Clean!B601</x:v>
      </x:c>
      <x:c r="J322" s="2" t="str">
        <x:v>AV.Clean!B599</x:v>
      </x:c>
      <x:c r="K322" s="13" t="n">
        <x:v>45931.4375</x:v>
      </x:c>
      <x:c r="L322" s="13" t="n">
        <x:v>45931.458333333336</x:v>
      </x:c>
    </x:row>
    <x:row r="323" ht="22" customHeight="1">
      <x:c r="A323" s="12" t="n">
        <x:v>45940</x:v>
      </x:c>
      <x:c r="B323" s="14" t="str">
        <x:v>11:00</x:v>
      </x:c>
      <x:c r="C323" s="12" t="n">
        <x:v>45932</x:v>
      </x:c>
      <x:c r="D323" s="9" t="n">
        <x:v>669.3</x:v>
      </x:c>
      <x:c r="E323" s="9" t="n">
        <x:v>667.56</x:v>
      </x:c>
      <x:c r="F323" s="10" t="n">
        <x:f>IF(H323=1,E323/D323-1,"")</x:f>
        <x:v>-0.002599731062303934</x:v>
      </x:c>
      <x:c r="G323" s="10" t="n">
        <x:f>IF(H323=1,ABS(F323),"")</x:f>
        <x:v>0.002599731062303934</x:v>
      </x:c>
      <x:c r="H323" s="2" t="n">
        <x:v>1</x:v>
      </x:c>
      <x:c r="I323" s="2" t="str">
        <x:v>AV.Clean!B587</x:v>
      </x:c>
      <x:c r="J323" s="2" t="str">
        <x:v>AV.Clean!B585</x:v>
      </x:c>
      <x:c r="K323" s="13" t="n">
        <x:v>45932.4375</x:v>
      </x:c>
      <x:c r="L323" s="13" t="n">
        <x:v>45932.458333333336</x:v>
      </x:c>
    </x:row>
    <x:row r="324" ht="22" customHeight="1">
      <x:c r="A324" s="12" t="n">
        <x:v>45940</x:v>
      </x:c>
      <x:c r="B324" s="14" t="str">
        <x:v>11:00</x:v>
      </x:c>
      <x:c r="C324" s="12" t="n">
        <x:v>45933</x:v>
      </x:c>
      <x:c r="D324" s="9" t="n">
        <x:v>670.67</x:v>
      </x:c>
      <x:c r="E324" s="9" t="n">
        <x:v>672.1</x:v>
      </x:c>
      <x:c r="F324" s="10" t="n">
        <x:f>IF(H324=1,E324/D324-1,"")</x:f>
        <x:v>0.002132196162047073</x:v>
      </x:c>
      <x:c r="G324" s="10" t="n">
        <x:f>IF(H324=1,ABS(F324),"")</x:f>
        <x:v>0.002132196162047073</x:v>
      </x:c>
      <x:c r="H324" s="2" t="n">
        <x:v>1</x:v>
      </x:c>
      <x:c r="I324" s="2" t="str">
        <x:v>AV.Clean!B573</x:v>
      </x:c>
      <x:c r="J324" s="2" t="str">
        <x:v>AV.Clean!B571</x:v>
      </x:c>
      <x:c r="K324" s="13" t="n">
        <x:v>45933.4375</x:v>
      </x:c>
      <x:c r="L324" s="13" t="n">
        <x:v>45933.458333333336</x:v>
      </x:c>
    </x:row>
    <x:row r="325" ht="22" customHeight="1">
      <x:c r="A325" s="12" t="n">
        <x:v>45940</x:v>
      </x:c>
      <x:c r="B325" s="14" t="str">
        <x:v>11:00</x:v>
      </x:c>
      <x:c r="C325" s="12" t="n">
        <x:v>45936</x:v>
      </x:c>
      <x:c r="D325" s="9" t="n">
        <x:v>669.95</x:v>
      </x:c>
      <x:c r="E325" s="9" t="n">
        <x:v>670.77</x:v>
      </x:c>
      <x:c r="F325" s="10" t="n">
        <x:f>IF(H325=1,E325/D325-1,"")</x:f>
        <x:v>0.001223971938204338</x:v>
      </x:c>
      <x:c r="G325" s="10" t="n">
        <x:f>IF(H325=1,ABS(F325),"")</x:f>
        <x:v>0.001223971938204338</x:v>
      </x:c>
      <x:c r="H325" s="2" t="n">
        <x:v>1</x:v>
      </x:c>
      <x:c r="I325" s="2" t="str">
        <x:v>AV.Clean!B559</x:v>
      </x:c>
      <x:c r="J325" s="2" t="str">
        <x:v>AV.Clean!B557</x:v>
      </x:c>
      <x:c r="K325" s="13" t="n">
        <x:v>45936.4375</x:v>
      </x:c>
      <x:c r="L325" s="13" t="n">
        <x:v>45936.458333333336</x:v>
      </x:c>
    </x:row>
    <x:row r="326" ht="22" customHeight="1">
      <x:c r="A326" s="12" t="n">
        <x:v>45940</x:v>
      </x:c>
      <x:c r="B326" s="14" t="str">
        <x:v>11:00</x:v>
      </x:c>
      <x:c r="C326" s="12" t="n">
        <x:v>45937</x:v>
      </x:c>
      <x:c r="D326" s="9" t="n">
        <x:v>672.095</x:v>
      </x:c>
      <x:c r="E326" s="9" t="n">
        <x:v>670.91</x:v>
      </x:c>
      <x:c r="F326" s="10" t="n">
        <x:f>IF(H326=1,E326/D326-1,"")</x:f>
        <x:v>-0.0017631436032109482</x:v>
      </x:c>
      <x:c r="G326" s="10" t="n">
        <x:f>IF(H326=1,ABS(F326),"")</x:f>
        <x:v>0.0017631436032109482</x:v>
      </x:c>
      <x:c r="H326" s="2" t="n">
        <x:v>1</x:v>
      </x:c>
      <x:c r="I326" s="2" t="str">
        <x:v>AV.Clean!B545</x:v>
      </x:c>
      <x:c r="J326" s="2" t="str">
        <x:v>AV.Clean!B543</x:v>
      </x:c>
      <x:c r="K326" s="13" t="n">
        <x:v>45937.4375</x:v>
      </x:c>
      <x:c r="L326" s="13" t="n">
        <x:v>45937.458333333336</x:v>
      </x:c>
    </x:row>
    <x:row r="327" ht="22" customHeight="1">
      <x:c r="A327" s="12" t="n">
        <x:v>45940</x:v>
      </x:c>
      <x:c r="B327" s="14" t="str">
        <x:v>11:00</x:v>
      </x:c>
      <x:c r="C327" s="12" t="n">
        <x:v>45938</x:v>
      </x:c>
      <x:c r="D327" s="9" t="n">
        <x:v>670.385</x:v>
      </x:c>
      <x:c r="E327" s="9" t="n">
        <x:v>671.75</x:v>
      </x:c>
      <x:c r="F327" s="10" t="n">
        <x:f>IF(H327=1,E327/D327-1,"")</x:f>
        <x:v>0.0020361434101299203</x:v>
      </x:c>
      <x:c r="G327" s="10" t="n">
        <x:f>IF(H327=1,ABS(F327),"")</x:f>
        <x:v>0.0020361434101299203</x:v>
      </x:c>
      <x:c r="H327" s="2" t="n">
        <x:v>1</x:v>
      </x:c>
      <x:c r="I327" s="2" t="str">
        <x:v>AV.Clean!B531</x:v>
      </x:c>
      <x:c r="J327" s="2" t="str">
        <x:v>AV.Clean!B529</x:v>
      </x:c>
      <x:c r="K327" s="13" t="n">
        <x:v>45938.4375</x:v>
      </x:c>
      <x:c r="L327" s="13" t="n">
        <x:v>45938.458333333336</x:v>
      </x:c>
    </x:row>
    <x:row r="328" ht="22" customHeight="1">
      <x:c r="A328" s="12" t="n">
        <x:v>45940</x:v>
      </x:c>
      <x:c r="B328" s="14" t="str">
        <x:v>11:00</x:v>
      </x:c>
      <x:c r="C328" s="12" t="n">
        <x:v>45939</x:v>
      </x:c>
      <x:c r="D328" s="9" t="n">
        <x:v>671.73</x:v>
      </x:c>
      <x:c r="E328" s="9" t="n">
        <x:v>671.4</x:v>
      </x:c>
      <x:c r="F328" s="10" t="n">
        <x:f>IF(H328=1,E328/D328-1,"")</x:f>
        <x:v>-0.0004912688133625887</x:v>
      </x:c>
      <x:c r="G328" s="10" t="n">
        <x:f>IF(H328=1,ABS(F328),"")</x:f>
        <x:v>0.0004912688133625887</x:v>
      </x:c>
      <x:c r="H328" s="2" t="n">
        <x:v>1</x:v>
      </x:c>
      <x:c r="I328" s="2" t="str">
        <x:v>AV.Clean!B517</x:v>
      </x:c>
      <x:c r="J328" s="2" t="str">
        <x:v>AV.Clean!B515</x:v>
      </x:c>
      <x:c r="K328" s="13" t="n">
        <x:v>45939.4375</x:v>
      </x:c>
      <x:c r="L328" s="13" t="n">
        <x:v>45939.458333333336</x:v>
      </x:c>
    </x:row>
    <x:row r="329" ht="22" customHeight="1">
      <x:c r="A329" s="12" t="n">
        <x:v>45940</x:v>
      </x:c>
      <x:c r="B329" s="14" t="str">
        <x:v>11:30</x:v>
      </x:c>
      <x:c r="C329" s="12" t="n">
        <x:v>45922</x:v>
      </x:c>
      <x:c r="D329" s="9" t="n">
        <x:v>663.43</x:v>
      </x:c>
      <x:c r="E329" s="9" t="n">
        <x:v>664.93</x:v>
      </x:c>
      <x:c r="F329" s="10" t="n">
        <x:f>IF(H329=1,E329/D329-1,"")</x:f>
        <x:v>0.0022609770435464416</x:v>
      </x:c>
      <x:c r="G329" s="10" t="n">
        <x:f>IF(H329=1,ABS(F329),"")</x:f>
        <x:v>0.0022609770435464416</x:v>
      </x:c>
      <x:c r="H329" s="2" t="n">
        <x:v>1</x:v>
      </x:c>
      <x:c r="I329" s="2" t="str">
        <x:v>AV.Clean!B699</x:v>
      </x:c>
      <x:c r="J329" s="2" t="str">
        <x:v>AV.Clean!B696</x:v>
      </x:c>
      <x:c r="K329" s="13" t="n">
        <x:v>45922.458333333336</x:v>
      </x:c>
      <x:c r="L329" s="13" t="n">
        <x:v>45922.479166666664</x:v>
      </x:c>
    </x:row>
    <x:row r="330" ht="22" customHeight="1">
      <x:c r="A330" s="12" t="n">
        <x:v>45940</x:v>
      </x:c>
      <x:c r="B330" s="14" t="str">
        <x:v>11:30</x:v>
      </x:c>
      <x:c r="C330" s="12" t="n">
        <x:v>45923</x:v>
      </x:c>
      <x:c r="D330" s="9" t="n">
        <x:v>666.78</x:v>
      </x:c>
      <x:c r="E330" s="9" t="n">
        <x:v>666.16</x:v>
      </x:c>
      <x:c r="F330" s="10" t="n">
        <x:f>IF(H330=1,E330/D330-1,"")</x:f>
        <x:v>-0.000929841926872399</x:v>
      </x:c>
      <x:c r="G330" s="10" t="n">
        <x:f>IF(H330=1,ABS(F330),"")</x:f>
        <x:v>0.000929841926872399</x:v>
      </x:c>
      <x:c r="H330" s="2" t="n">
        <x:v>1</x:v>
      </x:c>
      <x:c r="I330" s="2" t="str">
        <x:v>AV.Clean!B685</x:v>
      </x:c>
      <x:c r="J330" s="2" t="str">
        <x:v>AV.Clean!B682</x:v>
      </x:c>
      <x:c r="K330" s="13" t="n">
        <x:v>45923.458333333336</x:v>
      </x:c>
      <x:c r="L330" s="13" t="n">
        <x:v>45923.479166666664</x:v>
      </x:c>
    </x:row>
    <x:row r="331" ht="22" customHeight="1">
      <x:c r="A331" s="12" t="n">
        <x:v>45940</x:v>
      </x:c>
      <x:c r="B331" s="14" t="str">
        <x:v>11:30</x:v>
      </x:c>
      <x:c r="C331" s="12" t="n">
        <x:v>45924</x:v>
      </x:c>
      <x:c r="D331" s="9" t="n">
        <x:v>663.015</x:v>
      </x:c>
      <x:c r="E331" s="9" t="n">
        <x:v>662.665</x:v>
      </x:c>
      <x:c r="F331" s="10" t="n">
        <x:f>IF(H331=1,E331/D331-1,"")</x:f>
        <x:v>-0.0005278915258327688</x:v>
      </x:c>
      <x:c r="G331" s="10" t="n">
        <x:f>IF(H331=1,ABS(F331),"")</x:f>
        <x:v>0.0005278915258327688</x:v>
      </x:c>
      <x:c r="H331" s="2" t="n">
        <x:v>1</x:v>
      </x:c>
      <x:c r="I331" s="2" t="str">
        <x:v>AV.Clean!B671</x:v>
      </x:c>
      <x:c r="J331" s="2" t="str">
        <x:v>AV.Clean!B668</x:v>
      </x:c>
      <x:c r="K331" s="13" t="n">
        <x:v>45924.458333333336</x:v>
      </x:c>
      <x:c r="L331" s="13" t="n">
        <x:v>45924.479166666664</x:v>
      </x:c>
    </x:row>
    <x:row r="332" ht="22" customHeight="1">
      <x:c r="A332" s="12" t="n">
        <x:v>45940</x:v>
      </x:c>
      <x:c r="B332" s="14" t="str">
        <x:v>11:30</x:v>
      </x:c>
      <x:c r="C332" s="12" t="n">
        <x:v>45925</x:v>
      </x:c>
      <x:c r="D332" s="9" t="n">
        <x:v>655.99</x:v>
      </x:c>
      <x:c r="E332" s="9" t="n">
        <x:v>657.5283</x:v>
      </x:c>
      <x:c r="F332" s="10" t="n">
        <x:f>IF(H332=1,E332/D332-1,"")</x:f>
        <x:v>0.0023450052592264292</x:v>
      </x:c>
      <x:c r="G332" s="10" t="n">
        <x:f>IF(H332=1,ABS(F332),"")</x:f>
        <x:v>0.0023450052592264292</x:v>
      </x:c>
      <x:c r="H332" s="2" t="n">
        <x:v>1</x:v>
      </x:c>
      <x:c r="I332" s="2" t="str">
        <x:v>AV.Clean!B657</x:v>
      </x:c>
      <x:c r="J332" s="2" t="str">
        <x:v>AV.Clean!B654</x:v>
      </x:c>
      <x:c r="K332" s="13" t="n">
        <x:v>45925.458333333336</x:v>
      </x:c>
      <x:c r="L332" s="13" t="n">
        <x:v>45925.479166666664</x:v>
      </x:c>
    </x:row>
    <x:row r="333" ht="22" customHeight="1">
      <x:c r="A333" s="12" t="n">
        <x:v>45940</x:v>
      </x:c>
      <x:c r="B333" s="14" t="str">
        <x:v>11:30</x:v>
      </x:c>
      <x:c r="C333" s="12" t="n">
        <x:v>45926</x:v>
      </x:c>
      <x:c r="D333" s="9" t="n">
        <x:v>661.83</x:v>
      </x:c>
      <x:c r="E333" s="9" t="n">
        <x:v>659.89</x:v>
      </x:c>
      <x:c r="F333" s="10" t="n">
        <x:f>IF(H333=1,E333/D333-1,"")</x:f>
        <x:v>-0.0029312663372770276</x:v>
      </x:c>
      <x:c r="G333" s="10" t="n">
        <x:f>IF(H333=1,ABS(F333),"")</x:f>
        <x:v>0.0029312663372770276</x:v>
      </x:c>
      <x:c r="H333" s="2" t="n">
        <x:v>1</x:v>
      </x:c>
      <x:c r="I333" s="2" t="str">
        <x:v>AV.Clean!B643</x:v>
      </x:c>
      <x:c r="J333" s="2" t="str">
        <x:v>AV.Clean!B640</x:v>
      </x:c>
      <x:c r="K333" s="13" t="n">
        <x:v>45926.458333333336</x:v>
      </x:c>
      <x:c r="L333" s="13" t="n">
        <x:v>45926.479166666664</x:v>
      </x:c>
    </x:row>
    <x:row r="334" ht="22" customHeight="1">
      <x:c r="A334" s="12" t="n">
        <x:v>45940</x:v>
      </x:c>
      <x:c r="B334" s="14" t="str">
        <x:v>11:30</x:v>
      </x:c>
      <x:c r="C334" s="12" t="n">
        <x:v>45929</x:v>
      </x:c>
      <x:c r="D334" s="9" t="n">
        <x:v>664.61</x:v>
      </x:c>
      <x:c r="E334" s="9" t="n">
        <x:v>663.525</x:v>
      </x:c>
      <x:c r="F334" s="10" t="n">
        <x:f>IF(H334=1,E334/D334-1,"")</x:f>
        <x:v>-0.0016325363747160537</x:v>
      </x:c>
      <x:c r="G334" s="10" t="n">
        <x:f>IF(H334=1,ABS(F334),"")</x:f>
        <x:v>0.0016325363747160537</x:v>
      </x:c>
      <x:c r="H334" s="2" t="n">
        <x:v>1</x:v>
      </x:c>
      <x:c r="I334" s="2" t="str">
        <x:v>AV.Clean!B629</x:v>
      </x:c>
      <x:c r="J334" s="2" t="str">
        <x:v>AV.Clean!B626</x:v>
      </x:c>
      <x:c r="K334" s="13" t="n">
        <x:v>45929.458333333336</x:v>
      </x:c>
      <x:c r="L334" s="13" t="n">
        <x:v>45929.479166666664</x:v>
      </x:c>
    </x:row>
    <x:row r="335" ht="22" customHeight="1">
      <x:c r="A335" s="12" t="n">
        <x:v>45940</x:v>
      </x:c>
      <x:c r="B335" s="14" t="str">
        <x:v>11:30</x:v>
      </x:c>
      <x:c r="C335" s="12" t="n">
        <x:v>45930</x:v>
      </x:c>
      <x:c r="D335" s="9" t="n">
        <x:v>663.065</x:v>
      </x:c>
      <x:c r="E335" s="9" t="n">
        <x:v>662.19</x:v>
      </x:c>
      <x:c r="F335" s="10" t="n">
        <x:f>IF(H335=1,E335/D335-1,"")</x:f>
        <x:v>-0.0013196292972785795</x:v>
      </x:c>
      <x:c r="G335" s="10" t="n">
        <x:f>IF(H335=1,ABS(F335),"")</x:f>
        <x:v>0.0013196292972785795</x:v>
      </x:c>
      <x:c r="H335" s="2" t="n">
        <x:v>1</x:v>
      </x:c>
      <x:c r="I335" s="2" t="str">
        <x:v>AV.Clean!B615</x:v>
      </x:c>
      <x:c r="J335" s="2" t="str">
        <x:v>AV.Clean!B612</x:v>
      </x:c>
      <x:c r="K335" s="13" t="n">
        <x:v>45930.458333333336</x:v>
      </x:c>
      <x:c r="L335" s="13" t="n">
        <x:v>45930.479166666664</x:v>
      </x:c>
    </x:row>
    <x:row r="336" ht="22" customHeight="1">
      <x:c r="A336" s="12" t="n">
        <x:v>45940</x:v>
      </x:c>
      <x:c r="B336" s="14" t="str">
        <x:v>11:30</x:v>
      </x:c>
      <x:c r="C336" s="12" t="n">
        <x:v>45931</x:v>
      </x:c>
      <x:c r="D336" s="9" t="n">
        <x:v>663.6824</x:v>
      </x:c>
      <x:c r="E336" s="9" t="n">
        <x:v>666.328</x:v>
      </x:c>
      <x:c r="F336" s="10" t="n">
        <x:f>IF(H336=1,E336/D336-1,"")</x:f>
        <x:v>0.00398624402274339</x:v>
      </x:c>
      <x:c r="G336" s="10" t="n">
        <x:f>IF(H336=1,ABS(F336),"")</x:f>
        <x:v>0.00398624402274339</x:v>
      </x:c>
      <x:c r="H336" s="2" t="n">
        <x:v>1</x:v>
      </x:c>
      <x:c r="I336" s="2" t="str">
        <x:v>AV.Clean!B601</x:v>
      </x:c>
      <x:c r="J336" s="2" t="str">
        <x:v>AV.Clean!B598</x:v>
      </x:c>
      <x:c r="K336" s="13" t="n">
        <x:v>45931.458333333336</x:v>
      </x:c>
      <x:c r="L336" s="13" t="n">
        <x:v>45931.479166666664</x:v>
      </x:c>
    </x:row>
    <x:row r="337" ht="22" customHeight="1">
      <x:c r="A337" s="12" t="n">
        <x:v>45940</x:v>
      </x:c>
      <x:c r="B337" s="14" t="str">
        <x:v>11:30</x:v>
      </x:c>
      <x:c r="C337" s="12" t="n">
        <x:v>45932</x:v>
      </x:c>
      <x:c r="D337" s="9" t="n">
        <x:v>669.3</x:v>
      </x:c>
      <x:c r="E337" s="9" t="n">
        <x:v>667.61</x:v>
      </x:c>
      <x:c r="F337" s="10" t="n">
        <x:f>IF(H337=1,E337/D337-1,"")</x:f>
        <x:v>-0.002525026146720344</x:v>
      </x:c>
      <x:c r="G337" s="10" t="n">
        <x:f>IF(H337=1,ABS(F337),"")</x:f>
        <x:v>0.002525026146720344</x:v>
      </x:c>
      <x:c r="H337" s="2" t="n">
        <x:v>1</x:v>
      </x:c>
      <x:c r="I337" s="2" t="str">
        <x:v>AV.Clean!B587</x:v>
      </x:c>
      <x:c r="J337" s="2" t="str">
        <x:v>AV.Clean!B584</x:v>
      </x:c>
      <x:c r="K337" s="13" t="n">
        <x:v>45932.458333333336</x:v>
      </x:c>
      <x:c r="L337" s="13" t="n">
        <x:v>45932.479166666664</x:v>
      </x:c>
    </x:row>
    <x:row r="338" ht="22" customHeight="1">
      <x:c r="A338" s="12" t="n">
        <x:v>45940</x:v>
      </x:c>
      <x:c r="B338" s="14" t="str">
        <x:v>11:30</x:v>
      </x:c>
      <x:c r="C338" s="12" t="n">
        <x:v>45933</x:v>
      </x:c>
      <x:c r="D338" s="9" t="n">
        <x:v>670.67</x:v>
      </x:c>
      <x:c r="E338" s="9" t="n">
        <x:v>671.76</x:v>
      </x:c>
      <x:c r="F338" s="10" t="n">
        <x:f>IF(H338=1,E338/D338-1,"")</x:f>
        <x:v>0.001625240431210706</x:v>
      </x:c>
      <x:c r="G338" s="10" t="n">
        <x:f>IF(H338=1,ABS(F338),"")</x:f>
        <x:v>0.001625240431210706</x:v>
      </x:c>
      <x:c r="H338" s="2" t="n">
        <x:v>1</x:v>
      </x:c>
      <x:c r="I338" s="2" t="str">
        <x:v>AV.Clean!B573</x:v>
      </x:c>
      <x:c r="J338" s="2" t="str">
        <x:v>AV.Clean!B570</x:v>
      </x:c>
      <x:c r="K338" s="13" t="n">
        <x:v>45933.458333333336</x:v>
      </x:c>
      <x:c r="L338" s="13" t="n">
        <x:v>45933.479166666664</x:v>
      </x:c>
    </x:row>
    <x:row r="339" ht="22" customHeight="1">
      <x:c r="A339" s="12" t="n">
        <x:v>45940</x:v>
      </x:c>
      <x:c r="B339" s="14" t="str">
        <x:v>11:30</x:v>
      </x:c>
      <x:c r="C339" s="12" t="n">
        <x:v>45936</x:v>
      </x:c>
      <x:c r="D339" s="9" t="n">
        <x:v>669.95</x:v>
      </x:c>
      <x:c r="E339" s="9" t="n">
        <x:v>671.17</x:v>
      </x:c>
      <x:c r="F339" s="10" t="n">
        <x:f>IF(H339=1,E339/D339-1,"")</x:f>
        <x:v>0.001821031420255137</x:v>
      </x:c>
      <x:c r="G339" s="10" t="n">
        <x:f>IF(H339=1,ABS(F339),"")</x:f>
        <x:v>0.001821031420255137</x:v>
      </x:c>
      <x:c r="H339" s="2" t="n">
        <x:v>1</x:v>
      </x:c>
      <x:c r="I339" s="2" t="str">
        <x:v>AV.Clean!B559</x:v>
      </x:c>
      <x:c r="J339" s="2" t="str">
        <x:v>AV.Clean!B556</x:v>
      </x:c>
      <x:c r="K339" s="13" t="n">
        <x:v>45936.458333333336</x:v>
      </x:c>
      <x:c r="L339" s="13" t="n">
        <x:v>45936.479166666664</x:v>
      </x:c>
    </x:row>
    <x:row r="340" ht="22" customHeight="1">
      <x:c r="A340" s="12" t="n">
        <x:v>45940</x:v>
      </x:c>
      <x:c r="B340" s="14" t="str">
        <x:v>11:30</x:v>
      </x:c>
      <x:c r="C340" s="12" t="n">
        <x:v>45937</x:v>
      </x:c>
      <x:c r="D340" s="9" t="n">
        <x:v>672.095</x:v>
      </x:c>
      <x:c r="E340" s="9" t="n">
        <x:v>669.23</x:v>
      </x:c>
      <x:c r="F340" s="10" t="n">
        <x:f>IF(H340=1,E340/D340-1,"")</x:f>
        <x:v>-0.004262790230547764</x:v>
      </x:c>
      <x:c r="G340" s="10" t="n">
        <x:f>IF(H340=1,ABS(F340),"")</x:f>
        <x:v>0.004262790230547764</x:v>
      </x:c>
      <x:c r="H340" s="2" t="n">
        <x:v>1</x:v>
      </x:c>
      <x:c r="I340" s="2" t="str">
        <x:v>AV.Clean!B545</x:v>
      </x:c>
      <x:c r="J340" s="2" t="str">
        <x:v>AV.Clean!B542</x:v>
      </x:c>
      <x:c r="K340" s="13" t="n">
        <x:v>45937.458333333336</x:v>
      </x:c>
      <x:c r="L340" s="13" t="n">
        <x:v>45937.479166666664</x:v>
      </x:c>
    </x:row>
    <x:row r="341" ht="22" customHeight="1">
      <x:c r="A341" s="12" t="n">
        <x:v>45940</x:v>
      </x:c>
      <x:c r="B341" s="14" t="str">
        <x:v>11:30</x:v>
      </x:c>
      <x:c r="C341" s="12" t="n">
        <x:v>45938</x:v>
      </x:c>
      <x:c r="D341" s="9" t="n">
        <x:v>670.385</x:v>
      </x:c>
      <x:c r="E341" s="9" t="n">
        <x:v>672.53</x:v>
      </x:c>
      <x:c r="F341" s="10" t="n">
        <x:f>IF(H341=1,E341/D341-1,"")</x:f>
        <x:v>0.0031996539302041604</x:v>
      </x:c>
      <x:c r="G341" s="10" t="n">
        <x:f>IF(H341=1,ABS(F341),"")</x:f>
        <x:v>0.0031996539302041604</x:v>
      </x:c>
      <x:c r="H341" s="2" t="n">
        <x:v>1</x:v>
      </x:c>
      <x:c r="I341" s="2" t="str">
        <x:v>AV.Clean!B531</x:v>
      </x:c>
      <x:c r="J341" s="2" t="str">
        <x:v>AV.Clean!B528</x:v>
      </x:c>
      <x:c r="K341" s="13" t="n">
        <x:v>45938.458333333336</x:v>
      </x:c>
      <x:c r="L341" s="13" t="n">
        <x:v>45938.479166666664</x:v>
      </x:c>
    </x:row>
    <x:row r="342" ht="22" customHeight="1">
      <x:c r="A342" s="12" t="n">
        <x:v>45940</x:v>
      </x:c>
      <x:c r="B342" s="14" t="str">
        <x:v>11:30</x:v>
      </x:c>
      <x:c r="C342" s="12" t="n">
        <x:v>45939</x:v>
      </x:c>
      <x:c r="D342" s="9" t="n">
        <x:v>671.73</x:v>
      </x:c>
      <x:c r="E342" s="9" t="n">
        <x:v>670.75</x:v>
      </x:c>
      <x:c r="F342" s="10" t="n">
        <x:f>IF(H342=1,E342/D342-1,"")</x:f>
        <x:v>-0.0014589195063493543</x:v>
      </x:c>
      <x:c r="G342" s="10" t="n">
        <x:f>IF(H342=1,ABS(F342),"")</x:f>
        <x:v>0.0014589195063493543</x:v>
      </x:c>
      <x:c r="H342" s="2" t="n">
        <x:v>1</x:v>
      </x:c>
      <x:c r="I342" s="2" t="str">
        <x:v>AV.Clean!B517</x:v>
      </x:c>
      <x:c r="J342" s="2" t="str">
        <x:v>AV.Clean!B514</x:v>
      </x:c>
      <x:c r="K342" s="13" t="n">
        <x:v>45939.458333333336</x:v>
      </x:c>
      <x:c r="L342" s="13" t="n">
        <x:v>45939.479166666664</x:v>
      </x:c>
    </x:row>
    <x:row r="343" ht="22" customHeight="1">
      <x:c r="A343" s="12" t="n">
        <x:v>45940</x:v>
      </x:c>
      <x:c r="B343" s="14" t="str">
        <x:v>12:00</x:v>
      </x:c>
      <x:c r="C343" s="12" t="n">
        <x:v>45922</x:v>
      </x:c>
      <x:c r="D343" s="9" t="n">
        <x:v>663.43</x:v>
      </x:c>
      <x:c r="E343" s="9" t="n">
        <x:v>664.585</x:v>
      </x:c>
      <x:c r="F343" s="10" t="n">
        <x:f>IF(H343=1,E343/D343-1,"")</x:f>
        <x:v>0.0017409523235307756</x:v>
      </x:c>
      <x:c r="G343" s="10" t="n">
        <x:f>IF(H343=1,ABS(F343),"")</x:f>
        <x:v>0.0017409523235307756</x:v>
      </x:c>
      <x:c r="H343" s="2" t="n">
        <x:v>1</x:v>
      </x:c>
      <x:c r="I343" s="2" t="str">
        <x:v>AV.Clean!B699</x:v>
      </x:c>
      <x:c r="J343" s="2" t="str">
        <x:v>AV.Clean!B695</x:v>
      </x:c>
      <x:c r="K343" s="13" t="n">
        <x:v>45922.479166666664</x:v>
      </x:c>
      <x:c r="L343" s="13" t="n">
        <x:v>45922.5</x:v>
      </x:c>
    </x:row>
    <x:row r="344" ht="22" customHeight="1">
      <x:c r="A344" s="12" t="n">
        <x:v>45940</x:v>
      </x:c>
      <x:c r="B344" s="14" t="str">
        <x:v>12:00</x:v>
      </x:c>
      <x:c r="C344" s="12" t="n">
        <x:v>45923</x:v>
      </x:c>
      <x:c r="D344" s="9" t="n">
        <x:v>666.78</x:v>
      </x:c>
      <x:c r="E344" s="9" t="n">
        <x:v>665.5707</x:v>
      </x:c>
      <x:c r="F344" s="10" t="n">
        <x:f>IF(H344=1,E344/D344-1,"")</x:f>
        <x:v>-0.0018136416809142464</x:v>
      </x:c>
      <x:c r="G344" s="10" t="n">
        <x:f>IF(H344=1,ABS(F344),"")</x:f>
        <x:v>0.0018136416809142464</x:v>
      </x:c>
      <x:c r="H344" s="2" t="n">
        <x:v>1</x:v>
      </x:c>
      <x:c r="I344" s="2" t="str">
        <x:v>AV.Clean!B685</x:v>
      </x:c>
      <x:c r="J344" s="2" t="str">
        <x:v>AV.Clean!B681</x:v>
      </x:c>
      <x:c r="K344" s="13" t="n">
        <x:v>45923.479166666664</x:v>
      </x:c>
      <x:c r="L344" s="13" t="n">
        <x:v>45923.5</x:v>
      </x:c>
    </x:row>
    <x:row r="345" ht="22" customHeight="1">
      <x:c r="A345" s="12" t="n">
        <x:v>45940</x:v>
      </x:c>
      <x:c r="B345" s="14" t="str">
        <x:v>12:00</x:v>
      </x:c>
      <x:c r="C345" s="12" t="n">
        <x:v>45924</x:v>
      </x:c>
      <x:c r="D345" s="9" t="n">
        <x:v>663.015</x:v>
      </x:c>
      <x:c r="E345" s="9" t="n">
        <x:v>660.38</x:v>
      </x:c>
      <x:c r="F345" s="10" t="n">
        <x:f>IF(H345=1,E345/D345-1,"")</x:f>
        <x:v>-0.0039742690587694085</x:v>
      </x:c>
      <x:c r="G345" s="10" t="n">
        <x:f>IF(H345=1,ABS(F345),"")</x:f>
        <x:v>0.0039742690587694085</x:v>
      </x:c>
      <x:c r="H345" s="2" t="n">
        <x:v>1</x:v>
      </x:c>
      <x:c r="I345" s="2" t="str">
        <x:v>AV.Clean!B671</x:v>
      </x:c>
      <x:c r="J345" s="2" t="str">
        <x:v>AV.Clean!B667</x:v>
      </x:c>
      <x:c r="K345" s="13" t="n">
        <x:v>45924.479166666664</x:v>
      </x:c>
      <x:c r="L345" s="13" t="n">
        <x:v>45924.5</x:v>
      </x:c>
    </x:row>
    <x:row r="346" ht="22" customHeight="1">
      <x:c r="A346" s="12" t="n">
        <x:v>45940</x:v>
      </x:c>
      <x:c r="B346" s="14" t="str">
        <x:v>12:00</x:v>
      </x:c>
      <x:c r="C346" s="12" t="n">
        <x:v>45925</x:v>
      </x:c>
      <x:c r="D346" s="9" t="n">
        <x:v>655.99</x:v>
      </x:c>
      <x:c r="E346" s="9" t="n">
        <x:v>658.91</x:v>
      </x:c>
      <x:c r="F346" s="10" t="n">
        <x:f>IF(H346=1,E346/D346-1,"")</x:f>
        <x:v>0.004451287367185364</x:v>
      </x:c>
      <x:c r="G346" s="10" t="n">
        <x:f>IF(H346=1,ABS(F346),"")</x:f>
        <x:v>0.004451287367185364</x:v>
      </x:c>
      <x:c r="H346" s="2" t="n">
        <x:v>1</x:v>
      </x:c>
      <x:c r="I346" s="2" t="str">
        <x:v>AV.Clean!B657</x:v>
      </x:c>
      <x:c r="J346" s="2" t="str">
        <x:v>AV.Clean!B653</x:v>
      </x:c>
      <x:c r="K346" s="13" t="n">
        <x:v>45925.479166666664</x:v>
      </x:c>
      <x:c r="L346" s="13" t="n">
        <x:v>45925.5</x:v>
      </x:c>
    </x:row>
    <x:row r="347" ht="22" customHeight="1">
      <x:c r="A347" s="12" t="n">
        <x:v>45940</x:v>
      </x:c>
      <x:c r="B347" s="14" t="str">
        <x:v>12:00</x:v>
      </x:c>
      <x:c r="C347" s="12" t="n">
        <x:v>45926</x:v>
      </x:c>
      <x:c r="D347" s="9" t="n">
        <x:v>661.83</x:v>
      </x:c>
      <x:c r="E347" s="9" t="n">
        <x:v>658.7156</x:v>
      </x:c>
      <x:c r="F347" s="10" t="n">
        <x:f>IF(H347=1,E347/D347-1,"")</x:f>
        <x:v>-0.004705740144750226</x:v>
      </x:c>
      <x:c r="G347" s="10" t="n">
        <x:f>IF(H347=1,ABS(F347),"")</x:f>
        <x:v>0.004705740144750226</x:v>
      </x:c>
      <x:c r="H347" s="2" t="n">
        <x:v>1</x:v>
      </x:c>
      <x:c r="I347" s="2" t="str">
        <x:v>AV.Clean!B643</x:v>
      </x:c>
      <x:c r="J347" s="2" t="str">
        <x:v>AV.Clean!B639</x:v>
      </x:c>
      <x:c r="K347" s="13" t="n">
        <x:v>45926.479166666664</x:v>
      </x:c>
      <x:c r="L347" s="13" t="n">
        <x:v>45926.5</x:v>
      </x:c>
    </x:row>
    <x:row r="348" ht="22" customHeight="1">
      <x:c r="A348" s="12" t="n">
        <x:v>45940</x:v>
      </x:c>
      <x:c r="B348" s="14" t="str">
        <x:v>12:00</x:v>
      </x:c>
      <x:c r="C348" s="12" t="n">
        <x:v>45929</x:v>
      </x:c>
      <x:c r="D348" s="9" t="n">
        <x:v>664.61</x:v>
      </x:c>
      <x:c r="E348" s="9" t="n">
        <x:v>663.33</x:v>
      </x:c>
      <x:c r="F348" s="10" t="n">
        <x:f>IF(H348=1,E348/D348-1,"")</x:f>
        <x:v>-0.0019259415296187798</x:v>
      </x:c>
      <x:c r="G348" s="10" t="n">
        <x:f>IF(H348=1,ABS(F348),"")</x:f>
        <x:v>0.0019259415296187798</x:v>
      </x:c>
      <x:c r="H348" s="2" t="n">
        <x:v>1</x:v>
      </x:c>
      <x:c r="I348" s="2" t="str">
        <x:v>AV.Clean!B629</x:v>
      </x:c>
      <x:c r="J348" s="2" t="str">
        <x:v>AV.Clean!B625</x:v>
      </x:c>
      <x:c r="K348" s="13" t="n">
        <x:v>45929.479166666664</x:v>
      </x:c>
      <x:c r="L348" s="13" t="n">
        <x:v>45929.5</x:v>
      </x:c>
    </x:row>
    <x:row r="349" ht="22" customHeight="1">
      <x:c r="A349" s="12" t="n">
        <x:v>45940</x:v>
      </x:c>
      <x:c r="B349" s="14" t="str">
        <x:v>12:00</x:v>
      </x:c>
      <x:c r="C349" s="12" t="n">
        <x:v>45930</x:v>
      </x:c>
      <x:c r="D349" s="9" t="n">
        <x:v>663.065</x:v>
      </x:c>
      <x:c r="E349" s="9" t="n">
        <x:v>663.0019</x:v>
      </x:c>
      <x:c r="F349" s="10" t="n">
        <x:f>IF(H349=1,E349/D349-1,"")</x:f>
        <x:v>-0.00009516412418097975</x:v>
      </x:c>
      <x:c r="G349" s="10" t="n">
        <x:f>IF(H349=1,ABS(F349),"")</x:f>
        <x:v>0.00009516412418097975</x:v>
      </x:c>
      <x:c r="H349" s="2" t="n">
        <x:v>1</x:v>
      </x:c>
      <x:c r="I349" s="2" t="str">
        <x:v>AV.Clean!B615</x:v>
      </x:c>
      <x:c r="J349" s="2" t="str">
        <x:v>AV.Clean!B611</x:v>
      </x:c>
      <x:c r="K349" s="13" t="n">
        <x:v>45930.479166666664</x:v>
      </x:c>
      <x:c r="L349" s="13" t="n">
        <x:v>45930.5</x:v>
      </x:c>
    </x:row>
    <x:row r="350" ht="22" customHeight="1">
      <x:c r="A350" s="12" t="n">
        <x:v>45940</x:v>
      </x:c>
      <x:c r="B350" s="14" t="str">
        <x:v>12:00</x:v>
      </x:c>
      <x:c r="C350" s="12" t="n">
        <x:v>45931</x:v>
      </x:c>
      <x:c r="D350" s="9" t="n">
        <x:v>663.6824</x:v>
      </x:c>
      <x:c r="E350" s="9" t="n">
        <x:v>667</x:v>
      </x:c>
      <x:c r="F350" s="10" t="n">
        <x:f>IF(H350=1,E350/D350-1,"")</x:f>
        <x:v>0.004998776523228443</x:v>
      </x:c>
      <x:c r="G350" s="10" t="n">
        <x:f>IF(H350=1,ABS(F350),"")</x:f>
        <x:v>0.004998776523228443</x:v>
      </x:c>
      <x:c r="H350" s="2" t="n">
        <x:v>1</x:v>
      </x:c>
      <x:c r="I350" s="2" t="str">
        <x:v>AV.Clean!B601</x:v>
      </x:c>
      <x:c r="J350" s="2" t="str">
        <x:v>AV.Clean!B597</x:v>
      </x:c>
      <x:c r="K350" s="13" t="n">
        <x:v>45931.479166666664</x:v>
      </x:c>
      <x:c r="L350" s="13" t="n">
        <x:v>45931.5</x:v>
      </x:c>
    </x:row>
    <x:row r="351" ht="22" customHeight="1">
      <x:c r="A351" s="12" t="n">
        <x:v>45940</x:v>
      </x:c>
      <x:c r="B351" s="14" t="str">
        <x:v>12:00</x:v>
      </x:c>
      <x:c r="C351" s="12" t="n">
        <x:v>45932</x:v>
      </x:c>
      <x:c r="D351" s="9" t="n">
        <x:v>669.3</x:v>
      </x:c>
      <x:c r="E351" s="9" t="n">
        <x:v>668.305</x:v>
      </x:c>
      <x:c r="F351" s="10" t="n">
        <x:f>IF(H351=1,E351/D351-1,"")</x:f>
        <x:v>-0.0014866278201105532</x:v>
      </x:c>
      <x:c r="G351" s="10" t="n">
        <x:f>IF(H351=1,ABS(F351),"")</x:f>
        <x:v>0.0014866278201105532</x:v>
      </x:c>
      <x:c r="H351" s="2" t="n">
        <x:v>1</x:v>
      </x:c>
      <x:c r="I351" s="2" t="str">
        <x:v>AV.Clean!B587</x:v>
      </x:c>
      <x:c r="J351" s="2" t="str">
        <x:v>AV.Clean!B583</x:v>
      </x:c>
      <x:c r="K351" s="13" t="n">
        <x:v>45932.479166666664</x:v>
      </x:c>
      <x:c r="L351" s="13" t="n">
        <x:v>45932.5</x:v>
      </x:c>
    </x:row>
    <x:row r="352" ht="22" customHeight="1">
      <x:c r="A352" s="12" t="n">
        <x:v>45940</x:v>
      </x:c>
      <x:c r="B352" s="14" t="str">
        <x:v>12:00</x:v>
      </x:c>
      <x:c r="C352" s="12" t="n">
        <x:v>45933</x:v>
      </x:c>
      <x:c r="D352" s="9" t="n">
        <x:v>670.67</x:v>
      </x:c>
      <x:c r="E352" s="9" t="n">
        <x:v>672.51</x:v>
      </x:c>
      <x:c r="F352" s="10" t="n">
        <x:f>IF(H352=1,E352/D352-1,"")</x:f>
        <x:v>0.002743525131584823</x:v>
      </x:c>
      <x:c r="G352" s="10" t="n">
        <x:f>IF(H352=1,ABS(F352),"")</x:f>
        <x:v>0.002743525131584823</x:v>
      </x:c>
      <x:c r="H352" s="2" t="n">
        <x:v>1</x:v>
      </x:c>
      <x:c r="I352" s="2" t="str">
        <x:v>AV.Clean!B573</x:v>
      </x:c>
      <x:c r="J352" s="2" t="str">
        <x:v>AV.Clean!B569</x:v>
      </x:c>
      <x:c r="K352" s="13" t="n">
        <x:v>45933.479166666664</x:v>
      </x:c>
      <x:c r="L352" s="13" t="n">
        <x:v>45933.5</x:v>
      </x:c>
    </x:row>
    <x:row r="353" ht="22" customHeight="1">
      <x:c r="A353" s="12" t="n">
        <x:v>45940</x:v>
      </x:c>
      <x:c r="B353" s="14" t="str">
        <x:v>12:00</x:v>
      </x:c>
      <x:c r="C353" s="12" t="n">
        <x:v>45936</x:v>
      </x:c>
      <x:c r="D353" s="9" t="n">
        <x:v>669.95</x:v>
      </x:c>
      <x:c r="E353" s="9" t="n">
        <x:v>671.83</x:v>
      </x:c>
      <x:c r="F353" s="10" t="n">
        <x:f>IF(H353=1,E353/D353-1,"")</x:f>
        <x:v>0.002806179565639111</x:v>
      </x:c>
      <x:c r="G353" s="10" t="n">
        <x:f>IF(H353=1,ABS(F353),"")</x:f>
        <x:v>0.002806179565639111</x:v>
      </x:c>
      <x:c r="H353" s="2" t="n">
        <x:v>1</x:v>
      </x:c>
      <x:c r="I353" s="2" t="str">
        <x:v>AV.Clean!B559</x:v>
      </x:c>
      <x:c r="J353" s="2" t="str">
        <x:v>AV.Clean!B555</x:v>
      </x:c>
      <x:c r="K353" s="13" t="n">
        <x:v>45936.479166666664</x:v>
      </x:c>
      <x:c r="L353" s="13" t="n">
        <x:v>45936.5</x:v>
      </x:c>
    </x:row>
    <x:row r="354" ht="22" customHeight="1">
      <x:c r="A354" s="12" t="n">
        <x:v>45940</x:v>
      </x:c>
      <x:c r="B354" s="14" t="str">
        <x:v>12:00</x:v>
      </x:c>
      <x:c r="C354" s="12" t="n">
        <x:v>45937</x:v>
      </x:c>
      <x:c r="D354" s="9" t="n">
        <x:v>672.095</x:v>
      </x:c>
      <x:c r="E354" s="9" t="n">
        <x:v>668.23</x:v>
      </x:c>
      <x:c r="F354" s="10" t="n">
        <x:f>IF(H354=1,E354/D354-1,"")</x:f>
        <x:v>-0.005750675127772165</x:v>
      </x:c>
      <x:c r="G354" s="10" t="n">
        <x:f>IF(H354=1,ABS(F354),"")</x:f>
        <x:v>0.005750675127772165</x:v>
      </x:c>
      <x:c r="H354" s="2" t="n">
        <x:v>1</x:v>
      </x:c>
      <x:c r="I354" s="2" t="str">
        <x:v>AV.Clean!B545</x:v>
      </x:c>
      <x:c r="J354" s="2" t="str">
        <x:v>AV.Clean!B541</x:v>
      </x:c>
      <x:c r="K354" s="13" t="n">
        <x:v>45937.479166666664</x:v>
      </x:c>
      <x:c r="L354" s="13" t="n">
        <x:v>45937.5</x:v>
      </x:c>
    </x:row>
    <x:row r="355" ht="22" customHeight="1">
      <x:c r="A355" s="12" t="n">
        <x:v>45940</x:v>
      </x:c>
      <x:c r="B355" s="14" t="str">
        <x:v>12:00</x:v>
      </x:c>
      <x:c r="C355" s="12" t="n">
        <x:v>45938</x:v>
      </x:c>
      <x:c r="D355" s="9" t="n">
        <x:v>670.385</x:v>
      </x:c>
      <x:c r="E355" s="9" t="n">
        <x:v>672.8</x:v>
      </x:c>
      <x:c r="F355" s="10" t="n">
        <x:f>IF(H355=1,E355/D355-1,"")</x:f>
        <x:v>0.00360240757176844</x:v>
      </x:c>
      <x:c r="G355" s="10" t="n">
        <x:f>IF(H355=1,ABS(F355),"")</x:f>
        <x:v>0.00360240757176844</x:v>
      </x:c>
      <x:c r="H355" s="2" t="n">
        <x:v>1</x:v>
      </x:c>
      <x:c r="I355" s="2" t="str">
        <x:v>AV.Clean!B531</x:v>
      </x:c>
      <x:c r="J355" s="2" t="str">
        <x:v>AV.Clean!B527</x:v>
      </x:c>
      <x:c r="K355" s="13" t="n">
        <x:v>45938.479166666664</x:v>
      </x:c>
      <x:c r="L355" s="13" t="n">
        <x:v>45938.5</x:v>
      </x:c>
    </x:row>
    <x:row r="356" ht="22" customHeight="1">
      <x:c r="A356" s="12" t="n">
        <x:v>45940</x:v>
      </x:c>
      <x:c r="B356" s="14" t="str">
        <x:v>12:00</x:v>
      </x:c>
      <x:c r="C356" s="12" t="n">
        <x:v>45939</x:v>
      </x:c>
      <x:c r="D356" s="9" t="n">
        <x:v>671.73</x:v>
      </x:c>
      <x:c r="E356" s="9" t="n">
        <x:v>671.33</x:v>
      </x:c>
      <x:c r="F356" s="10" t="n">
        <x:f>IF(H356=1,E356/D356-1,"")</x:f>
        <x:v>-0.000595477349530249</x:v>
      </x:c>
      <x:c r="G356" s="10" t="n">
        <x:f>IF(H356=1,ABS(F356),"")</x:f>
        <x:v>0.000595477349530249</x:v>
      </x:c>
      <x:c r="H356" s="2" t="n">
        <x:v>1</x:v>
      </x:c>
      <x:c r="I356" s="2" t="str">
        <x:v>AV.Clean!B517</x:v>
      </x:c>
      <x:c r="J356" s="2" t="str">
        <x:v>AV.Clean!B513</x:v>
      </x:c>
      <x:c r="K356" s="13" t="n">
        <x:v>45939.479166666664</x:v>
      </x:c>
      <x:c r="L356" s="13" t="n">
        <x:v>45939.5</x:v>
      </x:c>
    </x:row>
    <x:row r="357" ht="22" customHeight="1">
      <x:c r="A357" s="12" t="n">
        <x:v>45940</x:v>
      </x:c>
      <x:c r="B357" s="14" t="str">
        <x:v>12:30</x:v>
      </x:c>
      <x:c r="C357" s="12" t="n">
        <x:v>45922</x:v>
      </x:c>
      <x:c r="D357" s="9" t="n">
        <x:v>663.43</x:v>
      </x:c>
      <x:c r="E357" s="9" t="n">
        <x:v>665.855</x:v>
      </x:c>
      <x:c r="F357" s="10" t="n">
        <x:f>IF(H357=1,E357/D357-1,"")</x:f>
        <x:v>0.0036552462204002545</x:v>
      </x:c>
      <x:c r="G357" s="10" t="n">
        <x:f>IF(H357=1,ABS(F357),"")</x:f>
        <x:v>0.0036552462204002545</x:v>
      </x:c>
      <x:c r="H357" s="2" t="n">
        <x:v>1</x:v>
      </x:c>
      <x:c r="I357" s="2" t="str">
        <x:v>AV.Clean!B699</x:v>
      </x:c>
      <x:c r="J357" s="2" t="str">
        <x:v>AV.Clean!B694</x:v>
      </x:c>
      <x:c r="K357" s="13" t="n">
        <x:v>45922.5</x:v>
      </x:c>
      <x:c r="L357" s="13" t="n">
        <x:v>45922.520833333336</x:v>
      </x:c>
    </x:row>
    <x:row r="358" ht="22" customHeight="1">
      <x:c r="A358" s="12" t="n">
        <x:v>45940</x:v>
      </x:c>
      <x:c r="B358" s="14" t="str">
        <x:v>12:30</x:v>
      </x:c>
      <x:c r="C358" s="12" t="n">
        <x:v>45923</x:v>
      </x:c>
      <x:c r="D358" s="9" t="n">
        <x:v>666.78</x:v>
      </x:c>
      <x:c r="E358" s="9" t="n">
        <x:v>665.23</x:v>
      </x:c>
      <x:c r="F358" s="10" t="n">
        <x:f>IF(H358=1,E358/D358-1,"")</x:f>
        <x:v>-0.0023246048171809974</x:v>
      </x:c>
      <x:c r="G358" s="10" t="n">
        <x:f>IF(H358=1,ABS(F358),"")</x:f>
        <x:v>0.0023246048171809974</x:v>
      </x:c>
      <x:c r="H358" s="2" t="n">
        <x:v>1</x:v>
      </x:c>
      <x:c r="I358" s="2" t="str">
        <x:v>AV.Clean!B685</x:v>
      </x:c>
      <x:c r="J358" s="2" t="str">
        <x:v>AV.Clean!B680</x:v>
      </x:c>
      <x:c r="K358" s="13" t="n">
        <x:v>45923.5</x:v>
      </x:c>
      <x:c r="L358" s="13" t="n">
        <x:v>45923.520833333336</x:v>
      </x:c>
    </x:row>
    <x:row r="359" ht="22" customHeight="1">
      <x:c r="A359" s="12" t="n">
        <x:v>45940</x:v>
      </x:c>
      <x:c r="B359" s="14" t="str">
        <x:v>12:30</x:v>
      </x:c>
      <x:c r="C359" s="12" t="n">
        <x:v>45924</x:v>
      </x:c>
      <x:c r="D359" s="9" t="n">
        <x:v>663.015</x:v>
      </x:c>
      <x:c r="E359" s="9" t="n">
        <x:v>660.92</x:v>
      </x:c>
      <x:c r="F359" s="10" t="n">
        <x:f>IF(H359=1,E359/D359-1,"")</x:f>
        <x:v>-0.003159807847484597</x:v>
      </x:c>
      <x:c r="G359" s="10" t="n">
        <x:f>IF(H359=1,ABS(F359),"")</x:f>
        <x:v>0.003159807847484597</x:v>
      </x:c>
      <x:c r="H359" s="2" t="n">
        <x:v>1</x:v>
      </x:c>
      <x:c r="I359" s="2" t="str">
        <x:v>AV.Clean!B671</x:v>
      </x:c>
      <x:c r="J359" s="2" t="str">
        <x:v>AV.Clean!B666</x:v>
      </x:c>
      <x:c r="K359" s="13" t="n">
        <x:v>45924.5</x:v>
      </x:c>
      <x:c r="L359" s="13" t="n">
        <x:v>45924.520833333336</x:v>
      </x:c>
    </x:row>
    <x:row r="360" ht="22" customHeight="1">
      <x:c r="A360" s="12" t="n">
        <x:v>45940</x:v>
      </x:c>
      <x:c r="B360" s="14" t="str">
        <x:v>12:30</x:v>
      </x:c>
      <x:c r="C360" s="12" t="n">
        <x:v>45925</x:v>
      </x:c>
      <x:c r="D360" s="9" t="n">
        <x:v>655.99</x:v>
      </x:c>
      <x:c r="E360" s="9" t="n">
        <x:v>658.055</x:v>
      </x:c>
      <x:c r="F360" s="10" t="n">
        <x:f>IF(H360=1,E360/D360-1,"")</x:f>
        <x:v>0.0031479138401500073</x:v>
      </x:c>
      <x:c r="G360" s="10" t="n">
        <x:f>IF(H360=1,ABS(F360),"")</x:f>
        <x:v>0.0031479138401500073</x:v>
      </x:c>
      <x:c r="H360" s="2" t="n">
        <x:v>1</x:v>
      </x:c>
      <x:c r="I360" s="2" t="str">
        <x:v>AV.Clean!B657</x:v>
      </x:c>
      <x:c r="J360" s="2" t="str">
        <x:v>AV.Clean!B652</x:v>
      </x:c>
      <x:c r="K360" s="13" t="n">
        <x:v>45925.5</x:v>
      </x:c>
      <x:c r="L360" s="13" t="n">
        <x:v>45925.520833333336</x:v>
      </x:c>
    </x:row>
    <x:row r="361" ht="22" customHeight="1">
      <x:c r="A361" s="12" t="n">
        <x:v>45940</x:v>
      </x:c>
      <x:c r="B361" s="14" t="str">
        <x:v>12:30</x:v>
      </x:c>
      <x:c r="C361" s="12" t="n">
        <x:v>45926</x:v>
      </x:c>
      <x:c r="D361" s="9" t="n">
        <x:v>661.83</x:v>
      </x:c>
      <x:c r="E361" s="9" t="n">
        <x:v>660.43</x:v>
      </x:c>
      <x:c r="F361" s="10" t="n">
        <x:f>IF(H361=1,E361/D361-1,"")</x:f>
        <x:v>-0.002115346841333965</x:v>
      </x:c>
      <x:c r="G361" s="10" t="n">
        <x:f>IF(H361=1,ABS(F361),"")</x:f>
        <x:v>0.002115346841333965</x:v>
      </x:c>
      <x:c r="H361" s="2" t="n">
        <x:v>1</x:v>
      </x:c>
      <x:c r="I361" s="2" t="str">
        <x:v>AV.Clean!B643</x:v>
      </x:c>
      <x:c r="J361" s="2" t="str">
        <x:v>AV.Clean!B638</x:v>
      </x:c>
      <x:c r="K361" s="13" t="n">
        <x:v>45926.5</x:v>
      </x:c>
      <x:c r="L361" s="13" t="n">
        <x:v>45926.520833333336</x:v>
      </x:c>
    </x:row>
    <x:row r="362" ht="22" customHeight="1">
      <x:c r="A362" s="12" t="n">
        <x:v>45940</x:v>
      </x:c>
      <x:c r="B362" s="14" t="str">
        <x:v>12:30</x:v>
      </x:c>
      <x:c r="C362" s="12" t="n">
        <x:v>45929</x:v>
      </x:c>
      <x:c r="D362" s="9" t="n">
        <x:v>664.61</x:v>
      </x:c>
      <x:c r="E362" s="9" t="n">
        <x:v>663.475</x:v>
      </x:c>
      <x:c r="F362" s="10" t="n">
        <x:f>IF(H362=1,E362/D362-1,"")</x:f>
        <x:v>-0.0017077684657167413</x:v>
      </x:c>
      <x:c r="G362" s="10" t="n">
        <x:f>IF(H362=1,ABS(F362),"")</x:f>
        <x:v>0.0017077684657167413</x:v>
      </x:c>
      <x:c r="H362" s="2" t="n">
        <x:v>1</x:v>
      </x:c>
      <x:c r="I362" s="2" t="str">
        <x:v>AV.Clean!B629</x:v>
      </x:c>
      <x:c r="J362" s="2" t="str">
        <x:v>AV.Clean!B624</x:v>
      </x:c>
      <x:c r="K362" s="13" t="n">
        <x:v>45929.5</x:v>
      </x:c>
      <x:c r="L362" s="13" t="n">
        <x:v>45929.520833333336</x:v>
      </x:c>
    </x:row>
    <x:row r="363" ht="22" customHeight="1">
      <x:c r="A363" s="12" t="n">
        <x:v>45940</x:v>
      </x:c>
      <x:c r="B363" s="14" t="str">
        <x:v>12:30</x:v>
      </x:c>
      <x:c r="C363" s="12" t="n">
        <x:v>45930</x:v>
      </x:c>
      <x:c r="D363" s="9" t="n">
        <x:v>663.065</x:v>
      </x:c>
      <x:c r="E363" s="9" t="n">
        <x:v>663.41</x:v>
      </x:c>
      <x:c r="F363" s="10" t="n">
        <x:f>IF(H363=1,E363/D363-1,"")</x:f>
        <x:v>0.0005203109800697714</x:v>
      </x:c>
      <x:c r="G363" s="10" t="n">
        <x:f>IF(H363=1,ABS(F363),"")</x:f>
        <x:v>0.0005203109800697714</x:v>
      </x:c>
      <x:c r="H363" s="2" t="n">
        <x:v>1</x:v>
      </x:c>
      <x:c r="I363" s="2" t="str">
        <x:v>AV.Clean!B615</x:v>
      </x:c>
      <x:c r="J363" s="2" t="str">
        <x:v>AV.Clean!B610</x:v>
      </x:c>
      <x:c r="K363" s="13" t="n">
        <x:v>45930.5</x:v>
      </x:c>
      <x:c r="L363" s="13" t="n">
        <x:v>45930.520833333336</x:v>
      </x:c>
    </x:row>
    <x:row r="364" ht="22" customHeight="1">
      <x:c r="A364" s="12" t="n">
        <x:v>45940</x:v>
      </x:c>
      <x:c r="B364" s="14" t="str">
        <x:v>12:30</x:v>
      </x:c>
      <x:c r="C364" s="12" t="n">
        <x:v>45931</x:v>
      </x:c>
      <x:c r="D364" s="9" t="n">
        <x:v>663.6824</x:v>
      </x:c>
      <x:c r="E364" s="9" t="n">
        <x:v>666.9</x:v>
      </x:c>
      <x:c r="F364" s="10" t="n">
        <x:f>IF(H364=1,E364/D364-1,"")</x:f>
        <x:v>0.004848102043989666</x:v>
      </x:c>
      <x:c r="G364" s="10" t="n">
        <x:f>IF(H364=1,ABS(F364),"")</x:f>
        <x:v>0.004848102043989666</x:v>
      </x:c>
      <x:c r="H364" s="2" t="n">
        <x:v>1</x:v>
      </x:c>
      <x:c r="I364" s="2" t="str">
        <x:v>AV.Clean!B601</x:v>
      </x:c>
      <x:c r="J364" s="2" t="str">
        <x:v>AV.Clean!B596</x:v>
      </x:c>
      <x:c r="K364" s="13" t="n">
        <x:v>45931.5</x:v>
      </x:c>
      <x:c r="L364" s="13" t="n">
        <x:v>45931.520833333336</x:v>
      </x:c>
    </x:row>
    <x:row r="365" ht="22" customHeight="1">
      <x:c r="A365" s="12" t="n">
        <x:v>45940</x:v>
      </x:c>
      <x:c r="B365" s="14" t="str">
        <x:v>12:30</x:v>
      </x:c>
      <x:c r="C365" s="12" t="n">
        <x:v>45932</x:v>
      </x:c>
      <x:c r="D365" s="9" t="n">
        <x:v>669.3</x:v>
      </x:c>
      <x:c r="E365" s="9" t="n">
        <x:v>668.1353</x:v>
      </x:c>
      <x:c r="F365" s="10" t="n">
        <x:f>IF(H365=1,E365/D365-1,"")</x:f>
        <x:v>-0.0017401763036006823</x:v>
      </x:c>
      <x:c r="G365" s="10" t="n">
        <x:f>IF(H365=1,ABS(F365),"")</x:f>
        <x:v>0.0017401763036006823</x:v>
      </x:c>
      <x:c r="H365" s="2" t="n">
        <x:v>1</x:v>
      </x:c>
      <x:c r="I365" s="2" t="str">
        <x:v>AV.Clean!B587</x:v>
      </x:c>
      <x:c r="J365" s="2" t="str">
        <x:v>AV.Clean!B582</x:v>
      </x:c>
      <x:c r="K365" s="13" t="n">
        <x:v>45932.5</x:v>
      </x:c>
      <x:c r="L365" s="13" t="n">
        <x:v>45932.520833333336</x:v>
      </x:c>
    </x:row>
    <x:row r="366" ht="22" customHeight="1">
      <x:c r="A366" s="12" t="n">
        <x:v>45940</x:v>
      </x:c>
      <x:c r="B366" s="14" t="str">
        <x:v>12:30</x:v>
      </x:c>
      <x:c r="C366" s="12" t="n">
        <x:v>45933</x:v>
      </x:c>
      <x:c r="D366" s="9" t="n">
        <x:v>670.67</x:v>
      </x:c>
      <x:c r="E366" s="9" t="n">
        <x:v>672.43</x:v>
      </x:c>
      <x:c r="F366" s="10" t="n">
        <x:f>IF(H366=1,E366/D366-1,"")</x:f>
        <x:v>0.00262424143021156</x:v>
      </x:c>
      <x:c r="G366" s="10" t="n">
        <x:f>IF(H366=1,ABS(F366),"")</x:f>
        <x:v>0.00262424143021156</x:v>
      </x:c>
      <x:c r="H366" s="2" t="n">
        <x:v>1</x:v>
      </x:c>
      <x:c r="I366" s="2" t="str">
        <x:v>AV.Clean!B573</x:v>
      </x:c>
      <x:c r="J366" s="2" t="str">
        <x:v>AV.Clean!B568</x:v>
      </x:c>
      <x:c r="K366" s="13" t="n">
        <x:v>45933.5</x:v>
      </x:c>
      <x:c r="L366" s="13" t="n">
        <x:v>45933.520833333336</x:v>
      </x:c>
    </x:row>
    <x:row r="367" ht="22" customHeight="1">
      <x:c r="A367" s="12" t="n">
        <x:v>45940</x:v>
      </x:c>
      <x:c r="B367" s="14" t="str">
        <x:v>12:30</x:v>
      </x:c>
      <x:c r="C367" s="12" t="n">
        <x:v>45936</x:v>
      </x:c>
      <x:c r="D367" s="9" t="n">
        <x:v>669.95</x:v>
      </x:c>
      <x:c r="E367" s="9" t="n">
        <x:v>671.8</x:v>
      </x:c>
      <x:c r="F367" s="10" t="n">
        <x:f>IF(H367=1,E367/D367-1,"")</x:f>
        <x:v>0.0027614001044853342</x:v>
      </x:c>
      <x:c r="G367" s="10" t="n">
        <x:f>IF(H367=1,ABS(F367),"")</x:f>
        <x:v>0.0027614001044853342</x:v>
      </x:c>
      <x:c r="H367" s="2" t="n">
        <x:v>1</x:v>
      </x:c>
      <x:c r="I367" s="2" t="str">
        <x:v>AV.Clean!B559</x:v>
      </x:c>
      <x:c r="J367" s="2" t="str">
        <x:v>AV.Clean!B554</x:v>
      </x:c>
      <x:c r="K367" s="13" t="n">
        <x:v>45936.5</x:v>
      </x:c>
      <x:c r="L367" s="13" t="n">
        <x:v>45936.520833333336</x:v>
      </x:c>
    </x:row>
    <x:row r="368" ht="22" customHeight="1">
      <x:c r="A368" s="12" t="n">
        <x:v>45940</x:v>
      </x:c>
      <x:c r="B368" s="14" t="str">
        <x:v>12:30</x:v>
      </x:c>
      <x:c r="C368" s="12" t="n">
        <x:v>45937</x:v>
      </x:c>
      <x:c r="D368" s="9" t="n">
        <x:v>672.095</x:v>
      </x:c>
      <x:c r="E368" s="9" t="n">
        <x:v>668.39</x:v>
      </x:c>
      <x:c r="F368" s="10" t="n">
        <x:f>IF(H368=1,E368/D368-1,"")</x:f>
        <x:v>-0.005512613544216283</x:v>
      </x:c>
      <x:c r="G368" s="10" t="n">
        <x:f>IF(H368=1,ABS(F368),"")</x:f>
        <x:v>0.005512613544216283</x:v>
      </x:c>
      <x:c r="H368" s="2" t="n">
        <x:v>1</x:v>
      </x:c>
      <x:c r="I368" s="2" t="str">
        <x:v>AV.Clean!B545</x:v>
      </x:c>
      <x:c r="J368" s="2" t="str">
        <x:v>AV.Clean!B540</x:v>
      </x:c>
      <x:c r="K368" s="13" t="n">
        <x:v>45937.5</x:v>
      </x:c>
      <x:c r="L368" s="13" t="n">
        <x:v>45937.520833333336</x:v>
      </x:c>
    </x:row>
    <x:row r="369" ht="22" customHeight="1">
      <x:c r="A369" s="12" t="n">
        <x:v>45940</x:v>
      </x:c>
      <x:c r="B369" s="14" t="str">
        <x:v>12:30</x:v>
      </x:c>
      <x:c r="C369" s="12" t="n">
        <x:v>45938</x:v>
      </x:c>
      <x:c r="D369" s="9" t="n">
        <x:v>670.385</x:v>
      </x:c>
      <x:c r="E369" s="9" t="n">
        <x:v>672.645</x:v>
      </x:c>
      <x:c r="F369" s="10" t="n">
        <x:f>IF(H369=1,E369/D369-1,"")</x:f>
        <x:v>0.0033711971479075675</x:v>
      </x:c>
      <x:c r="G369" s="10" t="n">
        <x:f>IF(H369=1,ABS(F369),"")</x:f>
        <x:v>0.0033711971479075675</x:v>
      </x:c>
      <x:c r="H369" s="2" t="n">
        <x:v>1</x:v>
      </x:c>
      <x:c r="I369" s="2" t="str">
        <x:v>AV.Clean!B531</x:v>
      </x:c>
      <x:c r="J369" s="2" t="str">
        <x:v>AV.Clean!B526</x:v>
      </x:c>
      <x:c r="K369" s="13" t="n">
        <x:v>45938.5</x:v>
      </x:c>
      <x:c r="L369" s="13" t="n">
        <x:v>45938.520833333336</x:v>
      </x:c>
    </x:row>
    <x:row r="370" ht="22" customHeight="1">
      <x:c r="A370" s="12" t="n">
        <x:v>45940</x:v>
      </x:c>
      <x:c r="B370" s="14" t="str">
        <x:v>12:30</x:v>
      </x:c>
      <x:c r="C370" s="12" t="n">
        <x:v>45939</x:v>
      </x:c>
      <x:c r="D370" s="9" t="n">
        <x:v>671.73</x:v>
      </x:c>
      <x:c r="E370" s="9" t="n">
        <x:v>670.965</x:v>
      </x:c>
      <x:c r="F370" s="10" t="n">
        <x:f>IF(H370=1,E370/D370-1,"")</x:f>
        <x:v>-0.0011388504309767233</x:v>
      </x:c>
      <x:c r="G370" s="10" t="n">
        <x:f>IF(H370=1,ABS(F370),"")</x:f>
        <x:v>0.0011388504309767233</x:v>
      </x:c>
      <x:c r="H370" s="2" t="n">
        <x:v>1</x:v>
      </x:c>
      <x:c r="I370" s="2" t="str">
        <x:v>AV.Clean!B517</x:v>
      </x:c>
      <x:c r="J370" s="2" t="str">
        <x:v>AV.Clean!B512</x:v>
      </x:c>
      <x:c r="K370" s="13" t="n">
        <x:v>45939.5</x:v>
      </x:c>
      <x:c r="L370" s="13" t="n">
        <x:v>45939.520833333336</x:v>
      </x:c>
    </x:row>
    <x:row r="371" ht="22" customHeight="1">
      <x:c r="A371" s="12" t="n">
        <x:v>45940</x:v>
      </x:c>
      <x:c r="B371" s="14" t="str">
        <x:v>13:00</x:v>
      </x:c>
      <x:c r="C371" s="12" t="n">
        <x:v>45922</x:v>
      </x:c>
      <x:c r="D371" s="9" t="n">
        <x:v>663.43</x:v>
      </x:c>
      <x:c r="E371" s="9" t="n">
        <x:v>666.405</x:v>
      </x:c>
      <x:c r="F371" s="10" t="n">
        <x:f>IF(H371=1,E371/D371-1,"")</x:f>
        <x:v>0.004484271136367068</x:v>
      </x:c>
      <x:c r="G371" s="10" t="n">
        <x:f>IF(H371=1,ABS(F371),"")</x:f>
        <x:v>0.004484271136367068</x:v>
      </x:c>
      <x:c r="H371" s="2" t="n">
        <x:v>1</x:v>
      </x:c>
      <x:c r="I371" s="2" t="str">
        <x:v>AV.Clean!B699</x:v>
      </x:c>
      <x:c r="J371" s="2" t="str">
        <x:v>AV.Clean!B693</x:v>
      </x:c>
      <x:c r="K371" s="13" t="n">
        <x:v>45922.520833333336</x:v>
      </x:c>
      <x:c r="L371" s="13" t="n">
        <x:v>45922.541666666664</x:v>
      </x:c>
    </x:row>
    <x:row r="372" ht="22" customHeight="1">
      <x:c r="A372" s="12" t="n">
        <x:v>45940</x:v>
      </x:c>
      <x:c r="B372" s="14" t="str">
        <x:v>13:00</x:v>
      </x:c>
      <x:c r="C372" s="12" t="n">
        <x:v>45923</x:v>
      </x:c>
      <x:c r="D372" s="9" t="n">
        <x:v>666.78</x:v>
      </x:c>
      <x:c r="E372" s="9" t="n">
        <x:v>665.14</x:v>
      </x:c>
      <x:c r="F372" s="10" t="n">
        <x:f>IF(H372=1,E372/D372-1,"")</x:f>
        <x:v>-0.0024595818710818618</x:v>
      </x:c>
      <x:c r="G372" s="10" t="n">
        <x:f>IF(H372=1,ABS(F372),"")</x:f>
        <x:v>0.0024595818710818618</x:v>
      </x:c>
      <x:c r="H372" s="2" t="n">
        <x:v>1</x:v>
      </x:c>
      <x:c r="I372" s="2" t="str">
        <x:v>AV.Clean!B685</x:v>
      </x:c>
      <x:c r="J372" s="2" t="str">
        <x:v>AV.Clean!B679</x:v>
      </x:c>
      <x:c r="K372" s="13" t="n">
        <x:v>45923.520833333336</x:v>
      </x:c>
      <x:c r="L372" s="13" t="n">
        <x:v>45923.541666666664</x:v>
      </x:c>
    </x:row>
    <x:row r="373" ht="22" customHeight="1">
      <x:c r="A373" s="12" t="n">
        <x:v>45940</x:v>
      </x:c>
      <x:c r="B373" s="14" t="str">
        <x:v>13:00</x:v>
      </x:c>
      <x:c r="C373" s="12" t="n">
        <x:v>45924</x:v>
      </x:c>
      <x:c r="D373" s="9" t="n">
        <x:v>663.015</x:v>
      </x:c>
      <x:c r="E373" s="9" t="n">
        <x:v>660.51</x:v>
      </x:c>
      <x:c r="F373" s="10" t="n">
        <x:f>IF(H373=1,E373/D373-1,"")</x:f>
        <x:v>-0.0037781950634601102</x:v>
      </x:c>
      <x:c r="G373" s="10" t="n">
        <x:f>IF(H373=1,ABS(F373),"")</x:f>
        <x:v>0.0037781950634601102</x:v>
      </x:c>
      <x:c r="H373" s="2" t="n">
        <x:v>1</x:v>
      </x:c>
      <x:c r="I373" s="2" t="str">
        <x:v>AV.Clean!B671</x:v>
      </x:c>
      <x:c r="J373" s="2" t="str">
        <x:v>AV.Clean!B665</x:v>
      </x:c>
      <x:c r="K373" s="13" t="n">
        <x:v>45924.520833333336</x:v>
      </x:c>
      <x:c r="L373" s="13" t="n">
        <x:v>45924.541666666664</x:v>
      </x:c>
    </x:row>
    <x:row r="374" ht="22" customHeight="1">
      <x:c r="A374" s="12" t="n">
        <x:v>45940</x:v>
      </x:c>
      <x:c r="B374" s="14" t="str">
        <x:v>13:00</x:v>
      </x:c>
      <x:c r="C374" s="12" t="n">
        <x:v>45925</x:v>
      </x:c>
      <x:c r="D374" s="9" t="n">
        <x:v>655.99</x:v>
      </x:c>
      <x:c r="E374" s="9" t="n">
        <x:v>657.775</x:v>
      </x:c>
      <x:c r="F374" s="10" t="n">
        <x:f>IF(H374=1,E374/D374-1,"")</x:f>
        <x:v>0.0027210780652142663</x:v>
      </x:c>
      <x:c r="G374" s="10" t="n">
        <x:f>IF(H374=1,ABS(F374),"")</x:f>
        <x:v>0.0027210780652142663</x:v>
      </x:c>
      <x:c r="H374" s="2" t="n">
        <x:v>1</x:v>
      </x:c>
      <x:c r="I374" s="2" t="str">
        <x:v>AV.Clean!B657</x:v>
      </x:c>
      <x:c r="J374" s="2" t="str">
        <x:v>AV.Clean!B651</x:v>
      </x:c>
      <x:c r="K374" s="13" t="n">
        <x:v>45925.520833333336</x:v>
      </x:c>
      <x:c r="L374" s="13" t="n">
        <x:v>45925.541666666664</x:v>
      </x:c>
    </x:row>
    <x:row r="375" ht="22" customHeight="1">
      <x:c r="A375" s="12" t="n">
        <x:v>45940</x:v>
      </x:c>
      <x:c r="B375" s="14" t="str">
        <x:v>13:00</x:v>
      </x:c>
      <x:c r="C375" s="12" t="n">
        <x:v>45926</x:v>
      </x:c>
      <x:c r="D375" s="9" t="n">
        <x:v>661.83</x:v>
      </x:c>
      <x:c r="E375" s="9" t="n">
        <x:v>661.29</x:v>
      </x:c>
      <x:c r="F375" s="10" t="n">
        <x:f>IF(H375=1,E375/D375-1,"")</x:f>
        <x:v>-0.0008159194959431737</x:v>
      </x:c>
      <x:c r="G375" s="10" t="n">
        <x:f>IF(H375=1,ABS(F375),"")</x:f>
        <x:v>0.0008159194959431737</x:v>
      </x:c>
      <x:c r="H375" s="2" t="n">
        <x:v>1</x:v>
      </x:c>
      <x:c r="I375" s="2" t="str">
        <x:v>AV.Clean!B643</x:v>
      </x:c>
      <x:c r="J375" s="2" t="str">
        <x:v>AV.Clean!B637</x:v>
      </x:c>
      <x:c r="K375" s="13" t="n">
        <x:v>45926.520833333336</x:v>
      </x:c>
      <x:c r="L375" s="13" t="n">
        <x:v>45926.541666666664</x:v>
      </x:c>
    </x:row>
    <x:row r="376" ht="22" customHeight="1">
      <x:c r="A376" s="12" t="n">
        <x:v>45940</x:v>
      </x:c>
      <x:c r="B376" s="14" t="str">
        <x:v>13:00</x:v>
      </x:c>
      <x:c r="C376" s="12" t="n">
        <x:v>45929</x:v>
      </x:c>
      <x:c r="D376" s="9" t="n">
        <x:v>664.61</x:v>
      </x:c>
      <x:c r="E376" s="9" t="n">
        <x:v>663.065</x:v>
      </x:c>
      <x:c r="F376" s="10" t="n">
        <x:f>IF(H376=1,E376/D376-1,"")</x:f>
        <x:v>-0.002324671611922735</x:v>
      </x:c>
      <x:c r="G376" s="10" t="n">
        <x:f>IF(H376=1,ABS(F376),"")</x:f>
        <x:v>0.002324671611922735</x:v>
      </x:c>
      <x:c r="H376" s="2" t="n">
        <x:v>1</x:v>
      </x:c>
      <x:c r="I376" s="2" t="str">
        <x:v>AV.Clean!B629</x:v>
      </x:c>
      <x:c r="J376" s="2" t="str">
        <x:v>AV.Clean!B623</x:v>
      </x:c>
      <x:c r="K376" s="13" t="n">
        <x:v>45929.520833333336</x:v>
      </x:c>
      <x:c r="L376" s="13" t="n">
        <x:v>45929.541666666664</x:v>
      </x:c>
    </x:row>
    <x:row r="377" ht="22" customHeight="1">
      <x:c r="A377" s="12" t="n">
        <x:v>45940</x:v>
      </x:c>
      <x:c r="B377" s="14" t="str">
        <x:v>13:00</x:v>
      </x:c>
      <x:c r="C377" s="12" t="n">
        <x:v>45930</x:v>
      </x:c>
      <x:c r="D377" s="9" t="n">
        <x:v>663.065</x:v>
      </x:c>
      <x:c r="E377" s="9" t="n">
        <x:v>662.78</x:v>
      </x:c>
      <x:c r="F377" s="10" t="n">
        <x:f>IF(H377=1,E377/D377-1,"")</x:f>
        <x:v>-0.0004298221139708014</x:v>
      </x:c>
      <x:c r="G377" s="10" t="n">
        <x:f>IF(H377=1,ABS(F377),"")</x:f>
        <x:v>0.0004298221139708014</x:v>
      </x:c>
      <x:c r="H377" s="2" t="n">
        <x:v>1</x:v>
      </x:c>
      <x:c r="I377" s="2" t="str">
        <x:v>AV.Clean!B615</x:v>
      </x:c>
      <x:c r="J377" s="2" t="str">
        <x:v>AV.Clean!B609</x:v>
      </x:c>
      <x:c r="K377" s="13" t="n">
        <x:v>45930.520833333336</x:v>
      </x:c>
      <x:c r="L377" s="13" t="n">
        <x:v>45930.541666666664</x:v>
      </x:c>
    </x:row>
    <x:row r="378" ht="22" customHeight="1">
      <x:c r="A378" s="12" t="n">
        <x:v>45940</x:v>
      </x:c>
      <x:c r="B378" s="14" t="str">
        <x:v>13:00</x:v>
      </x:c>
      <x:c r="C378" s="12" t="n">
        <x:v>45931</x:v>
      </x:c>
      <x:c r="D378" s="9" t="n">
        <x:v>663.6824</x:v>
      </x:c>
      <x:c r="E378" s="9" t="n">
        <x:v>666.91</x:v>
      </x:c>
      <x:c r="F378" s="10" t="n">
        <x:f>IF(H378=1,E378/D378-1,"")</x:f>
        <x:v>0.004863169491913455</x:v>
      </x:c>
      <x:c r="G378" s="10" t="n">
        <x:f>IF(H378=1,ABS(F378),"")</x:f>
        <x:v>0.004863169491913455</x:v>
      </x:c>
      <x:c r="H378" s="2" t="n">
        <x:v>1</x:v>
      </x:c>
      <x:c r="I378" s="2" t="str">
        <x:v>AV.Clean!B601</x:v>
      </x:c>
      <x:c r="J378" s="2" t="str">
        <x:v>AV.Clean!B595</x:v>
      </x:c>
      <x:c r="K378" s="13" t="n">
        <x:v>45931.520833333336</x:v>
      </x:c>
      <x:c r="L378" s="13" t="n">
        <x:v>45931.541666666664</x:v>
      </x:c>
    </x:row>
    <x:row r="379" ht="22" customHeight="1">
      <x:c r="A379" s="12" t="n">
        <x:v>45940</x:v>
      </x:c>
      <x:c r="B379" s="14" t="str">
        <x:v>13:00</x:v>
      </x:c>
      <x:c r="C379" s="12" t="n">
        <x:v>45932</x:v>
      </x:c>
      <x:c r="D379" s="9" t="n">
        <x:v>669.3</x:v>
      </x:c>
      <x:c r="E379" s="9" t="n">
        <x:v>668.37</x:v>
      </x:c>
      <x:c r="F379" s="10" t="n">
        <x:f>IF(H379=1,E379/D379-1,"")</x:f>
        <x:v>-0.0013895114298519973</x:v>
      </x:c>
      <x:c r="G379" s="10" t="n">
        <x:f>IF(H379=1,ABS(F379),"")</x:f>
        <x:v>0.0013895114298519973</x:v>
      </x:c>
      <x:c r="H379" s="2" t="n">
        <x:v>1</x:v>
      </x:c>
      <x:c r="I379" s="2" t="str">
        <x:v>AV.Clean!B587</x:v>
      </x:c>
      <x:c r="J379" s="2" t="str">
        <x:v>AV.Clean!B581</x:v>
      </x:c>
      <x:c r="K379" s="13" t="n">
        <x:v>45932.520833333336</x:v>
      </x:c>
      <x:c r="L379" s="13" t="n">
        <x:v>45932.541666666664</x:v>
      </x:c>
    </x:row>
    <x:row r="380" ht="22" customHeight="1">
      <x:c r="A380" s="12" t="n">
        <x:v>45940</x:v>
      </x:c>
      <x:c r="B380" s="14" t="str">
        <x:v>13:00</x:v>
      </x:c>
      <x:c r="C380" s="12" t="n">
        <x:v>45933</x:v>
      </x:c>
      <x:c r="D380" s="9" t="n">
        <x:v>670.67</x:v>
      </x:c>
      <x:c r="E380" s="9" t="n">
        <x:v>672.2</x:v>
      </x:c>
      <x:c r="F380" s="10" t="n">
        <x:f>IF(H380=1,E380/D380-1,"")</x:f>
        <x:v>0.0022813007887636516</x:v>
      </x:c>
      <x:c r="G380" s="10" t="n">
        <x:f>IF(H380=1,ABS(F380),"")</x:f>
        <x:v>0.0022813007887636516</x:v>
      </x:c>
      <x:c r="H380" s="2" t="n">
        <x:v>1</x:v>
      </x:c>
      <x:c r="I380" s="2" t="str">
        <x:v>AV.Clean!B573</x:v>
      </x:c>
      <x:c r="J380" s="2" t="str">
        <x:v>AV.Clean!B567</x:v>
      </x:c>
      <x:c r="K380" s="13" t="n">
        <x:v>45933.520833333336</x:v>
      </x:c>
      <x:c r="L380" s="13" t="n">
        <x:v>45933.541666666664</x:v>
      </x:c>
    </x:row>
    <x:row r="381" ht="22" customHeight="1">
      <x:c r="A381" s="12" t="n">
        <x:v>45940</x:v>
      </x:c>
      <x:c r="B381" s="14" t="str">
        <x:v>13:00</x:v>
      </x:c>
      <x:c r="C381" s="12" t="n">
        <x:v>45936</x:v>
      </x:c>
      <x:c r="D381" s="9" t="n">
        <x:v>669.95</x:v>
      </x:c>
      <x:c r="E381" s="9" t="n">
        <x:v>671.71</x:v>
      </x:c>
      <x:c r="F381" s="10" t="n">
        <x:f>IF(H381=1,E381/D381-1,"")</x:f>
        <x:v>0.0026270617210240044</x:v>
      </x:c>
      <x:c r="G381" s="10" t="n">
        <x:f>IF(H381=1,ABS(F381),"")</x:f>
        <x:v>0.0026270617210240044</x:v>
      </x:c>
      <x:c r="H381" s="2" t="n">
        <x:v>1</x:v>
      </x:c>
      <x:c r="I381" s="2" t="str">
        <x:v>AV.Clean!B559</x:v>
      </x:c>
      <x:c r="J381" s="2" t="str">
        <x:v>AV.Clean!B553</x:v>
      </x:c>
      <x:c r="K381" s="13" t="n">
        <x:v>45936.520833333336</x:v>
      </x:c>
      <x:c r="L381" s="13" t="n">
        <x:v>45936.541666666664</x:v>
      </x:c>
    </x:row>
    <x:row r="382" ht="22" customHeight="1">
      <x:c r="A382" s="12" t="n">
        <x:v>45940</x:v>
      </x:c>
      <x:c r="B382" s="14" t="str">
        <x:v>13:00</x:v>
      </x:c>
      <x:c r="C382" s="12" t="n">
        <x:v>45937</x:v>
      </x:c>
      <x:c r="D382" s="9" t="n">
        <x:v>672.095</x:v>
      </x:c>
      <x:c r="E382" s="9" t="n">
        <x:v>668.36</x:v>
      </x:c>
      <x:c r="F382" s="10" t="n">
        <x:f>IF(H382=1,E382/D382-1,"")</x:f>
        <x:v>-0.005557250091132948</x:v>
      </x:c>
      <x:c r="G382" s="10" t="n">
        <x:f>IF(H382=1,ABS(F382),"")</x:f>
        <x:v>0.005557250091132948</x:v>
      </x:c>
      <x:c r="H382" s="2" t="n">
        <x:v>1</x:v>
      </x:c>
      <x:c r="I382" s="2" t="str">
        <x:v>AV.Clean!B545</x:v>
      </x:c>
      <x:c r="J382" s="2" t="str">
        <x:v>AV.Clean!B539</x:v>
      </x:c>
      <x:c r="K382" s="13" t="n">
        <x:v>45937.520833333336</x:v>
      </x:c>
      <x:c r="L382" s="13" t="n">
        <x:v>45937.541666666664</x:v>
      </x:c>
    </x:row>
    <x:row r="383" ht="22" customHeight="1">
      <x:c r="A383" s="12" t="n">
        <x:v>45940</x:v>
      </x:c>
      <x:c r="B383" s="14" t="str">
        <x:v>13:00</x:v>
      </x:c>
      <x:c r="C383" s="12" t="n">
        <x:v>45938</x:v>
      </x:c>
      <x:c r="D383" s="9" t="n">
        <x:v>670.385</x:v>
      </x:c>
      <x:c r="E383" s="9" t="n">
        <x:v>672.72</x:v>
      </x:c>
      <x:c r="F383" s="10" t="n">
        <x:f>IF(H383=1,E383/D383-1,"")</x:f>
        <x:v>0.003483073159453287</x:v>
      </x:c>
      <x:c r="G383" s="10" t="n">
        <x:f>IF(H383=1,ABS(F383),"")</x:f>
        <x:v>0.003483073159453287</x:v>
      </x:c>
      <x:c r="H383" s="2" t="n">
        <x:v>1</x:v>
      </x:c>
      <x:c r="I383" s="2" t="str">
        <x:v>AV.Clean!B531</x:v>
      </x:c>
      <x:c r="J383" s="2" t="str">
        <x:v>AV.Clean!B525</x:v>
      </x:c>
      <x:c r="K383" s="13" t="n">
        <x:v>45938.520833333336</x:v>
      </x:c>
      <x:c r="L383" s="13" t="n">
        <x:v>45938.541666666664</x:v>
      </x:c>
    </x:row>
    <x:row r="384" ht="22" customHeight="1">
      <x:c r="A384" s="12" t="n">
        <x:v>45940</x:v>
      </x:c>
      <x:c r="B384" s="14" t="str">
        <x:v>13:00</x:v>
      </x:c>
      <x:c r="C384" s="12" t="n">
        <x:v>45939</x:v>
      </x:c>
      <x:c r="D384" s="9" t="n">
        <x:v>671.73</x:v>
      </x:c>
      <x:c r="E384" s="9" t="n">
        <x:v>669.76</x:v>
      </x:c>
      <x:c r="F384" s="10" t="n">
        <x:f>IF(H384=1,E384/D384-1,"")</x:f>
        <x:v>-0.002932725946436898</x:v>
      </x:c>
      <x:c r="G384" s="10" t="n">
        <x:f>IF(H384=1,ABS(F384),"")</x:f>
        <x:v>0.002932725946436898</x:v>
      </x:c>
      <x:c r="H384" s="2" t="n">
        <x:v>1</x:v>
      </x:c>
      <x:c r="I384" s="2" t="str">
        <x:v>AV.Clean!B517</x:v>
      </x:c>
      <x:c r="J384" s="2" t="str">
        <x:v>AV.Clean!B511</x:v>
      </x:c>
      <x:c r="K384" s="13" t="n">
        <x:v>45939.520833333336</x:v>
      </x:c>
      <x:c r="L384" s="13" t="n">
        <x:v>45939.541666666664</x:v>
      </x:c>
    </x:row>
    <x:row r="385" ht="22" customHeight="1">
      <x:c r="A385" s="12" t="n">
        <x:v>45940</x:v>
      </x:c>
      <x:c r="B385" s="14" t="str">
        <x:v>13:30</x:v>
      </x:c>
      <x:c r="C385" s="12" t="n">
        <x:v>45922</x:v>
      </x:c>
      <x:c r="D385" s="9" t="n">
        <x:v>663.43</x:v>
      </x:c>
      <x:c r="E385" s="9" t="n">
        <x:v>666.49</x:v>
      </x:c>
      <x:c r="F385" s="10" t="n">
        <x:f>IF(H385=1,E385/D385-1,"")</x:f>
        <x:v>0.004612393168834883</x:v>
      </x:c>
      <x:c r="G385" s="10" t="n">
        <x:f>IF(H385=1,ABS(F385),"")</x:f>
        <x:v>0.004612393168834883</x:v>
      </x:c>
      <x:c r="H385" s="2" t="n">
        <x:v>1</x:v>
      </x:c>
      <x:c r="I385" s="2" t="str">
        <x:v>AV.Clean!B699</x:v>
      </x:c>
      <x:c r="J385" s="2" t="str">
        <x:v>AV.Clean!B692</x:v>
      </x:c>
      <x:c r="K385" s="13" t="n">
        <x:v>45922.541666666664</x:v>
      </x:c>
      <x:c r="L385" s="13" t="n">
        <x:v>45922.5625</x:v>
      </x:c>
    </x:row>
    <x:row r="386" ht="22" customHeight="1">
      <x:c r="A386" s="12" t="n">
        <x:v>45940</x:v>
      </x:c>
      <x:c r="B386" s="14" t="str">
        <x:v>13:30</x:v>
      </x:c>
      <x:c r="C386" s="12" t="n">
        <x:v>45923</x:v>
      </x:c>
      <x:c r="D386" s="9" t="n">
        <x:v>666.78</x:v>
      </x:c>
      <x:c r="E386" s="9" t="n">
        <x:v>663.61</x:v>
      </x:c>
      <x:c r="F386" s="10" t="n">
        <x:f>IF(H386=1,E386/D386-1,"")</x:f>
        <x:v>-0.0047541917873961115</x:v>
      </x:c>
      <x:c r="G386" s="10" t="n">
        <x:f>IF(H386=1,ABS(F386),"")</x:f>
        <x:v>0.0047541917873961115</x:v>
      </x:c>
      <x:c r="H386" s="2" t="n">
        <x:v>1</x:v>
      </x:c>
      <x:c r="I386" s="2" t="str">
        <x:v>AV.Clean!B685</x:v>
      </x:c>
      <x:c r="J386" s="2" t="str">
        <x:v>AV.Clean!B678</x:v>
      </x:c>
      <x:c r="K386" s="13" t="n">
        <x:v>45923.541666666664</x:v>
      </x:c>
      <x:c r="L386" s="13" t="n">
        <x:v>45923.5625</x:v>
      </x:c>
    </x:row>
    <x:row r="387" ht="22" customHeight="1">
      <x:c r="A387" s="12" t="n">
        <x:v>45940</x:v>
      </x:c>
      <x:c r="B387" s="14" t="str">
        <x:v>13:30</x:v>
      </x:c>
      <x:c r="C387" s="12" t="n">
        <x:v>45924</x:v>
      </x:c>
      <x:c r="D387" s="9" t="n">
        <x:v>663.015</x:v>
      </x:c>
      <x:c r="E387" s="9" t="n">
        <x:v>661.38</x:v>
      </x:c>
      <x:c r="F387" s="10" t="n">
        <x:f>IF(H387=1,E387/D387-1,"")</x:f>
        <x:v>-0.0024660075563901485</x:v>
      </x:c>
      <x:c r="G387" s="10" t="n">
        <x:f>IF(H387=1,ABS(F387),"")</x:f>
        <x:v>0.0024660075563901485</x:v>
      </x:c>
      <x:c r="H387" s="2" t="n">
        <x:v>1</x:v>
      </x:c>
      <x:c r="I387" s="2" t="str">
        <x:v>AV.Clean!B671</x:v>
      </x:c>
      <x:c r="J387" s="2" t="str">
        <x:v>AV.Clean!B664</x:v>
      </x:c>
      <x:c r="K387" s="13" t="n">
        <x:v>45924.541666666664</x:v>
      </x:c>
      <x:c r="L387" s="13" t="n">
        <x:v>45924.5625</x:v>
      </x:c>
    </x:row>
    <x:row r="388" ht="22" customHeight="1">
      <x:c r="A388" s="12" t="n">
        <x:v>45940</x:v>
      </x:c>
      <x:c r="B388" s="14" t="str">
        <x:v>13:30</x:v>
      </x:c>
      <x:c r="C388" s="12" t="n">
        <x:v>45925</x:v>
      </x:c>
      <x:c r="D388" s="9" t="n">
        <x:v>655.99</x:v>
      </x:c>
      <x:c r="E388" s="9" t="n">
        <x:v>657.24</x:v>
      </x:c>
      <x:c r="F388" s="10" t="n">
        <x:f>IF(H388=1,E388/D388-1,"")</x:f>
        <x:v>0.0019055168523909316</x:v>
      </x:c>
      <x:c r="G388" s="10" t="n">
        <x:f>IF(H388=1,ABS(F388),"")</x:f>
        <x:v>0.0019055168523909316</x:v>
      </x:c>
      <x:c r="H388" s="2" t="n">
        <x:v>1</x:v>
      </x:c>
      <x:c r="I388" s="2" t="str">
        <x:v>AV.Clean!B657</x:v>
      </x:c>
      <x:c r="J388" s="2" t="str">
        <x:v>AV.Clean!B650</x:v>
      </x:c>
      <x:c r="K388" s="13" t="n">
        <x:v>45925.541666666664</x:v>
      </x:c>
      <x:c r="L388" s="13" t="n">
        <x:v>45925.5625</x:v>
      </x:c>
    </x:row>
    <x:row r="389" ht="22" customHeight="1">
      <x:c r="A389" s="12" t="n">
        <x:v>45940</x:v>
      </x:c>
      <x:c r="B389" s="14" t="str">
        <x:v>13:30</x:v>
      </x:c>
      <x:c r="C389" s="12" t="n">
        <x:v>45926</x:v>
      </x:c>
      <x:c r="D389" s="9" t="n">
        <x:v>661.83</x:v>
      </x:c>
      <x:c r="E389" s="9" t="n">
        <x:v>661.63</x:v>
      </x:c>
      <x:c r="F389" s="10" t="n">
        <x:f>IF(H389=1,E389/D389-1,"")</x:f>
        <x:v>-0.0003021924059048997</x:v>
      </x:c>
      <x:c r="G389" s="10" t="n">
        <x:f>IF(H389=1,ABS(F389),"")</x:f>
        <x:v>0.0003021924059048997</x:v>
      </x:c>
      <x:c r="H389" s="2" t="n">
        <x:v>1</x:v>
      </x:c>
      <x:c r="I389" s="2" t="str">
        <x:v>AV.Clean!B643</x:v>
      </x:c>
      <x:c r="J389" s="2" t="str">
        <x:v>AV.Clean!B636</x:v>
      </x:c>
      <x:c r="K389" s="13" t="n">
        <x:v>45926.541666666664</x:v>
      </x:c>
      <x:c r="L389" s="13" t="n">
        <x:v>45926.5625</x:v>
      </x:c>
    </x:row>
    <x:row r="390" ht="22" customHeight="1">
      <x:c r="A390" s="12" t="n">
        <x:v>45940</x:v>
      </x:c>
      <x:c r="B390" s="14" t="str">
        <x:v>13:30</x:v>
      </x:c>
      <x:c r="C390" s="12" t="n">
        <x:v>45929</x:v>
      </x:c>
      <x:c r="D390" s="9" t="n">
        <x:v>664.61</x:v>
      </x:c>
      <x:c r="E390" s="9" t="n">
        <x:v>662.56</x:v>
      </x:c>
      <x:c r="F390" s="10" t="n">
        <x:f>IF(H390=1,E390/D390-1,"")</x:f>
        <x:v>-0.0030845157310303017</x:v>
      </x:c>
      <x:c r="G390" s="10" t="n">
        <x:f>IF(H390=1,ABS(F390),"")</x:f>
        <x:v>0.0030845157310303017</x:v>
      </x:c>
      <x:c r="H390" s="2" t="n">
        <x:v>1</x:v>
      </x:c>
      <x:c r="I390" s="2" t="str">
        <x:v>AV.Clean!B629</x:v>
      </x:c>
      <x:c r="J390" s="2" t="str">
        <x:v>AV.Clean!B622</x:v>
      </x:c>
      <x:c r="K390" s="13" t="n">
        <x:v>45929.541666666664</x:v>
      </x:c>
      <x:c r="L390" s="13" t="n">
        <x:v>45929.5625</x:v>
      </x:c>
    </x:row>
    <x:row r="391" ht="22" customHeight="1">
      <x:c r="A391" s="12" t="n">
        <x:v>45940</x:v>
      </x:c>
      <x:c r="B391" s="14" t="str">
        <x:v>13:30</x:v>
      </x:c>
      <x:c r="C391" s="12" t="n">
        <x:v>45930</x:v>
      </x:c>
      <x:c r="D391" s="9" t="n">
        <x:v>663.065</x:v>
      </x:c>
      <x:c r="E391" s="9" t="n">
        <x:v>662.06</x:v>
      </x:c>
      <x:c r="F391" s="10" t="n">
        <x:f>IF(H391=1,E391/D391-1,"")</x:f>
        <x:v>-0.0015156885071601067</x:v>
      </x:c>
      <x:c r="G391" s="10" t="n">
        <x:f>IF(H391=1,ABS(F391),"")</x:f>
        <x:v>0.0015156885071601067</x:v>
      </x:c>
      <x:c r="H391" s="2" t="n">
        <x:v>1</x:v>
      </x:c>
      <x:c r="I391" s="2" t="str">
        <x:v>AV.Clean!B615</x:v>
      </x:c>
      <x:c r="J391" s="2" t="str">
        <x:v>AV.Clean!B608</x:v>
      </x:c>
      <x:c r="K391" s="13" t="n">
        <x:v>45930.541666666664</x:v>
      </x:c>
      <x:c r="L391" s="13" t="n">
        <x:v>45930.5625</x:v>
      </x:c>
    </x:row>
    <x:row r="392" ht="22" customHeight="1">
      <x:c r="A392" s="12" t="n">
        <x:v>45940</x:v>
      </x:c>
      <x:c r="B392" s="14" t="str">
        <x:v>13:30</x:v>
      </x:c>
      <x:c r="C392" s="12" t="n">
        <x:v>45931</x:v>
      </x:c>
      <x:c r="D392" s="9" t="n">
        <x:v>663.6824</x:v>
      </x:c>
      <x:c r="E392" s="9" t="n">
        <x:v>667.9987</x:v>
      </x:c>
      <x:c r="F392" s="10" t="n">
        <x:f>IF(H392=1,E392/D392-1,"")</x:f>
        <x:v>0.006503562547387043</x:v>
      </x:c>
      <x:c r="G392" s="10" t="n">
        <x:f>IF(H392=1,ABS(F392),"")</x:f>
        <x:v>0.006503562547387043</x:v>
      </x:c>
      <x:c r="H392" s="2" t="n">
        <x:v>1</x:v>
      </x:c>
      <x:c r="I392" s="2" t="str">
        <x:v>AV.Clean!B601</x:v>
      </x:c>
      <x:c r="J392" s="2" t="str">
        <x:v>AV.Clean!B594</x:v>
      </x:c>
      <x:c r="K392" s="13" t="n">
        <x:v>45931.541666666664</x:v>
      </x:c>
      <x:c r="L392" s="13" t="n">
        <x:v>45931.5625</x:v>
      </x:c>
    </x:row>
    <x:row r="393" ht="22" customHeight="1">
      <x:c r="A393" s="12" t="n">
        <x:v>45940</x:v>
      </x:c>
      <x:c r="B393" s="14" t="str">
        <x:v>13:30</x:v>
      </x:c>
      <x:c r="C393" s="12" t="n">
        <x:v>45932</x:v>
      </x:c>
      <x:c r="D393" s="9" t="n">
        <x:v>669.3</x:v>
      </x:c>
      <x:c r="E393" s="9" t="n">
        <x:v>668.495</x:v>
      </x:c>
      <x:c r="F393" s="10" t="n">
        <x:f>IF(H393=1,E393/D393-1,"")</x:f>
        <x:v>-0.0012027491408933555</x:v>
      </x:c>
      <x:c r="G393" s="10" t="n">
        <x:f>IF(H393=1,ABS(F393),"")</x:f>
        <x:v>0.0012027491408933555</x:v>
      </x:c>
      <x:c r="H393" s="2" t="n">
        <x:v>1</x:v>
      </x:c>
      <x:c r="I393" s="2" t="str">
        <x:v>AV.Clean!B587</x:v>
      </x:c>
      <x:c r="J393" s="2" t="str">
        <x:v>AV.Clean!B580</x:v>
      </x:c>
      <x:c r="K393" s="13" t="n">
        <x:v>45932.541666666664</x:v>
      </x:c>
      <x:c r="L393" s="13" t="n">
        <x:v>45932.5625</x:v>
      </x:c>
    </x:row>
    <x:row r="394" ht="22" customHeight="1">
      <x:c r="A394" s="12" t="n">
        <x:v>45940</x:v>
      </x:c>
      <x:c r="B394" s="14" t="str">
        <x:v>13:30</x:v>
      </x:c>
      <x:c r="C394" s="12" t="n">
        <x:v>45933</x:v>
      </x:c>
      <x:c r="D394" s="9" t="n">
        <x:v>670.67</x:v>
      </x:c>
      <x:c r="E394" s="9" t="n">
        <x:v>670.265</x:v>
      </x:c>
      <x:c r="F394" s="10" t="n">
        <x:f>IF(H394=1,E394/D394-1,"")</x:f>
        <x:v>-0.000603873738202032</x:v>
      </x:c>
      <x:c r="G394" s="10" t="n">
        <x:f>IF(H394=1,ABS(F394),"")</x:f>
        <x:v>0.000603873738202032</x:v>
      </x:c>
      <x:c r="H394" s="2" t="n">
        <x:v>1</x:v>
      </x:c>
      <x:c r="I394" s="2" t="str">
        <x:v>AV.Clean!B573</x:v>
      </x:c>
      <x:c r="J394" s="2" t="str">
        <x:v>AV.Clean!B566</x:v>
      </x:c>
      <x:c r="K394" s="13" t="n">
        <x:v>45933.541666666664</x:v>
      </x:c>
      <x:c r="L394" s="13" t="n">
        <x:v>45933.5625</x:v>
      </x:c>
    </x:row>
    <x:row r="395" ht="22" customHeight="1">
      <x:c r="A395" s="12" t="n">
        <x:v>45940</x:v>
      </x:c>
      <x:c r="B395" s="14" t="str">
        <x:v>13:30</x:v>
      </x:c>
      <x:c r="C395" s="12" t="n">
        <x:v>45936</x:v>
      </x:c>
      <x:c r="D395" s="9" t="n">
        <x:v>669.95</x:v>
      </x:c>
      <x:c r="E395" s="9" t="n">
        <x:v>672.08</x:v>
      </x:c>
      <x:c r="F395" s="10" t="n">
        <x:f>IF(H395=1,E395/D395-1,"")</x:f>
        <x:v>0.003179341741921027</x:v>
      </x:c>
      <x:c r="G395" s="10" t="n">
        <x:f>IF(H395=1,ABS(F395),"")</x:f>
        <x:v>0.003179341741921027</x:v>
      </x:c>
      <x:c r="H395" s="2" t="n">
        <x:v>1</x:v>
      </x:c>
      <x:c r="I395" s="2" t="str">
        <x:v>AV.Clean!B559</x:v>
      </x:c>
      <x:c r="J395" s="2" t="str">
        <x:v>AV.Clean!B552</x:v>
      </x:c>
      <x:c r="K395" s="13" t="n">
        <x:v>45936.541666666664</x:v>
      </x:c>
      <x:c r="L395" s="13" t="n">
        <x:v>45936.5625</x:v>
      </x:c>
    </x:row>
    <x:row r="396" ht="22" customHeight="1">
      <x:c r="A396" s="12" t="n">
        <x:v>45940</x:v>
      </x:c>
      <x:c r="B396" s="14" t="str">
        <x:v>13:30</x:v>
      </x:c>
      <x:c r="C396" s="12" t="n">
        <x:v>45937</x:v>
      </x:c>
      <x:c r="D396" s="9" t="n">
        <x:v>672.095</x:v>
      </x:c>
      <x:c r="E396" s="9" t="n">
        <x:v>668.92</x:v>
      </x:c>
      <x:c r="F396" s="10" t="n">
        <x:f>IF(H396=1,E396/D396-1,"")</x:f>
        <x:v>-0.004724034548687417</x:v>
      </x:c>
      <x:c r="G396" s="10" t="n">
        <x:f>IF(H396=1,ABS(F396),"")</x:f>
        <x:v>0.004724034548687417</x:v>
      </x:c>
      <x:c r="H396" s="2" t="n">
        <x:v>1</x:v>
      </x:c>
      <x:c r="I396" s="2" t="str">
        <x:v>AV.Clean!B545</x:v>
      </x:c>
      <x:c r="J396" s="2" t="str">
        <x:v>AV.Clean!B538</x:v>
      </x:c>
      <x:c r="K396" s="13" t="n">
        <x:v>45937.541666666664</x:v>
      </x:c>
      <x:c r="L396" s="13" t="n">
        <x:v>45937.5625</x:v>
      </x:c>
    </x:row>
    <x:row r="397" ht="22" customHeight="1">
      <x:c r="A397" s="12" t="n">
        <x:v>45940</x:v>
      </x:c>
      <x:c r="B397" s="14" t="str">
        <x:v>13:30</x:v>
      </x:c>
      <x:c r="C397" s="12" t="n">
        <x:v>45938</x:v>
      </x:c>
      <x:c r="D397" s="9" t="n">
        <x:v>670.385</x:v>
      </x:c>
      <x:c r="E397" s="9" t="n">
        <x:v>672.915</x:v>
      </x:c>
      <x:c r="F397" s="10" t="n">
        <x:f>IF(H397=1,E397/D397-1,"")</x:f>
        <x:v>0.003773950789471625</x:v>
      </x:c>
      <x:c r="G397" s="10" t="n">
        <x:f>IF(H397=1,ABS(F397),"")</x:f>
        <x:v>0.003773950789471625</x:v>
      </x:c>
      <x:c r="H397" s="2" t="n">
        <x:v>1</x:v>
      </x:c>
      <x:c r="I397" s="2" t="str">
        <x:v>AV.Clean!B531</x:v>
      </x:c>
      <x:c r="J397" s="2" t="str">
        <x:v>AV.Clean!B524</x:v>
      </x:c>
      <x:c r="K397" s="13" t="n">
        <x:v>45938.541666666664</x:v>
      </x:c>
      <x:c r="L397" s="13" t="n">
        <x:v>45938.5625</x:v>
      </x:c>
    </x:row>
    <x:row r="398" ht="22" customHeight="1">
      <x:c r="A398" s="12" t="n">
        <x:v>45940</x:v>
      </x:c>
      <x:c r="B398" s="14" t="str">
        <x:v>13:30</x:v>
      </x:c>
      <x:c r="C398" s="12" t="n">
        <x:v>45939</x:v>
      </x:c>
      <x:c r="D398" s="9" t="n">
        <x:v>671.73</x:v>
      </x:c>
      <x:c r="E398" s="9" t="n">
        <x:v>669.47</x:v>
      </x:c>
      <x:c r="F398" s="10" t="n">
        <x:f>IF(H398=1,E398/D398-1,"")</x:f>
        <x:v>-0.0033644470248462843</x:v>
      </x:c>
      <x:c r="G398" s="10" t="n">
        <x:f>IF(H398=1,ABS(F398),"")</x:f>
        <x:v>0.0033644470248462843</x:v>
      </x:c>
      <x:c r="H398" s="2" t="n">
        <x:v>1</x:v>
      </x:c>
      <x:c r="I398" s="2" t="str">
        <x:v>AV.Clean!B517</x:v>
      </x:c>
      <x:c r="J398" s="2" t="str">
        <x:v>AV.Clean!B510</x:v>
      </x:c>
      <x:c r="K398" s="13" t="n">
        <x:v>45939.541666666664</x:v>
      </x:c>
      <x:c r="L398" s="13" t="n">
        <x:v>45939.5625</x:v>
      </x:c>
    </x:row>
    <x:row r="399" ht="22" customHeight="1">
      <x:c r="A399" s="12" t="n">
        <x:v>45940</x:v>
      </x:c>
      <x:c r="B399" s="14" t="str">
        <x:v>14:00</x:v>
      </x:c>
      <x:c r="C399" s="12" t="n">
        <x:v>45922</x:v>
      </x:c>
      <x:c r="D399" s="9" t="n">
        <x:v>663.43</x:v>
      </x:c>
      <x:c r="E399" s="9" t="n">
        <x:v>666.36</x:v>
      </x:c>
      <x:c r="F399" s="10" t="n">
        <x:f>IF(H399=1,E399/D399-1,"")</x:f>
        <x:v>0.004416441825060735</x:v>
      </x:c>
      <x:c r="G399" s="10" t="n">
        <x:f>IF(H399=1,ABS(F399),"")</x:f>
        <x:v>0.004416441825060735</x:v>
      </x:c>
      <x:c r="H399" s="2" t="n">
        <x:v>1</x:v>
      </x:c>
      <x:c r="I399" s="2" t="str">
        <x:v>AV.Clean!B699</x:v>
      </x:c>
      <x:c r="J399" s="2" t="str">
        <x:v>AV.Clean!B691</x:v>
      </x:c>
      <x:c r="K399" s="13" t="n">
        <x:v>45922.5625</x:v>
      </x:c>
      <x:c r="L399" s="13" t="n">
        <x:v>45922.583333333336</x:v>
      </x:c>
    </x:row>
    <x:row r="400" ht="22" customHeight="1">
      <x:c r="A400" s="12" t="n">
        <x:v>45940</x:v>
      </x:c>
      <x:c r="B400" s="14" t="str">
        <x:v>14:00</x:v>
      </x:c>
      <x:c r="C400" s="12" t="n">
        <x:v>45923</x:v>
      </x:c>
      <x:c r="D400" s="9" t="n">
        <x:v>666.78</x:v>
      </x:c>
      <x:c r="E400" s="9" t="n">
        <x:v>663.21</x:v>
      </x:c>
      <x:c r="F400" s="10" t="n">
        <x:f>IF(H400=1,E400/D400-1,"")</x:f>
        <x:v>-0.005354089804733064</x:v>
      </x:c>
      <x:c r="G400" s="10" t="n">
        <x:f>IF(H400=1,ABS(F400),"")</x:f>
        <x:v>0.005354089804733064</x:v>
      </x:c>
      <x:c r="H400" s="2" t="n">
        <x:v>1</x:v>
      </x:c>
      <x:c r="I400" s="2" t="str">
        <x:v>AV.Clean!B685</x:v>
      </x:c>
      <x:c r="J400" s="2" t="str">
        <x:v>AV.Clean!B677</x:v>
      </x:c>
      <x:c r="K400" s="13" t="n">
        <x:v>45923.5625</x:v>
      </x:c>
      <x:c r="L400" s="13" t="n">
        <x:v>45923.583333333336</x:v>
      </x:c>
    </x:row>
    <x:row r="401" ht="22" customHeight="1">
      <x:c r="A401" s="12" t="n">
        <x:v>45940</x:v>
      </x:c>
      <x:c r="B401" s="14" t="str">
        <x:v>14:00</x:v>
      </x:c>
      <x:c r="C401" s="12" t="n">
        <x:v>45924</x:v>
      </x:c>
      <x:c r="D401" s="9" t="n">
        <x:v>663.015</x:v>
      </x:c>
      <x:c r="E401" s="9" t="n">
        <x:v>660.54</x:v>
      </x:c>
      <x:c r="F401" s="10" t="n">
        <x:f>IF(H401=1,E401/D401-1,"")</x:f>
        <x:v>-0.0037329472183887935</x:v>
      </x:c>
      <x:c r="G401" s="10" t="n">
        <x:f>IF(H401=1,ABS(F401),"")</x:f>
        <x:v>0.0037329472183887935</x:v>
      </x:c>
      <x:c r="H401" s="2" t="n">
        <x:v>1</x:v>
      </x:c>
      <x:c r="I401" s="2" t="str">
        <x:v>AV.Clean!B671</x:v>
      </x:c>
      <x:c r="J401" s="2" t="str">
        <x:v>AV.Clean!B663</x:v>
      </x:c>
      <x:c r="K401" s="13" t="n">
        <x:v>45924.5625</x:v>
      </x:c>
      <x:c r="L401" s="13" t="n">
        <x:v>45924.583333333336</x:v>
      </x:c>
    </x:row>
    <x:row r="402" ht="22" customHeight="1">
      <x:c r="A402" s="12" t="n">
        <x:v>45940</x:v>
      </x:c>
      <x:c r="B402" s="14" t="str">
        <x:v>14:00</x:v>
      </x:c>
      <x:c r="C402" s="12" t="n">
        <x:v>45925</x:v>
      </x:c>
      <x:c r="D402" s="9" t="n">
        <x:v>655.99</x:v>
      </x:c>
      <x:c r="E402" s="9" t="n">
        <x:v>655.565</x:v>
      </x:c>
      <x:c r="F402" s="10" t="n">
        <x:f>IF(H402=1,E402/D402-1,"")</x:f>
        <x:v>-0.0006478757298128413</x:v>
      </x:c>
      <x:c r="G402" s="10" t="n">
        <x:f>IF(H402=1,ABS(F402),"")</x:f>
        <x:v>0.0006478757298128413</x:v>
      </x:c>
      <x:c r="H402" s="2" t="n">
        <x:v>1</x:v>
      </x:c>
      <x:c r="I402" s="2" t="str">
        <x:v>AV.Clean!B657</x:v>
      </x:c>
      <x:c r="J402" s="2" t="str">
        <x:v>AV.Clean!B649</x:v>
      </x:c>
      <x:c r="K402" s="13" t="n">
        <x:v>45925.5625</x:v>
      </x:c>
      <x:c r="L402" s="13" t="n">
        <x:v>45925.583333333336</x:v>
      </x:c>
    </x:row>
    <x:row r="403" ht="22" customHeight="1">
      <x:c r="A403" s="12" t="n">
        <x:v>45940</x:v>
      </x:c>
      <x:c r="B403" s="14" t="str">
        <x:v>14:00</x:v>
      </x:c>
      <x:c r="C403" s="12" t="n">
        <x:v>45926</x:v>
      </x:c>
      <x:c r="D403" s="9" t="n">
        <x:v>661.83</x:v>
      </x:c>
      <x:c r="E403" s="9" t="n">
        <x:v>661.33</x:v>
      </x:c>
      <x:c r="F403" s="10" t="n">
        <x:f>IF(H403=1,E403/D403-1,"")</x:f>
        <x:v>-0.0007554810147620827</x:v>
      </x:c>
      <x:c r="G403" s="10" t="n">
        <x:f>IF(H403=1,ABS(F403),"")</x:f>
        <x:v>0.0007554810147620827</x:v>
      </x:c>
      <x:c r="H403" s="2" t="n">
        <x:v>1</x:v>
      </x:c>
      <x:c r="I403" s="2" t="str">
        <x:v>AV.Clean!B643</x:v>
      </x:c>
      <x:c r="J403" s="2" t="str">
        <x:v>AV.Clean!B635</x:v>
      </x:c>
      <x:c r="K403" s="13" t="n">
        <x:v>45926.5625</x:v>
      </x:c>
      <x:c r="L403" s="13" t="n">
        <x:v>45926.583333333336</x:v>
      </x:c>
    </x:row>
    <x:row r="404" ht="22" customHeight="1">
      <x:c r="A404" s="12" t="n">
        <x:v>45940</x:v>
      </x:c>
      <x:c r="B404" s="14" t="str">
        <x:v>14:00</x:v>
      </x:c>
      <x:c r="C404" s="12" t="n">
        <x:v>45929</x:v>
      </x:c>
      <x:c r="D404" s="9" t="n">
        <x:v>664.61</x:v>
      </x:c>
      <x:c r="E404" s="9" t="n">
        <x:v>662.96</x:v>
      </x:c>
      <x:c r="F404" s="10" t="n">
        <x:f>IF(H404=1,E404/D404-1,"")</x:f>
        <x:v>-0.0024826590030242457</x:v>
      </x:c>
      <x:c r="G404" s="10" t="n">
        <x:f>IF(H404=1,ABS(F404),"")</x:f>
        <x:v>0.0024826590030242457</x:v>
      </x:c>
      <x:c r="H404" s="2" t="n">
        <x:v>1</x:v>
      </x:c>
      <x:c r="I404" s="2" t="str">
        <x:v>AV.Clean!B629</x:v>
      </x:c>
      <x:c r="J404" s="2" t="str">
        <x:v>AV.Clean!B621</x:v>
      </x:c>
      <x:c r="K404" s="13" t="n">
        <x:v>45929.5625</x:v>
      </x:c>
      <x:c r="L404" s="13" t="n">
        <x:v>45929.583333333336</x:v>
      </x:c>
    </x:row>
    <x:row r="405" ht="22" customHeight="1">
      <x:c r="A405" s="12" t="n">
        <x:v>45940</x:v>
      </x:c>
      <x:c r="B405" s="14" t="str">
        <x:v>14:00</x:v>
      </x:c>
      <x:c r="C405" s="12" t="n">
        <x:v>45930</x:v>
      </x:c>
      <x:c r="D405" s="9" t="n">
        <x:v>663.065</x:v>
      </x:c>
      <x:c r="E405" s="9" t="n">
        <x:v>662.51</x:v>
      </x:c>
      <x:c r="F405" s="10" t="n">
        <x:f>IF(H405=1,E405/D405-1,"")</x:f>
        <x:v>-0.000837022011416777</x:v>
      </x:c>
      <x:c r="G405" s="10" t="n">
        <x:f>IF(H405=1,ABS(F405),"")</x:f>
        <x:v>0.000837022011416777</x:v>
      </x:c>
      <x:c r="H405" s="2" t="n">
        <x:v>1</x:v>
      </x:c>
      <x:c r="I405" s="2" t="str">
        <x:v>AV.Clean!B615</x:v>
      </x:c>
      <x:c r="J405" s="2" t="str">
        <x:v>AV.Clean!B607</x:v>
      </x:c>
      <x:c r="K405" s="13" t="n">
        <x:v>45930.5625</x:v>
      </x:c>
      <x:c r="L405" s="13" t="n">
        <x:v>45930.583333333336</x:v>
      </x:c>
    </x:row>
    <x:row r="406" ht="22" customHeight="1">
      <x:c r="A406" s="12" t="n">
        <x:v>45940</x:v>
      </x:c>
      <x:c r="B406" s="14" t="str">
        <x:v>14:00</x:v>
      </x:c>
      <x:c r="C406" s="12" t="n">
        <x:v>45931</x:v>
      </x:c>
      <x:c r="D406" s="9" t="n">
        <x:v>663.6824</x:v>
      </x:c>
      <x:c r="E406" s="9" t="n">
        <x:v>667.952</x:v>
      </x:c>
      <x:c r="F406" s="10" t="n">
        <x:f>IF(H406=1,E406/D406-1,"")</x:f>
        <x:v>0.006433197565582471</x:v>
      </x:c>
      <x:c r="G406" s="10" t="n">
        <x:f>IF(H406=1,ABS(F406),"")</x:f>
        <x:v>0.006433197565582471</x:v>
      </x:c>
      <x:c r="H406" s="2" t="n">
        <x:v>1</x:v>
      </x:c>
      <x:c r="I406" s="2" t="str">
        <x:v>AV.Clean!B601</x:v>
      </x:c>
      <x:c r="J406" s="2" t="str">
        <x:v>AV.Clean!B593</x:v>
      </x:c>
      <x:c r="K406" s="13" t="n">
        <x:v>45931.5625</x:v>
      </x:c>
      <x:c r="L406" s="13" t="n">
        <x:v>45931.583333333336</x:v>
      </x:c>
    </x:row>
    <x:row r="407" ht="22" customHeight="1">
      <x:c r="A407" s="12" t="n">
        <x:v>45940</x:v>
      </x:c>
      <x:c r="B407" s="14" t="str">
        <x:v>14:00</x:v>
      </x:c>
      <x:c r="C407" s="12" t="n">
        <x:v>45932</x:v>
      </x:c>
      <x:c r="D407" s="9" t="n">
        <x:v>669.3</x:v>
      </x:c>
      <x:c r="E407" s="9" t="n">
        <x:v>668.895</x:v>
      </x:c>
      <x:c r="F407" s="10" t="n">
        <x:f>IF(H407=1,E407/D407-1,"")</x:f>
        <x:v>-0.0006051098162258572</x:v>
      </x:c>
      <x:c r="G407" s="10" t="n">
        <x:f>IF(H407=1,ABS(F407),"")</x:f>
        <x:v>0.0006051098162258572</x:v>
      </x:c>
      <x:c r="H407" s="2" t="n">
        <x:v>1</x:v>
      </x:c>
      <x:c r="I407" s="2" t="str">
        <x:v>AV.Clean!B587</x:v>
      </x:c>
      <x:c r="J407" s="2" t="str">
        <x:v>AV.Clean!B579</x:v>
      </x:c>
      <x:c r="K407" s="13" t="n">
        <x:v>45932.5625</x:v>
      </x:c>
      <x:c r="L407" s="13" t="n">
        <x:v>45932.583333333336</x:v>
      </x:c>
    </x:row>
    <x:row r="408" ht="22" customHeight="1">
      <x:c r="A408" s="12" t="n">
        <x:v>45940</x:v>
      </x:c>
      <x:c r="B408" s="14" t="str">
        <x:v>14:00</x:v>
      </x:c>
      <x:c r="C408" s="12" t="n">
        <x:v>45933</x:v>
      </x:c>
      <x:c r="D408" s="9" t="n">
        <x:v>670.67</x:v>
      </x:c>
      <x:c r="E408" s="9" t="n">
        <x:v>669.24</x:v>
      </x:c>
      <x:c r="F408" s="10" t="n">
        <x:f>IF(H408=1,E408/D408-1,"")</x:f>
        <x:v>-0.002132196162046851</x:v>
      </x:c>
      <x:c r="G408" s="10" t="n">
        <x:f>IF(H408=1,ABS(F408),"")</x:f>
        <x:v>0.002132196162046851</x:v>
      </x:c>
      <x:c r="H408" s="2" t="n">
        <x:v>1</x:v>
      </x:c>
      <x:c r="I408" s="2" t="str">
        <x:v>AV.Clean!B573</x:v>
      </x:c>
      <x:c r="J408" s="2" t="str">
        <x:v>AV.Clean!B565</x:v>
      </x:c>
      <x:c r="K408" s="13" t="n">
        <x:v>45933.5625</x:v>
      </x:c>
      <x:c r="L408" s="13" t="n">
        <x:v>45933.583333333336</x:v>
      </x:c>
    </x:row>
    <x:row r="409" ht="22" customHeight="1">
      <x:c r="A409" s="12" t="n">
        <x:v>45940</x:v>
      </x:c>
      <x:c r="B409" s="14" t="str">
        <x:v>14:00</x:v>
      </x:c>
      <x:c r="C409" s="12" t="n">
        <x:v>45936</x:v>
      </x:c>
      <x:c r="D409" s="9" t="n">
        <x:v>669.95</x:v>
      </x:c>
      <x:c r="E409" s="9" t="n">
        <x:v>672.28</x:v>
      </x:c>
      <x:c r="F409" s="10" t="n">
        <x:f>IF(H409=1,E409/D409-1,"")</x:f>
        <x:v>0.0034778714829464263</x:v>
      </x:c>
      <x:c r="G409" s="10" t="n">
        <x:f>IF(H409=1,ABS(F409),"")</x:f>
        <x:v>0.0034778714829464263</x:v>
      </x:c>
      <x:c r="H409" s="2" t="n">
        <x:v>1</x:v>
      </x:c>
      <x:c r="I409" s="2" t="str">
        <x:v>AV.Clean!B559</x:v>
      </x:c>
      <x:c r="J409" s="2" t="str">
        <x:v>AV.Clean!B551</x:v>
      </x:c>
      <x:c r="K409" s="13" t="n">
        <x:v>45936.5625</x:v>
      </x:c>
      <x:c r="L409" s="13" t="n">
        <x:v>45936.583333333336</x:v>
      </x:c>
    </x:row>
    <x:row r="410" ht="22" customHeight="1">
      <x:c r="A410" s="12" t="n">
        <x:v>45940</x:v>
      </x:c>
      <x:c r="B410" s="14" t="str">
        <x:v>14:00</x:v>
      </x:c>
      <x:c r="C410" s="12" t="n">
        <x:v>45937</x:v>
      </x:c>
      <x:c r="D410" s="9" t="n">
        <x:v>672.095</x:v>
      </x:c>
      <x:c r="E410" s="9" t="n">
        <x:v>668.33</x:v>
      </x:c>
      <x:c r="F410" s="10" t="n">
        <x:f>IF(H410=1,E410/D410-1,"")</x:f>
        <x:v>-0.0056018866380496135</x:v>
      </x:c>
      <x:c r="G410" s="10" t="n">
        <x:f>IF(H410=1,ABS(F410),"")</x:f>
        <x:v>0.0056018866380496135</x:v>
      </x:c>
      <x:c r="H410" s="2" t="n">
        <x:v>1</x:v>
      </x:c>
      <x:c r="I410" s="2" t="str">
        <x:v>AV.Clean!B545</x:v>
      </x:c>
      <x:c r="J410" s="2" t="str">
        <x:v>AV.Clean!B537</x:v>
      </x:c>
      <x:c r="K410" s="13" t="n">
        <x:v>45937.5625</x:v>
      </x:c>
      <x:c r="L410" s="13" t="n">
        <x:v>45937.583333333336</x:v>
      </x:c>
    </x:row>
    <x:row r="411" ht="22" customHeight="1">
      <x:c r="A411" s="12" t="n">
        <x:v>45940</x:v>
      </x:c>
      <x:c r="B411" s="14" t="str">
        <x:v>14:00</x:v>
      </x:c>
      <x:c r="C411" s="12" t="n">
        <x:v>45938</x:v>
      </x:c>
      <x:c r="D411" s="9" t="n">
        <x:v>670.385</x:v>
      </x:c>
      <x:c r="E411" s="9" t="n">
        <x:v>672.65</x:v>
      </x:c>
      <x:c r="F411" s="10" t="n">
        <x:f>IF(H411=1,E411/D411-1,"")</x:f>
        <x:v>0.003378655548677223</x:v>
      </x:c>
      <x:c r="G411" s="10" t="n">
        <x:f>IF(H411=1,ABS(F411),"")</x:f>
        <x:v>0.003378655548677223</x:v>
      </x:c>
      <x:c r="H411" s="2" t="n">
        <x:v>1</x:v>
      </x:c>
      <x:c r="I411" s="2" t="str">
        <x:v>AV.Clean!B531</x:v>
      </x:c>
      <x:c r="J411" s="2" t="str">
        <x:v>AV.Clean!B523</x:v>
      </x:c>
      <x:c r="K411" s="13" t="n">
        <x:v>45938.5625</x:v>
      </x:c>
      <x:c r="L411" s="13" t="n">
        <x:v>45938.583333333336</x:v>
      </x:c>
    </x:row>
    <x:row r="412" ht="22" customHeight="1">
      <x:c r="A412" s="12" t="n">
        <x:v>45940</x:v>
      </x:c>
      <x:c r="B412" s="14" t="str">
        <x:v>14:00</x:v>
      </x:c>
      <x:c r="C412" s="12" t="n">
        <x:v>45939</x:v>
      </x:c>
      <x:c r="D412" s="9" t="n">
        <x:v>671.73</x:v>
      </x:c>
      <x:c r="E412" s="9" t="n">
        <x:v>670.18</x:v>
      </x:c>
      <x:c r="F412" s="10" t="n">
        <x:f>IF(H412=1,E412/D412-1,"")</x:f>
        <x:v>-0.002307474729430048</x:v>
      </x:c>
      <x:c r="G412" s="10" t="n">
        <x:f>IF(H412=1,ABS(F412),"")</x:f>
        <x:v>0.002307474729430048</x:v>
      </x:c>
      <x:c r="H412" s="2" t="n">
        <x:v>1</x:v>
      </x:c>
      <x:c r="I412" s="2" t="str">
        <x:v>AV.Clean!B517</x:v>
      </x:c>
      <x:c r="J412" s="2" t="str">
        <x:v>AV.Clean!B509</x:v>
      </x:c>
      <x:c r="K412" s="13" t="n">
        <x:v>45939.5625</x:v>
      </x:c>
      <x:c r="L412" s="13" t="n">
        <x:v>45939.583333333336</x:v>
      </x:c>
    </x:row>
    <x:row r="413" ht="22" customHeight="1">
      <x:c r="A413" s="12" t="n">
        <x:v>45940</x:v>
      </x:c>
      <x:c r="B413" s="14" t="str">
        <x:v>14:30</x:v>
      </x:c>
      <x:c r="C413" s="12" t="n">
        <x:v>45922</x:v>
      </x:c>
      <x:c r="D413" s="9" t="n">
        <x:v>663.43</x:v>
      </x:c>
      <x:c r="E413" s="9" t="n">
        <x:v>666.55</x:v>
      </x:c>
      <x:c r="F413" s="10" t="n">
        <x:f>IF(H413=1,E413/D413-1,"")</x:f>
        <x:v>0.004702832250576661</x:v>
      </x:c>
      <x:c r="G413" s="10" t="n">
        <x:f>IF(H413=1,ABS(F413),"")</x:f>
        <x:v>0.004702832250576661</x:v>
      </x:c>
      <x:c r="H413" s="2" t="n">
        <x:v>1</x:v>
      </x:c>
      <x:c r="I413" s="2" t="str">
        <x:v>AV.Clean!B699</x:v>
      </x:c>
      <x:c r="J413" s="2" t="str">
        <x:v>AV.Clean!B690</x:v>
      </x:c>
      <x:c r="K413" s="13" t="n">
        <x:v>45922.583333333336</x:v>
      </x:c>
      <x:c r="L413" s="13" t="n">
        <x:v>45922.604166666664</x:v>
      </x:c>
    </x:row>
    <x:row r="414" ht="22" customHeight="1">
      <x:c r="A414" s="12" t="n">
        <x:v>45940</x:v>
      </x:c>
      <x:c r="B414" s="14" t="str">
        <x:v>14:30</x:v>
      </x:c>
      <x:c r="C414" s="12" t="n">
        <x:v>45923</x:v>
      </x:c>
      <x:c r="D414" s="9" t="n">
        <x:v>666.78</x:v>
      </x:c>
      <x:c r="E414" s="9" t="n">
        <x:v>662.67</x:v>
      </x:c>
      <x:c r="F414" s="10" t="n">
        <x:f>IF(H414=1,E414/D414-1,"")</x:f>
        <x:v>-0.00616395212813825</x:v>
      </x:c>
      <x:c r="G414" s="10" t="n">
        <x:f>IF(H414=1,ABS(F414),"")</x:f>
        <x:v>0.00616395212813825</x:v>
      </x:c>
      <x:c r="H414" s="2" t="n">
        <x:v>1</x:v>
      </x:c>
      <x:c r="I414" s="2" t="str">
        <x:v>AV.Clean!B685</x:v>
      </x:c>
      <x:c r="J414" s="2" t="str">
        <x:v>AV.Clean!B676</x:v>
      </x:c>
      <x:c r="K414" s="13" t="n">
        <x:v>45923.583333333336</x:v>
      </x:c>
      <x:c r="L414" s="13" t="n">
        <x:v>45923.604166666664</x:v>
      </x:c>
    </x:row>
    <x:row r="415" ht="22" customHeight="1">
      <x:c r="A415" s="12" t="n">
        <x:v>45940</x:v>
      </x:c>
      <x:c r="B415" s="14" t="str">
        <x:v>14:30</x:v>
      </x:c>
      <x:c r="C415" s="12" t="n">
        <x:v>45924</x:v>
      </x:c>
      <x:c r="D415" s="9" t="n">
        <x:v>663.015</x:v>
      </x:c>
      <x:c r="E415" s="9" t="n">
        <x:v>660.39</x:v>
      </x:c>
      <x:c r="F415" s="10" t="n">
        <x:f>IF(H415=1,E415/D415-1,"")</x:f>
        <x:v>-0.003959186443745599</x:v>
      </x:c>
      <x:c r="G415" s="10" t="n">
        <x:f>IF(H415=1,ABS(F415),"")</x:f>
        <x:v>0.003959186443745599</x:v>
      </x:c>
      <x:c r="H415" s="2" t="n">
        <x:v>1</x:v>
      </x:c>
      <x:c r="I415" s="2" t="str">
        <x:v>AV.Clean!B671</x:v>
      </x:c>
      <x:c r="J415" s="2" t="str">
        <x:v>AV.Clean!B662</x:v>
      </x:c>
      <x:c r="K415" s="13" t="n">
        <x:v>45924.583333333336</x:v>
      </x:c>
      <x:c r="L415" s="13" t="n">
        <x:v>45924.604166666664</x:v>
      </x:c>
    </x:row>
    <x:row r="416" ht="22" customHeight="1">
      <x:c r="A416" s="12" t="n">
        <x:v>45940</x:v>
      </x:c>
      <x:c r="B416" s="14" t="str">
        <x:v>14:30</x:v>
      </x:c>
      <x:c r="C416" s="12" t="n">
        <x:v>45925</x:v>
      </x:c>
      <x:c r="D416" s="9" t="n">
        <x:v>655.99</x:v>
      </x:c>
      <x:c r="E416" s="9" t="n">
        <x:v>656.969</x:v>
      </x:c>
      <x:c r="F416" s="10" t="n">
        <x:f>IF(H416=1,E416/D416-1,"")</x:f>
        <x:v>0.001492400798792648</x:v>
      </x:c>
      <x:c r="G416" s="10" t="n">
        <x:f>IF(H416=1,ABS(F416),"")</x:f>
        <x:v>0.001492400798792648</x:v>
      </x:c>
      <x:c r="H416" s="2" t="n">
        <x:v>1</x:v>
      </x:c>
      <x:c r="I416" s="2" t="str">
        <x:v>AV.Clean!B657</x:v>
      </x:c>
      <x:c r="J416" s="2" t="str">
        <x:v>AV.Clean!B648</x:v>
      </x:c>
      <x:c r="K416" s="13" t="n">
        <x:v>45925.583333333336</x:v>
      </x:c>
      <x:c r="L416" s="13" t="n">
        <x:v>45925.604166666664</x:v>
      </x:c>
    </x:row>
    <x:row r="417" ht="22" customHeight="1">
      <x:c r="A417" s="12" t="n">
        <x:v>45940</x:v>
      </x:c>
      <x:c r="B417" s="14" t="str">
        <x:v>14:30</x:v>
      </x:c>
      <x:c r="C417" s="12" t="n">
        <x:v>45926</x:v>
      </x:c>
      <x:c r="D417" s="9" t="n">
        <x:v>661.83</x:v>
      </x:c>
      <x:c r="E417" s="9" t="n">
        <x:v>661.77</x:v>
      </x:c>
      <x:c r="F417" s="10" t="n">
        <x:f>IF(H417=1,E417/D417-1,"")</x:f>
        <x:v>-0.00009065772177152542</x:v>
      </x:c>
      <x:c r="G417" s="10" t="n">
        <x:f>IF(H417=1,ABS(F417),"")</x:f>
        <x:v>0.00009065772177152542</x:v>
      </x:c>
      <x:c r="H417" s="2" t="n">
        <x:v>1</x:v>
      </x:c>
      <x:c r="I417" s="2" t="str">
        <x:v>AV.Clean!B643</x:v>
      </x:c>
      <x:c r="J417" s="2" t="str">
        <x:v>AV.Clean!B634</x:v>
      </x:c>
      <x:c r="K417" s="13" t="n">
        <x:v>45926.583333333336</x:v>
      </x:c>
      <x:c r="L417" s="13" t="n">
        <x:v>45926.604166666664</x:v>
      </x:c>
    </x:row>
    <x:row r="418" ht="22" customHeight="1">
      <x:c r="A418" s="12" t="n">
        <x:v>45940</x:v>
      </x:c>
      <x:c r="B418" s="14" t="str">
        <x:v>14:30</x:v>
      </x:c>
      <x:c r="C418" s="12" t="n">
        <x:v>45929</x:v>
      </x:c>
      <x:c r="D418" s="9" t="n">
        <x:v>664.61</x:v>
      </x:c>
      <x:c r="E418" s="9" t="n">
        <x:v>663.4601</x:v>
      </x:c>
      <x:c r="F418" s="10" t="n">
        <x:f>IF(H418=1,E418/D418-1,"")</x:f>
        <x:v>-0.0017301876288349227</x:v>
      </x:c>
      <x:c r="G418" s="10" t="n">
        <x:f>IF(H418=1,ABS(F418),"")</x:f>
        <x:v>0.0017301876288349227</x:v>
      </x:c>
      <x:c r="H418" s="2" t="n">
        <x:v>1</x:v>
      </x:c>
      <x:c r="I418" s="2" t="str">
        <x:v>AV.Clean!B629</x:v>
      </x:c>
      <x:c r="J418" s="2" t="str">
        <x:v>AV.Clean!B620</x:v>
      </x:c>
      <x:c r="K418" s="13" t="n">
        <x:v>45929.583333333336</x:v>
      </x:c>
      <x:c r="L418" s="13" t="n">
        <x:v>45929.604166666664</x:v>
      </x:c>
    </x:row>
    <x:row r="419" ht="22" customHeight="1">
      <x:c r="A419" s="12" t="n">
        <x:v>45940</x:v>
      </x:c>
      <x:c r="B419" s="14" t="str">
        <x:v>14:30</x:v>
      </x:c>
      <x:c r="C419" s="12" t="n">
        <x:v>45930</x:v>
      </x:c>
      <x:c r="D419" s="9" t="n">
        <x:v>663.065</x:v>
      </x:c>
      <x:c r="E419" s="9" t="n">
        <x:v>663.8499</x:v>
      </x:c>
      <x:c r="F419" s="10" t="n">
        <x:f>IF(H419=1,E419/D419-1,"")</x:f>
        <x:v>0.0011837451833529578</x:v>
      </x:c>
      <x:c r="G419" s="10" t="n">
        <x:f>IF(H419=1,ABS(F419),"")</x:f>
        <x:v>0.0011837451833529578</x:v>
      </x:c>
      <x:c r="H419" s="2" t="n">
        <x:v>1</x:v>
      </x:c>
      <x:c r="I419" s="2" t="str">
        <x:v>AV.Clean!B615</x:v>
      </x:c>
      <x:c r="J419" s="2" t="str">
        <x:v>AV.Clean!B606</x:v>
      </x:c>
      <x:c r="K419" s="13" t="n">
        <x:v>45930.583333333336</x:v>
      </x:c>
      <x:c r="L419" s="13" t="n">
        <x:v>45930.604166666664</x:v>
      </x:c>
    </x:row>
    <x:row r="420" ht="22" customHeight="1">
      <x:c r="A420" s="12" t="n">
        <x:v>45940</x:v>
      </x:c>
      <x:c r="B420" s="14" t="str">
        <x:v>14:30</x:v>
      </x:c>
      <x:c r="C420" s="12" t="n">
        <x:v>45931</x:v>
      </x:c>
      <x:c r="D420" s="9" t="n">
        <x:v>663.6824</x:v>
      </x:c>
      <x:c r="E420" s="9" t="n">
        <x:v>668.76</x:v>
      </x:c>
      <x:c r="F420" s="10" t="n">
        <x:f>IF(H420=1,E420/D420-1,"")</x:f>
        <x:v>0.007650647357832607</x:v>
      </x:c>
      <x:c r="G420" s="10" t="n">
        <x:f>IF(H420=1,ABS(F420),"")</x:f>
        <x:v>0.007650647357832607</x:v>
      </x:c>
      <x:c r="H420" s="2" t="n">
        <x:v>1</x:v>
      </x:c>
      <x:c r="I420" s="2" t="str">
        <x:v>AV.Clean!B601</x:v>
      </x:c>
      <x:c r="J420" s="2" t="str">
        <x:v>AV.Clean!B592</x:v>
      </x:c>
      <x:c r="K420" s="13" t="n">
        <x:v>45931.583333333336</x:v>
      </x:c>
      <x:c r="L420" s="13" t="n">
        <x:v>45931.604166666664</x:v>
      </x:c>
    </x:row>
    <x:row r="421" ht="22" customHeight="1">
      <x:c r="A421" s="12" t="n">
        <x:v>45940</x:v>
      </x:c>
      <x:c r="B421" s="14" t="str">
        <x:v>14:30</x:v>
      </x:c>
      <x:c r="C421" s="12" t="n">
        <x:v>45932</x:v>
      </x:c>
      <x:c r="D421" s="9" t="n">
        <x:v>669.3</x:v>
      </x:c>
      <x:c r="E421" s="9" t="n">
        <x:v>669.56</x:v>
      </x:c>
      <x:c r="F421" s="10" t="n">
        <x:f>IF(H421=1,E421/D421-1,"")</x:f>
        <x:v>0.00038846556103400154</x:v>
      </x:c>
      <x:c r="G421" s="10" t="n">
        <x:f>IF(H421=1,ABS(F421),"")</x:f>
        <x:v>0.00038846556103400154</x:v>
      </x:c>
      <x:c r="H421" s="2" t="n">
        <x:v>1</x:v>
      </x:c>
      <x:c r="I421" s="2" t="str">
        <x:v>AV.Clean!B587</x:v>
      </x:c>
      <x:c r="J421" s="2" t="str">
        <x:v>AV.Clean!B578</x:v>
      </x:c>
      <x:c r="K421" s="13" t="n">
        <x:v>45932.583333333336</x:v>
      </x:c>
      <x:c r="L421" s="13" t="n">
        <x:v>45932.604166666664</x:v>
      </x:c>
    </x:row>
    <x:row r="422" ht="22" customHeight="1">
      <x:c r="A422" s="12" t="n">
        <x:v>45940</x:v>
      </x:c>
      <x:c r="B422" s="14" t="str">
        <x:v>14:30</x:v>
      </x:c>
      <x:c r="C422" s="12" t="n">
        <x:v>45933</x:v>
      </x:c>
      <x:c r="D422" s="9" t="n">
        <x:v>670.67</x:v>
      </x:c>
      <x:c r="E422" s="9" t="n">
        <x:v>670.55</x:v>
      </x:c>
      <x:c r="F422" s="10" t="n">
        <x:f>IF(H422=1,E422/D422-1,"")</x:f>
        <x:v>-0.00017892555205989424</x:v>
      </x:c>
      <x:c r="G422" s="10" t="n">
        <x:f>IF(H422=1,ABS(F422),"")</x:f>
        <x:v>0.00017892555205989424</x:v>
      </x:c>
      <x:c r="H422" s="2" t="n">
        <x:v>1</x:v>
      </x:c>
      <x:c r="I422" s="2" t="str">
        <x:v>AV.Clean!B573</x:v>
      </x:c>
      <x:c r="J422" s="2" t="str">
        <x:v>AV.Clean!B564</x:v>
      </x:c>
      <x:c r="K422" s="13" t="n">
        <x:v>45933.583333333336</x:v>
      </x:c>
      <x:c r="L422" s="13" t="n">
        <x:v>45933.604166666664</x:v>
      </x:c>
    </x:row>
    <x:row r="423" ht="22" customHeight="1">
      <x:c r="A423" s="12" t="n">
        <x:v>45940</x:v>
      </x:c>
      <x:c r="B423" s="14" t="str">
        <x:v>14:30</x:v>
      </x:c>
      <x:c r="C423" s="12" t="n">
        <x:v>45936</x:v>
      </x:c>
      <x:c r="D423" s="9" t="n">
        <x:v>669.95</x:v>
      </x:c>
      <x:c r="E423" s="9" t="n">
        <x:v>672.24</x:v>
      </x:c>
      <x:c r="F423" s="10" t="n">
        <x:f>IF(H423=1,E423/D423-1,"")</x:f>
        <x:v>0.003418165534741391</x:v>
      </x:c>
      <x:c r="G423" s="10" t="n">
        <x:f>IF(H423=1,ABS(F423),"")</x:f>
        <x:v>0.003418165534741391</x:v>
      </x:c>
      <x:c r="H423" s="2" t="n">
        <x:v>1</x:v>
      </x:c>
      <x:c r="I423" s="2" t="str">
        <x:v>AV.Clean!B559</x:v>
      </x:c>
      <x:c r="J423" s="2" t="str">
        <x:v>AV.Clean!B550</x:v>
      </x:c>
      <x:c r="K423" s="13" t="n">
        <x:v>45936.583333333336</x:v>
      </x:c>
      <x:c r="L423" s="13" t="n">
        <x:v>45936.604166666664</x:v>
      </x:c>
    </x:row>
    <x:row r="424" ht="22" customHeight="1">
      <x:c r="A424" s="12" t="n">
        <x:v>45940</x:v>
      </x:c>
      <x:c r="B424" s="14" t="str">
        <x:v>14:30</x:v>
      </x:c>
      <x:c r="C424" s="12" t="n">
        <x:v>45937</x:v>
      </x:c>
      <x:c r="D424" s="9" t="n">
        <x:v>672.095</x:v>
      </x:c>
      <x:c r="E424" s="9" t="n">
        <x:v>668.64</x:v>
      </x:c>
      <x:c r="F424" s="10" t="n">
        <x:f>IF(H424=1,E424/D424-1,"")</x:f>
        <x:v>-0.0051406423199101825</x:v>
      </x:c>
      <x:c r="G424" s="10" t="n">
        <x:f>IF(H424=1,ABS(F424),"")</x:f>
        <x:v>0.0051406423199101825</x:v>
      </x:c>
      <x:c r="H424" s="2" t="n">
        <x:v>1</x:v>
      </x:c>
      <x:c r="I424" s="2" t="str">
        <x:v>AV.Clean!B545</x:v>
      </x:c>
      <x:c r="J424" s="2" t="str">
        <x:v>AV.Clean!B536</x:v>
      </x:c>
      <x:c r="K424" s="13" t="n">
        <x:v>45937.583333333336</x:v>
      </x:c>
      <x:c r="L424" s="13" t="n">
        <x:v>45937.604166666664</x:v>
      </x:c>
    </x:row>
    <x:row r="425" ht="22" customHeight="1">
      <x:c r="A425" s="12" t="n">
        <x:v>45940</x:v>
      </x:c>
      <x:c r="B425" s="14" t="str">
        <x:v>14:30</x:v>
      </x:c>
      <x:c r="C425" s="12" t="n">
        <x:v>45938</x:v>
      </x:c>
      <x:c r="D425" s="9" t="n">
        <x:v>670.385</x:v>
      </x:c>
      <x:c r="E425" s="9" t="n">
        <x:v>672.85</x:v>
      </x:c>
      <x:c r="F425" s="10" t="n">
        <x:f>IF(H425=1,E425/D425-1,"")</x:f>
        <x:v>0.0036769915794656605</x:v>
      </x:c>
      <x:c r="G425" s="10" t="n">
        <x:f>IF(H425=1,ABS(F425),"")</x:f>
        <x:v>0.0036769915794656605</x:v>
      </x:c>
      <x:c r="H425" s="2" t="n">
        <x:v>1</x:v>
      </x:c>
      <x:c r="I425" s="2" t="str">
        <x:v>AV.Clean!B531</x:v>
      </x:c>
      <x:c r="J425" s="2" t="str">
        <x:v>AV.Clean!B522</x:v>
      </x:c>
      <x:c r="K425" s="13" t="n">
        <x:v>45938.583333333336</x:v>
      </x:c>
      <x:c r="L425" s="13" t="n">
        <x:v>45938.604166666664</x:v>
      </x:c>
    </x:row>
    <x:row r="426" ht="22" customHeight="1">
      <x:c r="A426" s="12" t="n">
        <x:v>45940</x:v>
      </x:c>
      <x:c r="B426" s="14" t="str">
        <x:v>14:30</x:v>
      </x:c>
      <x:c r="C426" s="12" t="n">
        <x:v>45939</x:v>
      </x:c>
      <x:c r="D426" s="9" t="n">
        <x:v>671.73</x:v>
      </x:c>
      <x:c r="E426" s="9" t="n">
        <x:v>669.815</x:v>
      </x:c>
      <x:c r="F426" s="10" t="n">
        <x:f>IF(H426=1,E426/D426-1,"")</x:f>
        <x:v>-0.0028508478108763002</x:v>
      </x:c>
      <x:c r="G426" s="10" t="n">
        <x:f>IF(H426=1,ABS(F426),"")</x:f>
        <x:v>0.0028508478108763002</x:v>
      </x:c>
      <x:c r="H426" s="2" t="n">
        <x:v>1</x:v>
      </x:c>
      <x:c r="I426" s="2" t="str">
        <x:v>AV.Clean!B517</x:v>
      </x:c>
      <x:c r="J426" s="2" t="str">
        <x:v>AV.Clean!B508</x:v>
      </x:c>
      <x:c r="K426" s="13" t="n">
        <x:v>45939.583333333336</x:v>
      </x:c>
      <x:c r="L426" s="13" t="n">
        <x:v>45939.604166666664</x:v>
      </x:c>
    </x:row>
    <x:row r="427" ht="22" customHeight="1">
      <x:c r="A427" s="12" t="n">
        <x:v>45940</x:v>
      </x:c>
      <x:c r="B427" s="14" t="str">
        <x:v>15:00</x:v>
      </x:c>
      <x:c r="C427" s="12" t="n">
        <x:v>45922</x:v>
      </x:c>
      <x:c r="D427" s="9" t="n">
        <x:v>663.43</x:v>
      </x:c>
      <x:c r="E427" s="9" t="n">
        <x:v>666.78</x:v>
      </x:c>
      <x:c r="F427" s="10" t="n">
        <x:f>IF(H427=1,E427/D427-1,"")</x:f>
        <x:v>0.005049515397253623</x:v>
      </x:c>
      <x:c r="G427" s="10" t="n">
        <x:f>IF(H427=1,ABS(F427),"")</x:f>
        <x:v>0.005049515397253623</x:v>
      </x:c>
      <x:c r="H427" s="2" t="n">
        <x:v>1</x:v>
      </x:c>
      <x:c r="I427" s="2" t="str">
        <x:v>AV.Clean!B699</x:v>
      </x:c>
      <x:c r="J427" s="2" t="str">
        <x:v>AV.Clean!B689</x:v>
      </x:c>
      <x:c r="K427" s="13" t="n">
        <x:v>45922.604166666664</x:v>
      </x:c>
      <x:c r="L427" s="13" t="n">
        <x:v>45922.625</x:v>
      </x:c>
    </x:row>
    <x:row r="428" ht="22" customHeight="1">
      <x:c r="A428" s="12" t="n">
        <x:v>45940</x:v>
      </x:c>
      <x:c r="B428" s="14" t="str">
        <x:v>15:00</x:v>
      </x:c>
      <x:c r="C428" s="12" t="n">
        <x:v>45923</x:v>
      </x:c>
      <x:c r="D428" s="9" t="n">
        <x:v>666.78</x:v>
      </x:c>
      <x:c r="E428" s="9" t="n">
        <x:v>662.12</x:v>
      </x:c>
      <x:c r="F428" s="10" t="n">
        <x:f>IF(H428=1,E428/D428-1,"")</x:f>
        <x:v>-0.006988811901976644</x:v>
      </x:c>
      <x:c r="G428" s="10" t="n">
        <x:f>IF(H428=1,ABS(F428),"")</x:f>
        <x:v>0.006988811901976644</x:v>
      </x:c>
      <x:c r="H428" s="2" t="n">
        <x:v>1</x:v>
      </x:c>
      <x:c r="I428" s="2" t="str">
        <x:v>AV.Clean!B685</x:v>
      </x:c>
      <x:c r="J428" s="2" t="str">
        <x:v>AV.Clean!B675</x:v>
      </x:c>
      <x:c r="K428" s="13" t="n">
        <x:v>45923.604166666664</x:v>
      </x:c>
      <x:c r="L428" s="13" t="n">
        <x:v>45923.625</x:v>
      </x:c>
    </x:row>
    <x:row r="429" ht="22" customHeight="1">
      <x:c r="A429" s="12" t="n">
        <x:v>45940</x:v>
      </x:c>
      <x:c r="B429" s="14" t="str">
        <x:v>15:00</x:v>
      </x:c>
      <x:c r="C429" s="12" t="n">
        <x:v>45924</x:v>
      </x:c>
      <x:c r="D429" s="9" t="n">
        <x:v>663.015</x:v>
      </x:c>
      <x:c r="E429" s="9" t="n">
        <x:v>661.1125</x:v>
      </x:c>
      <x:c r="F429" s="10" t="n">
        <x:f>IF(H429=1,E429/D429-1,"")</x:f>
        <x:v>-0.0028694675082766574</x:v>
      </x:c>
      <x:c r="G429" s="10" t="n">
        <x:f>IF(H429=1,ABS(F429),"")</x:f>
        <x:v>0.0028694675082766574</x:v>
      </x:c>
      <x:c r="H429" s="2" t="n">
        <x:v>1</x:v>
      </x:c>
      <x:c r="I429" s="2" t="str">
        <x:v>AV.Clean!B671</x:v>
      </x:c>
      <x:c r="J429" s="2" t="str">
        <x:v>AV.Clean!B661</x:v>
      </x:c>
      <x:c r="K429" s="13" t="n">
        <x:v>45924.604166666664</x:v>
      </x:c>
      <x:c r="L429" s="13" t="n">
        <x:v>45924.625</x:v>
      </x:c>
    </x:row>
    <x:row r="430" ht="22" customHeight="1">
      <x:c r="A430" s="12" t="n">
        <x:v>45940</x:v>
      </x:c>
      <x:c r="B430" s="14" t="str">
        <x:v>15:00</x:v>
      </x:c>
      <x:c r="C430" s="12" t="n">
        <x:v>45925</x:v>
      </x:c>
      <x:c r="D430" s="9" t="n">
        <x:v>655.99</x:v>
      </x:c>
      <x:c r="E430" s="9" t="n">
        <x:v>657.8</x:v>
      </x:c>
      <x:c r="F430" s="10" t="n">
        <x:f>IF(H430=1,E430/D430-1,"")</x:f>
        <x:v>0.0027591884022621915</x:v>
      </x:c>
      <x:c r="G430" s="10" t="n">
        <x:f>IF(H430=1,ABS(F430),"")</x:f>
        <x:v>0.0027591884022621915</x:v>
      </x:c>
      <x:c r="H430" s="2" t="n">
        <x:v>1</x:v>
      </x:c>
      <x:c r="I430" s="2" t="str">
        <x:v>AV.Clean!B657</x:v>
      </x:c>
      <x:c r="J430" s="2" t="str">
        <x:v>AV.Clean!B647</x:v>
      </x:c>
      <x:c r="K430" s="13" t="n">
        <x:v>45925.604166666664</x:v>
      </x:c>
      <x:c r="L430" s="13" t="n">
        <x:v>45925.625</x:v>
      </x:c>
    </x:row>
    <x:row r="431" ht="22" customHeight="1">
      <x:c r="A431" s="12" t="n">
        <x:v>45940</x:v>
      </x:c>
      <x:c r="B431" s="14" t="str">
        <x:v>15:00</x:v>
      </x:c>
      <x:c r="C431" s="12" t="n">
        <x:v>45926</x:v>
      </x:c>
      <x:c r="D431" s="9" t="n">
        <x:v>661.83</x:v>
      </x:c>
      <x:c r="E431" s="9" t="n">
        <x:v>661.895</x:v>
      </x:c>
      <x:c r="F431" s="10" t="n">
        <x:f>IF(H431=1,E431/D431-1,"")</x:f>
        <x:v>0.00009821253191888424</x:v>
      </x:c>
      <x:c r="G431" s="10" t="n">
        <x:f>IF(H431=1,ABS(F431),"")</x:f>
        <x:v>0.00009821253191888424</x:v>
      </x:c>
      <x:c r="H431" s="2" t="n">
        <x:v>1</x:v>
      </x:c>
      <x:c r="I431" s="2" t="str">
        <x:v>AV.Clean!B643</x:v>
      </x:c>
      <x:c r="J431" s="2" t="str">
        <x:v>AV.Clean!B633</x:v>
      </x:c>
      <x:c r="K431" s="13" t="n">
        <x:v>45926.604166666664</x:v>
      </x:c>
      <x:c r="L431" s="13" t="n">
        <x:v>45926.625</x:v>
      </x:c>
    </x:row>
    <x:row r="432" ht="22" customHeight="1">
      <x:c r="A432" s="12" t="n">
        <x:v>45940</x:v>
      </x:c>
      <x:c r="B432" s="14" t="str">
        <x:v>15:00</x:v>
      </x:c>
      <x:c r="C432" s="12" t="n">
        <x:v>45929</x:v>
      </x:c>
      <x:c r="D432" s="9" t="n">
        <x:v>664.61</x:v>
      </x:c>
      <x:c r="E432" s="9" t="n">
        <x:v>663.34</x:v>
      </x:c>
      <x:c r="F432" s="10" t="n">
        <x:f>IF(H432=1,E432/D432-1,"")</x:f>
        <x:v>-0.0019108951114187311</x:v>
      </x:c>
      <x:c r="G432" s="10" t="n">
        <x:f>IF(H432=1,ABS(F432),"")</x:f>
        <x:v>0.0019108951114187311</x:v>
      </x:c>
      <x:c r="H432" s="2" t="n">
        <x:v>1</x:v>
      </x:c>
      <x:c r="I432" s="2" t="str">
        <x:v>AV.Clean!B629</x:v>
      </x:c>
      <x:c r="J432" s="2" t="str">
        <x:v>AV.Clean!B619</x:v>
      </x:c>
      <x:c r="K432" s="13" t="n">
        <x:v>45929.604166666664</x:v>
      </x:c>
      <x:c r="L432" s="13" t="n">
        <x:v>45929.625</x:v>
      </x:c>
    </x:row>
    <x:row r="433" ht="22" customHeight="1">
      <x:c r="A433" s="12" t="n">
        <x:v>45940</x:v>
      </x:c>
      <x:c r="B433" s="14" t="str">
        <x:v>15:00</x:v>
      </x:c>
      <x:c r="C433" s="12" t="n">
        <x:v>45930</x:v>
      </x:c>
      <x:c r="D433" s="9" t="n">
        <x:v>663.065</x:v>
      </x:c>
      <x:c r="E433" s="9" t="n">
        <x:v>664.43</x:v>
      </x:c>
      <x:c r="F433" s="10" t="n">
        <x:f>IF(H433=1,E433/D433-1,"")</x:f>
        <x:v>0.002058621703754371</x:v>
      </x:c>
      <x:c r="G433" s="10" t="n">
        <x:f>IF(H433=1,ABS(F433),"")</x:f>
        <x:v>0.002058621703754371</x:v>
      </x:c>
      <x:c r="H433" s="2" t="n">
        <x:v>1</x:v>
      </x:c>
      <x:c r="I433" s="2" t="str">
        <x:v>AV.Clean!B615</x:v>
      </x:c>
      <x:c r="J433" s="2" t="str">
        <x:v>AV.Clean!B605</x:v>
      </x:c>
      <x:c r="K433" s="13" t="n">
        <x:v>45930.604166666664</x:v>
      </x:c>
      <x:c r="L433" s="13" t="n">
        <x:v>45930.625</x:v>
      </x:c>
    </x:row>
    <x:row r="434" ht="22" customHeight="1">
      <x:c r="A434" s="12" t="n">
        <x:v>45940</x:v>
      </x:c>
      <x:c r="B434" s="14" t="str">
        <x:v>15:00</x:v>
      </x:c>
      <x:c r="C434" s="12" t="n">
        <x:v>45931</x:v>
      </x:c>
      <x:c r="D434" s="9" t="n">
        <x:v>663.6824</x:v>
      </x:c>
      <x:c r="E434" s="9" t="n">
        <x:v>669.1</x:v>
      </x:c>
      <x:c r="F434" s="10" t="n">
        <x:f>IF(H434=1,E434/D434-1,"")</x:f>
        <x:v>0.00816294058724476</x:v>
      </x:c>
      <x:c r="G434" s="10" t="n">
        <x:f>IF(H434=1,ABS(F434),"")</x:f>
        <x:v>0.00816294058724476</x:v>
      </x:c>
      <x:c r="H434" s="2" t="n">
        <x:v>1</x:v>
      </x:c>
      <x:c r="I434" s="2" t="str">
        <x:v>AV.Clean!B601</x:v>
      </x:c>
      <x:c r="J434" s="2" t="str">
        <x:v>AV.Clean!B591</x:v>
      </x:c>
      <x:c r="K434" s="13" t="n">
        <x:v>45931.604166666664</x:v>
      </x:c>
      <x:c r="L434" s="13" t="n">
        <x:v>45931.625</x:v>
      </x:c>
    </x:row>
    <x:row r="435" ht="22" customHeight="1">
      <x:c r="A435" s="12" t="n">
        <x:v>45940</x:v>
      </x:c>
      <x:c r="B435" s="14" t="str">
        <x:v>15:00</x:v>
      </x:c>
      <x:c r="C435" s="12" t="n">
        <x:v>45932</x:v>
      </x:c>
      <x:c r="D435" s="9" t="n">
        <x:v>669.3</x:v>
      </x:c>
      <x:c r="E435" s="9" t="n">
        <x:v>669.42</x:v>
      </x:c>
      <x:c r="F435" s="10" t="n">
        <x:f>IF(H435=1,E435/D435-1,"")</x:f>
        <x:v>0.00017929179740017176</x:v>
      </x:c>
      <x:c r="G435" s="10" t="n">
        <x:f>IF(H435=1,ABS(F435),"")</x:f>
        <x:v>0.00017929179740017176</x:v>
      </x:c>
      <x:c r="H435" s="2" t="n">
        <x:v>1</x:v>
      </x:c>
      <x:c r="I435" s="2" t="str">
        <x:v>AV.Clean!B587</x:v>
      </x:c>
      <x:c r="J435" s="2" t="str">
        <x:v>AV.Clean!B577</x:v>
      </x:c>
      <x:c r="K435" s="13" t="n">
        <x:v>45932.604166666664</x:v>
      </x:c>
      <x:c r="L435" s="13" t="n">
        <x:v>45932.625</x:v>
      </x:c>
    </x:row>
    <x:row r="436" ht="22" customHeight="1">
      <x:c r="A436" s="12" t="n">
        <x:v>45940</x:v>
      </x:c>
      <x:c r="B436" s="14" t="str">
        <x:v>15:00</x:v>
      </x:c>
      <x:c r="C436" s="12" t="n">
        <x:v>45933</x:v>
      </x:c>
      <x:c r="D436" s="9" t="n">
        <x:v>670.67</x:v>
      </x:c>
      <x:c r="E436" s="9" t="n">
        <x:v>669.9</x:v>
      </x:c>
      <x:c r="F436" s="10" t="n">
        <x:f>IF(H436=1,E436/D436-1,"")</x:f>
        <x:v>-0.0011481056257175437</x:v>
      </x:c>
      <x:c r="G436" s="10" t="n">
        <x:f>IF(H436=1,ABS(F436),"")</x:f>
        <x:v>0.0011481056257175437</x:v>
      </x:c>
      <x:c r="H436" s="2" t="n">
        <x:v>1</x:v>
      </x:c>
      <x:c r="I436" s="2" t="str">
        <x:v>AV.Clean!B573</x:v>
      </x:c>
      <x:c r="J436" s="2" t="str">
        <x:v>AV.Clean!B563</x:v>
      </x:c>
      <x:c r="K436" s="13" t="n">
        <x:v>45933.604166666664</x:v>
      </x:c>
      <x:c r="L436" s="13" t="n">
        <x:v>45933.625</x:v>
      </x:c>
    </x:row>
    <x:row r="437" ht="22" customHeight="1">
      <x:c r="A437" s="12" t="n">
        <x:v>45940</x:v>
      </x:c>
      <x:c r="B437" s="14" t="str">
        <x:v>15:00</x:v>
      </x:c>
      <x:c r="C437" s="12" t="n">
        <x:v>45936</x:v>
      </x:c>
      <x:c r="D437" s="9" t="n">
        <x:v>669.95</x:v>
      </x:c>
      <x:c r="E437" s="9" t="n">
        <x:v>672.11</x:v>
      </x:c>
      <x:c r="F437" s="10" t="n">
        <x:f>IF(H437=1,E437/D437-1,"")</x:f>
        <x:v>0.0032241212030748034</x:v>
      </x:c>
      <x:c r="G437" s="10" t="n">
        <x:f>IF(H437=1,ABS(F437),"")</x:f>
        <x:v>0.0032241212030748034</x:v>
      </x:c>
      <x:c r="H437" s="2" t="n">
        <x:v>1</x:v>
      </x:c>
      <x:c r="I437" s="2" t="str">
        <x:v>AV.Clean!B559</x:v>
      </x:c>
      <x:c r="J437" s="2" t="str">
        <x:v>AV.Clean!B549</x:v>
      </x:c>
      <x:c r="K437" s="13" t="n">
        <x:v>45936.604166666664</x:v>
      </x:c>
      <x:c r="L437" s="13" t="n">
        <x:v>45936.625</x:v>
      </x:c>
    </x:row>
    <x:row r="438" ht="22" customHeight="1">
      <x:c r="A438" s="12" t="n">
        <x:v>45940</x:v>
      </x:c>
      <x:c r="B438" s="14" t="str">
        <x:v>15:00</x:v>
      </x:c>
      <x:c r="C438" s="12" t="n">
        <x:v>45937</x:v>
      </x:c>
      <x:c r="D438" s="9" t="n">
        <x:v>672.095</x:v>
      </x:c>
      <x:c r="E438" s="9" t="n">
        <x:v>669</x:v>
      </x:c>
      <x:c r="F438" s="10" t="n">
        <x:f>IF(H438=1,E438/D438-1,"")</x:f>
        <x:v>-0.00460500375690942</x:v>
      </x:c>
      <x:c r="G438" s="10" t="n">
        <x:f>IF(H438=1,ABS(F438),"")</x:f>
        <x:v>0.00460500375690942</x:v>
      </x:c>
      <x:c r="H438" s="2" t="n">
        <x:v>1</x:v>
      </x:c>
      <x:c r="I438" s="2" t="str">
        <x:v>AV.Clean!B545</x:v>
      </x:c>
      <x:c r="J438" s="2" t="str">
        <x:v>AV.Clean!B535</x:v>
      </x:c>
      <x:c r="K438" s="13" t="n">
        <x:v>45937.604166666664</x:v>
      </x:c>
      <x:c r="L438" s="13" t="n">
        <x:v>45937.625</x:v>
      </x:c>
    </x:row>
    <x:row r="439" ht="22" customHeight="1">
      <x:c r="A439" s="12" t="n">
        <x:v>45940</x:v>
      </x:c>
      <x:c r="B439" s="14" t="str">
        <x:v>15:00</x:v>
      </x:c>
      <x:c r="C439" s="12" t="n">
        <x:v>45938</x:v>
      </x:c>
      <x:c r="D439" s="9" t="n">
        <x:v>670.385</x:v>
      </x:c>
      <x:c r="E439" s="9" t="n">
        <x:v>672.2407</x:v>
      </x:c>
      <x:c r="F439" s="10" t="n">
        <x:f>IF(H439=1,E439/D439-1,"")</x:f>
        <x:v>0.0027681108616690597</x:v>
      </x:c>
      <x:c r="G439" s="10" t="n">
        <x:f>IF(H439=1,ABS(F439),"")</x:f>
        <x:v>0.0027681108616690597</x:v>
      </x:c>
      <x:c r="H439" s="2" t="n">
        <x:v>1</x:v>
      </x:c>
      <x:c r="I439" s="2" t="str">
        <x:v>AV.Clean!B531</x:v>
      </x:c>
      <x:c r="J439" s="2" t="str">
        <x:v>AV.Clean!B521</x:v>
      </x:c>
      <x:c r="K439" s="13" t="n">
        <x:v>45938.604166666664</x:v>
      </x:c>
      <x:c r="L439" s="13" t="n">
        <x:v>45938.625</x:v>
      </x:c>
    </x:row>
    <x:row r="440" ht="22" customHeight="1">
      <x:c r="A440" s="12" t="n">
        <x:v>45940</x:v>
      </x:c>
      <x:c r="B440" s="14" t="str">
        <x:v>15:00</x:v>
      </x:c>
      <x:c r="C440" s="12" t="n">
        <x:v>45939</x:v>
      </x:c>
      <x:c r="D440" s="9" t="n">
        <x:v>671.73</x:v>
      </x:c>
      <x:c r="E440" s="9" t="n">
        <x:v>669.92</x:v>
      </x:c>
      <x:c r="F440" s="10" t="n">
        <x:f>IF(H440=1,E440/D440-1,"")</x:f>
        <x:v>-0.002694535006624754</x:v>
      </x:c>
      <x:c r="G440" s="10" t="n">
        <x:f>IF(H440=1,ABS(F440),"")</x:f>
        <x:v>0.002694535006624754</x:v>
      </x:c>
      <x:c r="H440" s="2" t="n">
        <x:v>1</x:v>
      </x:c>
      <x:c r="I440" s="2" t="str">
        <x:v>AV.Clean!B517</x:v>
      </x:c>
      <x:c r="J440" s="2" t="str">
        <x:v>AV.Clean!B507</x:v>
      </x:c>
      <x:c r="K440" s="13" t="n">
        <x:v>45939.604166666664</x:v>
      </x:c>
      <x:c r="L440" s="13" t="n">
        <x:v>45939.625</x:v>
      </x:c>
    </x:row>
    <x:row r="441" ht="22" customHeight="1">
      <x:c r="A441" s="12" t="n">
        <x:v>45940</x:v>
      </x:c>
      <x:c r="B441" s="14" t="str">
        <x:v>15:30</x:v>
      </x:c>
      <x:c r="C441" s="12" t="n">
        <x:v>45922</x:v>
      </x:c>
      <x:c r="D441" s="9" t="n">
        <x:v>663.43</x:v>
      </x:c>
      <x:c r="E441" s="9" t="n">
        <x:v>667.135</x:v>
      </x:c>
      <x:c r="F441" s="10" t="n">
        <x:f>IF(H441=1,E441/D441-1,"")</x:f>
        <x:v>0.00558461329755966</x:v>
      </x:c>
      <x:c r="G441" s="10" t="n">
        <x:f>IF(H441=1,ABS(F441),"")</x:f>
        <x:v>0.00558461329755966</x:v>
      </x:c>
      <x:c r="H441" s="2" t="n">
        <x:v>1</x:v>
      </x:c>
      <x:c r="I441" s="2" t="str">
        <x:v>AV.Clean!B699</x:v>
      </x:c>
      <x:c r="J441" s="2" t="str">
        <x:v>AV.Clean!B688</x:v>
      </x:c>
      <x:c r="K441" s="13" t="n">
        <x:v>45922.625</x:v>
      </x:c>
      <x:c r="L441" s="13" t="n">
        <x:v>45922.645833333336</x:v>
      </x:c>
    </x:row>
    <x:row r="442" ht="22" customHeight="1">
      <x:c r="A442" s="12" t="n">
        <x:v>45940</x:v>
      </x:c>
      <x:c r="B442" s="14" t="str">
        <x:v>15:30</x:v>
      </x:c>
      <x:c r="C442" s="12" t="n">
        <x:v>45923</x:v>
      </x:c>
      <x:c r="D442" s="9" t="n">
        <x:v>666.78</x:v>
      </x:c>
      <x:c r="E442" s="9" t="n">
        <x:v>662.39</x:v>
      </x:c>
      <x:c r="F442" s="10" t="n">
        <x:f>IF(H442=1,E442/D442-1,"")</x:f>
        <x:v>-0.006583880740274162</x:v>
      </x:c>
      <x:c r="G442" s="10" t="n">
        <x:f>IF(H442=1,ABS(F442),"")</x:f>
        <x:v>0.006583880740274162</x:v>
      </x:c>
      <x:c r="H442" s="2" t="n">
        <x:v>1</x:v>
      </x:c>
      <x:c r="I442" s="2" t="str">
        <x:v>AV.Clean!B685</x:v>
      </x:c>
      <x:c r="J442" s="2" t="str">
        <x:v>AV.Clean!B674</x:v>
      </x:c>
      <x:c r="K442" s="13" t="n">
        <x:v>45923.625</x:v>
      </x:c>
      <x:c r="L442" s="13" t="n">
        <x:v>45923.645833333336</x:v>
      </x:c>
    </x:row>
    <x:row r="443" ht="22" customHeight="1">
      <x:c r="A443" s="12" t="n">
        <x:v>45940</x:v>
      </x:c>
      <x:c r="B443" s="14" t="str">
        <x:v>15:30</x:v>
      </x:c>
      <x:c r="C443" s="12" t="n">
        <x:v>45924</x:v>
      </x:c>
      <x:c r="D443" s="9" t="n">
        <x:v>663.015</x:v>
      </x:c>
      <x:c r="E443" s="9" t="n">
        <x:v>660.8025</x:v>
      </x:c>
      <x:c r="F443" s="10" t="n">
        <x:f>IF(H443=1,E443/D443-1,"")</x:f>
        <x:v>-0.003337028574014078</x:v>
      </x:c>
      <x:c r="G443" s="10" t="n">
        <x:f>IF(H443=1,ABS(F443),"")</x:f>
        <x:v>0.003337028574014078</x:v>
      </x:c>
      <x:c r="H443" s="2" t="n">
        <x:v>1</x:v>
      </x:c>
      <x:c r="I443" s="2" t="str">
        <x:v>AV.Clean!B671</x:v>
      </x:c>
      <x:c r="J443" s="2" t="str">
        <x:v>AV.Clean!B660</x:v>
      </x:c>
      <x:c r="K443" s="13" t="n">
        <x:v>45924.625</x:v>
      </x:c>
      <x:c r="L443" s="13" t="n">
        <x:v>45924.645833333336</x:v>
      </x:c>
    </x:row>
    <x:row r="444" ht="22" customHeight="1">
      <x:c r="A444" s="12" t="n">
        <x:v>45940</x:v>
      </x:c>
      <x:c r="B444" s="14" t="str">
        <x:v>15:30</x:v>
      </x:c>
      <x:c r="C444" s="12" t="n">
        <x:v>45925</x:v>
      </x:c>
      <x:c r="D444" s="9" t="n">
        <x:v>655.99</x:v>
      </x:c>
      <x:c r="E444" s="9" t="n">
        <x:v>657.47</x:v>
      </x:c>
      <x:c r="F444" s="10" t="n">
        <x:f>IF(H444=1,E444/D444-1,"")</x:f>
        <x:v>0.002256131953231044</x:v>
      </x:c>
      <x:c r="G444" s="10" t="n">
        <x:f>IF(H444=1,ABS(F444),"")</x:f>
        <x:v>0.002256131953231044</x:v>
      </x:c>
      <x:c r="H444" s="2" t="n">
        <x:v>1</x:v>
      </x:c>
      <x:c r="I444" s="2" t="str">
        <x:v>AV.Clean!B657</x:v>
      </x:c>
      <x:c r="J444" s="2" t="str">
        <x:v>AV.Clean!B646</x:v>
      </x:c>
      <x:c r="K444" s="13" t="n">
        <x:v>45925.625</x:v>
      </x:c>
      <x:c r="L444" s="13" t="n">
        <x:v>45925.645833333336</x:v>
      </x:c>
    </x:row>
    <x:row r="445" ht="22" customHeight="1">
      <x:c r="A445" s="12" t="n">
        <x:v>45940</x:v>
      </x:c>
      <x:c r="B445" s="14" t="str">
        <x:v>15:30</x:v>
      </x:c>
      <x:c r="C445" s="12" t="n">
        <x:v>45926</x:v>
      </x:c>
      <x:c r="D445" s="9" t="n">
        <x:v>661.83</x:v>
      </x:c>
      <x:c r="E445" s="9" t="n">
        <x:v>661.59</x:v>
      </x:c>
      <x:c r="F445" s="10" t="n">
        <x:f>IF(H445=1,E445/D445-1,"")</x:f>
        <x:v>-0.00036263088708576863</x:v>
      </x:c>
      <x:c r="G445" s="10" t="n">
        <x:f>IF(H445=1,ABS(F445),"")</x:f>
        <x:v>0.00036263088708576863</x:v>
      </x:c>
      <x:c r="H445" s="2" t="n">
        <x:v>1</x:v>
      </x:c>
      <x:c r="I445" s="2" t="str">
        <x:v>AV.Clean!B643</x:v>
      </x:c>
      <x:c r="J445" s="2" t="str">
        <x:v>AV.Clean!B632</x:v>
      </x:c>
      <x:c r="K445" s="13" t="n">
        <x:v>45926.625</x:v>
      </x:c>
      <x:c r="L445" s="13" t="n">
        <x:v>45926.645833333336</x:v>
      </x:c>
    </x:row>
    <x:row r="446" ht="22" customHeight="1">
      <x:c r="A446" s="12" t="n">
        <x:v>45940</x:v>
      </x:c>
      <x:c r="B446" s="14" t="str">
        <x:v>15:30</x:v>
      </x:c>
      <x:c r="C446" s="12" t="n">
        <x:v>45929</x:v>
      </x:c>
      <x:c r="D446" s="9" t="n">
        <x:v>664.61</x:v>
      </x:c>
      <x:c r="E446" s="9" t="n">
        <x:v>662.64</x:v>
      </x:c>
      <x:c r="F446" s="10" t="n">
        <x:f>IF(H446=1,E446/D446-1,"")</x:f>
        <x:v>-0.002964144385429135</x:v>
      </x:c>
      <x:c r="G446" s="10" t="n">
        <x:f>IF(H446=1,ABS(F446),"")</x:f>
        <x:v>0.002964144385429135</x:v>
      </x:c>
      <x:c r="H446" s="2" t="n">
        <x:v>1</x:v>
      </x:c>
      <x:c r="I446" s="2" t="str">
        <x:v>AV.Clean!B629</x:v>
      </x:c>
      <x:c r="J446" s="2" t="str">
        <x:v>AV.Clean!B618</x:v>
      </x:c>
      <x:c r="K446" s="13" t="n">
        <x:v>45929.625</x:v>
      </x:c>
      <x:c r="L446" s="13" t="n">
        <x:v>45929.645833333336</x:v>
      </x:c>
    </x:row>
    <x:row r="447" ht="22" customHeight="1">
      <x:c r="A447" s="12" t="n">
        <x:v>45940</x:v>
      </x:c>
      <x:c r="B447" s="14" t="str">
        <x:v>15:30</x:v>
      </x:c>
      <x:c r="C447" s="12" t="n">
        <x:v>45930</x:v>
      </x:c>
      <x:c r="D447" s="9" t="n">
        <x:v>663.065</x:v>
      </x:c>
      <x:c r="E447" s="9" t="n">
        <x:v>665.405</x:v>
      </x:c>
      <x:c r="F447" s="10" t="n">
        <x:f>IF(H447=1,E447/D447-1,"")</x:f>
        <x:v>0.003529065777864826</x:v>
      </x:c>
      <x:c r="G447" s="10" t="n">
        <x:f>IF(H447=1,ABS(F447),"")</x:f>
        <x:v>0.003529065777864826</x:v>
      </x:c>
      <x:c r="H447" s="2" t="n">
        <x:v>1</x:v>
      </x:c>
      <x:c r="I447" s="2" t="str">
        <x:v>AV.Clean!B615</x:v>
      </x:c>
      <x:c r="J447" s="2" t="str">
        <x:v>AV.Clean!B604</x:v>
      </x:c>
      <x:c r="K447" s="13" t="n">
        <x:v>45930.625</x:v>
      </x:c>
      <x:c r="L447" s="13" t="n">
        <x:v>45930.645833333336</x:v>
      </x:c>
    </x:row>
    <x:row r="448" ht="22" customHeight="1">
      <x:c r="A448" s="12" t="n">
        <x:v>45940</x:v>
      </x:c>
      <x:c r="B448" s="14" t="str">
        <x:v>15:30</x:v>
      </x:c>
      <x:c r="C448" s="12" t="n">
        <x:v>45931</x:v>
      </x:c>
      <x:c r="D448" s="9" t="n">
        <x:v>663.6824</x:v>
      </x:c>
      <x:c r="E448" s="9" t="n">
        <x:v>669.1</x:v>
      </x:c>
      <x:c r="F448" s="10" t="n">
        <x:f>IF(H448=1,E448/D448-1,"")</x:f>
        <x:v>0.00816294058724476</x:v>
      </x:c>
      <x:c r="G448" s="10" t="n">
        <x:f>IF(H448=1,ABS(F448),"")</x:f>
        <x:v>0.00816294058724476</x:v>
      </x:c>
      <x:c r="H448" s="2" t="n">
        <x:v>1</x:v>
      </x:c>
      <x:c r="I448" s="2" t="str">
        <x:v>AV.Clean!B601</x:v>
      </x:c>
      <x:c r="J448" s="2" t="str">
        <x:v>AV.Clean!B590</x:v>
      </x:c>
      <x:c r="K448" s="13" t="n">
        <x:v>45931.625</x:v>
      </x:c>
      <x:c r="L448" s="13" t="n">
        <x:v>45931.645833333336</x:v>
      </x:c>
    </x:row>
    <x:row r="449" ht="22" customHeight="1">
      <x:c r="A449" s="12" t="n">
        <x:v>45940</x:v>
      </x:c>
      <x:c r="B449" s="14" t="str">
        <x:v>15:30</x:v>
      </x:c>
      <x:c r="C449" s="12" t="n">
        <x:v>45932</x:v>
      </x:c>
      <x:c r="D449" s="9" t="n">
        <x:v>669.3</x:v>
      </x:c>
      <x:c r="E449" s="9" t="n">
        <x:v>669.45</x:v>
      </x:c>
      <x:c r="F449" s="10" t="n">
        <x:f>IF(H449=1,E449/D449-1,"")</x:f>
        <x:v>0.00022411474675054777</x:v>
      </x:c>
      <x:c r="G449" s="10" t="n">
        <x:f>IF(H449=1,ABS(F449),"")</x:f>
        <x:v>0.00022411474675054777</x:v>
      </x:c>
      <x:c r="H449" s="2" t="n">
        <x:v>1</x:v>
      </x:c>
      <x:c r="I449" s="2" t="str">
        <x:v>AV.Clean!B587</x:v>
      </x:c>
      <x:c r="J449" s="2" t="str">
        <x:v>AV.Clean!B576</x:v>
      </x:c>
      <x:c r="K449" s="13" t="n">
        <x:v>45932.625</x:v>
      </x:c>
      <x:c r="L449" s="13" t="n">
        <x:v>45932.645833333336</x:v>
      </x:c>
    </x:row>
    <x:row r="450" ht="22" customHeight="1">
      <x:c r="A450" s="12" t="n">
        <x:v>45940</x:v>
      </x:c>
      <x:c r="B450" s="14" t="str">
        <x:v>15:30</x:v>
      </x:c>
      <x:c r="C450" s="12" t="n">
        <x:v>45933</x:v>
      </x:c>
      <x:c r="D450" s="9" t="n">
        <x:v>670.67</x:v>
      </x:c>
      <x:c r="E450" s="9" t="n">
        <x:v>669.62</x:v>
      </x:c>
      <x:c r="F450" s="10" t="n">
        <x:f>IF(H450=1,E450/D450-1,"")</x:f>
        <x:v>-0.0015655985805238526</x:v>
      </x:c>
      <x:c r="G450" s="10" t="n">
        <x:f>IF(H450=1,ABS(F450),"")</x:f>
        <x:v>0.0015655985805238526</x:v>
      </x:c>
      <x:c r="H450" s="2" t="n">
        <x:v>1</x:v>
      </x:c>
      <x:c r="I450" s="2" t="str">
        <x:v>AV.Clean!B573</x:v>
      </x:c>
      <x:c r="J450" s="2" t="str">
        <x:v>AV.Clean!B562</x:v>
      </x:c>
      <x:c r="K450" s="13" t="n">
        <x:v>45933.625</x:v>
      </x:c>
      <x:c r="L450" s="13" t="n">
        <x:v>45933.645833333336</x:v>
      </x:c>
    </x:row>
    <x:row r="451" ht="22" customHeight="1">
      <x:c r="A451" s="12" t="n">
        <x:v>45940</x:v>
      </x:c>
      <x:c r="B451" s="14" t="str">
        <x:v>15:30</x:v>
      </x:c>
      <x:c r="C451" s="12" t="n">
        <x:v>45936</x:v>
      </x:c>
      <x:c r="D451" s="9" t="n">
        <x:v>669.95</x:v>
      </x:c>
      <x:c r="E451" s="9" t="n">
        <x:v>671.73</x:v>
      </x:c>
      <x:c r="F451" s="10" t="n">
        <x:f>IF(H451=1,E451/D451-1,"")</x:f>
        <x:v>0.002656914695126522</x:v>
      </x:c>
      <x:c r="G451" s="10" t="n">
        <x:f>IF(H451=1,ABS(F451),"")</x:f>
        <x:v>0.002656914695126522</x:v>
      </x:c>
      <x:c r="H451" s="2" t="n">
        <x:v>1</x:v>
      </x:c>
      <x:c r="I451" s="2" t="str">
        <x:v>AV.Clean!B559</x:v>
      </x:c>
      <x:c r="J451" s="2" t="str">
        <x:v>AV.Clean!B548</x:v>
      </x:c>
      <x:c r="K451" s="13" t="n">
        <x:v>45936.625</x:v>
      </x:c>
      <x:c r="L451" s="13" t="n">
        <x:v>45936.645833333336</x:v>
      </x:c>
    </x:row>
    <x:row r="452" ht="22" customHeight="1">
      <x:c r="A452" s="12" t="n">
        <x:v>45940</x:v>
      </x:c>
      <x:c r="B452" s="14" t="str">
        <x:v>15:30</x:v>
      </x:c>
      <x:c r="C452" s="12" t="n">
        <x:v>45937</x:v>
      </x:c>
      <x:c r="D452" s="9" t="n">
        <x:v>672.095</x:v>
      </x:c>
      <x:c r="E452" s="9" t="n">
        <x:v>668.57</x:v>
      </x:c>
      <x:c r="F452" s="10" t="n">
        <x:f>IF(H452=1,E452/D452-1,"")</x:f>
        <x:v>-0.005244794262715846</x:v>
      </x:c>
      <x:c r="G452" s="10" t="n">
        <x:f>IF(H452=1,ABS(F452),"")</x:f>
        <x:v>0.005244794262715846</x:v>
      </x:c>
      <x:c r="H452" s="2" t="n">
        <x:v>1</x:v>
      </x:c>
      <x:c r="I452" s="2" t="str">
        <x:v>AV.Clean!B545</x:v>
      </x:c>
      <x:c r="J452" s="2" t="str">
        <x:v>AV.Clean!B534</x:v>
      </x:c>
      <x:c r="K452" s="13" t="n">
        <x:v>45937.625</x:v>
      </x:c>
      <x:c r="L452" s="13" t="n">
        <x:v>45937.645833333336</x:v>
      </x:c>
    </x:row>
    <x:row r="453" ht="22" customHeight="1">
      <x:c r="A453" s="12" t="n">
        <x:v>45940</x:v>
      </x:c>
      <x:c r="B453" s="14" t="str">
        <x:v>15:30</x:v>
      </x:c>
      <x:c r="C453" s="12" t="n">
        <x:v>45938</x:v>
      </x:c>
      <x:c r="D453" s="9" t="n">
        <x:v>670.385</x:v>
      </x:c>
      <x:c r="E453" s="9" t="n">
        <x:v>672.875</x:v>
      </x:c>
      <x:c r="F453" s="10" t="n">
        <x:f>IF(H453=1,E453/D453-1,"")</x:f>
        <x:v>0.0037142835833141596</x:v>
      </x:c>
      <x:c r="G453" s="10" t="n">
        <x:f>IF(H453=1,ABS(F453),"")</x:f>
        <x:v>0.0037142835833141596</x:v>
      </x:c>
      <x:c r="H453" s="2" t="n">
        <x:v>1</x:v>
      </x:c>
      <x:c r="I453" s="2" t="str">
        <x:v>AV.Clean!B531</x:v>
      </x:c>
      <x:c r="J453" s="2" t="str">
        <x:v>AV.Clean!B520</x:v>
      </x:c>
      <x:c r="K453" s="13" t="n">
        <x:v>45938.625</x:v>
      </x:c>
      <x:c r="L453" s="13" t="n">
        <x:v>45938.645833333336</x:v>
      </x:c>
    </x:row>
    <x:row r="454" ht="22" customHeight="1">
      <x:c r="A454" s="12" t="n">
        <x:v>45940</x:v>
      </x:c>
      <x:c r="B454" s="14" t="str">
        <x:v>15:30</x:v>
      </x:c>
      <x:c r="C454" s="12" t="n">
        <x:v>45939</x:v>
      </x:c>
      <x:c r="D454" s="9" t="n">
        <x:v>671.73</x:v>
      </x:c>
      <x:c r="E454" s="9" t="n">
        <x:v>670.48</x:v>
      </x:c>
      <x:c r="F454" s="10" t="n">
        <x:f>IF(H454=1,E454/D454-1,"")</x:f>
        <x:v>-0.0018608667172822502</x:v>
      </x:c>
      <x:c r="G454" s="10" t="n">
        <x:f>IF(H454=1,ABS(F454),"")</x:f>
        <x:v>0.0018608667172822502</x:v>
      </x:c>
      <x:c r="H454" s="2" t="n">
        <x:v>1</x:v>
      </x:c>
      <x:c r="I454" s="2" t="str">
        <x:v>AV.Clean!B517</x:v>
      </x:c>
      <x:c r="J454" s="2" t="str">
        <x:v>AV.Clean!B506</x:v>
      </x:c>
      <x:c r="K454" s="13" t="n">
        <x:v>45939.625</x:v>
      </x:c>
      <x:c r="L454" s="13" t="n">
        <x:v>45939.645833333336</x:v>
      </x:c>
    </x:row>
    <x:row r="455" ht="22" customHeight="1">
      <x:c r="A455" s="12" t="n">
        <x:v>45940</x:v>
      </x:c>
      <x:c r="B455" s="14" t="str">
        <x:v>16:00</x:v>
      </x:c>
      <x:c r="C455" s="12" t="n">
        <x:v>45922</x:v>
      </x:c>
      <x:c r="D455" s="9" t="n">
        <x:v>663.43</x:v>
      </x:c>
      <x:c r="E455" s="9" t="n">
        <x:v>666.84</x:v>
      </x:c>
      <x:c r="F455" s="10" t="n">
        <x:f>IF(H455=1,E455/D455-1,"")</x:f>
        <x:v>0.005139954478995623</x:v>
      </x:c>
      <x:c r="G455" s="10" t="n">
        <x:f>IF(H455=1,ABS(F455),"")</x:f>
        <x:v>0.005139954478995623</x:v>
      </x:c>
      <x:c r="H455" s="2" t="n">
        <x:v>1</x:v>
      </x:c>
      <x:c r="I455" s="2" t="str">
        <x:v>AV.Clean!B699</x:v>
      </x:c>
      <x:c r="J455" s="2" t="str">
        <x:v>AV.Clean!B686</x:v>
      </x:c>
      <x:c r="K455" s="13" t="n">
        <x:v>45922.666666666664</x:v>
      </x:c>
      <x:c r="L455" s="13" t="n">
        <x:v>45922.666666666664</x:v>
      </x:c>
    </x:row>
    <x:row r="456" ht="22" customHeight="1">
      <x:c r="A456" s="12" t="n">
        <x:v>45940</x:v>
      </x:c>
      <x:c r="B456" s="14" t="str">
        <x:v>16:00</x:v>
      </x:c>
      <x:c r="C456" s="12" t="n">
        <x:v>45923</x:v>
      </x:c>
      <x:c r="D456" s="9" t="n">
        <x:v>666.78</x:v>
      </x:c>
      <x:c r="E456" s="9" t="n">
        <x:v>663.21</x:v>
      </x:c>
      <x:c r="F456" s="10" t="n">
        <x:f>IF(H456=1,E456/D456-1,"")</x:f>
        <x:v>-0.005354089804733064</x:v>
      </x:c>
      <x:c r="G456" s="10" t="n">
        <x:f>IF(H456=1,ABS(F456),"")</x:f>
        <x:v>0.005354089804733064</x:v>
      </x:c>
      <x:c r="H456" s="2" t="n">
        <x:v>1</x:v>
      </x:c>
      <x:c r="I456" s="2" t="str">
        <x:v>AV.Clean!B685</x:v>
      </x:c>
      <x:c r="J456" s="2" t="str">
        <x:v>AV.Clean!B672</x:v>
      </x:c>
      <x:c r="K456" s="13" t="n">
        <x:v>45923.666666666664</x:v>
      </x:c>
      <x:c r="L456" s="13" t="n">
        <x:v>45923.666666666664</x:v>
      </x:c>
    </x:row>
    <x:row r="457" ht="22" customHeight="1">
      <x:c r="A457" s="12" t="n">
        <x:v>45940</x:v>
      </x:c>
      <x:c r="B457" s="14" t="str">
        <x:v>16:00</x:v>
      </x:c>
      <x:c r="C457" s="12" t="n">
        <x:v>45924</x:v>
      </x:c>
      <x:c r="D457" s="9" t="n">
        <x:v>663.015</x:v>
      </x:c>
      <x:c r="E457" s="9" t="n">
        <x:v>661.1</x:v>
      </x:c>
      <x:c r="F457" s="10" t="n">
        <x:f>IF(H457=1,E457/D457-1,"")</x:f>
        <x:v>-0.0028883207770562525</x:v>
      </x:c>
      <x:c r="G457" s="10" t="n">
        <x:f>IF(H457=1,ABS(F457),"")</x:f>
        <x:v>0.0028883207770562525</x:v>
      </x:c>
      <x:c r="H457" s="2" t="n">
        <x:v>1</x:v>
      </x:c>
      <x:c r="I457" s="2" t="str">
        <x:v>AV.Clean!B671</x:v>
      </x:c>
      <x:c r="J457" s="2" t="str">
        <x:v>AV.Clean!B658</x:v>
      </x:c>
      <x:c r="K457" s="13" t="n">
        <x:v>45924.666666666664</x:v>
      </x:c>
      <x:c r="L457" s="13" t="n">
        <x:v>45924.666666666664</x:v>
      </x:c>
    </x:row>
    <x:row r="458" ht="22" customHeight="1">
      <x:c r="A458" s="12" t="n">
        <x:v>45940</x:v>
      </x:c>
      <x:c r="B458" s="14" t="str">
        <x:v>16:00</x:v>
      </x:c>
      <x:c r="C458" s="12" t="n">
        <x:v>45925</x:v>
      </x:c>
      <x:c r="D458" s="9" t="n">
        <x:v>655.99</x:v>
      </x:c>
      <x:c r="E458" s="9" t="n">
        <x:v>658.05</x:v>
      </x:c>
      <x:c r="F458" s="10" t="n">
        <x:f>IF(H458=1,E458/D458-1,"")</x:f>
        <x:v>0.0031402917727403334</x:v>
      </x:c>
      <x:c r="G458" s="10" t="n">
        <x:f>IF(H458=1,ABS(F458),"")</x:f>
        <x:v>0.0031402917727403334</x:v>
      </x:c>
      <x:c r="H458" s="2" t="n">
        <x:v>1</x:v>
      </x:c>
      <x:c r="I458" s="2" t="str">
        <x:v>AV.Clean!B657</x:v>
      </x:c>
      <x:c r="J458" s="2" t="str">
        <x:v>AV.Clean!B644</x:v>
      </x:c>
      <x:c r="K458" s="13" t="n">
        <x:v>45925.666666666664</x:v>
      </x:c>
      <x:c r="L458" s="13" t="n">
        <x:v>45925.666666666664</x:v>
      </x:c>
    </x:row>
    <x:row r="459" ht="22" customHeight="1">
      <x:c r="A459" s="12" t="n">
        <x:v>45940</x:v>
      </x:c>
      <x:c r="B459" s="14" t="str">
        <x:v>16:00</x:v>
      </x:c>
      <x:c r="C459" s="12" t="n">
        <x:v>45926</x:v>
      </x:c>
      <x:c r="D459" s="9" t="n">
        <x:v>661.83</x:v>
      </x:c>
      <x:c r="E459" s="9" t="n">
        <x:v>661.82</x:v>
      </x:c>
      <x:c r="F459" s="10" t="n">
        <x:f>IF(H459=1,E459/D459-1,"")</x:f>
        <x:v>-0.000015109620295272741</x:v>
      </x:c>
      <x:c r="G459" s="10" t="n">
        <x:f>IF(H459=1,ABS(F459),"")</x:f>
        <x:v>0.000015109620295272741</x:v>
      </x:c>
      <x:c r="H459" s="2" t="n">
        <x:v>1</x:v>
      </x:c>
      <x:c r="I459" s="2" t="str">
        <x:v>AV.Clean!B643</x:v>
      </x:c>
      <x:c r="J459" s="2" t="str">
        <x:v>AV.Clean!B630</x:v>
      </x:c>
      <x:c r="K459" s="13" t="n">
        <x:v>45926.666666666664</x:v>
      </x:c>
      <x:c r="L459" s="13" t="n">
        <x:v>45926.666666666664</x:v>
      </x:c>
    </x:row>
    <x:row r="460" ht="22" customHeight="1">
      <x:c r="A460" s="12" t="n">
        <x:v>45940</x:v>
      </x:c>
      <x:c r="B460" s="14" t="str">
        <x:v>16:00</x:v>
      </x:c>
      <x:c r="C460" s="12" t="n">
        <x:v>45929</x:v>
      </x:c>
      <x:c r="D460" s="9" t="n">
        <x:v>664.61</x:v>
      </x:c>
      <x:c r="E460" s="9" t="n">
        <x:v>663.68</x:v>
      </x:c>
      <x:c r="F460" s="10" t="n">
        <x:f>IF(H460=1,E460/D460-1,"")</x:f>
        <x:v>-0.0013993168926138555</x:v>
      </x:c>
      <x:c r="G460" s="10" t="n">
        <x:f>IF(H460=1,ABS(F460),"")</x:f>
        <x:v>0.0013993168926138555</x:v>
      </x:c>
      <x:c r="H460" s="2" t="n">
        <x:v>1</x:v>
      </x:c>
      <x:c r="I460" s="2" t="str">
        <x:v>AV.Clean!B629</x:v>
      </x:c>
      <x:c r="J460" s="2" t="str">
        <x:v>AV.Clean!B616</x:v>
      </x:c>
      <x:c r="K460" s="13" t="n">
        <x:v>45929.666666666664</x:v>
      </x:c>
      <x:c r="L460" s="13" t="n">
        <x:v>45929.666666666664</x:v>
      </x:c>
    </x:row>
    <x:row r="461" ht="22" customHeight="1">
      <x:c r="A461" s="12" t="n">
        <x:v>45940</x:v>
      </x:c>
      <x:c r="B461" s="14" t="str">
        <x:v>16:00</x:v>
      </x:c>
      <x:c r="C461" s="12" t="n">
        <x:v>45930</x:v>
      </x:c>
      <x:c r="D461" s="9" t="n">
        <x:v>663.065</x:v>
      </x:c>
      <x:c r="E461" s="9" t="n">
        <x:v>666.18</x:v>
      </x:c>
      <x:c r="F461" s="10" t="n">
        <x:f>IF(H461=1,E461/D461-1,"")</x:f>
        <x:v>0.00469788029831153</x:v>
      </x:c>
      <x:c r="G461" s="10" t="n">
        <x:f>IF(H461=1,ABS(F461),"")</x:f>
        <x:v>0.00469788029831153</x:v>
      </x:c>
      <x:c r="H461" s="2" t="n">
        <x:v>1</x:v>
      </x:c>
      <x:c r="I461" s="2" t="str">
        <x:v>AV.Clean!B615</x:v>
      </x:c>
      <x:c r="J461" s="2" t="str">
        <x:v>AV.Clean!B602</x:v>
      </x:c>
      <x:c r="K461" s="13" t="n">
        <x:v>45930.666666666664</x:v>
      </x:c>
      <x:c r="L461" s="13" t="n">
        <x:v>45930.666666666664</x:v>
      </x:c>
    </x:row>
    <x:row r="462" ht="22" customHeight="1">
      <x:c r="A462" s="12" t="n">
        <x:v>45940</x:v>
      </x:c>
      <x:c r="B462" s="14" t="str">
        <x:v>16:00</x:v>
      </x:c>
      <x:c r="C462" s="12" t="n">
        <x:v>45931</x:v>
      </x:c>
      <x:c r="D462" s="9" t="n">
        <x:v>663.6824</x:v>
      </x:c>
      <x:c r="E462" s="9" t="n">
        <x:v>668.45</x:v>
      </x:c>
      <x:c r="F462" s="10" t="n">
        <x:f>IF(H462=1,E462/D462-1,"")</x:f>
        <x:v>0.007183556472192043</x:v>
      </x:c>
      <x:c r="G462" s="10" t="n">
        <x:f>IF(H462=1,ABS(F462),"")</x:f>
        <x:v>0.007183556472192043</x:v>
      </x:c>
      <x:c r="H462" s="2" t="n">
        <x:v>1</x:v>
      </x:c>
      <x:c r="I462" s="2" t="str">
        <x:v>AV.Clean!B601</x:v>
      </x:c>
      <x:c r="J462" s="2" t="str">
        <x:v>AV.Clean!B588</x:v>
      </x:c>
      <x:c r="K462" s="13" t="n">
        <x:v>45931.666666666664</x:v>
      </x:c>
      <x:c r="L462" s="13" t="n">
        <x:v>45931.666666666664</x:v>
      </x:c>
    </x:row>
    <x:row r="463" ht="22" customHeight="1">
      <x:c r="A463" s="12" t="n">
        <x:v>45940</x:v>
      </x:c>
      <x:c r="B463" s="14" t="str">
        <x:v>16:00</x:v>
      </x:c>
      <x:c r="C463" s="12" t="n">
        <x:v>45932</x:v>
      </x:c>
      <x:c r="D463" s="9" t="n">
        <x:v>669.3</x:v>
      </x:c>
      <x:c r="E463" s="9" t="n">
        <x:v>669.22</x:v>
      </x:c>
      <x:c r="F463" s="10" t="n">
        <x:f>IF(H463=1,E463/D463-1,"")</x:f>
        <x:v>-0.00011952786493341083</x:v>
      </x:c>
      <x:c r="G463" s="10" t="n">
        <x:f>IF(H463=1,ABS(F463),"")</x:f>
        <x:v>0.00011952786493341083</x:v>
      </x:c>
      <x:c r="H463" s="2" t="n">
        <x:v>1</x:v>
      </x:c>
      <x:c r="I463" s="2" t="str">
        <x:v>AV.Clean!B587</x:v>
      </x:c>
      <x:c r="J463" s="2" t="str">
        <x:v>AV.Clean!B574</x:v>
      </x:c>
      <x:c r="K463" s="13" t="n">
        <x:v>45932.666666666664</x:v>
      </x:c>
      <x:c r="L463" s="13" t="n">
        <x:v>45932.666666666664</x:v>
      </x:c>
    </x:row>
    <x:row r="464" ht="22" customHeight="1">
      <x:c r="A464" s="12" t="n">
        <x:v>45940</x:v>
      </x:c>
      <x:c r="B464" s="14" t="str">
        <x:v>16:00</x:v>
      </x:c>
      <x:c r="C464" s="12" t="n">
        <x:v>45933</x:v>
      </x:c>
      <x:c r="D464" s="9" t="n">
        <x:v>670.67</x:v>
      </x:c>
      <x:c r="E464" s="9" t="n">
        <x:v>669.21</x:v>
      </x:c>
      <x:c r="F464" s="10" t="n">
        <x:f>IF(H464=1,E464/D464-1,"")</x:f>
        <x:v>-0.0021769275500617136</x:v>
      </x:c>
      <x:c r="G464" s="10" t="n">
        <x:f>IF(H464=1,ABS(F464),"")</x:f>
        <x:v>0.0021769275500617136</x:v>
      </x:c>
      <x:c r="H464" s="2" t="n">
        <x:v>1</x:v>
      </x:c>
      <x:c r="I464" s="2" t="str">
        <x:v>AV.Clean!B573</x:v>
      </x:c>
      <x:c r="J464" s="2" t="str">
        <x:v>AV.Clean!B560</x:v>
      </x:c>
      <x:c r="K464" s="13" t="n">
        <x:v>45933.666666666664</x:v>
      </x:c>
      <x:c r="L464" s="13" t="n">
        <x:v>45933.666666666664</x:v>
      </x:c>
    </x:row>
    <x:row r="465" ht="22" customHeight="1">
      <x:c r="A465" s="12" t="n">
        <x:v>45940</x:v>
      </x:c>
      <x:c r="B465" s="14" t="str">
        <x:v>16:00</x:v>
      </x:c>
      <x:c r="C465" s="12" t="n">
        <x:v>45936</x:v>
      </x:c>
      <x:c r="D465" s="9" t="n">
        <x:v>669.95</x:v>
      </x:c>
      <x:c r="E465" s="9" t="n">
        <x:v>671.61</x:v>
      </x:c>
      <x:c r="F465" s="10" t="n">
        <x:f>IF(H465=1,E465/D465-1,"")</x:f>
        <x:v>0.0024777968505111936</x:v>
      </x:c>
      <x:c r="G465" s="10" t="n">
        <x:f>IF(H465=1,ABS(F465),"")</x:f>
        <x:v>0.0024777968505111936</x:v>
      </x:c>
      <x:c r="H465" s="2" t="n">
        <x:v>1</x:v>
      </x:c>
      <x:c r="I465" s="2" t="str">
        <x:v>AV.Clean!B559</x:v>
      </x:c>
      <x:c r="J465" s="2" t="str">
        <x:v>AV.Clean!B546</x:v>
      </x:c>
      <x:c r="K465" s="13" t="n">
        <x:v>45936.666666666664</x:v>
      </x:c>
      <x:c r="L465" s="13" t="n">
        <x:v>45936.666666666664</x:v>
      </x:c>
    </x:row>
    <x:row r="466" ht="22" customHeight="1">
      <x:c r="A466" s="12" t="n">
        <x:v>45940</x:v>
      </x:c>
      <x:c r="B466" s="14" t="str">
        <x:v>16:00</x:v>
      </x:c>
      <x:c r="C466" s="12" t="n">
        <x:v>45937</x:v>
      </x:c>
      <x:c r="D466" s="9" t="n">
        <x:v>672.095</x:v>
      </x:c>
      <x:c r="E466" s="9" t="n">
        <x:v>669.12</x:v>
      </x:c>
      <x:c r="F466" s="10" t="n">
        <x:f>IF(H466=1,E466/D466-1,"")</x:f>
        <x:v>-0.004426457569242426</x:v>
      </x:c>
      <x:c r="G466" s="10" t="n">
        <x:f>IF(H466=1,ABS(F466),"")</x:f>
        <x:v>0.004426457569242426</x:v>
      </x:c>
      <x:c r="H466" s="2" t="n">
        <x:v>1</x:v>
      </x:c>
      <x:c r="I466" s="2" t="str">
        <x:v>AV.Clean!B545</x:v>
      </x:c>
      <x:c r="J466" s="2" t="str">
        <x:v>AV.Clean!B532</x:v>
      </x:c>
      <x:c r="K466" s="13" t="n">
        <x:v>45937.666666666664</x:v>
      </x:c>
      <x:c r="L466" s="13" t="n">
        <x:v>45937.666666666664</x:v>
      </x:c>
    </x:row>
    <x:row r="467" ht="22" customHeight="1">
      <x:c r="A467" s="12" t="n">
        <x:v>45940</x:v>
      </x:c>
      <x:c r="B467" s="14" t="str">
        <x:v>16:00</x:v>
      </x:c>
      <x:c r="C467" s="12" t="n">
        <x:v>45938</x:v>
      </x:c>
      <x:c r="D467" s="9" t="n">
        <x:v>670.385</x:v>
      </x:c>
      <x:c r="E467" s="9" t="n">
        <x:v>673.11</x:v>
      </x:c>
      <x:c r="F467" s="10" t="n">
        <x:f>IF(H467=1,E467/D467-1,"")</x:f>
        <x:v>0.004064828419490407</x:v>
      </x:c>
      <x:c r="G467" s="10" t="n">
        <x:f>IF(H467=1,ABS(F467),"")</x:f>
        <x:v>0.004064828419490407</x:v>
      </x:c>
      <x:c r="H467" s="2" t="n">
        <x:v>1</x:v>
      </x:c>
      <x:c r="I467" s="2" t="str">
        <x:v>AV.Clean!B531</x:v>
      </x:c>
      <x:c r="J467" s="2" t="str">
        <x:v>AV.Clean!B518</x:v>
      </x:c>
      <x:c r="K467" s="13" t="n">
        <x:v>45938.666666666664</x:v>
      </x:c>
      <x:c r="L467" s="13" t="n">
        <x:v>45938.666666666664</x:v>
      </x:c>
    </x:row>
    <x:row r="468" ht="22" customHeight="1">
      <x:c r="A468" s="12" t="n">
        <x:v>45940</x:v>
      </x:c>
      <x:c r="B468" s="14" t="str">
        <x:v>16:00</x:v>
      </x:c>
      <x:c r="C468" s="12" t="n">
        <x:v>45939</x:v>
      </x:c>
      <x:c r="D468" s="9" t="n">
        <x:v>671.73</x:v>
      </x:c>
      <x:c r="E468" s="9" t="n">
        <x:v>671.16</x:v>
      </x:c>
      <x:c r="F468" s="10" t="n">
        <x:f>IF(H468=1,E468/D468-1,"")</x:f>
        <x:v>-0.0008485552230808047</x:v>
      </x:c>
      <x:c r="G468" s="10" t="n">
        <x:f>IF(H468=1,ABS(F468),"")</x:f>
        <x:v>0.0008485552230808047</x:v>
      </x:c>
      <x:c r="H468" s="2" t="n">
        <x:v>1</x:v>
      </x:c>
      <x:c r="I468" s="2" t="str">
        <x:v>AV.Clean!B517</x:v>
      </x:c>
      <x:c r="J468" s="2" t="str">
        <x:v>AV.Clean!B504</x:v>
      </x:c>
      <x:c r="K468" s="13" t="n">
        <x:v>45939.666666666664</x:v>
      </x:c>
      <x:c r="L468" s="13" t="n">
        <x:v>45939.666666666664</x:v>
      </x:c>
    </x:row>
    <x:row r="469" ht="22" customHeight="1">
      <x:c r="A469" s="12" t="n">
        <x:v>45982</x:v>
      </x:c>
      <x:c r="B469" s="14" t="str">
        <x:v>10:00</x:v>
      </x:c>
      <x:c r="C469" s="12" t="n">
        <x:v>45964</x:v>
      </x:c>
      <x:c r="D469" s="9" t="n">
        <x:v>682.52</x:v>
      </x:c>
      <x:c r="E469" s="9" t="n">
        <x:v>682.52</x:v>
      </x:c>
      <x:c r="F469" s="10" t="n">
        <x:f>IF(H469=1,E469/D469-1,"")</x:f>
        <x:v>0</x:v>
      </x:c>
      <x:c r="G469" s="10" t="n">
        <x:f>IF(H469=1,ABS(F469),"")</x:f>
        <x:v>0</x:v>
      </x:c>
      <x:c r="H469" s="2" t="n">
        <x:v>1</x:v>
      </x:c>
      <x:c r="I469" s="2" t="str">
        <x:v>AV.Clean!B279</x:v>
      </x:c>
      <x:c r="J469" s="2" t="str">
        <x:v>AV.Clean!B279</x:v>
      </x:c>
      <x:c r="K469" s="13" t="n">
        <x:v>45964.395833333336</x:v>
      </x:c>
      <x:c r="L469" s="13" t="n">
        <x:v>45964.416666666664</x:v>
      </x:c>
    </x:row>
    <x:row r="470" ht="22" customHeight="1">
      <x:c r="A470" s="12" t="n">
        <x:v>45982</x:v>
      </x:c>
      <x:c r="B470" s="14" t="str">
        <x:v>10:00</x:v>
      </x:c>
      <x:c r="C470" s="12" t="n">
        <x:v>45965</x:v>
      </x:c>
      <x:c r="D470" s="9" t="n">
        <x:v>678.8</x:v>
      </x:c>
      <x:c r="E470" s="9" t="n">
        <x:v>678.8</x:v>
      </x:c>
      <x:c r="F470" s="10" t="n">
        <x:f>IF(H470=1,E470/D470-1,"")</x:f>
        <x:v>0</x:v>
      </x:c>
      <x:c r="G470" s="10" t="n">
        <x:f>IF(H470=1,ABS(F470),"")</x:f>
        <x:v>0</x:v>
      </x:c>
      <x:c r="H470" s="2" t="n">
        <x:v>1</x:v>
      </x:c>
      <x:c r="I470" s="2" t="str">
        <x:v>AV.Clean!B265</x:v>
      </x:c>
      <x:c r="J470" s="2" t="str">
        <x:v>AV.Clean!B265</x:v>
      </x:c>
      <x:c r="K470" s="13" t="n">
        <x:v>45965.395833333336</x:v>
      </x:c>
      <x:c r="L470" s="13" t="n">
        <x:v>45965.416666666664</x:v>
      </x:c>
    </x:row>
    <x:row r="471" ht="22" customHeight="1">
      <x:c r="A471" s="12" t="n">
        <x:v>45982</x:v>
      </x:c>
      <x:c r="B471" s="14" t="str">
        <x:v>10:00</x:v>
      </x:c>
      <x:c r="C471" s="12" t="n">
        <x:v>45966</x:v>
      </x:c>
      <x:c r="D471" s="9" t="n">
        <x:v>677.17</x:v>
      </x:c>
      <x:c r="E471" s="9" t="n">
        <x:v>677.17</x:v>
      </x:c>
      <x:c r="F471" s="10" t="n">
        <x:f>IF(H471=1,E471/D471-1,"")</x:f>
        <x:v>0</x:v>
      </x:c>
      <x:c r="G471" s="10" t="n">
        <x:f>IF(H471=1,ABS(F471),"")</x:f>
        <x:v>0</x:v>
      </x:c>
      <x:c r="H471" s="2" t="n">
        <x:v>1</x:v>
      </x:c>
      <x:c r="I471" s="2" t="str">
        <x:v>AV.Clean!B251</x:v>
      </x:c>
      <x:c r="J471" s="2" t="str">
        <x:v>AV.Clean!B251</x:v>
      </x:c>
      <x:c r="K471" s="13" t="n">
        <x:v>45966.395833333336</x:v>
      </x:c>
      <x:c r="L471" s="13" t="n">
        <x:v>45966.416666666664</x:v>
      </x:c>
    </x:row>
    <x:row r="472" ht="22" customHeight="1">
      <x:c r="A472" s="12" t="n">
        <x:v>45982</x:v>
      </x:c>
      <x:c r="B472" s="14" t="str">
        <x:v>10:00</x:v>
      </x:c>
      <x:c r="C472" s="12" t="n">
        <x:v>45967</x:v>
      </x:c>
      <x:c r="D472" s="9" t="n">
        <x:v>674.05</x:v>
      </x:c>
      <x:c r="E472" s="9" t="n">
        <x:v>674.05</x:v>
      </x:c>
      <x:c r="F472" s="10" t="n">
        <x:f>IF(H472=1,E472/D472-1,"")</x:f>
        <x:v>0</x:v>
      </x:c>
      <x:c r="G472" s="10" t="n">
        <x:f>IF(H472=1,ABS(F472),"")</x:f>
        <x:v>0</x:v>
      </x:c>
      <x:c r="H472" s="2" t="n">
        <x:v>1</x:v>
      </x:c>
      <x:c r="I472" s="2" t="str">
        <x:v>AV.Clean!B237</x:v>
      </x:c>
      <x:c r="J472" s="2" t="str">
        <x:v>AV.Clean!B237</x:v>
      </x:c>
      <x:c r="K472" s="13" t="n">
        <x:v>45967.395833333336</x:v>
      </x:c>
      <x:c r="L472" s="13" t="n">
        <x:v>45967.416666666664</x:v>
      </x:c>
    </x:row>
    <x:row r="473" ht="22" customHeight="1">
      <x:c r="A473" s="12" t="n">
        <x:v>45982</x:v>
      </x:c>
      <x:c r="B473" s="14" t="str">
        <x:v>10:00</x:v>
      </x:c>
      <x:c r="C473" s="12" t="n">
        <x:v>45968</x:v>
      </x:c>
      <x:c r="D473" s="9" t="n">
        <x:v>666.345</x:v>
      </x:c>
      <x:c r="E473" s="9" t="n">
        <x:v>666.345</x:v>
      </x:c>
      <x:c r="F473" s="10" t="n">
        <x:f>IF(H473=1,E473/D473-1,"")</x:f>
        <x:v>0</x:v>
      </x:c>
      <x:c r="G473" s="10" t="n">
        <x:f>IF(H473=1,ABS(F473),"")</x:f>
        <x:v>0</x:v>
      </x:c>
      <x:c r="H473" s="2" t="n">
        <x:v>1</x:v>
      </x:c>
      <x:c r="I473" s="2" t="str">
        <x:v>AV.Clean!B223</x:v>
      </x:c>
      <x:c r="J473" s="2" t="str">
        <x:v>AV.Clean!B223</x:v>
      </x:c>
      <x:c r="K473" s="13" t="n">
        <x:v>45968.395833333336</x:v>
      </x:c>
      <x:c r="L473" s="13" t="n">
        <x:v>45968.416666666664</x:v>
      </x:c>
    </x:row>
    <x:row r="474" ht="22" customHeight="1">
      <x:c r="A474" s="12" t="n">
        <x:v>45982</x:v>
      </x:c>
      <x:c r="B474" s="14" t="str">
        <x:v>10:00</x:v>
      </x:c>
      <x:c r="C474" s="12" t="n">
        <x:v>45971</x:v>
      </x:c>
      <x:c r="D474" s="9" t="n">
        <x:v>678.525</x:v>
      </x:c>
      <x:c r="E474" s="9" t="n">
        <x:v>678.525</x:v>
      </x:c>
      <x:c r="F474" s="10" t="n">
        <x:f>IF(H474=1,E474/D474-1,"")</x:f>
        <x:v>0</x:v>
      </x:c>
      <x:c r="G474" s="10" t="n">
        <x:f>IF(H474=1,ABS(F474),"")</x:f>
        <x:v>0</x:v>
      </x:c>
      <x:c r="H474" s="2" t="n">
        <x:v>1</x:v>
      </x:c>
      <x:c r="I474" s="2" t="str">
        <x:v>AV.Clean!B209</x:v>
      </x:c>
      <x:c r="J474" s="2" t="str">
        <x:v>AV.Clean!B209</x:v>
      </x:c>
      <x:c r="K474" s="13" t="n">
        <x:v>45971.395833333336</x:v>
      </x:c>
      <x:c r="L474" s="13" t="n">
        <x:v>45971.416666666664</x:v>
      </x:c>
    </x:row>
    <x:row r="475" ht="22" customHeight="1">
      <x:c r="A475" s="12" t="n">
        <x:v>45982</x:v>
      </x:c>
      <x:c r="B475" s="14" t="str">
        <x:v>10:00</x:v>
      </x:c>
      <x:c r="C475" s="12" t="n">
        <x:v>45972</x:v>
      </x:c>
      <x:c r="D475" s="9" t="n">
        <x:v>680.645</x:v>
      </x:c>
      <x:c r="E475" s="9" t="n">
        <x:v>680.645</x:v>
      </x:c>
      <x:c r="F475" s="10" t="n">
        <x:f>IF(H475=1,E475/D475-1,"")</x:f>
        <x:v>0</x:v>
      </x:c>
      <x:c r="G475" s="10" t="n">
        <x:f>IF(H475=1,ABS(F475),"")</x:f>
        <x:v>0</x:v>
      </x:c>
      <x:c r="H475" s="2" t="n">
        <x:v>1</x:v>
      </x:c>
      <x:c r="I475" s="2" t="str">
        <x:v>AV.Clean!B195</x:v>
      </x:c>
      <x:c r="J475" s="2" t="str">
        <x:v>AV.Clean!B195</x:v>
      </x:c>
      <x:c r="K475" s="13" t="n">
        <x:v>45972.395833333336</x:v>
      </x:c>
      <x:c r="L475" s="13" t="n">
        <x:v>45972.416666666664</x:v>
      </x:c>
    </x:row>
    <x:row r="476" ht="22" customHeight="1">
      <x:c r="A476" s="12" t="n">
        <x:v>45982</x:v>
      </x:c>
      <x:c r="B476" s="14" t="str">
        <x:v>10:00</x:v>
      </x:c>
      <x:c r="C476" s="12" t="n">
        <x:v>45973</x:v>
      </x:c>
      <x:c r="D476" s="9" t="n">
        <x:v>683.61</x:v>
      </x:c>
      <x:c r="E476" s="9" t="n">
        <x:v>683.61</x:v>
      </x:c>
      <x:c r="F476" s="10" t="n">
        <x:f>IF(H476=1,E476/D476-1,"")</x:f>
        <x:v>0</x:v>
      </x:c>
      <x:c r="G476" s="10" t="n">
        <x:f>IF(H476=1,ABS(F476),"")</x:f>
        <x:v>0</x:v>
      </x:c>
      <x:c r="H476" s="2" t="n">
        <x:v>1</x:v>
      </x:c>
      <x:c r="I476" s="2" t="str">
        <x:v>AV.Clean!B181</x:v>
      </x:c>
      <x:c r="J476" s="2" t="str">
        <x:v>AV.Clean!B181</x:v>
      </x:c>
      <x:c r="K476" s="13" t="n">
        <x:v>45973.395833333336</x:v>
      </x:c>
      <x:c r="L476" s="13" t="n">
        <x:v>45973.416666666664</x:v>
      </x:c>
    </x:row>
    <x:row r="477" ht="22" customHeight="1">
      <x:c r="A477" s="12" t="n">
        <x:v>45982</x:v>
      </x:c>
      <x:c r="B477" s="14" t="str">
        <x:v>10:00</x:v>
      </x:c>
      <x:c r="C477" s="12" t="n">
        <x:v>45974</x:v>
      </x:c>
      <x:c r="D477" s="9" t="n">
        <x:v>678.72</x:v>
      </x:c>
      <x:c r="E477" s="9" t="n">
        <x:v>678.72</x:v>
      </x:c>
      <x:c r="F477" s="10" t="n">
        <x:f>IF(H477=1,E477/D477-1,"")</x:f>
        <x:v>0</x:v>
      </x:c>
      <x:c r="G477" s="10" t="n">
        <x:f>IF(H477=1,ABS(F477),"")</x:f>
        <x:v>0</x:v>
      </x:c>
      <x:c r="H477" s="2" t="n">
        <x:v>1</x:v>
      </x:c>
      <x:c r="I477" s="2" t="str">
        <x:v>AV.Clean!B167</x:v>
      </x:c>
      <x:c r="J477" s="2" t="str">
        <x:v>AV.Clean!B167</x:v>
      </x:c>
      <x:c r="K477" s="13" t="n">
        <x:v>45974.395833333336</x:v>
      </x:c>
      <x:c r="L477" s="13" t="n">
        <x:v>45974.416666666664</x:v>
      </x:c>
    </x:row>
    <x:row r="478" ht="22" customHeight="1">
      <x:c r="A478" s="12" t="n">
        <x:v>45982</x:v>
      </x:c>
      <x:c r="B478" s="14" t="str">
        <x:v>10:00</x:v>
      </x:c>
      <x:c r="C478" s="12" t="n">
        <x:v>45975</x:v>
      </x:c>
      <x:c r="D478" s="9" t="n">
        <x:v>668.75</x:v>
      </x:c>
      <x:c r="E478" s="9" t="n">
        <x:v>668.75</x:v>
      </x:c>
      <x:c r="F478" s="10" t="n">
        <x:f>IF(H478=1,E478/D478-1,"")</x:f>
        <x:v>0</x:v>
      </x:c>
      <x:c r="G478" s="10" t="n">
        <x:f>IF(H478=1,ABS(F478),"")</x:f>
        <x:v>0</x:v>
      </x:c>
      <x:c r="H478" s="2" t="n">
        <x:v>1</x:v>
      </x:c>
      <x:c r="I478" s="2" t="str">
        <x:v>AV.Clean!B153</x:v>
      </x:c>
      <x:c r="J478" s="2" t="str">
        <x:v>AV.Clean!B153</x:v>
      </x:c>
      <x:c r="K478" s="13" t="n">
        <x:v>45975.395833333336</x:v>
      </x:c>
      <x:c r="L478" s="13" t="n">
        <x:v>45975.416666666664</x:v>
      </x:c>
    </x:row>
    <x:row r="479" ht="22" customHeight="1">
      <x:c r="A479" s="12" t="n">
        <x:v>45982</x:v>
      </x:c>
      <x:c r="B479" s="14" t="str">
        <x:v>10:00</x:v>
      </x:c>
      <x:c r="C479" s="12" t="n">
        <x:v>45978</x:v>
      </x:c>
      <x:c r="D479" s="9" t="n">
        <x:v>672.82</x:v>
      </x:c>
      <x:c r="E479" s="9" t="n">
        <x:v>672.82</x:v>
      </x:c>
      <x:c r="F479" s="10" t="n">
        <x:f>IF(H479=1,E479/D479-1,"")</x:f>
        <x:v>0</x:v>
      </x:c>
      <x:c r="G479" s="10" t="n">
        <x:f>IF(H479=1,ABS(F479),"")</x:f>
        <x:v>0</x:v>
      </x:c>
      <x:c r="H479" s="2" t="n">
        <x:v>1</x:v>
      </x:c>
      <x:c r="I479" s="2" t="str">
        <x:v>AV.Clean!B139</x:v>
      </x:c>
      <x:c r="J479" s="2" t="str">
        <x:v>AV.Clean!B139</x:v>
      </x:c>
      <x:c r="K479" s="13" t="n">
        <x:v>45978.395833333336</x:v>
      </x:c>
      <x:c r="L479" s="13" t="n">
        <x:v>45978.416666666664</x:v>
      </x:c>
    </x:row>
    <x:row r="480" ht="22" customHeight="1">
      <x:c r="A480" s="12" t="n">
        <x:v>45982</x:v>
      </x:c>
      <x:c r="B480" s="14" t="str">
        <x:v>10:00</x:v>
      </x:c>
      <x:c r="C480" s="12" t="n">
        <x:v>45979</x:v>
      </x:c>
      <x:c r="D480" s="9" t="n">
        <x:v>658.56</x:v>
      </x:c>
      <x:c r="E480" s="9" t="n">
        <x:v>658.56</x:v>
      </x:c>
      <x:c r="F480" s="10" t="n">
        <x:f>IF(H480=1,E480/D480-1,"")</x:f>
        <x:v>0</x:v>
      </x:c>
      <x:c r="G480" s="10" t="n">
        <x:f>IF(H480=1,ABS(F480),"")</x:f>
        <x:v>0</x:v>
      </x:c>
      <x:c r="H480" s="2" t="n">
        <x:v>1</x:v>
      </x:c>
      <x:c r="I480" s="2" t="str">
        <x:v>AV.Clean!B125</x:v>
      </x:c>
      <x:c r="J480" s="2" t="str">
        <x:v>AV.Clean!B125</x:v>
      </x:c>
      <x:c r="K480" s="13" t="n">
        <x:v>45979.395833333336</x:v>
      </x:c>
      <x:c r="L480" s="13" t="n">
        <x:v>45979.416666666664</x:v>
      </x:c>
    </x:row>
    <x:row r="481" ht="22" customHeight="1">
      <x:c r="A481" s="12" t="n">
        <x:v>45982</x:v>
      </x:c>
      <x:c r="B481" s="14" t="str">
        <x:v>10:00</x:v>
      </x:c>
      <x:c r="C481" s="12" t="n">
        <x:v>45980</x:v>
      </x:c>
      <x:c r="D481" s="9" t="n">
        <x:v>665.85</x:v>
      </x:c>
      <x:c r="E481" s="9" t="n">
        <x:v>665.85</x:v>
      </x:c>
      <x:c r="F481" s="10" t="n">
        <x:f>IF(H481=1,E481/D481-1,"")</x:f>
        <x:v>0</x:v>
      </x:c>
      <x:c r="G481" s="10" t="n">
        <x:f>IF(H481=1,ABS(F481),"")</x:f>
        <x:v>0</x:v>
      </x:c>
      <x:c r="H481" s="2" t="n">
        <x:v>1</x:v>
      </x:c>
      <x:c r="I481" s="2" t="str">
        <x:v>AV.Clean!B111</x:v>
      </x:c>
      <x:c r="J481" s="2" t="str">
        <x:v>AV.Clean!B111</x:v>
      </x:c>
      <x:c r="K481" s="13" t="n">
        <x:v>45980.395833333336</x:v>
      </x:c>
      <x:c r="L481" s="13" t="n">
        <x:v>45980.416666666664</x:v>
      </x:c>
    </x:row>
    <x:row r="482" ht="22" customHeight="1">
      <x:c r="A482" s="12" t="n">
        <x:v>45982</x:v>
      </x:c>
      <x:c r="B482" s="14" t="str">
        <x:v>10:00</x:v>
      </x:c>
      <x:c r="C482" s="12" t="n">
        <x:v>45981</x:v>
      </x:c>
      <x:c r="D482" s="9" t="n">
        <x:v>675.1099</x:v>
      </x:c>
      <x:c r="E482" s="9" t="n">
        <x:v>675.1099</x:v>
      </x:c>
      <x:c r="F482" s="10" t="n">
        <x:f>IF(H482=1,E482/D482-1,"")</x:f>
        <x:v>0</x:v>
      </x:c>
      <x:c r="G482" s="10" t="n">
        <x:f>IF(H482=1,ABS(F482),"")</x:f>
        <x:v>0</x:v>
      </x:c>
      <x:c r="H482" s="2" t="n">
        <x:v>1</x:v>
      </x:c>
      <x:c r="I482" s="2" t="str">
        <x:v>AV.Clean!B97</x:v>
      </x:c>
      <x:c r="J482" s="2" t="str">
        <x:v>AV.Clean!B97</x:v>
      </x:c>
      <x:c r="K482" s="13" t="n">
        <x:v>45981.395833333336</x:v>
      </x:c>
      <x:c r="L482" s="13" t="n">
        <x:v>45981.416666666664</x:v>
      </x:c>
    </x:row>
    <x:row r="483" ht="22" customHeight="1">
      <x:c r="A483" s="12" t="n">
        <x:v>45982</x:v>
      </x:c>
      <x:c r="B483" s="14" t="str">
        <x:v>10:30</x:v>
      </x:c>
      <x:c r="C483" s="12" t="n">
        <x:v>45964</x:v>
      </x:c>
      <x:c r="D483" s="9" t="n">
        <x:v>682.52</x:v>
      </x:c>
      <x:c r="E483" s="9" t="n">
        <x:v>680.3899</x:v>
      </x:c>
      <x:c r="F483" s="10" t="n">
        <x:f>IF(H483=1,E483/D483-1,"")</x:f>
        <x:v>-0.0031209341850787498</x:v>
      </x:c>
      <x:c r="G483" s="10" t="n">
        <x:f>IF(H483=1,ABS(F483),"")</x:f>
        <x:v>0.0031209341850787498</x:v>
      </x:c>
      <x:c r="H483" s="2" t="n">
        <x:v>1</x:v>
      </x:c>
      <x:c r="I483" s="2" t="str">
        <x:v>AV.Clean!B279</x:v>
      </x:c>
      <x:c r="J483" s="2" t="str">
        <x:v>AV.Clean!B278</x:v>
      </x:c>
      <x:c r="K483" s="13" t="n">
        <x:v>45964.416666666664</x:v>
      </x:c>
      <x:c r="L483" s="13" t="n">
        <x:v>45964.4375</x:v>
      </x:c>
    </x:row>
    <x:row r="484" ht="22" customHeight="1">
      <x:c r="A484" s="12" t="n">
        <x:v>45982</x:v>
      </x:c>
      <x:c r="B484" s="14" t="str">
        <x:v>10:30</x:v>
      </x:c>
      <x:c r="C484" s="12" t="n">
        <x:v>45965</x:v>
      </x:c>
      <x:c r="D484" s="9" t="n">
        <x:v>678.8</x:v>
      </x:c>
      <x:c r="E484" s="9" t="n">
        <x:v>679.24</x:v>
      </x:c>
      <x:c r="F484" s="10" t="n">
        <x:f>IF(H484=1,E484/D484-1,"")</x:f>
        <x:v>0.0006482027106660126</x:v>
      </x:c>
      <x:c r="G484" s="10" t="n">
        <x:f>IF(H484=1,ABS(F484),"")</x:f>
        <x:v>0.0006482027106660126</x:v>
      </x:c>
      <x:c r="H484" s="2" t="n">
        <x:v>1</x:v>
      </x:c>
      <x:c r="I484" s="2" t="str">
        <x:v>AV.Clean!B265</x:v>
      </x:c>
      <x:c r="J484" s="2" t="str">
        <x:v>AV.Clean!B264</x:v>
      </x:c>
      <x:c r="K484" s="13" t="n">
        <x:v>45965.416666666664</x:v>
      </x:c>
      <x:c r="L484" s="13" t="n">
        <x:v>45965.4375</x:v>
      </x:c>
    </x:row>
    <x:row r="485" ht="22" customHeight="1">
      <x:c r="A485" s="12" t="n">
        <x:v>45982</x:v>
      </x:c>
      <x:c r="B485" s="14" t="str">
        <x:v>10:30</x:v>
      </x:c>
      <x:c r="C485" s="12" t="n">
        <x:v>45966</x:v>
      </x:c>
      <x:c r="D485" s="9" t="n">
        <x:v>677.17</x:v>
      </x:c>
      <x:c r="E485" s="9" t="n">
        <x:v>677.41</x:v>
      </x:c>
      <x:c r="F485" s="10" t="n">
        <x:f>IF(H485=1,E485/D485-1,"")</x:f>
        <x:v>0.0003544161731914297</x:v>
      </x:c>
      <x:c r="G485" s="10" t="n">
        <x:f>IF(H485=1,ABS(F485),"")</x:f>
        <x:v>0.0003544161731914297</x:v>
      </x:c>
      <x:c r="H485" s="2" t="n">
        <x:v>1</x:v>
      </x:c>
      <x:c r="I485" s="2" t="str">
        <x:v>AV.Clean!B251</x:v>
      </x:c>
      <x:c r="J485" s="2" t="str">
        <x:v>AV.Clean!B250</x:v>
      </x:c>
      <x:c r="K485" s="13" t="n">
        <x:v>45966.416666666664</x:v>
      </x:c>
      <x:c r="L485" s="13" t="n">
        <x:v>45966.4375</x:v>
      </x:c>
    </x:row>
    <x:row r="486" ht="22" customHeight="1">
      <x:c r="A486" s="12" t="n">
        <x:v>45982</x:v>
      </x:c>
      <x:c r="B486" s="14" t="str">
        <x:v>10:30</x:v>
      </x:c>
      <x:c r="C486" s="12" t="n">
        <x:v>45967</x:v>
      </x:c>
      <x:c r="D486" s="9" t="n">
        <x:v>674.05</x:v>
      </x:c>
      <x:c r="E486" s="9" t="n">
        <x:v>674.61</x:v>
      </x:c>
      <x:c r="F486" s="10" t="n">
        <x:f>IF(H486=1,E486/D486-1,"")</x:f>
        <x:v>0.0008307989021587581</x:v>
      </x:c>
      <x:c r="G486" s="10" t="n">
        <x:f>IF(H486=1,ABS(F486),"")</x:f>
        <x:v>0.0008307989021587581</x:v>
      </x:c>
      <x:c r="H486" s="2" t="n">
        <x:v>1</x:v>
      </x:c>
      <x:c r="I486" s="2" t="str">
        <x:v>AV.Clean!B237</x:v>
      </x:c>
      <x:c r="J486" s="2" t="str">
        <x:v>AV.Clean!B236</x:v>
      </x:c>
      <x:c r="K486" s="13" t="n">
        <x:v>45967.416666666664</x:v>
      </x:c>
      <x:c r="L486" s="13" t="n">
        <x:v>45967.4375</x:v>
      </x:c>
    </x:row>
    <x:row r="487" ht="22" customHeight="1">
      <x:c r="A487" s="12" t="n">
        <x:v>45982</x:v>
      </x:c>
      <x:c r="B487" s="14" t="str">
        <x:v>10:30</x:v>
      </x:c>
      <x:c r="C487" s="12" t="n">
        <x:v>45968</x:v>
      </x:c>
      <x:c r="D487" s="9" t="n">
        <x:v>666.345</x:v>
      </x:c>
      <x:c r="E487" s="9" t="n">
        <x:v>665.88</x:v>
      </x:c>
      <x:c r="F487" s="10" t="n">
        <x:f>IF(H487=1,E487/D487-1,"")</x:f>
        <x:v>-0.0006978367062108193</x:v>
      </x:c>
      <x:c r="G487" s="10" t="n">
        <x:f>IF(H487=1,ABS(F487),"")</x:f>
        <x:v>0.0006978367062108193</x:v>
      </x:c>
      <x:c r="H487" s="2" t="n">
        <x:v>1</x:v>
      </x:c>
      <x:c r="I487" s="2" t="str">
        <x:v>AV.Clean!B223</x:v>
      </x:c>
      <x:c r="J487" s="2" t="str">
        <x:v>AV.Clean!B222</x:v>
      </x:c>
      <x:c r="K487" s="13" t="n">
        <x:v>45968.416666666664</x:v>
      </x:c>
      <x:c r="L487" s="13" t="n">
        <x:v>45968.4375</x:v>
      </x:c>
    </x:row>
    <x:row r="488" ht="22" customHeight="1">
      <x:c r="A488" s="12" t="n">
        <x:v>45982</x:v>
      </x:c>
      <x:c r="B488" s="14" t="str">
        <x:v>10:30</x:v>
      </x:c>
      <x:c r="C488" s="12" t="n">
        <x:v>45971</x:v>
      </x:c>
      <x:c r="D488" s="9" t="n">
        <x:v>678.525</x:v>
      </x:c>
      <x:c r="E488" s="9" t="n">
        <x:v>678.88</x:v>
      </x:c>
      <x:c r="F488" s="10" t="n">
        <x:f>IF(H488=1,E488/D488-1,"")</x:f>
        <x:v>0.0005231936922001079</x:v>
      </x:c>
      <x:c r="G488" s="10" t="n">
        <x:f>IF(H488=1,ABS(F488),"")</x:f>
        <x:v>0.0005231936922001079</x:v>
      </x:c>
      <x:c r="H488" s="2" t="n">
        <x:v>1</x:v>
      </x:c>
      <x:c r="I488" s="2" t="str">
        <x:v>AV.Clean!B209</x:v>
      </x:c>
      <x:c r="J488" s="2" t="str">
        <x:v>AV.Clean!B208</x:v>
      </x:c>
      <x:c r="K488" s="13" t="n">
        <x:v>45971.416666666664</x:v>
      </x:c>
      <x:c r="L488" s="13" t="n">
        <x:v>45971.4375</x:v>
      </x:c>
    </x:row>
    <x:row r="489" ht="22" customHeight="1">
      <x:c r="A489" s="12" t="n">
        <x:v>45982</x:v>
      </x:c>
      <x:c r="B489" s="14" t="str">
        <x:v>10:30</x:v>
      </x:c>
      <x:c r="C489" s="12" t="n">
        <x:v>45972</x:v>
      </x:c>
      <x:c r="D489" s="9" t="n">
        <x:v>680.645</x:v>
      </x:c>
      <x:c r="E489" s="9" t="n">
        <x:v>679.365</x:v>
      </x:c>
      <x:c r="F489" s="10" t="n">
        <x:f>IF(H489=1,E489/D489-1,"")</x:f>
        <x:v>-0.0018805691660116475</x:v>
      </x:c>
      <x:c r="G489" s="10" t="n">
        <x:f>IF(H489=1,ABS(F489),"")</x:f>
        <x:v>0.0018805691660116475</x:v>
      </x:c>
      <x:c r="H489" s="2" t="n">
        <x:v>1</x:v>
      </x:c>
      <x:c r="I489" s="2" t="str">
        <x:v>AV.Clean!B195</x:v>
      </x:c>
      <x:c r="J489" s="2" t="str">
        <x:v>AV.Clean!B194</x:v>
      </x:c>
      <x:c r="K489" s="13" t="n">
        <x:v>45972.416666666664</x:v>
      </x:c>
      <x:c r="L489" s="13" t="n">
        <x:v>45972.4375</x:v>
      </x:c>
    </x:row>
    <x:row r="490" ht="22" customHeight="1">
      <x:c r="A490" s="12" t="n">
        <x:v>45982</x:v>
      </x:c>
      <x:c r="B490" s="14" t="str">
        <x:v>10:30</x:v>
      </x:c>
      <x:c r="C490" s="12" t="n">
        <x:v>45973</x:v>
      </x:c>
      <x:c r="D490" s="9" t="n">
        <x:v>683.61</x:v>
      </x:c>
      <x:c r="E490" s="9" t="n">
        <x:v>683.23</x:v>
      </x:c>
      <x:c r="F490" s="10" t="n">
        <x:f>IF(H490=1,E490/D490-1,"")</x:f>
        <x:v>-0.0005558725004022325</x:v>
      </x:c>
      <x:c r="G490" s="10" t="n">
        <x:f>IF(H490=1,ABS(F490),"")</x:f>
        <x:v>0.0005558725004022325</x:v>
      </x:c>
      <x:c r="H490" s="2" t="n">
        <x:v>1</x:v>
      </x:c>
      <x:c r="I490" s="2" t="str">
        <x:v>AV.Clean!B181</x:v>
      </x:c>
      <x:c r="J490" s="2" t="str">
        <x:v>AV.Clean!B180</x:v>
      </x:c>
      <x:c r="K490" s="13" t="n">
        <x:v>45973.416666666664</x:v>
      </x:c>
      <x:c r="L490" s="13" t="n">
        <x:v>45973.4375</x:v>
      </x:c>
    </x:row>
    <x:row r="491" ht="22" customHeight="1">
      <x:c r="A491" s="12" t="n">
        <x:v>45982</x:v>
      </x:c>
      <x:c r="B491" s="14" t="str">
        <x:v>10:30</x:v>
      </x:c>
      <x:c r="C491" s="12" t="n">
        <x:v>45974</x:v>
      </x:c>
      <x:c r="D491" s="9" t="n">
        <x:v>678.72</x:v>
      </x:c>
      <x:c r="E491" s="9" t="n">
        <x:v>678.9</x:v>
      </x:c>
      <x:c r="F491" s="10" t="n">
        <x:f>IF(H491=1,E491/D491-1,"")</x:f>
        <x:v>0.00026520509193761477</x:v>
      </x:c>
      <x:c r="G491" s="10" t="n">
        <x:f>IF(H491=1,ABS(F491),"")</x:f>
        <x:v>0.00026520509193761477</x:v>
      </x:c>
      <x:c r="H491" s="2" t="n">
        <x:v>1</x:v>
      </x:c>
      <x:c r="I491" s="2" t="str">
        <x:v>AV.Clean!B167</x:v>
      </x:c>
      <x:c r="J491" s="2" t="str">
        <x:v>AV.Clean!B166</x:v>
      </x:c>
      <x:c r="K491" s="13" t="n">
        <x:v>45974.416666666664</x:v>
      </x:c>
      <x:c r="L491" s="13" t="n">
        <x:v>45974.4375</x:v>
      </x:c>
    </x:row>
    <x:row r="492" ht="22" customHeight="1">
      <x:c r="A492" s="12" t="n">
        <x:v>45982</x:v>
      </x:c>
      <x:c r="B492" s="14" t="str">
        <x:v>10:30</x:v>
      </x:c>
      <x:c r="C492" s="12" t="n">
        <x:v>45975</x:v>
      </x:c>
      <x:c r="D492" s="9" t="n">
        <x:v>668.75</x:v>
      </x:c>
      <x:c r="E492" s="9" t="n">
        <x:v>669.74</x:v>
      </x:c>
      <x:c r="F492" s="10" t="n">
        <x:f>IF(H492=1,E492/D492-1,"")</x:f>
        <x:v>0.0014803738317756832</x:v>
      </x:c>
      <x:c r="G492" s="10" t="n">
        <x:f>IF(H492=1,ABS(F492),"")</x:f>
        <x:v>0.0014803738317756832</x:v>
      </x:c>
      <x:c r="H492" s="2" t="n">
        <x:v>1</x:v>
      </x:c>
      <x:c r="I492" s="2" t="str">
        <x:v>AV.Clean!B153</x:v>
      </x:c>
      <x:c r="J492" s="2" t="str">
        <x:v>AV.Clean!B152</x:v>
      </x:c>
      <x:c r="K492" s="13" t="n">
        <x:v>45975.416666666664</x:v>
      </x:c>
      <x:c r="L492" s="13" t="n">
        <x:v>45975.4375</x:v>
      </x:c>
    </x:row>
    <x:row r="493" ht="22" customHeight="1">
      <x:c r="A493" s="12" t="n">
        <x:v>45982</x:v>
      </x:c>
      <x:c r="B493" s="14" t="str">
        <x:v>10:30</x:v>
      </x:c>
      <x:c r="C493" s="12" t="n">
        <x:v>45978</x:v>
      </x:c>
      <x:c r="D493" s="9" t="n">
        <x:v>672.82</x:v>
      </x:c>
      <x:c r="E493" s="9" t="n">
        <x:v>672.05</x:v>
      </x:c>
      <x:c r="F493" s="10" t="n">
        <x:f>IF(H493=1,E493/D493-1,"")</x:f>
        <x:v>-0.0011444368478941147</x:v>
      </x:c>
      <x:c r="G493" s="10" t="n">
        <x:f>IF(H493=1,ABS(F493),"")</x:f>
        <x:v>0.0011444368478941147</x:v>
      </x:c>
      <x:c r="H493" s="2" t="n">
        <x:v>1</x:v>
      </x:c>
      <x:c r="I493" s="2" t="str">
        <x:v>AV.Clean!B139</x:v>
      </x:c>
      <x:c r="J493" s="2" t="str">
        <x:v>AV.Clean!B138</x:v>
      </x:c>
      <x:c r="K493" s="13" t="n">
        <x:v>45978.416666666664</x:v>
      </x:c>
      <x:c r="L493" s="13" t="n">
        <x:v>45978.4375</x:v>
      </x:c>
    </x:row>
    <x:row r="494" ht="22" customHeight="1">
      <x:c r="A494" s="12" t="n">
        <x:v>45982</x:v>
      </x:c>
      <x:c r="B494" s="14" t="str">
        <x:v>10:30</x:v>
      </x:c>
      <x:c r="C494" s="12" t="n">
        <x:v>45979</x:v>
      </x:c>
      <x:c r="D494" s="9" t="n">
        <x:v>658.56</x:v>
      </x:c>
      <x:c r="E494" s="9" t="n">
        <x:v>659.1</x:v>
      </x:c>
      <x:c r="F494" s="10" t="n">
        <x:f>IF(H494=1,E494/D494-1,"")</x:f>
        <x:v>0.0008199708454812438</x:v>
      </x:c>
      <x:c r="G494" s="10" t="n">
        <x:f>IF(H494=1,ABS(F494),"")</x:f>
        <x:v>0.0008199708454812438</x:v>
      </x:c>
      <x:c r="H494" s="2" t="n">
        <x:v>1</x:v>
      </x:c>
      <x:c r="I494" s="2" t="str">
        <x:v>AV.Clean!B125</x:v>
      </x:c>
      <x:c r="J494" s="2" t="str">
        <x:v>AV.Clean!B124</x:v>
      </x:c>
      <x:c r="K494" s="13" t="n">
        <x:v>45979.416666666664</x:v>
      </x:c>
      <x:c r="L494" s="13" t="n">
        <x:v>45979.4375</x:v>
      </x:c>
    </x:row>
    <x:row r="495" ht="22" customHeight="1">
      <x:c r="A495" s="12" t="n">
        <x:v>45982</x:v>
      </x:c>
      <x:c r="B495" s="14" t="str">
        <x:v>10:30</x:v>
      </x:c>
      <x:c r="C495" s="12" t="n">
        <x:v>45980</x:v>
      </x:c>
      <x:c r="D495" s="9" t="n">
        <x:v>665.85</x:v>
      </x:c>
      <x:c r="E495" s="9" t="n">
        <x:v>666.32</x:v>
      </x:c>
      <x:c r="F495" s="10" t="n">
        <x:f>IF(H495=1,E495/D495-1,"")</x:f>
        <x:v>0.0007058646842381666</x:v>
      </x:c>
      <x:c r="G495" s="10" t="n">
        <x:f>IF(H495=1,ABS(F495),"")</x:f>
        <x:v>0.0007058646842381666</x:v>
      </x:c>
      <x:c r="H495" s="2" t="n">
        <x:v>1</x:v>
      </x:c>
      <x:c r="I495" s="2" t="str">
        <x:v>AV.Clean!B111</x:v>
      </x:c>
      <x:c r="J495" s="2" t="str">
        <x:v>AV.Clean!B110</x:v>
      </x:c>
      <x:c r="K495" s="13" t="n">
        <x:v>45980.416666666664</x:v>
      </x:c>
      <x:c r="L495" s="13" t="n">
        <x:v>45980.4375</x:v>
      </x:c>
    </x:row>
    <x:row r="496" ht="22" customHeight="1">
      <x:c r="A496" s="12" t="n">
        <x:v>45982</x:v>
      </x:c>
      <x:c r="B496" s="14" t="str">
        <x:v>10:30</x:v>
      </x:c>
      <x:c r="C496" s="12" t="n">
        <x:v>45981</x:v>
      </x:c>
      <x:c r="D496" s="9" t="n">
        <x:v>675.1099</x:v>
      </x:c>
      <x:c r="E496" s="9" t="n">
        <x:v>674.94</x:v>
      </x:c>
      <x:c r="F496" s="10" t="n">
        <x:f>IF(H496=1,E496/D496-1,"")</x:f>
        <x:v>-0.0002516627292830087</x:v>
      </x:c>
      <x:c r="G496" s="10" t="n">
        <x:f>IF(H496=1,ABS(F496),"")</x:f>
        <x:v>0.0002516627292830087</x:v>
      </x:c>
      <x:c r="H496" s="2" t="n">
        <x:v>1</x:v>
      </x:c>
      <x:c r="I496" s="2" t="str">
        <x:v>AV.Clean!B97</x:v>
      </x:c>
      <x:c r="J496" s="2" t="str">
        <x:v>AV.Clean!B96</x:v>
      </x:c>
      <x:c r="K496" s="13" t="n">
        <x:v>45981.416666666664</x:v>
      </x:c>
      <x:c r="L496" s="13" t="n">
        <x:v>45981.4375</x:v>
      </x:c>
    </x:row>
    <x:row r="497" ht="22" customHeight="1">
      <x:c r="A497" s="12" t="n">
        <x:v>45982</x:v>
      </x:c>
      <x:c r="B497" s="14" t="str">
        <x:v>11:00</x:v>
      </x:c>
      <x:c r="C497" s="12" t="n">
        <x:v>45964</x:v>
      </x:c>
      <x:c r="D497" s="9" t="n">
        <x:v>682.52</x:v>
      </x:c>
      <x:c r="E497" s="9" t="n">
        <x:v>682.42</x:v>
      </x:c>
      <x:c r="F497" s="10" t="n">
        <x:f>IF(H497=1,E497/D497-1,"")</x:f>
        <x:v>-0.00014651585301528325</x:v>
      </x:c>
      <x:c r="G497" s="10" t="n">
        <x:f>IF(H497=1,ABS(F497),"")</x:f>
        <x:v>0.00014651585301528325</x:v>
      </x:c>
      <x:c r="H497" s="2" t="n">
        <x:v>1</x:v>
      </x:c>
      <x:c r="I497" s="2" t="str">
        <x:v>AV.Clean!B279</x:v>
      </x:c>
      <x:c r="J497" s="2" t="str">
        <x:v>AV.Clean!B277</x:v>
      </x:c>
      <x:c r="K497" s="13" t="n">
        <x:v>45964.4375</x:v>
      </x:c>
      <x:c r="L497" s="13" t="n">
        <x:v>45964.458333333336</x:v>
      </x:c>
    </x:row>
    <x:row r="498" ht="22" customHeight="1">
      <x:c r="A498" s="12" t="n">
        <x:v>45982</x:v>
      </x:c>
      <x:c r="B498" s="14" t="str">
        <x:v>11:00</x:v>
      </x:c>
      <x:c r="C498" s="12" t="n">
        <x:v>45965</x:v>
      </x:c>
      <x:c r="D498" s="9" t="n">
        <x:v>678.8</x:v>
      </x:c>
      <x:c r="E498" s="9" t="n">
        <x:v>678.13</x:v>
      </x:c>
      <x:c r="F498" s="10" t="n">
        <x:f>IF(H498=1,E498/D498-1,"")</x:f>
        <x:v>-0.0009870359457866407</x:v>
      </x:c>
      <x:c r="G498" s="10" t="n">
        <x:f>IF(H498=1,ABS(F498),"")</x:f>
        <x:v>0.0009870359457866407</x:v>
      </x:c>
      <x:c r="H498" s="2" t="n">
        <x:v>1</x:v>
      </x:c>
      <x:c r="I498" s="2" t="str">
        <x:v>AV.Clean!B265</x:v>
      </x:c>
      <x:c r="J498" s="2" t="str">
        <x:v>AV.Clean!B263</x:v>
      </x:c>
      <x:c r="K498" s="13" t="n">
        <x:v>45965.4375</x:v>
      </x:c>
      <x:c r="L498" s="13" t="n">
        <x:v>45965.458333333336</x:v>
      </x:c>
    </x:row>
    <x:row r="499" ht="22" customHeight="1">
      <x:c r="A499" s="12" t="n">
        <x:v>45982</x:v>
      </x:c>
      <x:c r="B499" s="14" t="str">
        <x:v>11:00</x:v>
      </x:c>
      <x:c r="C499" s="12" t="n">
        <x:v>45966</x:v>
      </x:c>
      <x:c r="D499" s="9" t="n">
        <x:v>677.17</x:v>
      </x:c>
      <x:c r="E499" s="9" t="n">
        <x:v>677.85</x:v>
      </x:c>
      <x:c r="F499" s="10" t="n">
        <x:f>IF(H499=1,E499/D499-1,"")</x:f>
        <x:v>0.0010041791573756065</x:v>
      </x:c>
      <x:c r="G499" s="10" t="n">
        <x:f>IF(H499=1,ABS(F499),"")</x:f>
        <x:v>0.0010041791573756065</x:v>
      </x:c>
      <x:c r="H499" s="2" t="n">
        <x:v>1</x:v>
      </x:c>
      <x:c r="I499" s="2" t="str">
        <x:v>AV.Clean!B251</x:v>
      </x:c>
      <x:c r="J499" s="2" t="str">
        <x:v>AV.Clean!B249</x:v>
      </x:c>
      <x:c r="K499" s="13" t="n">
        <x:v>45966.4375</x:v>
      </x:c>
      <x:c r="L499" s="13" t="n">
        <x:v>45966.458333333336</x:v>
      </x:c>
    </x:row>
    <x:row r="500" ht="22" customHeight="1">
      <x:c r="A500" s="12" t="n">
        <x:v>45982</x:v>
      </x:c>
      <x:c r="B500" s="14" t="str">
        <x:v>11:00</x:v>
      </x:c>
      <x:c r="C500" s="12" t="n">
        <x:v>45967</x:v>
      </x:c>
      <x:c r="D500" s="9" t="n">
        <x:v>674.05</x:v>
      </x:c>
      <x:c r="E500" s="9" t="n">
        <x:v>670.91</x:v>
      </x:c>
      <x:c r="F500" s="10" t="n">
        <x:f>IF(H500=1,E500/D500-1,"")</x:f>
        <x:v>-0.004658408129960656</x:v>
      </x:c>
      <x:c r="G500" s="10" t="n">
        <x:f>IF(H500=1,ABS(F500),"")</x:f>
        <x:v>0.004658408129960656</x:v>
      </x:c>
      <x:c r="H500" s="2" t="n">
        <x:v>1</x:v>
      </x:c>
      <x:c r="I500" s="2" t="str">
        <x:v>AV.Clean!B237</x:v>
      </x:c>
      <x:c r="J500" s="2" t="str">
        <x:v>AV.Clean!B235</x:v>
      </x:c>
      <x:c r="K500" s="13" t="n">
        <x:v>45967.4375</x:v>
      </x:c>
      <x:c r="L500" s="13" t="n">
        <x:v>45967.458333333336</x:v>
      </x:c>
    </x:row>
    <x:row r="501" ht="22" customHeight="1">
      <x:c r="A501" s="12" t="n">
        <x:v>45982</x:v>
      </x:c>
      <x:c r="B501" s="14" t="str">
        <x:v>11:00</x:v>
      </x:c>
      <x:c r="C501" s="12" t="n">
        <x:v>45968</x:v>
      </x:c>
      <x:c r="D501" s="9" t="n">
        <x:v>666.345</x:v>
      </x:c>
      <x:c r="E501" s="9" t="n">
        <x:v>663.36</x:v>
      </x:c>
      <x:c r="F501" s="10" t="n">
        <x:f>IF(H501=1,E501/D501-1,"")</x:f>
        <x:v>-0.004479661436643245</x:v>
      </x:c>
      <x:c r="G501" s="10" t="n">
        <x:f>IF(H501=1,ABS(F501),"")</x:f>
        <x:v>0.004479661436643245</x:v>
      </x:c>
      <x:c r="H501" s="2" t="n">
        <x:v>1</x:v>
      </x:c>
      <x:c r="I501" s="2" t="str">
        <x:v>AV.Clean!B223</x:v>
      </x:c>
      <x:c r="J501" s="2" t="str">
        <x:v>AV.Clean!B221</x:v>
      </x:c>
      <x:c r="K501" s="13" t="n">
        <x:v>45968.4375</x:v>
      </x:c>
      <x:c r="L501" s="13" t="n">
        <x:v>45968.458333333336</x:v>
      </x:c>
    </x:row>
    <x:row r="502" ht="22" customHeight="1">
      <x:c r="A502" s="12" t="n">
        <x:v>45982</x:v>
      </x:c>
      <x:c r="B502" s="14" t="str">
        <x:v>11:00</x:v>
      </x:c>
      <x:c r="C502" s="12" t="n">
        <x:v>45971</x:v>
      </x:c>
      <x:c r="D502" s="9" t="n">
        <x:v>678.525</x:v>
      </x:c>
      <x:c r="E502" s="9" t="n">
        <x:v>676.18</x:v>
      </x:c>
      <x:c r="F502" s="10" t="n">
        <x:f>IF(H502=1,E502/D502-1,"")</x:f>
        <x:v>-0.0034560259386169356</x:v>
      </x:c>
      <x:c r="G502" s="10" t="n">
        <x:f>IF(H502=1,ABS(F502),"")</x:f>
        <x:v>0.0034560259386169356</x:v>
      </x:c>
      <x:c r="H502" s="2" t="n">
        <x:v>1</x:v>
      </x:c>
      <x:c r="I502" s="2" t="str">
        <x:v>AV.Clean!B209</x:v>
      </x:c>
      <x:c r="J502" s="2" t="str">
        <x:v>AV.Clean!B207</x:v>
      </x:c>
      <x:c r="K502" s="13" t="n">
        <x:v>45971.4375</x:v>
      </x:c>
      <x:c r="L502" s="13" t="n">
        <x:v>45971.458333333336</x:v>
      </x:c>
    </x:row>
    <x:row r="503" ht="22" customHeight="1">
      <x:c r="A503" s="12" t="n">
        <x:v>45982</x:v>
      </x:c>
      <x:c r="B503" s="14" t="str">
        <x:v>11:00</x:v>
      </x:c>
      <x:c r="C503" s="12" t="n">
        <x:v>45972</x:v>
      </x:c>
      <x:c r="D503" s="9" t="n">
        <x:v>680.645</x:v>
      </x:c>
      <x:c r="E503" s="9" t="n">
        <x:v>679.25</x:v>
      </x:c>
      <x:c r="F503" s="10" t="n">
        <x:f>IF(H503=1,E503/D503-1,"")</x:f>
        <x:v>-0.0020495265520205086</x:v>
      </x:c>
      <x:c r="G503" s="10" t="n">
        <x:f>IF(H503=1,ABS(F503),"")</x:f>
        <x:v>0.0020495265520205086</x:v>
      </x:c>
      <x:c r="H503" s="2" t="n">
        <x:v>1</x:v>
      </x:c>
      <x:c r="I503" s="2" t="str">
        <x:v>AV.Clean!B195</x:v>
      </x:c>
      <x:c r="J503" s="2" t="str">
        <x:v>AV.Clean!B193</x:v>
      </x:c>
      <x:c r="K503" s="13" t="n">
        <x:v>45972.4375</x:v>
      </x:c>
      <x:c r="L503" s="13" t="n">
        <x:v>45972.458333333336</x:v>
      </x:c>
    </x:row>
    <x:row r="504" ht="22" customHeight="1">
      <x:c r="A504" s="12" t="n">
        <x:v>45982</x:v>
      </x:c>
      <x:c r="B504" s="14" t="str">
        <x:v>11:00</x:v>
      </x:c>
      <x:c r="C504" s="12" t="n">
        <x:v>45973</x:v>
      </x:c>
      <x:c r="D504" s="9" t="n">
        <x:v>683.61</x:v>
      </x:c>
      <x:c r="E504" s="9" t="n">
        <x:v>682.29</x:v>
      </x:c>
      <x:c r="F504" s="10" t="n">
        <x:f>IF(H504=1,E504/D504-1,"")</x:f>
        <x:v>-0.0019309255277132342</x:v>
      </x:c>
      <x:c r="G504" s="10" t="n">
        <x:f>IF(H504=1,ABS(F504),"")</x:f>
        <x:v>0.0019309255277132342</x:v>
      </x:c>
      <x:c r="H504" s="2" t="n">
        <x:v>1</x:v>
      </x:c>
      <x:c r="I504" s="2" t="str">
        <x:v>AV.Clean!B181</x:v>
      </x:c>
      <x:c r="J504" s="2" t="str">
        <x:v>AV.Clean!B179</x:v>
      </x:c>
      <x:c r="K504" s="13" t="n">
        <x:v>45973.4375</x:v>
      </x:c>
      <x:c r="L504" s="13" t="n">
        <x:v>45973.458333333336</x:v>
      </x:c>
    </x:row>
    <x:row r="505" ht="22" customHeight="1">
      <x:c r="A505" s="12" t="n">
        <x:v>45982</x:v>
      </x:c>
      <x:c r="B505" s="14" t="str">
        <x:v>11:00</x:v>
      </x:c>
      <x:c r="C505" s="12" t="n">
        <x:v>45974</x:v>
      </x:c>
      <x:c r="D505" s="9" t="n">
        <x:v>678.72</x:v>
      </x:c>
      <x:c r="E505" s="9" t="n">
        <x:v>676.3</x:v>
      </x:c>
      <x:c r="F505" s="10" t="n">
        <x:f>IF(H505=1,E505/D505-1,"")</x:f>
        <x:v>-0.003565535124941177</x:v>
      </x:c>
      <x:c r="G505" s="10" t="n">
        <x:f>IF(H505=1,ABS(F505),"")</x:f>
        <x:v>0.003565535124941177</x:v>
      </x:c>
      <x:c r="H505" s="2" t="n">
        <x:v>1</x:v>
      </x:c>
      <x:c r="I505" s="2" t="str">
        <x:v>AV.Clean!B167</x:v>
      </x:c>
      <x:c r="J505" s="2" t="str">
        <x:v>AV.Clean!B165</x:v>
      </x:c>
      <x:c r="K505" s="13" t="n">
        <x:v>45974.4375</x:v>
      </x:c>
      <x:c r="L505" s="13" t="n">
        <x:v>45974.458333333336</x:v>
      </x:c>
    </x:row>
    <x:row r="506" ht="22" customHeight="1">
      <x:c r="A506" s="12" t="n">
        <x:v>45982</x:v>
      </x:c>
      <x:c r="B506" s="14" t="str">
        <x:v>11:00</x:v>
      </x:c>
      <x:c r="C506" s="12" t="n">
        <x:v>45975</x:v>
      </x:c>
      <x:c r="D506" s="9" t="n">
        <x:v>668.75</x:v>
      </x:c>
      <x:c r="E506" s="9" t="n">
        <x:v>672.3636</x:v>
      </x:c>
      <x:c r="F506" s="10" t="n">
        <x:f>IF(H506=1,E506/D506-1,"")</x:f>
        <x:v>0.0054035140186916575</x:v>
      </x:c>
      <x:c r="G506" s="10" t="n">
        <x:f>IF(H506=1,ABS(F506),"")</x:f>
        <x:v>0.0054035140186916575</x:v>
      </x:c>
      <x:c r="H506" s="2" t="n">
        <x:v>1</x:v>
      </x:c>
      <x:c r="I506" s="2" t="str">
        <x:v>AV.Clean!B153</x:v>
      </x:c>
      <x:c r="J506" s="2" t="str">
        <x:v>AV.Clean!B151</x:v>
      </x:c>
      <x:c r="K506" s="13" t="n">
        <x:v>45975.4375</x:v>
      </x:c>
      <x:c r="L506" s="13" t="n">
        <x:v>45975.458333333336</x:v>
      </x:c>
    </x:row>
    <x:row r="507" ht="22" customHeight="1">
      <x:c r="A507" s="12" t="n">
        <x:v>45982</x:v>
      </x:c>
      <x:c r="B507" s="14" t="str">
        <x:v>11:00</x:v>
      </x:c>
      <x:c r="C507" s="12" t="n">
        <x:v>45978</x:v>
      </x:c>
      <x:c r="D507" s="9" t="n">
        <x:v>672.82</x:v>
      </x:c>
      <x:c r="E507" s="9" t="n">
        <x:v>670.675</x:v>
      </x:c>
      <x:c r="F507" s="10" t="n">
        <x:f>IF(H507=1,E507/D507-1,"")</x:f>
        <x:v>-0.0031880740762760817</x:v>
      </x:c>
      <x:c r="G507" s="10" t="n">
        <x:f>IF(H507=1,ABS(F507),"")</x:f>
        <x:v>0.0031880740762760817</x:v>
      </x:c>
      <x:c r="H507" s="2" t="n">
        <x:v>1</x:v>
      </x:c>
      <x:c r="I507" s="2" t="str">
        <x:v>AV.Clean!B139</x:v>
      </x:c>
      <x:c r="J507" s="2" t="str">
        <x:v>AV.Clean!B137</x:v>
      </x:c>
      <x:c r="K507" s="13" t="n">
        <x:v>45978.4375</x:v>
      </x:c>
      <x:c r="L507" s="13" t="n">
        <x:v>45978.458333333336</x:v>
      </x:c>
    </x:row>
    <x:row r="508" ht="22" customHeight="1">
      <x:c r="A508" s="12" t="n">
        <x:v>45982</x:v>
      </x:c>
      <x:c r="B508" s="14" t="str">
        <x:v>11:00</x:v>
      </x:c>
      <x:c r="C508" s="12" t="n">
        <x:v>45979</x:v>
      </x:c>
      <x:c r="D508" s="9" t="n">
        <x:v>658.56</x:v>
      </x:c>
      <x:c r="E508" s="9" t="n">
        <x:v>657.11</x:v>
      </x:c>
      <x:c r="F508" s="10" t="n">
        <x:f>IF(H508=1,E508/D508-1,"")</x:f>
        <x:v>-0.002201773566569365</x:v>
      </x:c>
      <x:c r="G508" s="10" t="n">
        <x:f>IF(H508=1,ABS(F508),"")</x:f>
        <x:v>0.002201773566569365</x:v>
      </x:c>
      <x:c r="H508" s="2" t="n">
        <x:v>1</x:v>
      </x:c>
      <x:c r="I508" s="2" t="str">
        <x:v>AV.Clean!B125</x:v>
      </x:c>
      <x:c r="J508" s="2" t="str">
        <x:v>AV.Clean!B123</x:v>
      </x:c>
      <x:c r="K508" s="13" t="n">
        <x:v>45979.4375</x:v>
      </x:c>
      <x:c r="L508" s="13" t="n">
        <x:v>45979.458333333336</x:v>
      </x:c>
    </x:row>
    <x:row r="509" ht="22" customHeight="1">
      <x:c r="A509" s="12" t="n">
        <x:v>45982</x:v>
      </x:c>
      <x:c r="B509" s="14" t="str">
        <x:v>11:00</x:v>
      </x:c>
      <x:c r="C509" s="12" t="n">
        <x:v>45980</x:v>
      </x:c>
      <x:c r="D509" s="9" t="n">
        <x:v>665.85</x:v>
      </x:c>
      <x:c r="E509" s="9" t="n">
        <x:v>662.79</x:v>
      </x:c>
      <x:c r="F509" s="10" t="n">
        <x:f>IF(H509=1,E509/D509-1,"")</x:f>
        <x:v>-0.004595629646316879</x:v>
      </x:c>
      <x:c r="G509" s="10" t="n">
        <x:f>IF(H509=1,ABS(F509),"")</x:f>
        <x:v>0.004595629646316879</x:v>
      </x:c>
      <x:c r="H509" s="2" t="n">
        <x:v>1</x:v>
      </x:c>
      <x:c r="I509" s="2" t="str">
        <x:v>AV.Clean!B111</x:v>
      </x:c>
      <x:c r="J509" s="2" t="str">
        <x:v>AV.Clean!B109</x:v>
      </x:c>
      <x:c r="K509" s="13" t="n">
        <x:v>45980.4375</x:v>
      </x:c>
      <x:c r="L509" s="13" t="n">
        <x:v>45980.458333333336</x:v>
      </x:c>
    </x:row>
    <x:row r="510" ht="22" customHeight="1">
      <x:c r="A510" s="12" t="n">
        <x:v>45982</x:v>
      </x:c>
      <x:c r="B510" s="14" t="str">
        <x:v>11:00</x:v>
      </x:c>
      <x:c r="C510" s="12" t="n">
        <x:v>45981</x:v>
      </x:c>
      <x:c r="D510" s="9" t="n">
        <x:v>675.1099</x:v>
      </x:c>
      <x:c r="E510" s="9" t="n">
        <x:v>672.67</x:v>
      </x:c>
      <x:c r="F510" s="10" t="n">
        <x:f>IF(H510=1,E510/D510-1,"")</x:f>
        <x:v>-0.003614078241187202</x:v>
      </x:c>
      <x:c r="G510" s="10" t="n">
        <x:f>IF(H510=1,ABS(F510),"")</x:f>
        <x:v>0.003614078241187202</x:v>
      </x:c>
      <x:c r="H510" s="2" t="n">
        <x:v>1</x:v>
      </x:c>
      <x:c r="I510" s="2" t="str">
        <x:v>AV.Clean!B97</x:v>
      </x:c>
      <x:c r="J510" s="2" t="str">
        <x:v>AV.Clean!B95</x:v>
      </x:c>
      <x:c r="K510" s="13" t="n">
        <x:v>45981.4375</x:v>
      </x:c>
      <x:c r="L510" s="13" t="n">
        <x:v>45981.458333333336</x:v>
      </x:c>
    </x:row>
    <x:row r="511" ht="22" customHeight="1">
      <x:c r="A511" s="12" t="n">
        <x:v>45982</x:v>
      </x:c>
      <x:c r="B511" s="14" t="str">
        <x:v>11:30</x:v>
      </x:c>
      <x:c r="C511" s="12" t="n">
        <x:v>45964</x:v>
      </x:c>
      <x:c r="D511" s="9" t="n">
        <x:v>682.52</x:v>
      </x:c>
      <x:c r="E511" s="9" t="n">
        <x:v>682.05</x:v>
      </x:c>
      <x:c r="F511" s="10" t="n">
        <x:f>IF(H511=1,E511/D511-1,"")</x:f>
        <x:v>-0.0006886245091719534</x:v>
      </x:c>
      <x:c r="G511" s="10" t="n">
        <x:f>IF(H511=1,ABS(F511),"")</x:f>
        <x:v>0.0006886245091719534</x:v>
      </x:c>
      <x:c r="H511" s="2" t="n">
        <x:v>1</x:v>
      </x:c>
      <x:c r="I511" s="2" t="str">
        <x:v>AV.Clean!B279</x:v>
      </x:c>
      <x:c r="J511" s="2" t="str">
        <x:v>AV.Clean!B276</x:v>
      </x:c>
      <x:c r="K511" s="13" t="n">
        <x:v>45964.458333333336</x:v>
      </x:c>
      <x:c r="L511" s="13" t="n">
        <x:v>45964.479166666664</x:v>
      </x:c>
    </x:row>
    <x:row r="512" ht="22" customHeight="1">
      <x:c r="A512" s="12" t="n">
        <x:v>45982</x:v>
      </x:c>
      <x:c r="B512" s="14" t="str">
        <x:v>11:30</x:v>
      </x:c>
      <x:c r="C512" s="12" t="n">
        <x:v>45965</x:v>
      </x:c>
      <x:c r="D512" s="9" t="n">
        <x:v>678.8</x:v>
      </x:c>
      <x:c r="E512" s="9" t="n">
        <x:v>678.15</x:v>
      </x:c>
      <x:c r="F512" s="10" t="n">
        <x:f>IF(H512=1,E512/D512-1,"")</x:f>
        <x:v>-0.0009575721862109532</x:v>
      </x:c>
      <x:c r="G512" s="10" t="n">
        <x:f>IF(H512=1,ABS(F512),"")</x:f>
        <x:v>0.0009575721862109532</x:v>
      </x:c>
      <x:c r="H512" s="2" t="n">
        <x:v>1</x:v>
      </x:c>
      <x:c r="I512" s="2" t="str">
        <x:v>AV.Clean!B265</x:v>
      </x:c>
      <x:c r="J512" s="2" t="str">
        <x:v>AV.Clean!B262</x:v>
      </x:c>
      <x:c r="K512" s="13" t="n">
        <x:v>45965.458333333336</x:v>
      </x:c>
      <x:c r="L512" s="13" t="n">
        <x:v>45965.479166666664</x:v>
      </x:c>
    </x:row>
    <x:row r="513" ht="22" customHeight="1">
      <x:c r="A513" s="12" t="n">
        <x:v>45982</x:v>
      </x:c>
      <x:c r="B513" s="14" t="str">
        <x:v>11:30</x:v>
      </x:c>
      <x:c r="C513" s="12" t="n">
        <x:v>45966</x:v>
      </x:c>
      <x:c r="D513" s="9" t="n">
        <x:v>677.17</x:v>
      </x:c>
      <x:c r="E513" s="9" t="n">
        <x:v>678.34</x:v>
      </x:c>
      <x:c r="F513" s="10" t="n">
        <x:f>IF(H513=1,E513/D513-1,"")</x:f>
        <x:v>0.00172777884430797</x:v>
      </x:c>
      <x:c r="G513" s="10" t="n">
        <x:f>IF(H513=1,ABS(F513),"")</x:f>
        <x:v>0.00172777884430797</x:v>
      </x:c>
      <x:c r="H513" s="2" t="n">
        <x:v>1</x:v>
      </x:c>
      <x:c r="I513" s="2" t="str">
        <x:v>AV.Clean!B251</x:v>
      </x:c>
      <x:c r="J513" s="2" t="str">
        <x:v>AV.Clean!B248</x:v>
      </x:c>
      <x:c r="K513" s="13" t="n">
        <x:v>45966.458333333336</x:v>
      </x:c>
      <x:c r="L513" s="13" t="n">
        <x:v>45966.479166666664</x:v>
      </x:c>
    </x:row>
    <x:row r="514" ht="22" customHeight="1">
      <x:c r="A514" s="12" t="n">
        <x:v>45982</x:v>
      </x:c>
      <x:c r="B514" s="14" t="str">
        <x:v>11:30</x:v>
      </x:c>
      <x:c r="C514" s="12" t="n">
        <x:v>45967</x:v>
      </x:c>
      <x:c r="D514" s="9" t="n">
        <x:v>674.05</x:v>
      </x:c>
      <x:c r="E514" s="9" t="n">
        <x:v>671.34</x:v>
      </x:c>
      <x:c r="F514" s="10" t="n">
        <x:f>IF(H514=1,E514/D514-1,"")</x:f>
        <x:v>-0.004020473258660173</x:v>
      </x:c>
      <x:c r="G514" s="10" t="n">
        <x:f>IF(H514=1,ABS(F514),"")</x:f>
        <x:v>0.004020473258660173</x:v>
      </x:c>
      <x:c r="H514" s="2" t="n">
        <x:v>1</x:v>
      </x:c>
      <x:c r="I514" s="2" t="str">
        <x:v>AV.Clean!B237</x:v>
      </x:c>
      <x:c r="J514" s="2" t="str">
        <x:v>AV.Clean!B234</x:v>
      </x:c>
      <x:c r="K514" s="13" t="n">
        <x:v>45967.458333333336</x:v>
      </x:c>
      <x:c r="L514" s="13" t="n">
        <x:v>45967.479166666664</x:v>
      </x:c>
    </x:row>
    <x:row r="515" ht="22" customHeight="1">
      <x:c r="A515" s="12" t="n">
        <x:v>45982</x:v>
      </x:c>
      <x:c r="B515" s="14" t="str">
        <x:v>11:30</x:v>
      </x:c>
      <x:c r="C515" s="12" t="n">
        <x:v>45968</x:v>
      </x:c>
      <x:c r="D515" s="9" t="n">
        <x:v>666.345</x:v>
      </x:c>
      <x:c r="E515" s="9" t="n">
        <x:v>662.76</x:v>
      </x:c>
      <x:c r="F515" s="10" t="n">
        <x:f>IF(H515=1,E515/D515-1,"")</x:f>
        <x:v>-0.005380095896269976</x:v>
      </x:c>
      <x:c r="G515" s="10" t="n">
        <x:f>IF(H515=1,ABS(F515),"")</x:f>
        <x:v>0.005380095896269976</x:v>
      </x:c>
      <x:c r="H515" s="2" t="n">
        <x:v>1</x:v>
      </x:c>
      <x:c r="I515" s="2" t="str">
        <x:v>AV.Clean!B223</x:v>
      </x:c>
      <x:c r="J515" s="2" t="str">
        <x:v>AV.Clean!B220</x:v>
      </x:c>
      <x:c r="K515" s="13" t="n">
        <x:v>45968.458333333336</x:v>
      </x:c>
      <x:c r="L515" s="13" t="n">
        <x:v>45968.479166666664</x:v>
      </x:c>
    </x:row>
    <x:row r="516" ht="22" customHeight="1">
      <x:c r="A516" s="12" t="n">
        <x:v>45982</x:v>
      </x:c>
      <x:c r="B516" s="14" t="str">
        <x:v>11:30</x:v>
      </x:c>
      <x:c r="C516" s="12" t="n">
        <x:v>45971</x:v>
      </x:c>
      <x:c r="D516" s="9" t="n">
        <x:v>678.525</x:v>
      </x:c>
      <x:c r="E516" s="9" t="n">
        <x:v>675.64</x:v>
      </x:c>
      <x:c r="F516" s="10" t="n">
        <x:f>IF(H516=1,E516/D516-1,"")</x:f>
        <x:v>-0.004251869864780211</x:v>
      </x:c>
      <x:c r="G516" s="10" t="n">
        <x:f>IF(H516=1,ABS(F516),"")</x:f>
        <x:v>0.004251869864780211</x:v>
      </x:c>
      <x:c r="H516" s="2" t="n">
        <x:v>1</x:v>
      </x:c>
      <x:c r="I516" s="2" t="str">
        <x:v>AV.Clean!B209</x:v>
      </x:c>
      <x:c r="J516" s="2" t="str">
        <x:v>AV.Clean!B206</x:v>
      </x:c>
      <x:c r="K516" s="13" t="n">
        <x:v>45971.458333333336</x:v>
      </x:c>
      <x:c r="L516" s="13" t="n">
        <x:v>45971.479166666664</x:v>
      </x:c>
    </x:row>
    <x:row r="517" ht="22" customHeight="1">
      <x:c r="A517" s="12" t="n">
        <x:v>45982</x:v>
      </x:c>
      <x:c r="B517" s="14" t="str">
        <x:v>11:30</x:v>
      </x:c>
      <x:c r="C517" s="12" t="n">
        <x:v>45972</x:v>
      </x:c>
      <x:c r="D517" s="9" t="n">
        <x:v>680.645</x:v>
      </x:c>
      <x:c r="E517" s="9" t="n">
        <x:v>679.29</x:v>
      </x:c>
      <x:c r="F517" s="10" t="n">
        <x:f>IF(H517=1,E517/D517-1,"")</x:f>
        <x:v>-0.001990758765582634</x:v>
      </x:c>
      <x:c r="G517" s="10" t="n">
        <x:f>IF(H517=1,ABS(F517),"")</x:f>
        <x:v>0.001990758765582634</x:v>
      </x:c>
      <x:c r="H517" s="2" t="n">
        <x:v>1</x:v>
      </x:c>
      <x:c r="I517" s="2" t="str">
        <x:v>AV.Clean!B195</x:v>
      </x:c>
      <x:c r="J517" s="2" t="str">
        <x:v>AV.Clean!B192</x:v>
      </x:c>
      <x:c r="K517" s="13" t="n">
        <x:v>45972.458333333336</x:v>
      </x:c>
      <x:c r="L517" s="13" t="n">
        <x:v>45972.479166666664</x:v>
      </x:c>
    </x:row>
    <x:row r="518" ht="22" customHeight="1">
      <x:c r="A518" s="12" t="n">
        <x:v>45982</x:v>
      </x:c>
      <x:c r="B518" s="14" t="str">
        <x:v>11:30</x:v>
      </x:c>
      <x:c r="C518" s="12" t="n">
        <x:v>45973</x:v>
      </x:c>
      <x:c r="D518" s="9" t="n">
        <x:v>683.61</x:v>
      </x:c>
      <x:c r="E518" s="9" t="n">
        <x:v>682.35</x:v>
      </x:c>
      <x:c r="F518" s="10" t="n">
        <x:f>IF(H518=1,E518/D518-1,"")</x:f>
        <x:v>-0.0018431561855444256</x:v>
      </x:c>
      <x:c r="G518" s="10" t="n">
        <x:f>IF(H518=1,ABS(F518),"")</x:f>
        <x:v>0.0018431561855444256</x:v>
      </x:c>
      <x:c r="H518" s="2" t="n">
        <x:v>1</x:v>
      </x:c>
      <x:c r="I518" s="2" t="str">
        <x:v>AV.Clean!B181</x:v>
      </x:c>
      <x:c r="J518" s="2" t="str">
        <x:v>AV.Clean!B178</x:v>
      </x:c>
      <x:c r="K518" s="13" t="n">
        <x:v>45973.458333333336</x:v>
      </x:c>
      <x:c r="L518" s="13" t="n">
        <x:v>45973.479166666664</x:v>
      </x:c>
    </x:row>
    <x:row r="519" ht="22" customHeight="1">
      <x:c r="A519" s="12" t="n">
        <x:v>45982</x:v>
      </x:c>
      <x:c r="B519" s="14" t="str">
        <x:v>11:30</x:v>
      </x:c>
      <x:c r="C519" s="12" t="n">
        <x:v>45974</x:v>
      </x:c>
      <x:c r="D519" s="9" t="n">
        <x:v>678.72</x:v>
      </x:c>
      <x:c r="E519" s="9" t="n">
        <x:v>675.64</x:v>
      </x:c>
      <x:c r="F519" s="10" t="n">
        <x:f>IF(H519=1,E519/D519-1,"")</x:f>
        <x:v>-0.004537953795379579</x:v>
      </x:c>
      <x:c r="G519" s="10" t="n">
        <x:f>IF(H519=1,ABS(F519),"")</x:f>
        <x:v>0.004537953795379579</x:v>
      </x:c>
      <x:c r="H519" s="2" t="n">
        <x:v>1</x:v>
      </x:c>
      <x:c r="I519" s="2" t="str">
        <x:v>AV.Clean!B167</x:v>
      </x:c>
      <x:c r="J519" s="2" t="str">
        <x:v>AV.Clean!B164</x:v>
      </x:c>
      <x:c r="K519" s="13" t="n">
        <x:v>45974.458333333336</x:v>
      </x:c>
      <x:c r="L519" s="13" t="n">
        <x:v>45974.479166666664</x:v>
      </x:c>
    </x:row>
    <x:row r="520" ht="22" customHeight="1">
      <x:c r="A520" s="12" t="n">
        <x:v>45982</x:v>
      </x:c>
      <x:c r="B520" s="14" t="str">
        <x:v>11:30</x:v>
      </x:c>
      <x:c r="C520" s="12" t="n">
        <x:v>45975</x:v>
      </x:c>
      <x:c r="D520" s="9" t="n">
        <x:v>668.75</x:v>
      </x:c>
      <x:c r="E520" s="9" t="n">
        <x:v>674.48</x:v>
      </x:c>
      <x:c r="F520" s="10" t="n">
        <x:f>IF(H520=1,E520/D520-1,"")</x:f>
        <x:v>0.008568224299065452</x:v>
      </x:c>
      <x:c r="G520" s="10" t="n">
        <x:f>IF(H520=1,ABS(F520),"")</x:f>
        <x:v>0.008568224299065452</x:v>
      </x:c>
      <x:c r="H520" s="2" t="n">
        <x:v>1</x:v>
      </x:c>
      <x:c r="I520" s="2" t="str">
        <x:v>AV.Clean!B153</x:v>
      </x:c>
      <x:c r="J520" s="2" t="str">
        <x:v>AV.Clean!B150</x:v>
      </x:c>
      <x:c r="K520" s="13" t="n">
        <x:v>45975.458333333336</x:v>
      </x:c>
      <x:c r="L520" s="13" t="n">
        <x:v>45975.479166666664</x:v>
      </x:c>
    </x:row>
    <x:row r="521" ht="22" customHeight="1">
      <x:c r="A521" s="12" t="n">
        <x:v>45982</x:v>
      </x:c>
      <x:c r="B521" s="14" t="str">
        <x:v>11:30</x:v>
      </x:c>
      <x:c r="C521" s="12" t="n">
        <x:v>45978</x:v>
      </x:c>
      <x:c r="D521" s="9" t="n">
        <x:v>672.82</x:v>
      </x:c>
      <x:c r="E521" s="9" t="n">
        <x:v>670.52</x:v>
      </x:c>
      <x:c r="F521" s="10" t="n">
        <x:f>IF(H521=1,E521/D521-1,"")</x:f>
        <x:v>-0.00341844772747546</x:v>
      </x:c>
      <x:c r="G521" s="10" t="n">
        <x:f>IF(H521=1,ABS(F521),"")</x:f>
        <x:v>0.00341844772747546</x:v>
      </x:c>
      <x:c r="H521" s="2" t="n">
        <x:v>1</x:v>
      </x:c>
      <x:c r="I521" s="2" t="str">
        <x:v>AV.Clean!B139</x:v>
      </x:c>
      <x:c r="J521" s="2" t="str">
        <x:v>AV.Clean!B136</x:v>
      </x:c>
      <x:c r="K521" s="13" t="n">
        <x:v>45978.458333333336</x:v>
      </x:c>
      <x:c r="L521" s="13" t="n">
        <x:v>45978.479166666664</x:v>
      </x:c>
    </x:row>
    <x:row r="522" ht="22" customHeight="1">
      <x:c r="A522" s="12" t="n">
        <x:v>45982</x:v>
      </x:c>
      <x:c r="B522" s="14" t="str">
        <x:v>11:30</x:v>
      </x:c>
      <x:c r="C522" s="12" t="n">
        <x:v>45979</x:v>
      </x:c>
      <x:c r="D522" s="9" t="n">
        <x:v>658.56</x:v>
      </x:c>
      <x:c r="E522" s="9" t="n">
        <x:v>661.48</x:v>
      </x:c>
      <x:c r="F522" s="10" t="n">
        <x:f>IF(H522=1,E522/D522-1,"")</x:f>
        <x:v>0.004433916423712381</x:v>
      </x:c>
      <x:c r="G522" s="10" t="n">
        <x:f>IF(H522=1,ABS(F522),"")</x:f>
        <x:v>0.004433916423712381</x:v>
      </x:c>
      <x:c r="H522" s="2" t="n">
        <x:v>1</x:v>
      </x:c>
      <x:c r="I522" s="2" t="str">
        <x:v>AV.Clean!B125</x:v>
      </x:c>
      <x:c r="J522" s="2" t="str">
        <x:v>AV.Clean!B122</x:v>
      </x:c>
      <x:c r="K522" s="13" t="n">
        <x:v>45979.458333333336</x:v>
      </x:c>
      <x:c r="L522" s="13" t="n">
        <x:v>45979.479166666664</x:v>
      </x:c>
    </x:row>
    <x:row r="523" ht="22" customHeight="1">
      <x:c r="A523" s="12" t="n">
        <x:v>45982</x:v>
      </x:c>
      <x:c r="B523" s="14" t="str">
        <x:v>11:30</x:v>
      </x:c>
      <x:c r="C523" s="12" t="n">
        <x:v>45980</x:v>
      </x:c>
      <x:c r="D523" s="9" t="n">
        <x:v>665.85</x:v>
      </x:c>
      <x:c r="E523" s="9" t="n">
        <x:v>661.86</x:v>
      </x:c>
      <x:c r="F523" s="10" t="n">
        <x:f>IF(H523=1,E523/D523-1,"")</x:f>
        <x:v>-0.0059923406172561755</x:v>
      </x:c>
      <x:c r="G523" s="10" t="n">
        <x:f>IF(H523=1,ABS(F523),"")</x:f>
        <x:v>0.0059923406172561755</x:v>
      </x:c>
      <x:c r="H523" s="2" t="n">
        <x:v>1</x:v>
      </x:c>
      <x:c r="I523" s="2" t="str">
        <x:v>AV.Clean!B111</x:v>
      </x:c>
      <x:c r="J523" s="2" t="str">
        <x:v>AV.Clean!B108</x:v>
      </x:c>
      <x:c r="K523" s="13" t="n">
        <x:v>45980.458333333336</x:v>
      </x:c>
      <x:c r="L523" s="13" t="n">
        <x:v>45980.479166666664</x:v>
      </x:c>
    </x:row>
    <x:row r="524" ht="22" customHeight="1">
      <x:c r="A524" s="12" t="n">
        <x:v>45982</x:v>
      </x:c>
      <x:c r="B524" s="14" t="str">
        <x:v>11:30</x:v>
      </x:c>
      <x:c r="C524" s="12" t="n">
        <x:v>45981</x:v>
      </x:c>
      <x:c r="D524" s="9" t="n">
        <x:v>675.1099</x:v>
      </x:c>
      <x:c r="E524" s="9" t="n">
        <x:v>667.68</x:v>
      </x:c>
      <x:c r="F524" s="10" t="n">
        <x:f>IF(H524=1,E524/D524-1,"")</x:f>
        <x:v>-0.011005467406121738</x:v>
      </x:c>
      <x:c r="G524" s="10" t="n">
        <x:f>IF(H524=1,ABS(F524),"")</x:f>
        <x:v>0.011005467406121738</x:v>
      </x:c>
      <x:c r="H524" s="2" t="n">
        <x:v>1</x:v>
      </x:c>
      <x:c r="I524" s="2" t="str">
        <x:v>AV.Clean!B97</x:v>
      </x:c>
      <x:c r="J524" s="2" t="str">
        <x:v>AV.Clean!B94</x:v>
      </x:c>
      <x:c r="K524" s="13" t="n">
        <x:v>45981.458333333336</x:v>
      </x:c>
      <x:c r="L524" s="13" t="n">
        <x:v>45981.479166666664</x:v>
      </x:c>
    </x:row>
    <x:row r="525" ht="22" customHeight="1">
      <x:c r="A525" s="12" t="n">
        <x:v>45982</x:v>
      </x:c>
      <x:c r="B525" s="14" t="str">
        <x:v>12:00</x:v>
      </x:c>
      <x:c r="C525" s="12" t="n">
        <x:v>45964</x:v>
      </x:c>
      <x:c r="D525" s="9" t="n">
        <x:v>682.52</x:v>
      </x:c>
      <x:c r="E525" s="9" t="n">
        <x:v>683.43</x:v>
      </x:c>
      <x:c r="F525" s="10" t="n">
        <x:f>IF(H525=1,E525/D525-1,"")</x:f>
        <x:v>0.0013332942624391109</x:v>
      </x:c>
      <x:c r="G525" s="10" t="n">
        <x:f>IF(H525=1,ABS(F525),"")</x:f>
        <x:v>0.0013332942624391109</x:v>
      </x:c>
      <x:c r="H525" s="2" t="n">
        <x:v>1</x:v>
      </x:c>
      <x:c r="I525" s="2" t="str">
        <x:v>AV.Clean!B279</x:v>
      </x:c>
      <x:c r="J525" s="2" t="str">
        <x:v>AV.Clean!B275</x:v>
      </x:c>
      <x:c r="K525" s="13" t="n">
        <x:v>45964.479166666664</x:v>
      </x:c>
      <x:c r="L525" s="13" t="n">
        <x:v>45964.5</x:v>
      </x:c>
    </x:row>
    <x:row r="526" ht="22" customHeight="1">
      <x:c r="A526" s="12" t="n">
        <x:v>45982</x:v>
      </x:c>
      <x:c r="B526" s="14" t="str">
        <x:v>12:00</x:v>
      </x:c>
      <x:c r="C526" s="12" t="n">
        <x:v>45965</x:v>
      </x:c>
      <x:c r="D526" s="9" t="n">
        <x:v>678.8</x:v>
      </x:c>
      <x:c r="E526" s="9" t="n">
        <x:v>678.13</x:v>
      </x:c>
      <x:c r="F526" s="10" t="n">
        <x:f>IF(H526=1,E526/D526-1,"")</x:f>
        <x:v>-0.0009870359457866407</x:v>
      </x:c>
      <x:c r="G526" s="10" t="n">
        <x:f>IF(H526=1,ABS(F526),"")</x:f>
        <x:v>0.0009870359457866407</x:v>
      </x:c>
      <x:c r="H526" s="2" t="n">
        <x:v>1</x:v>
      </x:c>
      <x:c r="I526" s="2" t="str">
        <x:v>AV.Clean!B265</x:v>
      </x:c>
      <x:c r="J526" s="2" t="str">
        <x:v>AV.Clean!B261</x:v>
      </x:c>
      <x:c r="K526" s="13" t="n">
        <x:v>45965.479166666664</x:v>
      </x:c>
      <x:c r="L526" s="13" t="n">
        <x:v>45965.5</x:v>
      </x:c>
    </x:row>
    <x:row r="527" ht="22" customHeight="1">
      <x:c r="A527" s="12" t="n">
        <x:v>45982</x:v>
      </x:c>
      <x:c r="B527" s="14" t="str">
        <x:v>12:00</x:v>
      </x:c>
      <x:c r="C527" s="12" t="n">
        <x:v>45966</x:v>
      </x:c>
      <x:c r="D527" s="9" t="n">
        <x:v>677.17</x:v>
      </x:c>
      <x:c r="E527" s="9" t="n">
        <x:v>679.3682</x:v>
      </x:c>
      <x:c r="F527" s="10" t="n">
        <x:f>IF(H527=1,E527/D527-1,"")</x:f>
        <x:v>0.0032461567996220353</x:v>
      </x:c>
      <x:c r="G527" s="10" t="n">
        <x:f>IF(H527=1,ABS(F527),"")</x:f>
        <x:v>0.0032461567996220353</x:v>
      </x:c>
      <x:c r="H527" s="2" t="n">
        <x:v>1</x:v>
      </x:c>
      <x:c r="I527" s="2" t="str">
        <x:v>AV.Clean!B251</x:v>
      </x:c>
      <x:c r="J527" s="2" t="str">
        <x:v>AV.Clean!B247</x:v>
      </x:c>
      <x:c r="K527" s="13" t="n">
        <x:v>45966.479166666664</x:v>
      </x:c>
      <x:c r="L527" s="13" t="n">
        <x:v>45966.5</x:v>
      </x:c>
    </x:row>
    <x:row r="528" ht="22" customHeight="1">
      <x:c r="A528" s="12" t="n">
        <x:v>45982</x:v>
      </x:c>
      <x:c r="B528" s="14" t="str">
        <x:v>12:00</x:v>
      </x:c>
      <x:c r="C528" s="12" t="n">
        <x:v>45967</x:v>
      </x:c>
      <x:c r="D528" s="9" t="n">
        <x:v>674.05</x:v>
      </x:c>
      <x:c r="E528" s="9" t="n">
        <x:v>669.44</x:v>
      </x:c>
      <x:c r="F528" s="10" t="n">
        <x:f>IF(H528=1,E528/D528-1,"")</x:f>
        <x:v>-0.0068392552481268964</x:v>
      </x:c>
      <x:c r="G528" s="10" t="n">
        <x:f>IF(H528=1,ABS(F528),"")</x:f>
        <x:v>0.0068392552481268964</x:v>
      </x:c>
      <x:c r="H528" s="2" t="n">
        <x:v>1</x:v>
      </x:c>
      <x:c r="I528" s="2" t="str">
        <x:v>AV.Clean!B237</x:v>
      </x:c>
      <x:c r="J528" s="2" t="str">
        <x:v>AV.Clean!B233</x:v>
      </x:c>
      <x:c r="K528" s="13" t="n">
        <x:v>45967.479166666664</x:v>
      </x:c>
      <x:c r="L528" s="13" t="n">
        <x:v>45967.5</x:v>
      </x:c>
    </x:row>
    <x:row r="529" ht="22" customHeight="1">
      <x:c r="A529" s="12" t="n">
        <x:v>45982</x:v>
      </x:c>
      <x:c r="B529" s="14" t="str">
        <x:v>12:00</x:v>
      </x:c>
      <x:c r="C529" s="12" t="n">
        <x:v>45968</x:v>
      </x:c>
      <x:c r="D529" s="9" t="n">
        <x:v>666.345</x:v>
      </x:c>
      <x:c r="E529" s="9" t="n">
        <x:v>662.03</x:v>
      </x:c>
      <x:c r="F529" s="10" t="n">
        <x:f>IF(H529=1,E529/D529-1,"")</x:f>
        <x:v>-0.00647562448881589</x:v>
      </x:c>
      <x:c r="G529" s="10" t="n">
        <x:f>IF(H529=1,ABS(F529),"")</x:f>
        <x:v>0.00647562448881589</x:v>
      </x:c>
      <x:c r="H529" s="2" t="n">
        <x:v>1</x:v>
      </x:c>
      <x:c r="I529" s="2" t="str">
        <x:v>AV.Clean!B223</x:v>
      </x:c>
      <x:c r="J529" s="2" t="str">
        <x:v>AV.Clean!B219</x:v>
      </x:c>
      <x:c r="K529" s="13" t="n">
        <x:v>45968.479166666664</x:v>
      </x:c>
      <x:c r="L529" s="13" t="n">
        <x:v>45968.5</x:v>
      </x:c>
    </x:row>
    <x:row r="530" ht="22" customHeight="1">
      <x:c r="A530" s="12" t="n">
        <x:v>45982</x:v>
      </x:c>
      <x:c r="B530" s="14" t="str">
        <x:v>12:00</x:v>
      </x:c>
      <x:c r="C530" s="12" t="n">
        <x:v>45971</x:v>
      </x:c>
      <x:c r="D530" s="9" t="n">
        <x:v>678.525</x:v>
      </x:c>
      <x:c r="E530" s="9" t="n">
        <x:v>676.62</x:v>
      </x:c>
      <x:c r="F530" s="10" t="n">
        <x:f>IF(H530=1,E530/D530-1,"")</x:f>
        <x:v>-0.0028075605172984686</x:v>
      </x:c>
      <x:c r="G530" s="10" t="n">
        <x:f>IF(H530=1,ABS(F530),"")</x:f>
        <x:v>0.0028075605172984686</x:v>
      </x:c>
      <x:c r="H530" s="2" t="n">
        <x:v>1</x:v>
      </x:c>
      <x:c r="I530" s="2" t="str">
        <x:v>AV.Clean!B209</x:v>
      </x:c>
      <x:c r="J530" s="2" t="str">
        <x:v>AV.Clean!B205</x:v>
      </x:c>
      <x:c r="K530" s="13" t="n">
        <x:v>45971.479166666664</x:v>
      </x:c>
      <x:c r="L530" s="13" t="n">
        <x:v>45971.5</x:v>
      </x:c>
    </x:row>
    <x:row r="531" ht="22" customHeight="1">
      <x:c r="A531" s="12" t="n">
        <x:v>45982</x:v>
      </x:c>
      <x:c r="B531" s="14" t="str">
        <x:v>12:00</x:v>
      </x:c>
      <x:c r="C531" s="12" t="n">
        <x:v>45972</x:v>
      </x:c>
      <x:c r="D531" s="9" t="n">
        <x:v>680.645</x:v>
      </x:c>
      <x:c r="E531" s="9" t="n">
        <x:v>679.7</x:v>
      </x:c>
      <x:c r="F531" s="10" t="n">
        <x:f>IF(H531=1,E531/D531-1,"")</x:f>
        <x:v>-0.0013883889545944772</x:v>
      </x:c>
      <x:c r="G531" s="10" t="n">
        <x:f>IF(H531=1,ABS(F531),"")</x:f>
        <x:v>0.0013883889545944772</x:v>
      </x:c>
      <x:c r="H531" s="2" t="n">
        <x:v>1</x:v>
      </x:c>
      <x:c r="I531" s="2" t="str">
        <x:v>AV.Clean!B195</x:v>
      </x:c>
      <x:c r="J531" s="2" t="str">
        <x:v>AV.Clean!B191</x:v>
      </x:c>
      <x:c r="K531" s="13" t="n">
        <x:v>45972.479166666664</x:v>
      </x:c>
      <x:c r="L531" s="13" t="n">
        <x:v>45972.5</x:v>
      </x:c>
    </x:row>
    <x:row r="532" ht="22" customHeight="1">
      <x:c r="A532" s="12" t="n">
        <x:v>45982</x:v>
      </x:c>
      <x:c r="B532" s="14" t="str">
        <x:v>12:00</x:v>
      </x:c>
      <x:c r="C532" s="12" t="n">
        <x:v>45973</x:v>
      </x:c>
      <x:c r="D532" s="9" t="n">
        <x:v>683.61</x:v>
      </x:c>
      <x:c r="E532" s="9" t="n">
        <x:v>681.81</x:v>
      </x:c>
      <x:c r="F532" s="10" t="n">
        <x:f>IF(H532=1,E532/D532-1,"")</x:f>
        <x:v>-0.002633080265063481</x:v>
      </x:c>
      <x:c r="G532" s="10" t="n">
        <x:f>IF(H532=1,ABS(F532),"")</x:f>
        <x:v>0.002633080265063481</x:v>
      </x:c>
      <x:c r="H532" s="2" t="n">
        <x:v>1</x:v>
      </x:c>
      <x:c r="I532" s="2" t="str">
        <x:v>AV.Clean!B181</x:v>
      </x:c>
      <x:c r="J532" s="2" t="str">
        <x:v>AV.Clean!B177</x:v>
      </x:c>
      <x:c r="K532" s="13" t="n">
        <x:v>45973.479166666664</x:v>
      </x:c>
      <x:c r="L532" s="13" t="n">
        <x:v>45973.5</x:v>
      </x:c>
    </x:row>
    <x:row r="533" ht="22" customHeight="1">
      <x:c r="A533" s="12" t="n">
        <x:v>45982</x:v>
      </x:c>
      <x:c r="B533" s="14" t="str">
        <x:v>12:00</x:v>
      </x:c>
      <x:c r="C533" s="12" t="n">
        <x:v>45974</x:v>
      </x:c>
      <x:c r="D533" s="9" t="n">
        <x:v>678.72</x:v>
      </x:c>
      <x:c r="E533" s="9" t="n">
        <x:v>675.11</x:v>
      </x:c>
      <x:c r="F533" s="10" t="n">
        <x:f>IF(H533=1,E533/D533-1,"")</x:f>
        <x:v>-0.005318835454974136</x:v>
      </x:c>
      <x:c r="G533" s="10" t="n">
        <x:f>IF(H533=1,ABS(F533),"")</x:f>
        <x:v>0.005318835454974136</x:v>
      </x:c>
      <x:c r="H533" s="2" t="n">
        <x:v>1</x:v>
      </x:c>
      <x:c r="I533" s="2" t="str">
        <x:v>AV.Clean!B167</x:v>
      </x:c>
      <x:c r="J533" s="2" t="str">
        <x:v>AV.Clean!B163</x:v>
      </x:c>
      <x:c r="K533" s="13" t="n">
        <x:v>45974.479166666664</x:v>
      </x:c>
      <x:c r="L533" s="13" t="n">
        <x:v>45974.5</x:v>
      </x:c>
    </x:row>
    <x:row r="534" ht="22" customHeight="1">
      <x:c r="A534" s="12" t="n">
        <x:v>45982</x:v>
      </x:c>
      <x:c r="B534" s="14" t="str">
        <x:v>12:00</x:v>
      </x:c>
      <x:c r="C534" s="12" t="n">
        <x:v>45975</x:v>
      </x:c>
      <x:c r="D534" s="9" t="n">
        <x:v>668.75</x:v>
      </x:c>
      <x:c r="E534" s="9" t="n">
        <x:v>674.65</x:v>
      </x:c>
      <x:c r="F534" s="10" t="n">
        <x:f>IF(H534=1,E534/D534-1,"")</x:f>
        <x:v>0.008822429906542029</x:v>
      </x:c>
      <x:c r="G534" s="10" t="n">
        <x:f>IF(H534=1,ABS(F534),"")</x:f>
        <x:v>0.008822429906542029</x:v>
      </x:c>
      <x:c r="H534" s="2" t="n">
        <x:v>1</x:v>
      </x:c>
      <x:c r="I534" s="2" t="str">
        <x:v>AV.Clean!B153</x:v>
      </x:c>
      <x:c r="J534" s="2" t="str">
        <x:v>AV.Clean!B149</x:v>
      </x:c>
      <x:c r="K534" s="13" t="n">
        <x:v>45975.479166666664</x:v>
      </x:c>
      <x:c r="L534" s="13" t="n">
        <x:v>45975.5</x:v>
      </x:c>
    </x:row>
    <x:row r="535" ht="22" customHeight="1">
      <x:c r="A535" s="12" t="n">
        <x:v>45982</x:v>
      </x:c>
      <x:c r="B535" s="14" t="str">
        <x:v>12:00</x:v>
      </x:c>
      <x:c r="C535" s="12" t="n">
        <x:v>45978</x:v>
      </x:c>
      <x:c r="D535" s="9" t="n">
        <x:v>672.82</x:v>
      </x:c>
      <x:c r="E535" s="9" t="n">
        <x:v>673</x:v>
      </x:c>
      <x:c r="F535" s="10" t="n">
        <x:f>IF(H535=1,E535/D535-1,"")</x:f>
        <x:v>0.0002675306917154785</x:v>
      </x:c>
      <x:c r="G535" s="10" t="n">
        <x:f>IF(H535=1,ABS(F535),"")</x:f>
        <x:v>0.0002675306917154785</x:v>
      </x:c>
      <x:c r="H535" s="2" t="n">
        <x:v>1</x:v>
      </x:c>
      <x:c r="I535" s="2" t="str">
        <x:v>AV.Clean!B139</x:v>
      </x:c>
      <x:c r="J535" s="2" t="str">
        <x:v>AV.Clean!B135</x:v>
      </x:c>
      <x:c r="K535" s="13" t="n">
        <x:v>45978.479166666664</x:v>
      </x:c>
      <x:c r="L535" s="13" t="n">
        <x:v>45978.5</x:v>
      </x:c>
    </x:row>
    <x:row r="536" ht="22" customHeight="1">
      <x:c r="A536" s="12" t="n">
        <x:v>45982</x:v>
      </x:c>
      <x:c r="B536" s="14" t="str">
        <x:v>12:00</x:v>
      </x:c>
      <x:c r="C536" s="12" t="n">
        <x:v>45979</x:v>
      </x:c>
      <x:c r="D536" s="9" t="n">
        <x:v>658.56</x:v>
      </x:c>
      <x:c r="E536" s="9" t="n">
        <x:v>661.1699</x:v>
      </x:c>
      <x:c r="F536" s="10" t="n">
        <x:f>IF(H536=1,E536/D536-1,"")</x:f>
        <x:v>0.003963040573372156</x:v>
      </x:c>
      <x:c r="G536" s="10" t="n">
        <x:f>IF(H536=1,ABS(F536),"")</x:f>
        <x:v>0.003963040573372156</x:v>
      </x:c>
      <x:c r="H536" s="2" t="n">
        <x:v>1</x:v>
      </x:c>
      <x:c r="I536" s="2" t="str">
        <x:v>AV.Clean!B125</x:v>
      </x:c>
      <x:c r="J536" s="2" t="str">
        <x:v>AV.Clean!B121</x:v>
      </x:c>
      <x:c r="K536" s="13" t="n">
        <x:v>45979.479166666664</x:v>
      </x:c>
      <x:c r="L536" s="13" t="n">
        <x:v>45979.5</x:v>
      </x:c>
    </x:row>
    <x:row r="537" ht="22" customHeight="1">
      <x:c r="A537" s="12" t="n">
        <x:v>45982</x:v>
      </x:c>
      <x:c r="B537" s="14" t="str">
        <x:v>12:00</x:v>
      </x:c>
      <x:c r="C537" s="12" t="n">
        <x:v>45980</x:v>
      </x:c>
      <x:c r="D537" s="9" t="n">
        <x:v>665.85</x:v>
      </x:c>
      <x:c r="E537" s="9" t="n">
        <x:v>662.47</x:v>
      </x:c>
      <x:c r="F537" s="10" t="n">
        <x:f>IF(H537=1,E537/D537-1,"")</x:f>
        <x:v>-0.005076218367500163</x:v>
      </x:c>
      <x:c r="G537" s="10" t="n">
        <x:f>IF(H537=1,ABS(F537),"")</x:f>
        <x:v>0.005076218367500163</x:v>
      </x:c>
      <x:c r="H537" s="2" t="n">
        <x:v>1</x:v>
      </x:c>
      <x:c r="I537" s="2" t="str">
        <x:v>AV.Clean!B111</x:v>
      </x:c>
      <x:c r="J537" s="2" t="str">
        <x:v>AV.Clean!B107</x:v>
      </x:c>
      <x:c r="K537" s="13" t="n">
        <x:v>45980.479166666664</x:v>
      </x:c>
      <x:c r="L537" s="13" t="n">
        <x:v>45980.5</x:v>
      </x:c>
    </x:row>
    <x:row r="538" ht="22" customHeight="1">
      <x:c r="A538" s="12" t="n">
        <x:v>45982</x:v>
      </x:c>
      <x:c r="B538" s="14" t="str">
        <x:v>12:00</x:v>
      </x:c>
      <x:c r="C538" s="12" t="n">
        <x:v>45981</x:v>
      </x:c>
      <x:c r="D538" s="9" t="n">
        <x:v>675.1099</x:v>
      </x:c>
      <x:c r="E538" s="9" t="n">
        <x:v>659.75</x:v>
      </x:c>
      <x:c r="F538" s="10" t="n">
        <x:f>IF(H538=1,E538/D538-1,"")</x:f>
        <x:v>-0.02275170309308161</x:v>
      </x:c>
      <x:c r="G538" s="10" t="n">
        <x:f>IF(H538=1,ABS(F538),"")</x:f>
        <x:v>0.02275170309308161</x:v>
      </x:c>
      <x:c r="H538" s="2" t="n">
        <x:v>1</x:v>
      </x:c>
      <x:c r="I538" s="2" t="str">
        <x:v>AV.Clean!B97</x:v>
      </x:c>
      <x:c r="J538" s="2" t="str">
        <x:v>AV.Clean!B93</x:v>
      </x:c>
      <x:c r="K538" s="13" t="n">
        <x:v>45981.479166666664</x:v>
      </x:c>
      <x:c r="L538" s="13" t="n">
        <x:v>45981.5</x:v>
      </x:c>
    </x:row>
    <x:row r="539" ht="22" customHeight="1">
      <x:c r="A539" s="12" t="n">
        <x:v>45982</x:v>
      </x:c>
      <x:c r="B539" s="14" t="str">
        <x:v>12:30</x:v>
      </x:c>
      <x:c r="C539" s="12" t="n">
        <x:v>45964</x:v>
      </x:c>
      <x:c r="D539" s="9" t="n">
        <x:v>682.52</x:v>
      </x:c>
      <x:c r="E539" s="9" t="n">
        <x:v>682.755</x:v>
      </x:c>
      <x:c r="F539" s="10" t="n">
        <x:f>IF(H539=1,E539/D539-1,"")</x:f>
        <x:v>0.0003443122545858657</x:v>
      </x:c>
      <x:c r="G539" s="10" t="n">
        <x:f>IF(H539=1,ABS(F539),"")</x:f>
        <x:v>0.0003443122545858657</x:v>
      </x:c>
      <x:c r="H539" s="2" t="n">
        <x:v>1</x:v>
      </x:c>
      <x:c r="I539" s="2" t="str">
        <x:v>AV.Clean!B279</x:v>
      </x:c>
      <x:c r="J539" s="2" t="str">
        <x:v>AV.Clean!B274</x:v>
      </x:c>
      <x:c r="K539" s="13" t="n">
        <x:v>45964.5</x:v>
      </x:c>
      <x:c r="L539" s="13" t="n">
        <x:v>45964.520833333336</x:v>
      </x:c>
    </x:row>
    <x:row r="540" ht="22" customHeight="1">
      <x:c r="A540" s="12" t="n">
        <x:v>45982</x:v>
      </x:c>
      <x:c r="B540" s="14" t="str">
        <x:v>12:30</x:v>
      </x:c>
      <x:c r="C540" s="12" t="n">
        <x:v>45965</x:v>
      </x:c>
      <x:c r="D540" s="9" t="n">
        <x:v>678.8</x:v>
      </x:c>
      <x:c r="E540" s="9" t="n">
        <x:v>676.94</x:v>
      </x:c>
      <x:c r="F540" s="10" t="n">
        <x:f>IF(H540=1,E540/D540-1,"")</x:f>
        <x:v>-0.002740129640541933</x:v>
      </x:c>
      <x:c r="G540" s="10" t="n">
        <x:f>IF(H540=1,ABS(F540),"")</x:f>
        <x:v>0.002740129640541933</x:v>
      </x:c>
      <x:c r="H540" s="2" t="n">
        <x:v>1</x:v>
      </x:c>
      <x:c r="I540" s="2" t="str">
        <x:v>AV.Clean!B265</x:v>
      </x:c>
      <x:c r="J540" s="2" t="str">
        <x:v>AV.Clean!B260</x:v>
      </x:c>
      <x:c r="K540" s="13" t="n">
        <x:v>45965.5</x:v>
      </x:c>
      <x:c r="L540" s="13" t="n">
        <x:v>45965.520833333336</x:v>
      </x:c>
    </x:row>
    <x:row r="541" ht="22" customHeight="1">
      <x:c r="A541" s="12" t="n">
        <x:v>45982</x:v>
      </x:c>
      <x:c r="B541" s="14" t="str">
        <x:v>12:30</x:v>
      </x:c>
      <x:c r="C541" s="12" t="n">
        <x:v>45966</x:v>
      </x:c>
      <x:c r="D541" s="9" t="n">
        <x:v>677.17</x:v>
      </x:c>
      <x:c r="E541" s="9" t="n">
        <x:v>680.0299</x:v>
      </x:c>
      <x:c r="F541" s="10" t="n">
        <x:f>IF(H541=1,E541/D541-1,"")</x:f>
        <x:v>0.004223311723791756</x:v>
      </x:c>
      <x:c r="G541" s="10" t="n">
        <x:f>IF(H541=1,ABS(F541),"")</x:f>
        <x:v>0.004223311723791756</x:v>
      </x:c>
      <x:c r="H541" s="2" t="n">
        <x:v>1</x:v>
      </x:c>
      <x:c r="I541" s="2" t="str">
        <x:v>AV.Clean!B251</x:v>
      </x:c>
      <x:c r="J541" s="2" t="str">
        <x:v>AV.Clean!B246</x:v>
      </x:c>
      <x:c r="K541" s="13" t="n">
        <x:v>45966.5</x:v>
      </x:c>
      <x:c r="L541" s="13" t="n">
        <x:v>45966.520833333336</x:v>
      </x:c>
    </x:row>
    <x:row r="542" ht="22" customHeight="1">
      <x:c r="A542" s="12" t="n">
        <x:v>45982</x:v>
      </x:c>
      <x:c r="B542" s="14" t="str">
        <x:v>12:30</x:v>
      </x:c>
      <x:c r="C542" s="12" t="n">
        <x:v>45967</x:v>
      </x:c>
      <x:c r="D542" s="9" t="n">
        <x:v>674.05</x:v>
      </x:c>
      <x:c r="E542" s="9" t="n">
        <x:v>669.54</x:v>
      </x:c>
      <x:c r="F542" s="10" t="n">
        <x:f>IF(H542=1,E542/D542-1,"")</x:f>
        <x:v>-0.006690898301312975</x:v>
      </x:c>
      <x:c r="G542" s="10" t="n">
        <x:f>IF(H542=1,ABS(F542),"")</x:f>
        <x:v>0.006690898301312975</x:v>
      </x:c>
      <x:c r="H542" s="2" t="n">
        <x:v>1</x:v>
      </x:c>
      <x:c r="I542" s="2" t="str">
        <x:v>AV.Clean!B237</x:v>
      </x:c>
      <x:c r="J542" s="2" t="str">
        <x:v>AV.Clean!B232</x:v>
      </x:c>
      <x:c r="K542" s="13" t="n">
        <x:v>45967.5</x:v>
      </x:c>
      <x:c r="L542" s="13" t="n">
        <x:v>45967.520833333336</x:v>
      </x:c>
    </x:row>
    <x:row r="543" ht="22" customHeight="1">
      <x:c r="A543" s="12" t="n">
        <x:v>45982</x:v>
      </x:c>
      <x:c r="B543" s="14" t="str">
        <x:v>12:30</x:v>
      </x:c>
      <x:c r="C543" s="12" t="n">
        <x:v>45968</x:v>
      </x:c>
      <x:c r="D543" s="9" t="n">
        <x:v>666.345</x:v>
      </x:c>
      <x:c r="E543" s="9" t="n">
        <x:v>663.5</x:v>
      </x:c>
      <x:c r="F543" s="10" t="n">
        <x:f>IF(H543=1,E543/D543-1,"")</x:f>
        <x:v>-0.004269560062730271</x:v>
      </x:c>
      <x:c r="G543" s="10" t="n">
        <x:f>IF(H543=1,ABS(F543),"")</x:f>
        <x:v>0.004269560062730271</x:v>
      </x:c>
      <x:c r="H543" s="2" t="n">
        <x:v>1</x:v>
      </x:c>
      <x:c r="I543" s="2" t="str">
        <x:v>AV.Clean!B223</x:v>
      </x:c>
      <x:c r="J543" s="2" t="str">
        <x:v>AV.Clean!B218</x:v>
      </x:c>
      <x:c r="K543" s="13" t="n">
        <x:v>45968.5</x:v>
      </x:c>
      <x:c r="L543" s="13" t="n">
        <x:v>45968.520833333336</x:v>
      </x:c>
    </x:row>
    <x:row r="544" ht="22" customHeight="1">
      <x:c r="A544" s="12" t="n">
        <x:v>45982</x:v>
      </x:c>
      <x:c r="B544" s="14" t="str">
        <x:v>12:30</x:v>
      </x:c>
      <x:c r="C544" s="12" t="n">
        <x:v>45971</x:v>
      </x:c>
      <x:c r="D544" s="9" t="n">
        <x:v>678.525</x:v>
      </x:c>
      <x:c r="E544" s="9" t="n">
        <x:v>677.52</x:v>
      </x:c>
      <x:c r="F544" s="10" t="n">
        <x:f>IF(H544=1,E544/D544-1,"")</x:f>
        <x:v>-0.0014811539736929724</x:v>
      </x:c>
      <x:c r="G544" s="10" t="n">
        <x:f>IF(H544=1,ABS(F544),"")</x:f>
        <x:v>0.0014811539736929724</x:v>
      </x:c>
      <x:c r="H544" s="2" t="n">
        <x:v>1</x:v>
      </x:c>
      <x:c r="I544" s="2" t="str">
        <x:v>AV.Clean!B209</x:v>
      </x:c>
      <x:c r="J544" s="2" t="str">
        <x:v>AV.Clean!B204</x:v>
      </x:c>
      <x:c r="K544" s="13" t="n">
        <x:v>45971.5</x:v>
      </x:c>
      <x:c r="L544" s="13" t="n">
        <x:v>45971.520833333336</x:v>
      </x:c>
    </x:row>
    <x:row r="545" ht="22" customHeight="1">
      <x:c r="A545" s="12" t="n">
        <x:v>45982</x:v>
      </x:c>
      <x:c r="B545" s="14" t="str">
        <x:v>12:30</x:v>
      </x:c>
      <x:c r="C545" s="12" t="n">
        <x:v>45972</x:v>
      </x:c>
      <x:c r="D545" s="9" t="n">
        <x:v>680.645</x:v>
      </x:c>
      <x:c r="E545" s="9" t="n">
        <x:v>681.02</x:v>
      </x:c>
      <x:c r="F545" s="10" t="n">
        <x:f>IF(H545=1,E545/D545-1,"")</x:f>
        <x:v>0.0005509479978549336</x:v>
      </x:c>
      <x:c r="G545" s="10" t="n">
        <x:f>IF(H545=1,ABS(F545),"")</x:f>
        <x:v>0.0005509479978549336</x:v>
      </x:c>
      <x:c r="H545" s="2" t="n">
        <x:v>1</x:v>
      </x:c>
      <x:c r="I545" s="2" t="str">
        <x:v>AV.Clean!B195</x:v>
      </x:c>
      <x:c r="J545" s="2" t="str">
        <x:v>AV.Clean!B190</x:v>
      </x:c>
      <x:c r="K545" s="13" t="n">
        <x:v>45972.5</x:v>
      </x:c>
      <x:c r="L545" s="13" t="n">
        <x:v>45972.520833333336</x:v>
      </x:c>
    </x:row>
    <x:row r="546" ht="22" customHeight="1">
      <x:c r="A546" s="12" t="n">
        <x:v>45982</x:v>
      </x:c>
      <x:c r="B546" s="14" t="str">
        <x:v>12:30</x:v>
      </x:c>
      <x:c r="C546" s="12" t="n">
        <x:v>45973</x:v>
      </x:c>
      <x:c r="D546" s="9" t="n">
        <x:v>683.61</x:v>
      </x:c>
      <x:c r="E546" s="9" t="n">
        <x:v>682.44</x:v>
      </x:c>
      <x:c r="F546" s="10" t="n">
        <x:f>IF(H546=1,E546/D546-1,"")</x:f>
        <x:v>-0.0017115021722912127</x:v>
      </x:c>
      <x:c r="G546" s="10" t="n">
        <x:f>IF(H546=1,ABS(F546),"")</x:f>
        <x:v>0.0017115021722912127</x:v>
      </x:c>
      <x:c r="H546" s="2" t="n">
        <x:v>1</x:v>
      </x:c>
      <x:c r="I546" s="2" t="str">
        <x:v>AV.Clean!B181</x:v>
      </x:c>
      <x:c r="J546" s="2" t="str">
        <x:v>AV.Clean!B176</x:v>
      </x:c>
      <x:c r="K546" s="13" t="n">
        <x:v>45973.5</x:v>
      </x:c>
      <x:c r="L546" s="13" t="n">
        <x:v>45973.520833333336</x:v>
      </x:c>
    </x:row>
    <x:row r="547" ht="22" customHeight="1">
      <x:c r="A547" s="12" t="n">
        <x:v>45982</x:v>
      </x:c>
      <x:c r="B547" s="14" t="str">
        <x:v>12:30</x:v>
      </x:c>
      <x:c r="C547" s="12" t="n">
        <x:v>45974</x:v>
      </x:c>
      <x:c r="D547" s="9" t="n">
        <x:v>678.72</x:v>
      </x:c>
      <x:c r="E547" s="9" t="n">
        <x:v>675.9041</x:v>
      </x:c>
      <x:c r="F547" s="10" t="n">
        <x:f>IF(H547=1,E547/D547-1,"")</x:f>
        <x:v>-0.004148838991042014</x:v>
      </x:c>
      <x:c r="G547" s="10" t="n">
        <x:f>IF(H547=1,ABS(F547),"")</x:f>
        <x:v>0.004148838991042014</x:v>
      </x:c>
      <x:c r="H547" s="2" t="n">
        <x:v>1</x:v>
      </x:c>
      <x:c r="I547" s="2" t="str">
        <x:v>AV.Clean!B167</x:v>
      </x:c>
      <x:c r="J547" s="2" t="str">
        <x:v>AV.Clean!B162</x:v>
      </x:c>
      <x:c r="K547" s="13" t="n">
        <x:v>45974.5</x:v>
      </x:c>
      <x:c r="L547" s="13" t="n">
        <x:v>45974.520833333336</x:v>
      </x:c>
    </x:row>
    <x:row r="548" ht="22" customHeight="1">
      <x:c r="A548" s="12" t="n">
        <x:v>45982</x:v>
      </x:c>
      <x:c r="B548" s="14" t="str">
        <x:v>12:30</x:v>
      </x:c>
      <x:c r="C548" s="12" t="n">
        <x:v>45975</x:v>
      </x:c>
      <x:c r="D548" s="9" t="n">
        <x:v>668.75</x:v>
      </x:c>
      <x:c r="E548" s="9" t="n">
        <x:v>674.94</x:v>
      </x:c>
      <x:c r="F548" s="10" t="n">
        <x:f>IF(H548=1,E548/D548-1,"")</x:f>
        <x:v>0.00925607476635526</x:v>
      </x:c>
      <x:c r="G548" s="10" t="n">
        <x:f>IF(H548=1,ABS(F548),"")</x:f>
        <x:v>0.00925607476635526</x:v>
      </x:c>
      <x:c r="H548" s="2" t="n">
        <x:v>1</x:v>
      </x:c>
      <x:c r="I548" s="2" t="str">
        <x:v>AV.Clean!B153</x:v>
      </x:c>
      <x:c r="J548" s="2" t="str">
        <x:v>AV.Clean!B148</x:v>
      </x:c>
      <x:c r="K548" s="13" t="n">
        <x:v>45975.5</x:v>
      </x:c>
      <x:c r="L548" s="13" t="n">
        <x:v>45975.520833333336</x:v>
      </x:c>
    </x:row>
    <x:row r="549" ht="22" customHeight="1">
      <x:c r="A549" s="12" t="n">
        <x:v>45982</x:v>
      </x:c>
      <x:c r="B549" s="14" t="str">
        <x:v>12:30</x:v>
      </x:c>
      <x:c r="C549" s="12" t="n">
        <x:v>45978</x:v>
      </x:c>
      <x:c r="D549" s="9" t="n">
        <x:v>672.82</x:v>
      </x:c>
      <x:c r="E549" s="9" t="n">
        <x:v>672.39</x:v>
      </x:c>
      <x:c r="F549" s="10" t="n">
        <x:f>IF(H549=1,E549/D549-1,"")</x:f>
        <x:v>-0.000639101096875927</x:v>
      </x:c>
      <x:c r="G549" s="10" t="n">
        <x:f>IF(H549=1,ABS(F549),"")</x:f>
        <x:v>0.000639101096875927</x:v>
      </x:c>
      <x:c r="H549" s="2" t="n">
        <x:v>1</x:v>
      </x:c>
      <x:c r="I549" s="2" t="str">
        <x:v>AV.Clean!B139</x:v>
      </x:c>
      <x:c r="J549" s="2" t="str">
        <x:v>AV.Clean!B134</x:v>
      </x:c>
      <x:c r="K549" s="13" t="n">
        <x:v>45978.5</x:v>
      </x:c>
      <x:c r="L549" s="13" t="n">
        <x:v>45978.520833333336</x:v>
      </x:c>
    </x:row>
    <x:row r="550" ht="22" customHeight="1">
      <x:c r="A550" s="12" t="n">
        <x:v>45982</x:v>
      </x:c>
      <x:c r="B550" s="14" t="str">
        <x:v>12:30</x:v>
      </x:c>
      <x:c r="C550" s="12" t="n">
        <x:v>45979</x:v>
      </x:c>
      <x:c r="D550" s="9" t="n">
        <x:v>658.56</x:v>
      </x:c>
      <x:c r="E550" s="9" t="n">
        <x:v>658.57</x:v>
      </x:c>
      <x:c r="F550" s="10" t="n">
        <x:f>IF(H550=1,E550/D550-1,"")</x:f>
        <x:v>0.000015184645286936416</x:v>
      </x:c>
      <x:c r="G550" s="10" t="n">
        <x:f>IF(H550=1,ABS(F550),"")</x:f>
        <x:v>0.000015184645286936416</x:v>
      </x:c>
      <x:c r="H550" s="2" t="n">
        <x:v>1</x:v>
      </x:c>
      <x:c r="I550" s="2" t="str">
        <x:v>AV.Clean!B125</x:v>
      </x:c>
      <x:c r="J550" s="2" t="str">
        <x:v>AV.Clean!B120</x:v>
      </x:c>
      <x:c r="K550" s="13" t="n">
        <x:v>45979.5</x:v>
      </x:c>
      <x:c r="L550" s="13" t="n">
        <x:v>45979.520833333336</x:v>
      </x:c>
    </x:row>
    <x:row r="551" ht="22" customHeight="1">
      <x:c r="A551" s="12" t="n">
        <x:v>45982</x:v>
      </x:c>
      <x:c r="B551" s="14" t="str">
        <x:v>12:30</x:v>
      </x:c>
      <x:c r="C551" s="12" t="n">
        <x:v>45980</x:v>
      </x:c>
      <x:c r="D551" s="9" t="n">
        <x:v>665.85</x:v>
      </x:c>
      <x:c r="E551" s="9" t="n">
        <x:v>661.16</x:v>
      </x:c>
      <x:c r="F551" s="10" t="n">
        <x:f>IF(H551=1,E551/D551-1,"")</x:f>
        <x:v>-0.007043628444844963</x:v>
      </x:c>
      <x:c r="G551" s="10" t="n">
        <x:f>IF(H551=1,ABS(F551),"")</x:f>
        <x:v>0.007043628444844963</x:v>
      </x:c>
      <x:c r="H551" s="2" t="n">
        <x:v>1</x:v>
      </x:c>
      <x:c r="I551" s="2" t="str">
        <x:v>AV.Clean!B111</x:v>
      </x:c>
      <x:c r="J551" s="2" t="str">
        <x:v>AV.Clean!B106</x:v>
      </x:c>
      <x:c r="K551" s="13" t="n">
        <x:v>45980.5</x:v>
      </x:c>
      <x:c r="L551" s="13" t="n">
        <x:v>45980.520833333336</x:v>
      </x:c>
    </x:row>
    <x:row r="552" ht="22" customHeight="1">
      <x:c r="A552" s="12" t="n">
        <x:v>45982</x:v>
      </x:c>
      <x:c r="B552" s="14" t="str">
        <x:v>12:30</x:v>
      </x:c>
      <x:c r="C552" s="12" t="n">
        <x:v>45981</x:v>
      </x:c>
      <x:c r="D552" s="9" t="n">
        <x:v>675.1099</x:v>
      </x:c>
      <x:c r="E552" s="9" t="n">
        <x:v>658.38</x:v>
      </x:c>
      <x:c r="F552" s="10" t="n">
        <x:f>IF(H552=1,E552/D552-1,"")</x:f>
        <x:v>-0.024781002322732948</x:v>
      </x:c>
      <x:c r="G552" s="10" t="n">
        <x:f>IF(H552=1,ABS(F552),"")</x:f>
        <x:v>0.024781002322732948</x:v>
      </x:c>
      <x:c r="H552" s="2" t="n">
        <x:v>1</x:v>
      </x:c>
      <x:c r="I552" s="2" t="str">
        <x:v>AV.Clean!B97</x:v>
      </x:c>
      <x:c r="J552" s="2" t="str">
        <x:v>AV.Clean!B92</x:v>
      </x:c>
      <x:c r="K552" s="13" t="n">
        <x:v>45981.5</x:v>
      </x:c>
      <x:c r="L552" s="13" t="n">
        <x:v>45981.520833333336</x:v>
      </x:c>
    </x:row>
    <x:row r="553" ht="22" customHeight="1">
      <x:c r="A553" s="12" t="n">
        <x:v>45982</x:v>
      </x:c>
      <x:c r="B553" s="14" t="str">
        <x:v>13:00</x:v>
      </x:c>
      <x:c r="C553" s="12" t="n">
        <x:v>45964</x:v>
      </x:c>
      <x:c r="D553" s="9" t="n">
        <x:v>682.52</x:v>
      </x:c>
      <x:c r="E553" s="9" t="n">
        <x:v>683.855</x:v>
      </x:c>
      <x:c r="F553" s="10" t="n">
        <x:f>IF(H553=1,E553/D553-1,"")</x:f>
        <x:v>0.0019559866377543145</x:v>
      </x:c>
      <x:c r="G553" s="10" t="n">
        <x:f>IF(H553=1,ABS(F553),"")</x:f>
        <x:v>0.0019559866377543145</x:v>
      </x:c>
      <x:c r="H553" s="2" t="n">
        <x:v>1</x:v>
      </x:c>
      <x:c r="I553" s="2" t="str">
        <x:v>AV.Clean!B279</x:v>
      </x:c>
      <x:c r="J553" s="2" t="str">
        <x:v>AV.Clean!B273</x:v>
      </x:c>
      <x:c r="K553" s="13" t="n">
        <x:v>45964.520833333336</x:v>
      </x:c>
      <x:c r="L553" s="13" t="n">
        <x:v>45964.541666666664</x:v>
      </x:c>
    </x:row>
    <x:row r="554" ht="22" customHeight="1">
      <x:c r="A554" s="12" t="n">
        <x:v>45982</x:v>
      </x:c>
      <x:c r="B554" s="14" t="str">
        <x:v>13:00</x:v>
      </x:c>
      <x:c r="C554" s="12" t="n">
        <x:v>45965</x:v>
      </x:c>
      <x:c r="D554" s="9" t="n">
        <x:v>678.8</x:v>
      </x:c>
      <x:c r="E554" s="9" t="n">
        <x:v>675.92</x:v>
      </x:c>
      <x:c r="F554" s="10" t="n">
        <x:f>IF(H554=1,E554/D554-1,"")</x:f>
        <x:v>-0.0042427813789039925</x:v>
      </x:c>
      <x:c r="G554" s="10" t="n">
        <x:f>IF(H554=1,ABS(F554),"")</x:f>
        <x:v>0.0042427813789039925</x:v>
      </x:c>
      <x:c r="H554" s="2" t="n">
        <x:v>1</x:v>
      </x:c>
      <x:c r="I554" s="2" t="str">
        <x:v>AV.Clean!B265</x:v>
      </x:c>
      <x:c r="J554" s="2" t="str">
        <x:v>AV.Clean!B259</x:v>
      </x:c>
      <x:c r="K554" s="13" t="n">
        <x:v>45965.520833333336</x:v>
      </x:c>
      <x:c r="L554" s="13" t="n">
        <x:v>45965.541666666664</x:v>
      </x:c>
    </x:row>
    <x:row r="555" ht="22" customHeight="1">
      <x:c r="A555" s="12" t="n">
        <x:v>45982</x:v>
      </x:c>
      <x:c r="B555" s="14" t="str">
        <x:v>13:00</x:v>
      </x:c>
      <x:c r="C555" s="12" t="n">
        <x:v>45966</x:v>
      </x:c>
      <x:c r="D555" s="9" t="n">
        <x:v>677.17</x:v>
      </x:c>
      <x:c r="E555" s="9" t="n">
        <x:v>680.198</x:v>
      </x:c>
      <x:c r="F555" s="10" t="n">
        <x:f>IF(H555=1,E555/D555-1,"")</x:f>
        <x:v>0.004471550718431194</x:v>
      </x:c>
      <x:c r="G555" s="10" t="n">
        <x:f>IF(H555=1,ABS(F555),"")</x:f>
        <x:v>0.004471550718431194</x:v>
      </x:c>
      <x:c r="H555" s="2" t="n">
        <x:v>1</x:v>
      </x:c>
      <x:c r="I555" s="2" t="str">
        <x:v>AV.Clean!B251</x:v>
      </x:c>
      <x:c r="J555" s="2" t="str">
        <x:v>AV.Clean!B245</x:v>
      </x:c>
      <x:c r="K555" s="13" t="n">
        <x:v>45966.520833333336</x:v>
      </x:c>
      <x:c r="L555" s="13" t="n">
        <x:v>45966.541666666664</x:v>
      </x:c>
    </x:row>
    <x:row r="556" ht="22" customHeight="1">
      <x:c r="A556" s="12" t="n">
        <x:v>45982</x:v>
      </x:c>
      <x:c r="B556" s="14" t="str">
        <x:v>13:00</x:v>
      </x:c>
      <x:c r="C556" s="12" t="n">
        <x:v>45967</x:v>
      </x:c>
      <x:c r="D556" s="9" t="n">
        <x:v>674.05</x:v>
      </x:c>
      <x:c r="E556" s="9" t="n">
        <x:v>671.04</x:v>
      </x:c>
      <x:c r="F556" s="10" t="n">
        <x:f>IF(H556=1,E556/D556-1,"")</x:f>
        <x:v>-0.004465544099102381</x:v>
      </x:c>
      <x:c r="G556" s="10" t="n">
        <x:f>IF(H556=1,ABS(F556),"")</x:f>
        <x:v>0.004465544099102381</x:v>
      </x:c>
      <x:c r="H556" s="2" t="n">
        <x:v>1</x:v>
      </x:c>
      <x:c r="I556" s="2" t="str">
        <x:v>AV.Clean!B237</x:v>
      </x:c>
      <x:c r="J556" s="2" t="str">
        <x:v>AV.Clean!B231</x:v>
      </x:c>
      <x:c r="K556" s="13" t="n">
        <x:v>45967.520833333336</x:v>
      </x:c>
      <x:c r="L556" s="13" t="n">
        <x:v>45967.541666666664</x:v>
      </x:c>
    </x:row>
    <x:row r="557" ht="22" customHeight="1">
      <x:c r="A557" s="12" t="n">
        <x:v>45982</x:v>
      </x:c>
      <x:c r="B557" s="14" t="str">
        <x:v>13:00</x:v>
      </x:c>
      <x:c r="C557" s="12" t="n">
        <x:v>45968</x:v>
      </x:c>
      <x:c r="D557" s="9" t="n">
        <x:v>666.345</x:v>
      </x:c>
      <x:c r="E557" s="9" t="n">
        <x:v>663.95</x:v>
      </x:c>
      <x:c r="F557" s="10" t="n">
        <x:f>IF(H557=1,E557/D557-1,"")</x:f>
        <x:v>-0.003594234218010195</x:v>
      </x:c>
      <x:c r="G557" s="10" t="n">
        <x:f>IF(H557=1,ABS(F557),"")</x:f>
        <x:v>0.003594234218010195</x:v>
      </x:c>
      <x:c r="H557" s="2" t="n">
        <x:v>1</x:v>
      </x:c>
      <x:c r="I557" s="2" t="str">
        <x:v>AV.Clean!B223</x:v>
      </x:c>
      <x:c r="J557" s="2" t="str">
        <x:v>AV.Clean!B217</x:v>
      </x:c>
      <x:c r="K557" s="13" t="n">
        <x:v>45968.520833333336</x:v>
      </x:c>
      <x:c r="L557" s="13" t="n">
        <x:v>45968.541666666664</x:v>
      </x:c>
    </x:row>
    <x:row r="558" ht="22" customHeight="1">
      <x:c r="A558" s="12" t="n">
        <x:v>45982</x:v>
      </x:c>
      <x:c r="B558" s="14" t="str">
        <x:v>13:00</x:v>
      </x:c>
      <x:c r="C558" s="12" t="n">
        <x:v>45971</x:v>
      </x:c>
      <x:c r="D558" s="9" t="n">
        <x:v>678.525</x:v>
      </x:c>
      <x:c r="E558" s="9" t="n">
        <x:v>679.42</x:v>
      </x:c>
      <x:c r="F558" s="10" t="n">
        <x:f>IF(H558=1,E558/D558-1,"")</x:f>
        <x:v>0.0013190376183633834</x:v>
      </x:c>
      <x:c r="G558" s="10" t="n">
        <x:f>IF(H558=1,ABS(F558),"")</x:f>
        <x:v>0.0013190376183633834</x:v>
      </x:c>
      <x:c r="H558" s="2" t="n">
        <x:v>1</x:v>
      </x:c>
      <x:c r="I558" s="2" t="str">
        <x:v>AV.Clean!B209</x:v>
      </x:c>
      <x:c r="J558" s="2" t="str">
        <x:v>AV.Clean!B203</x:v>
      </x:c>
      <x:c r="K558" s="13" t="n">
        <x:v>45971.520833333336</x:v>
      </x:c>
      <x:c r="L558" s="13" t="n">
        <x:v>45971.541666666664</x:v>
      </x:c>
    </x:row>
    <x:row r="559" ht="22" customHeight="1">
      <x:c r="A559" s="12" t="n">
        <x:v>45982</x:v>
      </x:c>
      <x:c r="B559" s="14" t="str">
        <x:v>13:00</x:v>
      </x:c>
      <x:c r="C559" s="12" t="n">
        <x:v>45972</x:v>
      </x:c>
      <x:c r="D559" s="9" t="n">
        <x:v>680.645</x:v>
      </x:c>
      <x:c r="E559" s="9" t="n">
        <x:v>682.09</x:v>
      </x:c>
      <x:c r="F559" s="10" t="n">
        <x:f>IF(H559=1,E559/D559-1,"")</x:f>
        <x:v>0.002122986285068018</x:v>
      </x:c>
      <x:c r="G559" s="10" t="n">
        <x:f>IF(H559=1,ABS(F559),"")</x:f>
        <x:v>0.002122986285068018</x:v>
      </x:c>
      <x:c r="H559" s="2" t="n">
        <x:v>1</x:v>
      </x:c>
      <x:c r="I559" s="2" t="str">
        <x:v>AV.Clean!B195</x:v>
      </x:c>
      <x:c r="J559" s="2" t="str">
        <x:v>AV.Clean!B189</x:v>
      </x:c>
      <x:c r="K559" s="13" t="n">
        <x:v>45972.520833333336</x:v>
      </x:c>
      <x:c r="L559" s="13" t="n">
        <x:v>45972.541666666664</x:v>
      </x:c>
    </x:row>
    <x:row r="560" ht="22" customHeight="1">
      <x:c r="A560" s="12" t="n">
        <x:v>45982</x:v>
      </x:c>
      <x:c r="B560" s="14" t="str">
        <x:v>13:00</x:v>
      </x:c>
      <x:c r="C560" s="12" t="n">
        <x:v>45973</x:v>
      </x:c>
      <x:c r="D560" s="9" t="n">
        <x:v>683.61</x:v>
      </x:c>
      <x:c r="E560" s="9" t="n">
        <x:v>683.68</x:v>
      </x:c>
      <x:c r="F560" s="10" t="n">
        <x:f>IF(H560=1,E560/D560-1,"")</x:f>
        <x:v>0.000102397565863388</x:v>
      </x:c>
      <x:c r="G560" s="10" t="n">
        <x:f>IF(H560=1,ABS(F560),"")</x:f>
        <x:v>0.000102397565863388</x:v>
      </x:c>
      <x:c r="H560" s="2" t="n">
        <x:v>1</x:v>
      </x:c>
      <x:c r="I560" s="2" t="str">
        <x:v>AV.Clean!B181</x:v>
      </x:c>
      <x:c r="J560" s="2" t="str">
        <x:v>AV.Clean!B175</x:v>
      </x:c>
      <x:c r="K560" s="13" t="n">
        <x:v>45973.520833333336</x:v>
      </x:c>
      <x:c r="L560" s="13" t="n">
        <x:v>45973.541666666664</x:v>
      </x:c>
    </x:row>
    <x:row r="561" ht="22" customHeight="1">
      <x:c r="A561" s="12" t="n">
        <x:v>45982</x:v>
      </x:c>
      <x:c r="B561" s="14" t="str">
        <x:v>13:00</x:v>
      </x:c>
      <x:c r="C561" s="12" t="n">
        <x:v>45974</x:v>
      </x:c>
      <x:c r="D561" s="9" t="n">
        <x:v>678.72</x:v>
      </x:c>
      <x:c r="E561" s="9" t="n">
        <x:v>674.23</x:v>
      </x:c>
      <x:c r="F561" s="10" t="n">
        <x:f>IF(H561=1,E561/D561-1,"")</x:f>
        <x:v>-0.006615393682225412</x:v>
      </x:c>
      <x:c r="G561" s="10" t="n">
        <x:f>IF(H561=1,ABS(F561),"")</x:f>
        <x:v>0.006615393682225412</x:v>
      </x:c>
      <x:c r="H561" s="2" t="n">
        <x:v>1</x:v>
      </x:c>
      <x:c r="I561" s="2" t="str">
        <x:v>AV.Clean!B167</x:v>
      </x:c>
      <x:c r="J561" s="2" t="str">
        <x:v>AV.Clean!B161</x:v>
      </x:c>
      <x:c r="K561" s="13" t="n">
        <x:v>45974.520833333336</x:v>
      </x:c>
      <x:c r="L561" s="13" t="n">
        <x:v>45974.541666666664</x:v>
      </x:c>
    </x:row>
    <x:row r="562" ht="22" customHeight="1">
      <x:c r="A562" s="12" t="n">
        <x:v>45982</x:v>
      </x:c>
      <x:c r="B562" s="14" t="str">
        <x:v>13:00</x:v>
      </x:c>
      <x:c r="C562" s="12" t="n">
        <x:v>45975</x:v>
      </x:c>
      <x:c r="D562" s="9" t="n">
        <x:v>668.75</x:v>
      </x:c>
      <x:c r="E562" s="9" t="n">
        <x:v>674.0271</x:v>
      </x:c>
      <x:c r="F562" s="10" t="n">
        <x:f>IF(H562=1,E562/D562-1,"")</x:f>
        <x:v>0.007890990654205732</x:v>
      </x:c>
      <x:c r="G562" s="10" t="n">
        <x:f>IF(H562=1,ABS(F562),"")</x:f>
        <x:v>0.007890990654205732</x:v>
      </x:c>
      <x:c r="H562" s="2" t="n">
        <x:v>1</x:v>
      </x:c>
      <x:c r="I562" s="2" t="str">
        <x:v>AV.Clean!B153</x:v>
      </x:c>
      <x:c r="J562" s="2" t="str">
        <x:v>AV.Clean!B147</x:v>
      </x:c>
      <x:c r="K562" s="13" t="n">
        <x:v>45975.520833333336</x:v>
      </x:c>
      <x:c r="L562" s="13" t="n">
        <x:v>45975.541666666664</x:v>
      </x:c>
    </x:row>
    <x:row r="563" ht="22" customHeight="1">
      <x:c r="A563" s="12" t="n">
        <x:v>45982</x:v>
      </x:c>
      <x:c r="B563" s="14" t="str">
        <x:v>13:00</x:v>
      </x:c>
      <x:c r="C563" s="12" t="n">
        <x:v>45978</x:v>
      </x:c>
      <x:c r="D563" s="9" t="n">
        <x:v>672.82</x:v>
      </x:c>
      <x:c r="E563" s="9" t="n">
        <x:v>669.233</x:v>
      </x:c>
      <x:c r="F563" s="10" t="n">
        <x:f>IF(H563=1,E563/D563-1,"")</x:f>
        <x:v>-0.005331292173241131</x:v>
      </x:c>
      <x:c r="G563" s="10" t="n">
        <x:f>IF(H563=1,ABS(F563),"")</x:f>
        <x:v>0.005331292173241131</x:v>
      </x:c>
      <x:c r="H563" s="2" t="n">
        <x:v>1</x:v>
      </x:c>
      <x:c r="I563" s="2" t="str">
        <x:v>AV.Clean!B139</x:v>
      </x:c>
      <x:c r="J563" s="2" t="str">
        <x:v>AV.Clean!B133</x:v>
      </x:c>
      <x:c r="K563" s="13" t="n">
        <x:v>45978.520833333336</x:v>
      </x:c>
      <x:c r="L563" s="13" t="n">
        <x:v>45978.541666666664</x:v>
      </x:c>
    </x:row>
    <x:row r="564" ht="22" customHeight="1">
      <x:c r="A564" s="12" t="n">
        <x:v>45982</x:v>
      </x:c>
      <x:c r="B564" s="14" t="str">
        <x:v>13:00</x:v>
      </x:c>
      <x:c r="C564" s="12" t="n">
        <x:v>45979</x:v>
      </x:c>
      <x:c r="D564" s="9" t="n">
        <x:v>658.56</x:v>
      </x:c>
      <x:c r="E564" s="9" t="n">
        <x:v>663.75</x:v>
      </x:c>
      <x:c r="F564" s="10" t="n">
        <x:f>IF(H564=1,E564/D564-1,"")</x:f>
        <x:v>0.007880830903790104</x:v>
      </x:c>
      <x:c r="G564" s="10" t="n">
        <x:f>IF(H564=1,ABS(F564),"")</x:f>
        <x:v>0.007880830903790104</x:v>
      </x:c>
      <x:c r="H564" s="2" t="n">
        <x:v>1</x:v>
      </x:c>
      <x:c r="I564" s="2" t="str">
        <x:v>AV.Clean!B125</x:v>
      </x:c>
      <x:c r="J564" s="2" t="str">
        <x:v>AV.Clean!B119</x:v>
      </x:c>
      <x:c r="K564" s="13" t="n">
        <x:v>45979.520833333336</x:v>
      </x:c>
      <x:c r="L564" s="13" t="n">
        <x:v>45979.541666666664</x:v>
      </x:c>
    </x:row>
    <x:row r="565" ht="22" customHeight="1">
      <x:c r="A565" s="12" t="n">
        <x:v>45982</x:v>
      </x:c>
      <x:c r="B565" s="14" t="str">
        <x:v>13:00</x:v>
      </x:c>
      <x:c r="C565" s="12" t="n">
        <x:v>45980</x:v>
      </x:c>
      <x:c r="D565" s="9" t="n">
        <x:v>665.85</x:v>
      </x:c>
      <x:c r="E565" s="9" t="n">
        <x:v>661.3</x:v>
      </x:c>
      <x:c r="F565" s="10" t="n">
        <x:f>IF(H565=1,E565/D565-1,"")</x:f>
        <x:v>-0.006833370879327227</x:v>
      </x:c>
      <x:c r="G565" s="10" t="n">
        <x:f>IF(H565=1,ABS(F565),"")</x:f>
        <x:v>0.006833370879327227</x:v>
      </x:c>
      <x:c r="H565" s="2" t="n">
        <x:v>1</x:v>
      </x:c>
      <x:c r="I565" s="2" t="str">
        <x:v>AV.Clean!B111</x:v>
      </x:c>
      <x:c r="J565" s="2" t="str">
        <x:v>AV.Clean!B105</x:v>
      </x:c>
      <x:c r="K565" s="13" t="n">
        <x:v>45980.520833333336</x:v>
      </x:c>
      <x:c r="L565" s="13" t="n">
        <x:v>45980.541666666664</x:v>
      </x:c>
    </x:row>
    <x:row r="566" ht="22" customHeight="1">
      <x:c r="A566" s="12" t="n">
        <x:v>45982</x:v>
      </x:c>
      <x:c r="B566" s="14" t="str">
        <x:v>13:00</x:v>
      </x:c>
      <x:c r="C566" s="12" t="n">
        <x:v>45981</x:v>
      </x:c>
      <x:c r="D566" s="9" t="n">
        <x:v>675.1099</x:v>
      </x:c>
      <x:c r="E566" s="9" t="n">
        <x:v>657.0106</x:v>
      </x:c>
      <x:c r="F566" s="10" t="n">
        <x:f>IF(H566=1,E566/D566-1,"")</x:f>
        <x:v>-0.026809412808196265</x:v>
      </x:c>
      <x:c r="G566" s="10" t="n">
        <x:f>IF(H566=1,ABS(F566),"")</x:f>
        <x:v>0.026809412808196265</x:v>
      </x:c>
      <x:c r="H566" s="2" t="n">
        <x:v>1</x:v>
      </x:c>
      <x:c r="I566" s="2" t="str">
        <x:v>AV.Clean!B97</x:v>
      </x:c>
      <x:c r="J566" s="2" t="str">
        <x:v>AV.Clean!B91</x:v>
      </x:c>
      <x:c r="K566" s="13" t="n">
        <x:v>45981.520833333336</x:v>
      </x:c>
      <x:c r="L566" s="13" t="n">
        <x:v>45981.541666666664</x:v>
      </x:c>
    </x:row>
    <x:row r="567" ht="22" customHeight="1">
      <x:c r="A567" s="12" t="n">
        <x:v>45982</x:v>
      </x:c>
      <x:c r="B567" s="14" t="str">
        <x:v>13:30</x:v>
      </x:c>
      <x:c r="C567" s="12" t="n">
        <x:v>45964</x:v>
      </x:c>
      <x:c r="D567" s="9" t="n">
        <x:v>682.52</x:v>
      </x:c>
      <x:c r="E567" s="9" t="n">
        <x:v>683.64</x:v>
      </x:c>
      <x:c r="F567" s="10" t="n">
        <x:f>IF(H567=1,E567/D567-1,"")</x:f>
        <x:v>0.00164097755377135</x:v>
      </x:c>
      <x:c r="G567" s="10" t="n">
        <x:f>IF(H567=1,ABS(F567),"")</x:f>
        <x:v>0.00164097755377135</x:v>
      </x:c>
      <x:c r="H567" s="2" t="n">
        <x:v>1</x:v>
      </x:c>
      <x:c r="I567" s="2" t="str">
        <x:v>AV.Clean!B279</x:v>
      </x:c>
      <x:c r="J567" s="2" t="str">
        <x:v>AV.Clean!B272</x:v>
      </x:c>
      <x:c r="K567" s="13" t="n">
        <x:v>45964.541666666664</x:v>
      </x:c>
      <x:c r="L567" s="13" t="n">
        <x:v>45964.5625</x:v>
      </x:c>
    </x:row>
    <x:row r="568" ht="22" customHeight="1">
      <x:c r="A568" s="12" t="n">
        <x:v>45982</x:v>
      </x:c>
      <x:c r="B568" s="14" t="str">
        <x:v>13:30</x:v>
      </x:c>
      <x:c r="C568" s="12" t="n">
        <x:v>45965</x:v>
      </x:c>
      <x:c r="D568" s="9" t="n">
        <x:v>678.8</x:v>
      </x:c>
      <x:c r="E568" s="9" t="n">
        <x:v>675.22</x:v>
      </x:c>
      <x:c r="F568" s="10" t="n">
        <x:f>IF(H568=1,E568/D568-1,"")</x:f>
        <x:v>-0.005274012964054053</x:v>
      </x:c>
      <x:c r="G568" s="10" t="n">
        <x:f>IF(H568=1,ABS(F568),"")</x:f>
        <x:v>0.005274012964054053</x:v>
      </x:c>
      <x:c r="H568" s="2" t="n">
        <x:v>1</x:v>
      </x:c>
      <x:c r="I568" s="2" t="str">
        <x:v>AV.Clean!B265</x:v>
      </x:c>
      <x:c r="J568" s="2" t="str">
        <x:v>AV.Clean!B258</x:v>
      </x:c>
      <x:c r="K568" s="13" t="n">
        <x:v>45965.541666666664</x:v>
      </x:c>
      <x:c r="L568" s="13" t="n">
        <x:v>45965.5625</x:v>
      </x:c>
    </x:row>
    <x:row r="569" ht="22" customHeight="1">
      <x:c r="A569" s="12" t="n">
        <x:v>45982</x:v>
      </x:c>
      <x:c r="B569" s="14" t="str">
        <x:v>13:30</x:v>
      </x:c>
      <x:c r="C569" s="12" t="n">
        <x:v>45966</x:v>
      </x:c>
      <x:c r="D569" s="9" t="n">
        <x:v>677.17</x:v>
      </x:c>
      <x:c r="E569" s="9" t="n">
        <x:v>680.38</x:v>
      </x:c>
      <x:c r="F569" s="10" t="n">
        <x:f>IF(H569=1,E569/D569-1,"")</x:f>
        <x:v>0.004740316316434567</x:v>
      </x:c>
      <x:c r="G569" s="10" t="n">
        <x:f>IF(H569=1,ABS(F569),"")</x:f>
        <x:v>0.004740316316434567</x:v>
      </x:c>
      <x:c r="H569" s="2" t="n">
        <x:v>1</x:v>
      </x:c>
      <x:c r="I569" s="2" t="str">
        <x:v>AV.Clean!B251</x:v>
      </x:c>
      <x:c r="J569" s="2" t="str">
        <x:v>AV.Clean!B244</x:v>
      </x:c>
      <x:c r="K569" s="13" t="n">
        <x:v>45966.541666666664</x:v>
      </x:c>
      <x:c r="L569" s="13" t="n">
        <x:v>45966.5625</x:v>
      </x:c>
    </x:row>
    <x:row r="570" ht="22" customHeight="1">
      <x:c r="A570" s="12" t="n">
        <x:v>45982</x:v>
      </x:c>
      <x:c r="B570" s="14" t="str">
        <x:v>13:30</x:v>
      </x:c>
      <x:c r="C570" s="12" t="n">
        <x:v>45967</x:v>
      </x:c>
      <x:c r="D570" s="9" t="n">
        <x:v>674.05</x:v>
      </x:c>
      <x:c r="E570" s="9" t="n">
        <x:v>670.95</x:v>
      </x:c>
      <x:c r="F570" s="10" t="n">
        <x:f>IF(H570=1,E570/D570-1,"")</x:f>
        <x:v>-0.004599065351234888</x:v>
      </x:c>
      <x:c r="G570" s="10" t="n">
        <x:f>IF(H570=1,ABS(F570),"")</x:f>
        <x:v>0.004599065351234888</x:v>
      </x:c>
      <x:c r="H570" s="2" t="n">
        <x:v>1</x:v>
      </x:c>
      <x:c r="I570" s="2" t="str">
        <x:v>AV.Clean!B237</x:v>
      </x:c>
      <x:c r="J570" s="2" t="str">
        <x:v>AV.Clean!B230</x:v>
      </x:c>
      <x:c r="K570" s="13" t="n">
        <x:v>45967.541666666664</x:v>
      </x:c>
      <x:c r="L570" s="13" t="n">
        <x:v>45967.5625</x:v>
      </x:c>
    </x:row>
    <x:row r="571" ht="22" customHeight="1">
      <x:c r="A571" s="12" t="n">
        <x:v>45982</x:v>
      </x:c>
      <x:c r="B571" s="14" t="str">
        <x:v>13:30</x:v>
      </x:c>
      <x:c r="C571" s="12" t="n">
        <x:v>45968</x:v>
      </x:c>
      <x:c r="D571" s="9" t="n">
        <x:v>666.345</x:v>
      </x:c>
      <x:c r="E571" s="9" t="n">
        <x:v>665.3</x:v>
      </x:c>
      <x:c r="F571" s="10" t="n">
        <x:f>IF(H571=1,E571/D571-1,"")</x:f>
        <x:v>-0.0015682566838500778</x:v>
      </x:c>
      <x:c r="G571" s="10" t="n">
        <x:f>IF(H571=1,ABS(F571),"")</x:f>
        <x:v>0.0015682566838500778</x:v>
      </x:c>
      <x:c r="H571" s="2" t="n">
        <x:v>1</x:v>
      </x:c>
      <x:c r="I571" s="2" t="str">
        <x:v>AV.Clean!B223</x:v>
      </x:c>
      <x:c r="J571" s="2" t="str">
        <x:v>AV.Clean!B216</x:v>
      </x:c>
      <x:c r="K571" s="13" t="n">
        <x:v>45968.541666666664</x:v>
      </x:c>
      <x:c r="L571" s="13" t="n">
        <x:v>45968.5625</x:v>
      </x:c>
    </x:row>
    <x:row r="572" ht="22" customHeight="1">
      <x:c r="A572" s="12" t="n">
        <x:v>45982</x:v>
      </x:c>
      <x:c r="B572" s="14" t="str">
        <x:v>13:30</x:v>
      </x:c>
      <x:c r="C572" s="12" t="n">
        <x:v>45971</x:v>
      </x:c>
      <x:c r="D572" s="9" t="n">
        <x:v>678.525</x:v>
      </x:c>
      <x:c r="E572" s="9" t="n">
        <x:v>679.51</x:v>
      </x:c>
      <x:c r="F572" s="10" t="n">
        <x:f>IF(H572=1,E572/D572-1,"")</x:f>
        <x:v>0.0014516782727238553</x:v>
      </x:c>
      <x:c r="G572" s="10" t="n">
        <x:f>IF(H572=1,ABS(F572),"")</x:f>
        <x:v>0.0014516782727238553</x:v>
      </x:c>
      <x:c r="H572" s="2" t="n">
        <x:v>1</x:v>
      </x:c>
      <x:c r="I572" s="2" t="str">
        <x:v>AV.Clean!B209</x:v>
      </x:c>
      <x:c r="J572" s="2" t="str">
        <x:v>AV.Clean!B202</x:v>
      </x:c>
      <x:c r="K572" s="13" t="n">
        <x:v>45971.541666666664</x:v>
      </x:c>
      <x:c r="L572" s="13" t="n">
        <x:v>45971.5625</x:v>
      </x:c>
    </x:row>
    <x:row r="573" ht="22" customHeight="1">
      <x:c r="A573" s="12" t="n">
        <x:v>45982</x:v>
      </x:c>
      <x:c r="B573" s="14" t="str">
        <x:v>13:30</x:v>
      </x:c>
      <x:c r="C573" s="12" t="n">
        <x:v>45972</x:v>
      </x:c>
      <x:c r="D573" s="9" t="n">
        <x:v>680.645</x:v>
      </x:c>
      <x:c r="E573" s="9" t="n">
        <x:v>682.89</x:v>
      </x:c>
      <x:c r="F573" s="10" t="n">
        <x:f>IF(H573=1,E573/D573-1,"")</x:f>
        <x:v>0.003298342013825062</x:v>
      </x:c>
      <x:c r="G573" s="10" t="n">
        <x:f>IF(H573=1,ABS(F573),"")</x:f>
        <x:v>0.003298342013825062</x:v>
      </x:c>
      <x:c r="H573" s="2" t="n">
        <x:v>1</x:v>
      </x:c>
      <x:c r="I573" s="2" t="str">
        <x:v>AV.Clean!B195</x:v>
      </x:c>
      <x:c r="J573" s="2" t="str">
        <x:v>AV.Clean!B188</x:v>
      </x:c>
      <x:c r="K573" s="13" t="n">
        <x:v>45972.541666666664</x:v>
      </x:c>
      <x:c r="L573" s="13" t="n">
        <x:v>45972.5625</x:v>
      </x:c>
    </x:row>
    <x:row r="574" ht="22" customHeight="1">
      <x:c r="A574" s="12" t="n">
        <x:v>45982</x:v>
      </x:c>
      <x:c r="B574" s="14" t="str">
        <x:v>13:30</x:v>
      </x:c>
      <x:c r="C574" s="12" t="n">
        <x:v>45973</x:v>
      </x:c>
      <x:c r="D574" s="9" t="n">
        <x:v>683.61</x:v>
      </x:c>
      <x:c r="E574" s="9" t="n">
        <x:v>683.4617</x:v>
      </x:c>
      <x:c r="F574" s="10" t="n">
        <x:f>IF(H574=1,E574/D574-1,"")</x:f>
        <x:v>-0.00021693655739396522</x:v>
      </x:c>
      <x:c r="G574" s="10" t="n">
        <x:f>IF(H574=1,ABS(F574),"")</x:f>
        <x:v>0.00021693655739396522</x:v>
      </x:c>
      <x:c r="H574" s="2" t="n">
        <x:v>1</x:v>
      </x:c>
      <x:c r="I574" s="2" t="str">
        <x:v>AV.Clean!B181</x:v>
      </x:c>
      <x:c r="J574" s="2" t="str">
        <x:v>AV.Clean!B174</x:v>
      </x:c>
      <x:c r="K574" s="13" t="n">
        <x:v>45973.541666666664</x:v>
      </x:c>
      <x:c r="L574" s="13" t="n">
        <x:v>45973.5625</x:v>
      </x:c>
    </x:row>
    <x:row r="575" ht="22" customHeight="1">
      <x:c r="A575" s="12" t="n">
        <x:v>45982</x:v>
      </x:c>
      <x:c r="B575" s="14" t="str">
        <x:v>13:30</x:v>
      </x:c>
      <x:c r="C575" s="12" t="n">
        <x:v>45974</x:v>
      </x:c>
      <x:c r="D575" s="9" t="n">
        <x:v>678.72</x:v>
      </x:c>
      <x:c r="E575" s="9" t="n">
        <x:v>672.76</x:v>
      </x:c>
      <x:c r="F575" s="10" t="n">
        <x:f>IF(H575=1,E575/D575-1,"")</x:f>
        <x:v>-0.008781235266383858</x:v>
      </x:c>
      <x:c r="G575" s="10" t="n">
        <x:f>IF(H575=1,ABS(F575),"")</x:f>
        <x:v>0.008781235266383858</x:v>
      </x:c>
      <x:c r="H575" s="2" t="n">
        <x:v>1</x:v>
      </x:c>
      <x:c r="I575" s="2" t="str">
        <x:v>AV.Clean!B167</x:v>
      </x:c>
      <x:c r="J575" s="2" t="str">
        <x:v>AV.Clean!B160</x:v>
      </x:c>
      <x:c r="K575" s="13" t="n">
        <x:v>45974.541666666664</x:v>
      </x:c>
      <x:c r="L575" s="13" t="n">
        <x:v>45974.5625</x:v>
      </x:c>
    </x:row>
    <x:row r="576" ht="22" customHeight="1">
      <x:c r="A576" s="12" t="n">
        <x:v>45982</x:v>
      </x:c>
      <x:c r="B576" s="14" t="str">
        <x:v>13:30</x:v>
      </x:c>
      <x:c r="C576" s="12" t="n">
        <x:v>45975</x:v>
      </x:c>
      <x:c r="D576" s="9" t="n">
        <x:v>668.75</x:v>
      </x:c>
      <x:c r="E576" s="9" t="n">
        <x:v>672.99</x:v>
      </x:c>
      <x:c r="F576" s="10" t="n">
        <x:f>IF(H576=1,E576/D576-1,"")</x:f>
        <x:v>0.006340186915887891</x:v>
      </x:c>
      <x:c r="G576" s="10" t="n">
        <x:f>IF(H576=1,ABS(F576),"")</x:f>
        <x:v>0.006340186915887891</x:v>
      </x:c>
      <x:c r="H576" s="2" t="n">
        <x:v>1</x:v>
      </x:c>
      <x:c r="I576" s="2" t="str">
        <x:v>AV.Clean!B153</x:v>
      </x:c>
      <x:c r="J576" s="2" t="str">
        <x:v>AV.Clean!B146</x:v>
      </x:c>
      <x:c r="K576" s="13" t="n">
        <x:v>45975.541666666664</x:v>
      </x:c>
      <x:c r="L576" s="13" t="n">
        <x:v>45975.5625</x:v>
      </x:c>
    </x:row>
    <x:row r="577" ht="22" customHeight="1">
      <x:c r="A577" s="12" t="n">
        <x:v>45982</x:v>
      </x:c>
      <x:c r="B577" s="14" t="str">
        <x:v>13:30</x:v>
      </x:c>
      <x:c r="C577" s="12" t="n">
        <x:v>45978</x:v>
      </x:c>
      <x:c r="D577" s="9" t="n">
        <x:v>672.82</x:v>
      </x:c>
      <x:c r="E577" s="9" t="n">
        <x:v>668.64</x:v>
      </x:c>
      <x:c r="F577" s="10" t="n">
        <x:f>IF(H577=1,E577/D577-1,"")</x:f>
        <x:v>-0.006212657174281433</x:v>
      </x:c>
      <x:c r="G577" s="10" t="n">
        <x:f>IF(H577=1,ABS(F577),"")</x:f>
        <x:v>0.006212657174281433</x:v>
      </x:c>
      <x:c r="H577" s="2" t="n">
        <x:v>1</x:v>
      </x:c>
      <x:c r="I577" s="2" t="str">
        <x:v>AV.Clean!B139</x:v>
      </x:c>
      <x:c r="J577" s="2" t="str">
        <x:v>AV.Clean!B132</x:v>
      </x:c>
      <x:c r="K577" s="13" t="n">
        <x:v>45978.541666666664</x:v>
      </x:c>
      <x:c r="L577" s="13" t="n">
        <x:v>45978.5625</x:v>
      </x:c>
    </x:row>
    <x:row r="578" ht="22" customHeight="1">
      <x:c r="A578" s="12" t="n">
        <x:v>45982</x:v>
      </x:c>
      <x:c r="B578" s="14" t="str">
        <x:v>13:30</x:v>
      </x:c>
      <x:c r="C578" s="12" t="n">
        <x:v>45979</x:v>
      </x:c>
      <x:c r="D578" s="9" t="n">
        <x:v>658.56</x:v>
      </x:c>
      <x:c r="E578" s="9" t="n">
        <x:v>663.47</x:v>
      </x:c>
      <x:c r="F578" s="10" t="n">
        <x:f>IF(H578=1,E578/D578-1,"")</x:f>
        <x:v>0.0074556608357629894</x:v>
      </x:c>
      <x:c r="G578" s="10" t="n">
        <x:f>IF(H578=1,ABS(F578),"")</x:f>
        <x:v>0.0074556608357629894</x:v>
      </x:c>
      <x:c r="H578" s="2" t="n">
        <x:v>1</x:v>
      </x:c>
      <x:c r="I578" s="2" t="str">
        <x:v>AV.Clean!B125</x:v>
      </x:c>
      <x:c r="J578" s="2" t="str">
        <x:v>AV.Clean!B118</x:v>
      </x:c>
      <x:c r="K578" s="13" t="n">
        <x:v>45979.541666666664</x:v>
      </x:c>
      <x:c r="L578" s="13" t="n">
        <x:v>45979.5625</x:v>
      </x:c>
    </x:row>
    <x:row r="579" ht="22" customHeight="1">
      <x:c r="A579" s="12" t="n">
        <x:v>45982</x:v>
      </x:c>
      <x:c r="B579" s="14" t="str">
        <x:v>13:30</x:v>
      </x:c>
      <x:c r="C579" s="12" t="n">
        <x:v>45980</x:v>
      </x:c>
      <x:c r="D579" s="9" t="n">
        <x:v>665.85</x:v>
      </x:c>
      <x:c r="E579" s="9" t="n">
        <x:v>660.84</x:v>
      </x:c>
      <x:c r="F579" s="10" t="n">
        <x:f>IF(H579=1,E579/D579-1,"")</x:f>
        <x:v>-0.0075242171660283574</x:v>
      </x:c>
      <x:c r="G579" s="10" t="n">
        <x:f>IF(H579=1,ABS(F579),"")</x:f>
        <x:v>0.0075242171660283574</x:v>
      </x:c>
      <x:c r="H579" s="2" t="n">
        <x:v>1</x:v>
      </x:c>
      <x:c r="I579" s="2" t="str">
        <x:v>AV.Clean!B111</x:v>
      </x:c>
      <x:c r="J579" s="2" t="str">
        <x:v>AV.Clean!B104</x:v>
      </x:c>
      <x:c r="K579" s="13" t="n">
        <x:v>45980.541666666664</x:v>
      </x:c>
      <x:c r="L579" s="13" t="n">
        <x:v>45980.5625</x:v>
      </x:c>
    </x:row>
    <x:row r="580" ht="22" customHeight="1">
      <x:c r="A580" s="12" t="n">
        <x:v>45982</x:v>
      </x:c>
      <x:c r="B580" s="14" t="str">
        <x:v>13:30</x:v>
      </x:c>
      <x:c r="C580" s="12" t="n">
        <x:v>45981</x:v>
      </x:c>
      <x:c r="D580" s="9" t="n">
        <x:v>675.1099</x:v>
      </x:c>
      <x:c r="E580" s="9" t="n">
        <x:v>659.44</x:v>
      </x:c>
      <x:c r="F580" s="10" t="n">
        <x:f>IF(H580=1,E580/D580-1,"")</x:f>
        <x:v>-0.023210887590301987</x:v>
      </x:c>
      <x:c r="G580" s="10" t="n">
        <x:f>IF(H580=1,ABS(F580),"")</x:f>
        <x:v>0.023210887590301987</x:v>
      </x:c>
      <x:c r="H580" s="2" t="n">
        <x:v>1</x:v>
      </x:c>
      <x:c r="I580" s="2" t="str">
        <x:v>AV.Clean!B97</x:v>
      </x:c>
      <x:c r="J580" s="2" t="str">
        <x:v>AV.Clean!B90</x:v>
      </x:c>
      <x:c r="K580" s="13" t="n">
        <x:v>45981.541666666664</x:v>
      </x:c>
      <x:c r="L580" s="13" t="n">
        <x:v>45981.5625</x:v>
      </x:c>
    </x:row>
    <x:row r="581" ht="22" customHeight="1">
      <x:c r="A581" s="12" t="n">
        <x:v>45982</x:v>
      </x:c>
      <x:c r="B581" s="14" t="str">
        <x:v>14:00</x:v>
      </x:c>
      <x:c r="C581" s="12" t="n">
        <x:v>45964</x:v>
      </x:c>
      <x:c r="D581" s="9" t="n">
        <x:v>682.52</x:v>
      </x:c>
      <x:c r="E581" s="9" t="n">
        <x:v>683.82</x:v>
      </x:c>
      <x:c r="F581" s="10" t="n">
        <x:f>IF(H581=1,E581/D581-1,"")</x:f>
        <x:v>0.0019047060891990153</x:v>
      </x:c>
      <x:c r="G581" s="10" t="n">
        <x:f>IF(H581=1,ABS(F581),"")</x:f>
        <x:v>0.0019047060891990153</x:v>
      </x:c>
      <x:c r="H581" s="2" t="n">
        <x:v>1</x:v>
      </x:c>
      <x:c r="I581" s="2" t="str">
        <x:v>AV.Clean!B279</x:v>
      </x:c>
      <x:c r="J581" s="2" t="str">
        <x:v>AV.Clean!B271</x:v>
      </x:c>
      <x:c r="K581" s="13" t="n">
        <x:v>45964.5625</x:v>
      </x:c>
      <x:c r="L581" s="13" t="n">
        <x:v>45964.583333333336</x:v>
      </x:c>
    </x:row>
    <x:row r="582" ht="22" customHeight="1">
      <x:c r="A582" s="12" t="n">
        <x:v>45982</x:v>
      </x:c>
      <x:c r="B582" s="14" t="str">
        <x:v>14:00</x:v>
      </x:c>
      <x:c r="C582" s="12" t="n">
        <x:v>45965</x:v>
      </x:c>
      <x:c r="D582" s="9" t="n">
        <x:v>678.8</x:v>
      </x:c>
      <x:c r="E582" s="9" t="n">
        <x:v>676.08</x:v>
      </x:c>
      <x:c r="F582" s="10" t="n">
        <x:f>IF(H582=1,E582/D582-1,"")</x:f>
        <x:v>-0.004007071302298049</x:v>
      </x:c>
      <x:c r="G582" s="10" t="n">
        <x:f>IF(H582=1,ABS(F582),"")</x:f>
        <x:v>0.004007071302298049</x:v>
      </x:c>
      <x:c r="H582" s="2" t="n">
        <x:v>1</x:v>
      </x:c>
      <x:c r="I582" s="2" t="str">
        <x:v>AV.Clean!B265</x:v>
      </x:c>
      <x:c r="J582" s="2" t="str">
        <x:v>AV.Clean!B257</x:v>
      </x:c>
      <x:c r="K582" s="13" t="n">
        <x:v>45965.5625</x:v>
      </x:c>
      <x:c r="L582" s="13" t="n">
        <x:v>45965.583333333336</x:v>
      </x:c>
    </x:row>
    <x:row r="583" ht="22" customHeight="1">
      <x:c r="A583" s="12" t="n">
        <x:v>45982</x:v>
      </x:c>
      <x:c r="B583" s="14" t="str">
        <x:v>14:00</x:v>
      </x:c>
      <x:c r="C583" s="12" t="n">
        <x:v>45966</x:v>
      </x:c>
      <x:c r="D583" s="9" t="n">
        <x:v>677.17</x:v>
      </x:c>
      <x:c r="E583" s="9" t="n">
        <x:v>680.595</x:v>
      </x:c>
      <x:c r="F583" s="10" t="n">
        <x:f>IF(H583=1,E583/D583-1,"")</x:f>
        <x:v>0.005057814138252015</x:v>
      </x:c>
      <x:c r="G583" s="10" t="n">
        <x:f>IF(H583=1,ABS(F583),"")</x:f>
        <x:v>0.005057814138252015</x:v>
      </x:c>
      <x:c r="H583" s="2" t="n">
        <x:v>1</x:v>
      </x:c>
      <x:c r="I583" s="2" t="str">
        <x:v>AV.Clean!B251</x:v>
      </x:c>
      <x:c r="J583" s="2" t="str">
        <x:v>AV.Clean!B243</x:v>
      </x:c>
      <x:c r="K583" s="13" t="n">
        <x:v>45966.5625</x:v>
      </x:c>
      <x:c r="L583" s="13" t="n">
        <x:v>45966.583333333336</x:v>
      </x:c>
    </x:row>
    <x:row r="584" ht="22" customHeight="1">
      <x:c r="A584" s="12" t="n">
        <x:v>45982</x:v>
      </x:c>
      <x:c r="B584" s="14" t="str">
        <x:v>14:00</x:v>
      </x:c>
      <x:c r="C584" s="12" t="n">
        <x:v>45967</x:v>
      </x:c>
      <x:c r="D584" s="9" t="n">
        <x:v>674.05</x:v>
      </x:c>
      <x:c r="E584" s="9" t="n">
        <x:v>671.43</x:v>
      </x:c>
      <x:c r="F584" s="10" t="n">
        <x:f>IF(H584=1,E584/D584-1,"")</x:f>
        <x:v>-0.0038869520065276664</x:v>
      </x:c>
      <x:c r="G584" s="10" t="n">
        <x:f>IF(H584=1,ABS(F584),"")</x:f>
        <x:v>0.0038869520065276664</x:v>
      </x:c>
      <x:c r="H584" s="2" t="n">
        <x:v>1</x:v>
      </x:c>
      <x:c r="I584" s="2" t="str">
        <x:v>AV.Clean!B237</x:v>
      </x:c>
      <x:c r="J584" s="2" t="str">
        <x:v>AV.Clean!B229</x:v>
      </x:c>
      <x:c r="K584" s="13" t="n">
        <x:v>45967.5625</x:v>
      </x:c>
      <x:c r="L584" s="13" t="n">
        <x:v>45967.583333333336</x:v>
      </x:c>
    </x:row>
    <x:row r="585" ht="22" customHeight="1">
      <x:c r="A585" s="12" t="n">
        <x:v>45982</x:v>
      </x:c>
      <x:c r="B585" s="14" t="str">
        <x:v>14:00</x:v>
      </x:c>
      <x:c r="C585" s="12" t="n">
        <x:v>45968</x:v>
      </x:c>
      <x:c r="D585" s="9" t="n">
        <x:v>666.345</x:v>
      </x:c>
      <x:c r="E585" s="9" t="n">
        <x:v>665.4499</x:v>
      </x:c>
      <x:c r="F585" s="10" t="n">
        <x:f>IF(H585=1,E585/D585-1,"")</x:f>
        <x:v>-0.0013432981413532552</x:v>
      </x:c>
      <x:c r="G585" s="10" t="n">
        <x:f>IF(H585=1,ABS(F585),"")</x:f>
        <x:v>0.0013432981413532552</x:v>
      </x:c>
      <x:c r="H585" s="2" t="n">
        <x:v>1</x:v>
      </x:c>
      <x:c r="I585" s="2" t="str">
        <x:v>AV.Clean!B223</x:v>
      </x:c>
      <x:c r="J585" s="2" t="str">
        <x:v>AV.Clean!B215</x:v>
      </x:c>
      <x:c r="K585" s="13" t="n">
        <x:v>45968.5625</x:v>
      </x:c>
      <x:c r="L585" s="13" t="n">
        <x:v>45968.583333333336</x:v>
      </x:c>
    </x:row>
    <x:row r="586" ht="22" customHeight="1">
      <x:c r="A586" s="12" t="n">
        <x:v>45982</x:v>
      </x:c>
      <x:c r="B586" s="14" t="str">
        <x:v>14:00</x:v>
      </x:c>
      <x:c r="C586" s="12" t="n">
        <x:v>45971</x:v>
      </x:c>
      <x:c r="D586" s="9" t="n">
        <x:v>678.525</x:v>
      </x:c>
      <x:c r="E586" s="9" t="n">
        <x:v>679.8488</x:v>
      </x:c>
      <x:c r="F586" s="10" t="n">
        <x:f>IF(H586=1,E586/D586-1,"")</x:f>
        <x:v>0.0019509966471389362</x:v>
      </x:c>
      <x:c r="G586" s="10" t="n">
        <x:f>IF(H586=1,ABS(F586),"")</x:f>
        <x:v>0.0019509966471389362</x:v>
      </x:c>
      <x:c r="H586" s="2" t="n">
        <x:v>1</x:v>
      </x:c>
      <x:c r="I586" s="2" t="str">
        <x:v>AV.Clean!B209</x:v>
      </x:c>
      <x:c r="J586" s="2" t="str">
        <x:v>AV.Clean!B201</x:v>
      </x:c>
      <x:c r="K586" s="13" t="n">
        <x:v>45971.5625</x:v>
      </x:c>
      <x:c r="L586" s="13" t="n">
        <x:v>45971.583333333336</x:v>
      </x:c>
    </x:row>
    <x:row r="587" ht="22" customHeight="1">
      <x:c r="A587" s="12" t="n">
        <x:v>45982</x:v>
      </x:c>
      <x:c r="B587" s="14" t="str">
        <x:v>14:00</x:v>
      </x:c>
      <x:c r="C587" s="12" t="n">
        <x:v>45972</x:v>
      </x:c>
      <x:c r="D587" s="9" t="n">
        <x:v>680.645</x:v>
      </x:c>
      <x:c r="E587" s="9" t="n">
        <x:v>683.092</x:v>
      </x:c>
      <x:c r="F587" s="10" t="n">
        <x:f>IF(H587=1,E587/D587-1,"")</x:f>
        <x:v>0.0035951193353362942</x:v>
      </x:c>
      <x:c r="G587" s="10" t="n">
        <x:f>IF(H587=1,ABS(F587),"")</x:f>
        <x:v>0.0035951193353362942</x:v>
      </x:c>
      <x:c r="H587" s="2" t="n">
        <x:v>1</x:v>
      </x:c>
      <x:c r="I587" s="2" t="str">
        <x:v>AV.Clean!B195</x:v>
      </x:c>
      <x:c r="J587" s="2" t="str">
        <x:v>AV.Clean!B187</x:v>
      </x:c>
      <x:c r="K587" s="13" t="n">
        <x:v>45972.5625</x:v>
      </x:c>
      <x:c r="L587" s="13" t="n">
        <x:v>45972.583333333336</x:v>
      </x:c>
    </x:row>
    <x:row r="588" ht="22" customHeight="1">
      <x:c r="A588" s="12" t="n">
        <x:v>45982</x:v>
      </x:c>
      <x:c r="B588" s="14" t="str">
        <x:v>14:00</x:v>
      </x:c>
      <x:c r="C588" s="12" t="n">
        <x:v>45973</x:v>
      </x:c>
      <x:c r="D588" s="9" t="n">
        <x:v>683.61</x:v>
      </x:c>
      <x:c r="E588" s="9" t="n">
        <x:v>683.64</x:v>
      </x:c>
      <x:c r="F588" s="10" t="n">
        <x:f>IF(H588=1,E588/D588-1,"")</x:f>
        <x:v>0.0000438846710844043</x:v>
      </x:c>
      <x:c r="G588" s="10" t="n">
        <x:f>IF(H588=1,ABS(F588),"")</x:f>
        <x:v>0.0000438846710844043</x:v>
      </x:c>
      <x:c r="H588" s="2" t="n">
        <x:v>1</x:v>
      </x:c>
      <x:c r="I588" s="2" t="str">
        <x:v>AV.Clean!B181</x:v>
      </x:c>
      <x:c r="J588" s="2" t="str">
        <x:v>AV.Clean!B173</x:v>
      </x:c>
      <x:c r="K588" s="13" t="n">
        <x:v>45973.5625</x:v>
      </x:c>
      <x:c r="L588" s="13" t="n">
        <x:v>45973.583333333336</x:v>
      </x:c>
    </x:row>
    <x:row r="589" ht="22" customHeight="1">
      <x:c r="A589" s="12" t="n">
        <x:v>45982</x:v>
      </x:c>
      <x:c r="B589" s="14" t="str">
        <x:v>14:00</x:v>
      </x:c>
      <x:c r="C589" s="12" t="n">
        <x:v>45974</x:v>
      </x:c>
      <x:c r="D589" s="9" t="n">
        <x:v>678.72</x:v>
      </x:c>
      <x:c r="E589" s="9" t="n">
        <x:v>672.76</x:v>
      </x:c>
      <x:c r="F589" s="10" t="n">
        <x:f>IF(H589=1,E589/D589-1,"")</x:f>
        <x:v>-0.008781235266383858</x:v>
      </x:c>
      <x:c r="G589" s="10" t="n">
        <x:f>IF(H589=1,ABS(F589),"")</x:f>
        <x:v>0.008781235266383858</x:v>
      </x:c>
      <x:c r="H589" s="2" t="n">
        <x:v>1</x:v>
      </x:c>
      <x:c r="I589" s="2" t="str">
        <x:v>AV.Clean!B167</x:v>
      </x:c>
      <x:c r="J589" s="2" t="str">
        <x:v>AV.Clean!B159</x:v>
      </x:c>
      <x:c r="K589" s="13" t="n">
        <x:v>45974.5625</x:v>
      </x:c>
      <x:c r="L589" s="13" t="n">
        <x:v>45974.583333333336</x:v>
      </x:c>
    </x:row>
    <x:row r="590" ht="22" customHeight="1">
      <x:c r="A590" s="12" t="n">
        <x:v>45982</x:v>
      </x:c>
      <x:c r="B590" s="14" t="str">
        <x:v>14:00</x:v>
      </x:c>
      <x:c r="C590" s="12" t="n">
        <x:v>45975</x:v>
      </x:c>
      <x:c r="D590" s="9" t="n">
        <x:v>668.75</x:v>
      </x:c>
      <x:c r="E590" s="9" t="n">
        <x:v>673.25</x:v>
      </x:c>
      <x:c r="F590" s="10" t="n">
        <x:f>IF(H590=1,E590/D590-1,"")</x:f>
        <x:v>0.006728971962616903</x:v>
      </x:c>
      <x:c r="G590" s="10" t="n">
        <x:f>IF(H590=1,ABS(F590),"")</x:f>
        <x:v>0.006728971962616903</x:v>
      </x:c>
      <x:c r="H590" s="2" t="n">
        <x:v>1</x:v>
      </x:c>
      <x:c r="I590" s="2" t="str">
        <x:v>AV.Clean!B153</x:v>
      </x:c>
      <x:c r="J590" s="2" t="str">
        <x:v>AV.Clean!B145</x:v>
      </x:c>
      <x:c r="K590" s="13" t="n">
        <x:v>45975.5625</x:v>
      </x:c>
      <x:c r="L590" s="13" t="n">
        <x:v>45975.583333333336</x:v>
      </x:c>
    </x:row>
    <x:row r="591" ht="22" customHeight="1">
      <x:c r="A591" s="12" t="n">
        <x:v>45982</x:v>
      </x:c>
      <x:c r="B591" s="14" t="str">
        <x:v>14:00</x:v>
      </x:c>
      <x:c r="C591" s="12" t="n">
        <x:v>45978</x:v>
      </x:c>
      <x:c r="D591" s="9" t="n">
        <x:v>672.82</x:v>
      </x:c>
      <x:c r="E591" s="9" t="n">
        <x:v>666.5222</x:v>
      </x:c>
      <x:c r="F591" s="10" t="n">
        <x:f>IF(H591=1,E591/D591-1,"")</x:f>
        <x:v>-0.00936030439047597</x:v>
      </x:c>
      <x:c r="G591" s="10" t="n">
        <x:f>IF(H591=1,ABS(F591),"")</x:f>
        <x:v>0.00936030439047597</x:v>
      </x:c>
      <x:c r="H591" s="2" t="n">
        <x:v>1</x:v>
      </x:c>
      <x:c r="I591" s="2" t="str">
        <x:v>AV.Clean!B139</x:v>
      </x:c>
      <x:c r="J591" s="2" t="str">
        <x:v>AV.Clean!B131</x:v>
      </x:c>
      <x:c r="K591" s="13" t="n">
        <x:v>45978.5625</x:v>
      </x:c>
      <x:c r="L591" s="13" t="n">
        <x:v>45978.583333333336</x:v>
      </x:c>
    </x:row>
    <x:row r="592" ht="22" customHeight="1">
      <x:c r="A592" s="12" t="n">
        <x:v>45982</x:v>
      </x:c>
      <x:c r="B592" s="14" t="str">
        <x:v>14:00</x:v>
      </x:c>
      <x:c r="C592" s="12" t="n">
        <x:v>45979</x:v>
      </x:c>
      <x:c r="D592" s="9" t="n">
        <x:v>658.56</x:v>
      </x:c>
      <x:c r="E592" s="9" t="n">
        <x:v>663.14</x:v>
      </x:c>
      <x:c r="F592" s="10" t="n">
        <x:f>IF(H592=1,E592/D592-1,"")</x:f>
        <x:v>0.006954567541302303</x:v>
      </x:c>
      <x:c r="G592" s="10" t="n">
        <x:f>IF(H592=1,ABS(F592),"")</x:f>
        <x:v>0.006954567541302303</x:v>
      </x:c>
      <x:c r="H592" s="2" t="n">
        <x:v>1</x:v>
      </x:c>
      <x:c r="I592" s="2" t="str">
        <x:v>AV.Clean!B125</x:v>
      </x:c>
      <x:c r="J592" s="2" t="str">
        <x:v>AV.Clean!B117</x:v>
      </x:c>
      <x:c r="K592" s="13" t="n">
        <x:v>45979.5625</x:v>
      </x:c>
      <x:c r="L592" s="13" t="n">
        <x:v>45979.583333333336</x:v>
      </x:c>
    </x:row>
    <x:row r="593" ht="22" customHeight="1">
      <x:c r="A593" s="12" t="n">
        <x:v>45982</x:v>
      </x:c>
      <x:c r="B593" s="14" t="str">
        <x:v>14:00</x:v>
      </x:c>
      <x:c r="C593" s="12" t="n">
        <x:v>45980</x:v>
      </x:c>
      <x:c r="D593" s="9" t="n">
        <x:v>665.85</x:v>
      </x:c>
      <x:c r="E593" s="9" t="n">
        <x:v>662.69</x:v>
      </x:c>
      <x:c r="F593" s="10" t="n">
        <x:f>IF(H593=1,E593/D593-1,"")</x:f>
        <x:v>-0.004745813621686468</x:v>
      </x:c>
      <x:c r="G593" s="10" t="n">
        <x:f>IF(H593=1,ABS(F593),"")</x:f>
        <x:v>0.004745813621686468</x:v>
      </x:c>
      <x:c r="H593" s="2" t="n">
        <x:v>1</x:v>
      </x:c>
      <x:c r="I593" s="2" t="str">
        <x:v>AV.Clean!B111</x:v>
      </x:c>
      <x:c r="J593" s="2" t="str">
        <x:v>AV.Clean!B103</x:v>
      </x:c>
      <x:c r="K593" s="13" t="n">
        <x:v>45980.5625</x:v>
      </x:c>
      <x:c r="L593" s="13" t="n">
        <x:v>45980.583333333336</x:v>
      </x:c>
    </x:row>
    <x:row r="594" ht="22" customHeight="1">
      <x:c r="A594" s="12" t="n">
        <x:v>45982</x:v>
      </x:c>
      <x:c r="B594" s="14" t="str">
        <x:v>14:00</x:v>
      </x:c>
      <x:c r="C594" s="12" t="n">
        <x:v>45981</x:v>
      </x:c>
      <x:c r="D594" s="9" t="n">
        <x:v>675.1099</x:v>
      </x:c>
      <x:c r="E594" s="9" t="n">
        <x:v>655.08</x:v>
      </x:c>
      <x:c r="F594" s="10" t="n">
        <x:f>IF(H594=1,E594/D594-1,"")</x:f>
        <x:v>-0.029669095357659492</x:v>
      </x:c>
      <x:c r="G594" s="10" t="n">
        <x:f>IF(H594=1,ABS(F594),"")</x:f>
        <x:v>0.029669095357659492</x:v>
      </x:c>
      <x:c r="H594" s="2" t="n">
        <x:v>1</x:v>
      </x:c>
      <x:c r="I594" s="2" t="str">
        <x:v>AV.Clean!B97</x:v>
      </x:c>
      <x:c r="J594" s="2" t="str">
        <x:v>AV.Clean!B89</x:v>
      </x:c>
      <x:c r="K594" s="13" t="n">
        <x:v>45981.5625</x:v>
      </x:c>
      <x:c r="L594" s="13" t="n">
        <x:v>45981.583333333336</x:v>
      </x:c>
    </x:row>
    <x:row r="595" ht="22" customHeight="1">
      <x:c r="A595" s="12" t="n">
        <x:v>45982</x:v>
      </x:c>
      <x:c r="B595" s="14" t="str">
        <x:v>14:30</x:v>
      </x:c>
      <x:c r="C595" s="12" t="n">
        <x:v>45964</x:v>
      </x:c>
      <x:c r="D595" s="9" t="n">
        <x:v>682.52</x:v>
      </x:c>
      <x:c r="E595" s="9" t="n">
        <x:v>683.2507</x:v>
      </x:c>
      <x:c r="F595" s="10" t="n">
        <x:f>IF(H595=1,E595/D595-1,"")</x:f>
        <x:v>0.001070591337982929</x:v>
      </x:c>
      <x:c r="G595" s="10" t="n">
        <x:f>IF(H595=1,ABS(F595),"")</x:f>
        <x:v>0.001070591337982929</x:v>
      </x:c>
      <x:c r="H595" s="2" t="n">
        <x:v>1</x:v>
      </x:c>
      <x:c r="I595" s="2" t="str">
        <x:v>AV.Clean!B279</x:v>
      </x:c>
      <x:c r="J595" s="2" t="str">
        <x:v>AV.Clean!B270</x:v>
      </x:c>
      <x:c r="K595" s="13" t="n">
        <x:v>45964.583333333336</x:v>
      </x:c>
      <x:c r="L595" s="13" t="n">
        <x:v>45964.604166666664</x:v>
      </x:c>
    </x:row>
    <x:row r="596" ht="22" customHeight="1">
      <x:c r="A596" s="12" t="n">
        <x:v>45982</x:v>
      </x:c>
      <x:c r="B596" s="14" t="str">
        <x:v>14:30</x:v>
      </x:c>
      <x:c r="C596" s="12" t="n">
        <x:v>45965</x:v>
      </x:c>
      <x:c r="D596" s="9" t="n">
        <x:v>678.8</x:v>
      </x:c>
      <x:c r="E596" s="9" t="n">
        <x:v>676.23</x:v>
      </x:c>
      <x:c r="F596" s="10" t="n">
        <x:f>IF(H596=1,E596/D596-1,"")</x:f>
        <x:v>-0.0037860931054801705</x:v>
      </x:c>
      <x:c r="G596" s="10" t="n">
        <x:f>IF(H596=1,ABS(F596),"")</x:f>
        <x:v>0.0037860931054801705</x:v>
      </x:c>
      <x:c r="H596" s="2" t="n">
        <x:v>1</x:v>
      </x:c>
      <x:c r="I596" s="2" t="str">
        <x:v>AV.Clean!B265</x:v>
      </x:c>
      <x:c r="J596" s="2" t="str">
        <x:v>AV.Clean!B256</x:v>
      </x:c>
      <x:c r="K596" s="13" t="n">
        <x:v>45965.583333333336</x:v>
      </x:c>
      <x:c r="L596" s="13" t="n">
        <x:v>45965.604166666664</x:v>
      </x:c>
    </x:row>
    <x:row r="597" ht="22" customHeight="1">
      <x:c r="A597" s="12" t="n">
        <x:v>45982</x:v>
      </x:c>
      <x:c r="B597" s="14" t="str">
        <x:v>14:30</x:v>
      </x:c>
      <x:c r="C597" s="12" t="n">
        <x:v>45966</x:v>
      </x:c>
      <x:c r="D597" s="9" t="n">
        <x:v>677.17</x:v>
      </x:c>
      <x:c r="E597" s="9" t="n">
        <x:v>680.2</x:v>
      </x:c>
      <x:c r="F597" s="10" t="n">
        <x:f>IF(H597=1,E597/D597-1,"")</x:f>
        <x:v>0.004474504186541273</x:v>
      </x:c>
      <x:c r="G597" s="10" t="n">
        <x:f>IF(H597=1,ABS(F597),"")</x:f>
        <x:v>0.004474504186541273</x:v>
      </x:c>
      <x:c r="H597" s="2" t="n">
        <x:v>1</x:v>
      </x:c>
      <x:c r="I597" s="2" t="str">
        <x:v>AV.Clean!B251</x:v>
      </x:c>
      <x:c r="J597" s="2" t="str">
        <x:v>AV.Clean!B242</x:v>
      </x:c>
      <x:c r="K597" s="13" t="n">
        <x:v>45966.583333333336</x:v>
      </x:c>
      <x:c r="L597" s="13" t="n">
        <x:v>45966.604166666664</x:v>
      </x:c>
    </x:row>
    <x:row r="598" ht="22" customHeight="1">
      <x:c r="A598" s="12" t="n">
        <x:v>45982</x:v>
      </x:c>
      <x:c r="B598" s="14" t="str">
        <x:v>14:30</x:v>
      </x:c>
      <x:c r="C598" s="12" t="n">
        <x:v>45967</x:v>
      </x:c>
      <x:c r="D598" s="9" t="n">
        <x:v>674.05</x:v>
      </x:c>
      <x:c r="E598" s="9" t="n">
        <x:v>673.4</x:v>
      </x:c>
      <x:c r="F598" s="10" t="n">
        <x:f>IF(H598=1,E598/D598-1,"")</x:f>
        <x:v>-0.0009643201542911539</x:v>
      </x:c>
      <x:c r="G598" s="10" t="n">
        <x:f>IF(H598=1,ABS(F598),"")</x:f>
        <x:v>0.0009643201542911539</x:v>
      </x:c>
      <x:c r="H598" s="2" t="n">
        <x:v>1</x:v>
      </x:c>
      <x:c r="I598" s="2" t="str">
        <x:v>AV.Clean!B237</x:v>
      </x:c>
      <x:c r="J598" s="2" t="str">
        <x:v>AV.Clean!B228</x:v>
      </x:c>
      <x:c r="K598" s="13" t="n">
        <x:v>45967.583333333336</x:v>
      </x:c>
      <x:c r="L598" s="13" t="n">
        <x:v>45967.604166666664</x:v>
      </x:c>
    </x:row>
    <x:row r="599" ht="22" customHeight="1">
      <x:c r="A599" s="12" t="n">
        <x:v>45982</x:v>
      </x:c>
      <x:c r="B599" s="14" t="str">
        <x:v>14:30</x:v>
      </x:c>
      <x:c r="C599" s="12" t="n">
        <x:v>45968</x:v>
      </x:c>
      <x:c r="D599" s="9" t="n">
        <x:v>666.345</x:v>
      </x:c>
      <x:c r="E599" s="9" t="n">
        <x:v>666.5501</x:v>
      </x:c>
      <x:c r="F599" s="10" t="n">
        <x:f>IF(H599=1,E599/D599-1,"")</x:f>
        <x:v>0.0003077985127823979</x:v>
      </x:c>
      <x:c r="G599" s="10" t="n">
        <x:f>IF(H599=1,ABS(F599),"")</x:f>
        <x:v>0.0003077985127823979</x:v>
      </x:c>
      <x:c r="H599" s="2" t="n">
        <x:v>1</x:v>
      </x:c>
      <x:c r="I599" s="2" t="str">
        <x:v>AV.Clean!B223</x:v>
      </x:c>
      <x:c r="J599" s="2" t="str">
        <x:v>AV.Clean!B214</x:v>
      </x:c>
      <x:c r="K599" s="13" t="n">
        <x:v>45968.583333333336</x:v>
      </x:c>
      <x:c r="L599" s="13" t="n">
        <x:v>45968.604166666664</x:v>
      </x:c>
    </x:row>
    <x:row r="600" ht="22" customHeight="1">
      <x:c r="A600" s="12" t="n">
        <x:v>45982</x:v>
      </x:c>
      <x:c r="B600" s="14" t="str">
        <x:v>14:30</x:v>
      </x:c>
      <x:c r="C600" s="12" t="n">
        <x:v>45971</x:v>
      </x:c>
      <x:c r="D600" s="9" t="n">
        <x:v>678.525</x:v>
      </x:c>
      <x:c r="E600" s="9" t="n">
        <x:v>680.755</x:v>
      </x:c>
      <x:c r="F600" s="10" t="n">
        <x:f>IF(H600=1,E600/D600-1,"")</x:f>
        <x:v>0.003286540658045123</x:v>
      </x:c>
      <x:c r="G600" s="10" t="n">
        <x:f>IF(H600=1,ABS(F600),"")</x:f>
        <x:v>0.003286540658045123</x:v>
      </x:c>
      <x:c r="H600" s="2" t="n">
        <x:v>1</x:v>
      </x:c>
      <x:c r="I600" s="2" t="str">
        <x:v>AV.Clean!B209</x:v>
      </x:c>
      <x:c r="J600" s="2" t="str">
        <x:v>AV.Clean!B200</x:v>
      </x:c>
      <x:c r="K600" s="13" t="n">
        <x:v>45971.583333333336</x:v>
      </x:c>
      <x:c r="L600" s="13" t="n">
        <x:v>45971.604166666664</x:v>
      </x:c>
    </x:row>
    <x:row r="601" ht="22" customHeight="1">
      <x:c r="A601" s="12" t="n">
        <x:v>45982</x:v>
      </x:c>
      <x:c r="B601" s="14" t="str">
        <x:v>14:30</x:v>
      </x:c>
      <x:c r="C601" s="12" t="n">
        <x:v>45972</x:v>
      </x:c>
      <x:c r="D601" s="9" t="n">
        <x:v>680.645</x:v>
      </x:c>
      <x:c r="E601" s="9" t="n">
        <x:v>683.14</x:v>
      </x:c>
      <x:c r="F601" s="10" t="n">
        <x:f>IF(H601=1,E601/D601-1,"")</x:f>
        <x:v>0.0036656406790618323</x:v>
      </x:c>
      <x:c r="G601" s="10" t="n">
        <x:f>IF(H601=1,ABS(F601),"")</x:f>
        <x:v>0.0036656406790618323</x:v>
      </x:c>
      <x:c r="H601" s="2" t="n">
        <x:v>1</x:v>
      </x:c>
      <x:c r="I601" s="2" t="str">
        <x:v>AV.Clean!B195</x:v>
      </x:c>
      <x:c r="J601" s="2" t="str">
        <x:v>AV.Clean!B186</x:v>
      </x:c>
      <x:c r="K601" s="13" t="n">
        <x:v>45972.583333333336</x:v>
      </x:c>
      <x:c r="L601" s="13" t="n">
        <x:v>45972.604166666664</x:v>
      </x:c>
    </x:row>
    <x:row r="602" ht="22" customHeight="1">
      <x:c r="A602" s="12" t="n">
        <x:v>45982</x:v>
      </x:c>
      <x:c r="B602" s="14" t="str">
        <x:v>14:30</x:v>
      </x:c>
      <x:c r="C602" s="12" t="n">
        <x:v>45973</x:v>
      </x:c>
      <x:c r="D602" s="9" t="n">
        <x:v>683.61</x:v>
      </x:c>
      <x:c r="E602" s="9" t="n">
        <x:v>682.74</x:v>
      </x:c>
      <x:c r="F602" s="10" t="n">
        <x:f>IF(H602=1,E602/D602-1,"")</x:f>
        <x:v>-0.0012726554614472807</x:v>
      </x:c>
      <x:c r="G602" s="10" t="n">
        <x:f>IF(H602=1,ABS(F602),"")</x:f>
        <x:v>0.0012726554614472807</x:v>
      </x:c>
      <x:c r="H602" s="2" t="n">
        <x:v>1</x:v>
      </x:c>
      <x:c r="I602" s="2" t="str">
        <x:v>AV.Clean!B181</x:v>
      </x:c>
      <x:c r="J602" s="2" t="str">
        <x:v>AV.Clean!B172</x:v>
      </x:c>
      <x:c r="K602" s="13" t="n">
        <x:v>45973.583333333336</x:v>
      </x:c>
      <x:c r="L602" s="13" t="n">
        <x:v>45973.604166666664</x:v>
      </x:c>
    </x:row>
    <x:row r="603" ht="22" customHeight="1">
      <x:c r="A603" s="12" t="n">
        <x:v>45982</x:v>
      </x:c>
      <x:c r="B603" s="14" t="str">
        <x:v>14:30</x:v>
      </x:c>
      <x:c r="C603" s="12" t="n">
        <x:v>45974</x:v>
      </x:c>
      <x:c r="D603" s="9" t="n">
        <x:v>678.72</x:v>
      </x:c>
      <x:c r="E603" s="9" t="n">
        <x:v>673.45</x:v>
      </x:c>
      <x:c r="F603" s="10" t="n">
        <x:f>IF(H603=1,E603/D603-1,"")</x:f>
        <x:v>-0.007764615747289039</x:v>
      </x:c>
      <x:c r="G603" s="10" t="n">
        <x:f>IF(H603=1,ABS(F603),"")</x:f>
        <x:v>0.007764615747289039</x:v>
      </x:c>
      <x:c r="H603" s="2" t="n">
        <x:v>1</x:v>
      </x:c>
      <x:c r="I603" s="2" t="str">
        <x:v>AV.Clean!B167</x:v>
      </x:c>
      <x:c r="J603" s="2" t="str">
        <x:v>AV.Clean!B158</x:v>
      </x:c>
      <x:c r="K603" s="13" t="n">
        <x:v>45974.583333333336</x:v>
      </x:c>
      <x:c r="L603" s="13" t="n">
        <x:v>45974.604166666664</x:v>
      </x:c>
    </x:row>
    <x:row r="604" ht="22" customHeight="1">
      <x:c r="A604" s="12" t="n">
        <x:v>45982</x:v>
      </x:c>
      <x:c r="B604" s="14" t="str">
        <x:v>14:30</x:v>
      </x:c>
      <x:c r="C604" s="12" t="n">
        <x:v>45975</x:v>
      </x:c>
      <x:c r="D604" s="9" t="n">
        <x:v>668.75</x:v>
      </x:c>
      <x:c r="E604" s="9" t="n">
        <x:v>674.0401</x:v>
      </x:c>
      <x:c r="F604" s="10" t="n">
        <x:f>IF(H604=1,E604/D604-1,"")</x:f>
        <x:v>0.007910429906542227</x:v>
      </x:c>
      <x:c r="G604" s="10" t="n">
        <x:f>IF(H604=1,ABS(F604),"")</x:f>
        <x:v>0.007910429906542227</x:v>
      </x:c>
      <x:c r="H604" s="2" t="n">
        <x:v>1</x:v>
      </x:c>
      <x:c r="I604" s="2" t="str">
        <x:v>AV.Clean!B153</x:v>
      </x:c>
      <x:c r="J604" s="2" t="str">
        <x:v>AV.Clean!B144</x:v>
      </x:c>
      <x:c r="K604" s="13" t="n">
        <x:v>45975.583333333336</x:v>
      </x:c>
      <x:c r="L604" s="13" t="n">
        <x:v>45975.604166666664</x:v>
      </x:c>
    </x:row>
    <x:row r="605" ht="22" customHeight="1">
      <x:c r="A605" s="12" t="n">
        <x:v>45982</x:v>
      </x:c>
      <x:c r="B605" s="14" t="str">
        <x:v>14:30</x:v>
      </x:c>
      <x:c r="C605" s="12" t="n">
        <x:v>45978</x:v>
      </x:c>
      <x:c r="D605" s="9" t="n">
        <x:v>672.82</x:v>
      </x:c>
      <x:c r="E605" s="9" t="n">
        <x:v>665.77</x:v>
      </x:c>
      <x:c r="F605" s="10" t="n">
        <x:f>IF(H605=1,E605/D605-1,"")</x:f>
        <x:v>-0.010478285425522538</x:v>
      </x:c>
      <x:c r="G605" s="10" t="n">
        <x:f>IF(H605=1,ABS(F605),"")</x:f>
        <x:v>0.010478285425522538</x:v>
      </x:c>
      <x:c r="H605" s="2" t="n">
        <x:v>1</x:v>
      </x:c>
      <x:c r="I605" s="2" t="str">
        <x:v>AV.Clean!B139</x:v>
      </x:c>
      <x:c r="J605" s="2" t="str">
        <x:v>AV.Clean!B130</x:v>
      </x:c>
      <x:c r="K605" s="13" t="n">
        <x:v>45978.583333333336</x:v>
      </x:c>
      <x:c r="L605" s="13" t="n">
        <x:v>45978.604166666664</x:v>
      </x:c>
    </x:row>
    <x:row r="606" ht="22" customHeight="1">
      <x:c r="A606" s="12" t="n">
        <x:v>45982</x:v>
      </x:c>
      <x:c r="B606" s="14" t="str">
        <x:v>14:30</x:v>
      </x:c>
      <x:c r="C606" s="12" t="n">
        <x:v>45979</x:v>
      </x:c>
      <x:c r="D606" s="9" t="n">
        <x:v>658.56</x:v>
      </x:c>
      <x:c r="E606" s="9" t="n">
        <x:v>662.97</x:v>
      </x:c>
      <x:c r="F606" s="10" t="n">
        <x:f>IF(H606=1,E606/D606-1,"")</x:f>
        <x:v>0.006696428571428603</x:v>
      </x:c>
      <x:c r="G606" s="10" t="n">
        <x:f>IF(H606=1,ABS(F606),"")</x:f>
        <x:v>0.006696428571428603</x:v>
      </x:c>
      <x:c r="H606" s="2" t="n">
        <x:v>1</x:v>
      </x:c>
      <x:c r="I606" s="2" t="str">
        <x:v>AV.Clean!B125</x:v>
      </x:c>
      <x:c r="J606" s="2" t="str">
        <x:v>AV.Clean!B116</x:v>
      </x:c>
      <x:c r="K606" s="13" t="n">
        <x:v>45979.583333333336</x:v>
      </x:c>
      <x:c r="L606" s="13" t="n">
        <x:v>45979.604166666664</x:v>
      </x:c>
    </x:row>
    <x:row r="607" ht="22" customHeight="1">
      <x:c r="A607" s="12" t="n">
        <x:v>45982</x:v>
      </x:c>
      <x:c r="B607" s="14" t="str">
        <x:v>14:30</x:v>
      </x:c>
      <x:c r="C607" s="12" t="n">
        <x:v>45980</x:v>
      </x:c>
      <x:c r="D607" s="9" t="n">
        <x:v>665.85</x:v>
      </x:c>
      <x:c r="E607" s="9" t="n">
        <x:v>659.74</x:v>
      </x:c>
      <x:c r="F607" s="10" t="n">
        <x:f>IF(H607=1,E607/D607-1,"")</x:f>
        <x:v>-0.009176240895096499</x:v>
      </x:c>
      <x:c r="G607" s="10" t="n">
        <x:f>IF(H607=1,ABS(F607),"")</x:f>
        <x:v>0.009176240895096499</x:v>
      </x:c>
      <x:c r="H607" s="2" t="n">
        <x:v>1</x:v>
      </x:c>
      <x:c r="I607" s="2" t="str">
        <x:v>AV.Clean!B111</x:v>
      </x:c>
      <x:c r="J607" s="2" t="str">
        <x:v>AV.Clean!B102</x:v>
      </x:c>
      <x:c r="K607" s="13" t="n">
        <x:v>45980.583333333336</x:v>
      </x:c>
      <x:c r="L607" s="13" t="n">
        <x:v>45980.604166666664</x:v>
      </x:c>
    </x:row>
    <x:row r="608" ht="22" customHeight="1">
      <x:c r="A608" s="12" t="n">
        <x:v>45982</x:v>
      </x:c>
      <x:c r="B608" s="14" t="str">
        <x:v>14:30</x:v>
      </x:c>
      <x:c r="C608" s="12" t="n">
        <x:v>45981</x:v>
      </x:c>
      <x:c r="D608" s="9" t="n">
        <x:v>675.1099</x:v>
      </x:c>
      <x:c r="E608" s="9" t="n">
        <x:v>656.94</x:v>
      </x:c>
      <x:c r="F608" s="10" t="n">
        <x:f>IF(H608=1,E608/D608-1,"")</x:f>
        <x:v>-0.026913988374337228</x:v>
      </x:c>
      <x:c r="G608" s="10" t="n">
        <x:f>IF(H608=1,ABS(F608),"")</x:f>
        <x:v>0.026913988374337228</x:v>
      </x:c>
      <x:c r="H608" s="2" t="n">
        <x:v>1</x:v>
      </x:c>
      <x:c r="I608" s="2" t="str">
        <x:v>AV.Clean!B97</x:v>
      </x:c>
      <x:c r="J608" s="2" t="str">
        <x:v>AV.Clean!B88</x:v>
      </x:c>
      <x:c r="K608" s="13" t="n">
        <x:v>45981.583333333336</x:v>
      </x:c>
      <x:c r="L608" s="13" t="n">
        <x:v>45981.604166666664</x:v>
      </x:c>
    </x:row>
    <x:row r="609" ht="22" customHeight="1">
      <x:c r="A609" s="12" t="n">
        <x:v>45982</x:v>
      </x:c>
      <x:c r="B609" s="14" t="str">
        <x:v>15:00</x:v>
      </x:c>
      <x:c r="C609" s="12" t="n">
        <x:v>45964</x:v>
      </x:c>
      <x:c r="D609" s="9" t="n">
        <x:v>682.52</x:v>
      </x:c>
      <x:c r="E609" s="9" t="n">
        <x:v>683.47</x:v>
      </x:c>
      <x:c r="F609" s="10" t="n">
        <x:f>IF(H609=1,E609/D609-1,"")</x:f>
        <x:v>0.0013919006036453574</x:v>
      </x:c>
      <x:c r="G609" s="10" t="n">
        <x:f>IF(H609=1,ABS(F609),"")</x:f>
        <x:v>0.0013919006036453574</x:v>
      </x:c>
      <x:c r="H609" s="2" t="n">
        <x:v>1</x:v>
      </x:c>
      <x:c r="I609" s="2" t="str">
        <x:v>AV.Clean!B279</x:v>
      </x:c>
      <x:c r="J609" s="2" t="str">
        <x:v>AV.Clean!B269</x:v>
      </x:c>
      <x:c r="K609" s="13" t="n">
        <x:v>45964.604166666664</x:v>
      </x:c>
      <x:c r="L609" s="13" t="n">
        <x:v>45964.625</x:v>
      </x:c>
    </x:row>
    <x:row r="610" ht="22" customHeight="1">
      <x:c r="A610" s="12" t="n">
        <x:v>45982</x:v>
      </x:c>
      <x:c r="B610" s="14" t="str">
        <x:v>15:00</x:v>
      </x:c>
      <x:c r="C610" s="12" t="n">
        <x:v>45965</x:v>
      </x:c>
      <x:c r="D610" s="9" t="n">
        <x:v>678.8</x:v>
      </x:c>
      <x:c r="E610" s="9" t="n">
        <x:v>675.225</x:v>
      </x:c>
      <x:c r="F610" s="10" t="n">
        <x:f>IF(H610=1,E610/D610-1,"")</x:f>
        <x:v>-0.0052666470241601315</x:v>
      </x:c>
      <x:c r="G610" s="10" t="n">
        <x:f>IF(H610=1,ABS(F610),"")</x:f>
        <x:v>0.0052666470241601315</x:v>
      </x:c>
      <x:c r="H610" s="2" t="n">
        <x:v>1</x:v>
      </x:c>
      <x:c r="I610" s="2" t="str">
        <x:v>AV.Clean!B265</x:v>
      </x:c>
      <x:c r="J610" s="2" t="str">
        <x:v>AV.Clean!B255</x:v>
      </x:c>
      <x:c r="K610" s="13" t="n">
        <x:v>45965.604166666664</x:v>
      </x:c>
      <x:c r="L610" s="13" t="n">
        <x:v>45965.625</x:v>
      </x:c>
    </x:row>
    <x:row r="611" ht="22" customHeight="1">
      <x:c r="A611" s="12" t="n">
        <x:v>45982</x:v>
      </x:c>
      <x:c r="B611" s="14" t="str">
        <x:v>15:00</x:v>
      </x:c>
      <x:c r="C611" s="12" t="n">
        <x:v>45966</x:v>
      </x:c>
      <x:c r="D611" s="9" t="n">
        <x:v>677.17</x:v>
      </x:c>
      <x:c r="E611" s="9" t="n">
        <x:v>680.215</x:v>
      </x:c>
      <x:c r="F611" s="10" t="n">
        <x:f>IF(H611=1,E611/D611-1,"")</x:f>
        <x:v>0.004496655197365529</x:v>
      </x:c>
      <x:c r="G611" s="10" t="n">
        <x:f>IF(H611=1,ABS(F611),"")</x:f>
        <x:v>0.004496655197365529</x:v>
      </x:c>
      <x:c r="H611" s="2" t="n">
        <x:v>1</x:v>
      </x:c>
      <x:c r="I611" s="2" t="str">
        <x:v>AV.Clean!B251</x:v>
      </x:c>
      <x:c r="J611" s="2" t="str">
        <x:v>AV.Clean!B241</x:v>
      </x:c>
      <x:c r="K611" s="13" t="n">
        <x:v>45966.604166666664</x:v>
      </x:c>
      <x:c r="L611" s="13" t="n">
        <x:v>45966.625</x:v>
      </x:c>
    </x:row>
    <x:row r="612" ht="22" customHeight="1">
      <x:c r="A612" s="12" t="n">
        <x:v>45982</x:v>
      </x:c>
      <x:c r="B612" s="14" t="str">
        <x:v>15:00</x:v>
      </x:c>
      <x:c r="C612" s="12" t="n">
        <x:v>45967</x:v>
      </x:c>
      <x:c r="D612" s="9" t="n">
        <x:v>674.05</x:v>
      </x:c>
      <x:c r="E612" s="9" t="n">
        <x:v>673.01</x:v>
      </x:c>
      <x:c r="F612" s="10" t="n">
        <x:f>IF(H612=1,E612/D612-1,"")</x:f>
        <x:v>-0.0015429122468658685</x:v>
      </x:c>
      <x:c r="G612" s="10" t="n">
        <x:f>IF(H612=1,ABS(F612),"")</x:f>
        <x:v>0.0015429122468658685</x:v>
      </x:c>
      <x:c r="H612" s="2" t="n">
        <x:v>1</x:v>
      </x:c>
      <x:c r="I612" s="2" t="str">
        <x:v>AV.Clean!B237</x:v>
      </x:c>
      <x:c r="J612" s="2" t="str">
        <x:v>AV.Clean!B227</x:v>
      </x:c>
      <x:c r="K612" s="13" t="n">
        <x:v>45967.604166666664</x:v>
      </x:c>
      <x:c r="L612" s="13" t="n">
        <x:v>45967.625</x:v>
      </x:c>
    </x:row>
    <x:row r="613" ht="22" customHeight="1">
      <x:c r="A613" s="12" t="n">
        <x:v>45982</x:v>
      </x:c>
      <x:c r="B613" s="14" t="str">
        <x:v>15:00</x:v>
      </x:c>
      <x:c r="C613" s="12" t="n">
        <x:v>45968</x:v>
      </x:c>
      <x:c r="D613" s="9" t="n">
        <x:v>666.345</x:v>
      </x:c>
      <x:c r="E613" s="9" t="n">
        <x:v>669.79</x:v>
      </x:c>
      <x:c r="F613" s="10" t="n">
        <x:f>IF(H613=1,E613/D613-1,"")</x:f>
        <x:v>0.005169994522356891</x:v>
      </x:c>
      <x:c r="G613" s="10" t="n">
        <x:f>IF(H613=1,ABS(F613),"")</x:f>
        <x:v>0.005169994522356891</x:v>
      </x:c>
      <x:c r="H613" s="2" t="n">
        <x:v>1</x:v>
      </x:c>
      <x:c r="I613" s="2" t="str">
        <x:v>AV.Clean!B223</x:v>
      </x:c>
      <x:c r="J613" s="2" t="str">
        <x:v>AV.Clean!B213</x:v>
      </x:c>
      <x:c r="K613" s="13" t="n">
        <x:v>45968.604166666664</x:v>
      </x:c>
      <x:c r="L613" s="13" t="n">
        <x:v>45968.625</x:v>
      </x:c>
    </x:row>
    <x:row r="614" ht="22" customHeight="1">
      <x:c r="A614" s="12" t="n">
        <x:v>45982</x:v>
      </x:c>
      <x:c r="B614" s="14" t="str">
        <x:v>15:00</x:v>
      </x:c>
      <x:c r="C614" s="12" t="n">
        <x:v>45971</x:v>
      </x:c>
      <x:c r="D614" s="9" t="n">
        <x:v>678.525</x:v>
      </x:c>
      <x:c r="E614" s="9" t="n">
        <x:v>681.27</x:v>
      </x:c>
      <x:c r="F614" s="10" t="n">
        <x:f>IF(H614=1,E614/D614-1,"")</x:f>
        <x:v>0.0040455399579970575</x:v>
      </x:c>
      <x:c r="G614" s="10" t="n">
        <x:f>IF(H614=1,ABS(F614),"")</x:f>
        <x:v>0.0040455399579970575</x:v>
      </x:c>
      <x:c r="H614" s="2" t="n">
        <x:v>1</x:v>
      </x:c>
      <x:c r="I614" s="2" t="str">
        <x:v>AV.Clean!B209</x:v>
      </x:c>
      <x:c r="J614" s="2" t="str">
        <x:v>AV.Clean!B199</x:v>
      </x:c>
      <x:c r="K614" s="13" t="n">
        <x:v>45971.604166666664</x:v>
      </x:c>
      <x:c r="L614" s="13" t="n">
        <x:v>45971.625</x:v>
      </x:c>
    </x:row>
    <x:row r="615" ht="22" customHeight="1">
      <x:c r="A615" s="12" t="n">
        <x:v>45982</x:v>
      </x:c>
      <x:c r="B615" s="14" t="str">
        <x:v>15:00</x:v>
      </x:c>
      <x:c r="C615" s="12" t="n">
        <x:v>45972</x:v>
      </x:c>
      <x:c r="D615" s="9" t="n">
        <x:v>680.645</x:v>
      </x:c>
      <x:c r="E615" s="9" t="n">
        <x:v>683.145</x:v>
      </x:c>
      <x:c r="F615" s="10" t="n">
        <x:f>IF(H615=1,E615/D615-1,"")</x:f>
        <x:v>0.0036729866523665944</x:v>
      </x:c>
      <x:c r="G615" s="10" t="n">
        <x:f>IF(H615=1,ABS(F615),"")</x:f>
        <x:v>0.0036729866523665944</x:v>
      </x:c>
      <x:c r="H615" s="2" t="n">
        <x:v>1</x:v>
      </x:c>
      <x:c r="I615" s="2" t="str">
        <x:v>AV.Clean!B195</x:v>
      </x:c>
      <x:c r="J615" s="2" t="str">
        <x:v>AV.Clean!B185</x:v>
      </x:c>
      <x:c r="K615" s="13" t="n">
        <x:v>45972.604166666664</x:v>
      </x:c>
      <x:c r="L615" s="13" t="n">
        <x:v>45972.625</x:v>
      </x:c>
    </x:row>
    <x:row r="616" ht="22" customHeight="1">
      <x:c r="A616" s="12" t="n">
        <x:v>45982</x:v>
      </x:c>
      <x:c r="B616" s="14" t="str">
        <x:v>15:00</x:v>
      </x:c>
      <x:c r="C616" s="12" t="n">
        <x:v>45973</x:v>
      </x:c>
      <x:c r="D616" s="9" t="n">
        <x:v>683.61</x:v>
      </x:c>
      <x:c r="E616" s="9" t="n">
        <x:v>682.735</x:v>
      </x:c>
      <x:c r="F616" s="10" t="n">
        <x:f>IF(H616=1,E616/D616-1,"")</x:f>
        <x:v>-0.0012799695732946814</x:v>
      </x:c>
      <x:c r="G616" s="10" t="n">
        <x:f>IF(H616=1,ABS(F616),"")</x:f>
        <x:v>0.0012799695732946814</x:v>
      </x:c>
      <x:c r="H616" s="2" t="n">
        <x:v>1</x:v>
      </x:c>
      <x:c r="I616" s="2" t="str">
        <x:v>AV.Clean!B181</x:v>
      </x:c>
      <x:c r="J616" s="2" t="str">
        <x:v>AV.Clean!B171</x:v>
      </x:c>
      <x:c r="K616" s="13" t="n">
        <x:v>45973.604166666664</x:v>
      </x:c>
      <x:c r="L616" s="13" t="n">
        <x:v>45973.625</x:v>
      </x:c>
    </x:row>
    <x:row r="617" ht="22" customHeight="1">
      <x:c r="A617" s="12" t="n">
        <x:v>45982</x:v>
      </x:c>
      <x:c r="B617" s="14" t="str">
        <x:v>15:00</x:v>
      </x:c>
      <x:c r="C617" s="12" t="n">
        <x:v>45974</x:v>
      </x:c>
      <x:c r="D617" s="9" t="n">
        <x:v>678.72</x:v>
      </x:c>
      <x:c r="E617" s="9" t="n">
        <x:v>671.66</x:v>
      </x:c>
      <x:c r="F617" s="10" t="n">
        <x:f>IF(H617=1,E617/D617-1,"")</x:f>
        <x:v>-0.010401933050448009</x:v>
      </x:c>
      <x:c r="G617" s="10" t="n">
        <x:f>IF(H617=1,ABS(F617),"")</x:f>
        <x:v>0.010401933050448009</x:v>
      </x:c>
      <x:c r="H617" s="2" t="n">
        <x:v>1</x:v>
      </x:c>
      <x:c r="I617" s="2" t="str">
        <x:v>AV.Clean!B167</x:v>
      </x:c>
      <x:c r="J617" s="2" t="str">
        <x:v>AV.Clean!B157</x:v>
      </x:c>
      <x:c r="K617" s="13" t="n">
        <x:v>45974.604166666664</x:v>
      </x:c>
      <x:c r="L617" s="13" t="n">
        <x:v>45974.625</x:v>
      </x:c>
    </x:row>
    <x:row r="618" ht="22" customHeight="1">
      <x:c r="A618" s="12" t="n">
        <x:v>45982</x:v>
      </x:c>
      <x:c r="B618" s="14" t="str">
        <x:v>15:00</x:v>
      </x:c>
      <x:c r="C618" s="12" t="n">
        <x:v>45975</x:v>
      </x:c>
      <x:c r="D618" s="9" t="n">
        <x:v>668.75</x:v>
      </x:c>
      <x:c r="E618" s="9" t="n">
        <x:v>674.67</x:v>
      </x:c>
      <x:c r="F618" s="10" t="n">
        <x:f>IF(H618=1,E618/D618-1,"")</x:f>
        <x:v>0.008852336448598175</x:v>
      </x:c>
      <x:c r="G618" s="10" t="n">
        <x:f>IF(H618=1,ABS(F618),"")</x:f>
        <x:v>0.008852336448598175</x:v>
      </x:c>
      <x:c r="H618" s="2" t="n">
        <x:v>1</x:v>
      </x:c>
      <x:c r="I618" s="2" t="str">
        <x:v>AV.Clean!B153</x:v>
      </x:c>
      <x:c r="J618" s="2" t="str">
        <x:v>AV.Clean!B143</x:v>
      </x:c>
      <x:c r="K618" s="13" t="n">
        <x:v>45975.604166666664</x:v>
      </x:c>
      <x:c r="L618" s="13" t="n">
        <x:v>45975.625</x:v>
      </x:c>
    </x:row>
    <x:row r="619" ht="22" customHeight="1">
      <x:c r="A619" s="12" t="n">
        <x:v>45982</x:v>
      </x:c>
      <x:c r="B619" s="14" t="str">
        <x:v>15:00</x:v>
      </x:c>
      <x:c r="C619" s="12" t="n">
        <x:v>45978</x:v>
      </x:c>
      <x:c r="D619" s="9" t="n">
        <x:v>672.82</x:v>
      </x:c>
      <x:c r="E619" s="9" t="n">
        <x:v>662.56</x:v>
      </x:c>
      <x:c r="F619" s="10" t="n">
        <x:f>IF(H619=1,E619/D619-1,"")</x:f>
        <x:v>-0.01524924942778172</x:v>
      </x:c>
      <x:c r="G619" s="10" t="n">
        <x:f>IF(H619=1,ABS(F619),"")</x:f>
        <x:v>0.01524924942778172</x:v>
      </x:c>
      <x:c r="H619" s="2" t="n">
        <x:v>1</x:v>
      </x:c>
      <x:c r="I619" s="2" t="str">
        <x:v>AV.Clean!B139</x:v>
      </x:c>
      <x:c r="J619" s="2" t="str">
        <x:v>AV.Clean!B129</x:v>
      </x:c>
      <x:c r="K619" s="13" t="n">
        <x:v>45978.604166666664</x:v>
      </x:c>
      <x:c r="L619" s="13" t="n">
        <x:v>45978.625</x:v>
      </x:c>
    </x:row>
    <x:row r="620" ht="22" customHeight="1">
      <x:c r="A620" s="12" t="n">
        <x:v>45982</x:v>
      </x:c>
      <x:c r="B620" s="14" t="str">
        <x:v>15:00</x:v>
      </x:c>
      <x:c r="C620" s="12" t="n">
        <x:v>45979</x:v>
      </x:c>
      <x:c r="D620" s="9" t="n">
        <x:v>658.56</x:v>
      </x:c>
      <x:c r="E620" s="9" t="n">
        <x:v>664.4185</x:v>
      </x:c>
      <x:c r="F620" s="10" t="n">
        <x:f>IF(H620=1,E620/D620-1,"")</x:f>
        <x:v>0.008895924441205239</x:v>
      </x:c>
      <x:c r="G620" s="10" t="n">
        <x:f>IF(H620=1,ABS(F620),"")</x:f>
        <x:v>0.008895924441205239</x:v>
      </x:c>
      <x:c r="H620" s="2" t="n">
        <x:v>1</x:v>
      </x:c>
      <x:c r="I620" s="2" t="str">
        <x:v>AV.Clean!B125</x:v>
      </x:c>
      <x:c r="J620" s="2" t="str">
        <x:v>AV.Clean!B115</x:v>
      </x:c>
      <x:c r="K620" s="13" t="n">
        <x:v>45979.604166666664</x:v>
      </x:c>
      <x:c r="L620" s="13" t="n">
        <x:v>45979.625</x:v>
      </x:c>
    </x:row>
    <x:row r="621" ht="22" customHeight="1">
      <x:c r="A621" s="12" t="n">
        <x:v>45982</x:v>
      </x:c>
      <x:c r="B621" s="14" t="str">
        <x:v>15:00</x:v>
      </x:c>
      <x:c r="C621" s="12" t="n">
        <x:v>45980</x:v>
      </x:c>
      <x:c r="D621" s="9" t="n">
        <x:v>665.85</x:v>
      </x:c>
      <x:c r="E621" s="9" t="n">
        <x:v>661.12</x:v>
      </x:c>
      <x:c r="F621" s="10" t="n">
        <x:f>IF(H621=1,E621/D621-1,"")</x:f>
        <x:v>-0.007103702034992887</x:v>
      </x:c>
      <x:c r="G621" s="10" t="n">
        <x:f>IF(H621=1,ABS(F621),"")</x:f>
        <x:v>0.007103702034992887</x:v>
      </x:c>
      <x:c r="H621" s="2" t="n">
        <x:v>1</x:v>
      </x:c>
      <x:c r="I621" s="2" t="str">
        <x:v>AV.Clean!B111</x:v>
      </x:c>
      <x:c r="J621" s="2" t="str">
        <x:v>AV.Clean!B101</x:v>
      </x:c>
      <x:c r="K621" s="13" t="n">
        <x:v>45980.604166666664</x:v>
      </x:c>
      <x:c r="L621" s="13" t="n">
        <x:v>45980.625</x:v>
      </x:c>
    </x:row>
    <x:row r="622" ht="22" customHeight="1">
      <x:c r="A622" s="12" t="n">
        <x:v>45982</x:v>
      </x:c>
      <x:c r="B622" s="14" t="str">
        <x:v>15:00</x:v>
      </x:c>
      <x:c r="C622" s="12" t="n">
        <x:v>45981</x:v>
      </x:c>
      <x:c r="D622" s="9" t="n">
        <x:v>675.1099</x:v>
      </x:c>
      <x:c r="E622" s="9" t="n">
        <x:v>658.07</x:v>
      </x:c>
      <x:c r="F622" s="10" t="n">
        <x:f>IF(H622=1,E622/D622-1,"")</x:f>
        <x:v>-0.025240186819953325</x:v>
      </x:c>
      <x:c r="G622" s="10" t="n">
        <x:f>IF(H622=1,ABS(F622),"")</x:f>
        <x:v>0.025240186819953325</x:v>
      </x:c>
      <x:c r="H622" s="2" t="n">
        <x:v>1</x:v>
      </x:c>
      <x:c r="I622" s="2" t="str">
        <x:v>AV.Clean!B97</x:v>
      </x:c>
      <x:c r="J622" s="2" t="str">
        <x:v>AV.Clean!B87</x:v>
      </x:c>
      <x:c r="K622" s="13" t="n">
        <x:v>45981.604166666664</x:v>
      </x:c>
      <x:c r="L622" s="13" t="n">
        <x:v>45981.625</x:v>
      </x:c>
    </x:row>
    <x:row r="623" ht="22" customHeight="1">
      <x:c r="A623" s="12" t="n">
        <x:v>45982</x:v>
      </x:c>
      <x:c r="B623" s="14" t="str">
        <x:v>15:30</x:v>
      </x:c>
      <x:c r="C623" s="12" t="n">
        <x:v>45964</x:v>
      </x:c>
      <x:c r="D623" s="9" t="n">
        <x:v>682.52</x:v>
      </x:c>
      <x:c r="E623" s="9" t="n">
        <x:v>683.13</x:v>
      </x:c>
      <x:c r="F623" s="10" t="n">
        <x:f>IF(H623=1,E623/D623-1,"")</x:f>
        <x:v>0.0008937467033933721</x:v>
      </x:c>
      <x:c r="G623" s="10" t="n">
        <x:f>IF(H623=1,ABS(F623),"")</x:f>
        <x:v>0.0008937467033933721</x:v>
      </x:c>
      <x:c r="H623" s="2" t="n">
        <x:v>1</x:v>
      </x:c>
      <x:c r="I623" s="2" t="str">
        <x:v>AV.Clean!B279</x:v>
      </x:c>
      <x:c r="J623" s="2" t="str">
        <x:v>AV.Clean!B268</x:v>
      </x:c>
      <x:c r="K623" s="13" t="n">
        <x:v>45964.625</x:v>
      </x:c>
      <x:c r="L623" s="13" t="n">
        <x:v>45964.645833333336</x:v>
      </x:c>
    </x:row>
    <x:row r="624" ht="22" customHeight="1">
      <x:c r="A624" s="12" t="n">
        <x:v>45982</x:v>
      </x:c>
      <x:c r="B624" s="14" t="str">
        <x:v>15:30</x:v>
      </x:c>
      <x:c r="C624" s="12" t="n">
        <x:v>45965</x:v>
      </x:c>
      <x:c r="D624" s="9" t="n">
        <x:v>678.8</x:v>
      </x:c>
      <x:c r="E624" s="9" t="n">
        <x:v>675.985</x:v>
      </x:c>
      <x:c r="F624" s="10" t="n">
        <x:f>IF(H624=1,E624/D624-1,"")</x:f>
        <x:v>-0.004147024160282786</x:v>
      </x:c>
      <x:c r="G624" s="10" t="n">
        <x:f>IF(H624=1,ABS(F624),"")</x:f>
        <x:v>0.004147024160282786</x:v>
      </x:c>
      <x:c r="H624" s="2" t="n">
        <x:v>1</x:v>
      </x:c>
      <x:c r="I624" s="2" t="str">
        <x:v>AV.Clean!B265</x:v>
      </x:c>
      <x:c r="J624" s="2" t="str">
        <x:v>AV.Clean!B254</x:v>
      </x:c>
      <x:c r="K624" s="13" t="n">
        <x:v>45965.625</x:v>
      </x:c>
      <x:c r="L624" s="13" t="n">
        <x:v>45965.645833333336</x:v>
      </x:c>
    </x:row>
    <x:row r="625" ht="22" customHeight="1">
      <x:c r="A625" s="12" t="n">
        <x:v>45982</x:v>
      </x:c>
      <x:c r="B625" s="14" t="str">
        <x:v>15:30</x:v>
      </x:c>
      <x:c r="C625" s="12" t="n">
        <x:v>45966</x:v>
      </x:c>
      <x:c r="D625" s="9" t="n">
        <x:v>677.17</x:v>
      </x:c>
      <x:c r="E625" s="9" t="n">
        <x:v>679.76</x:v>
      </x:c>
      <x:c r="F625" s="10" t="n">
        <x:f>IF(H625=1,E625/D625-1,"")</x:f>
        <x:v>0.003824741202356874</x:v>
      </x:c>
      <x:c r="G625" s="10" t="n">
        <x:f>IF(H625=1,ABS(F625),"")</x:f>
        <x:v>0.003824741202356874</x:v>
      </x:c>
      <x:c r="H625" s="2" t="n">
        <x:v>1</x:v>
      </x:c>
      <x:c r="I625" s="2" t="str">
        <x:v>AV.Clean!B251</x:v>
      </x:c>
      <x:c r="J625" s="2" t="str">
        <x:v>AV.Clean!B240</x:v>
      </x:c>
      <x:c r="K625" s="13" t="n">
        <x:v>45966.625</x:v>
      </x:c>
      <x:c r="L625" s="13" t="n">
        <x:v>45966.645833333336</x:v>
      </x:c>
    </x:row>
    <x:row r="626" ht="22" customHeight="1">
      <x:c r="A626" s="12" t="n">
        <x:v>45982</x:v>
      </x:c>
      <x:c r="B626" s="14" t="str">
        <x:v>15:30</x:v>
      </x:c>
      <x:c r="C626" s="12" t="n">
        <x:v>45967</x:v>
      </x:c>
      <x:c r="D626" s="9" t="n">
        <x:v>674.05</x:v>
      </x:c>
      <x:c r="E626" s="9" t="n">
        <x:v>672.3675</x:v>
      </x:c>
      <x:c r="F626" s="10" t="n">
        <x:f>IF(H626=1,E626/D626-1,"")</x:f>
        <x:v>-0.002496105630146128</x:v>
      </x:c>
      <x:c r="G626" s="10" t="n">
        <x:f>IF(H626=1,ABS(F626),"")</x:f>
        <x:v>0.002496105630146128</x:v>
      </x:c>
      <x:c r="H626" s="2" t="n">
        <x:v>1</x:v>
      </x:c>
      <x:c r="I626" s="2" t="str">
        <x:v>AV.Clean!B237</x:v>
      </x:c>
      <x:c r="J626" s="2" t="str">
        <x:v>AV.Clean!B226</x:v>
      </x:c>
      <x:c r="K626" s="13" t="n">
        <x:v>45967.625</x:v>
      </x:c>
      <x:c r="L626" s="13" t="n">
        <x:v>45967.645833333336</x:v>
      </x:c>
    </x:row>
    <x:row r="627" ht="22" customHeight="1">
      <x:c r="A627" s="12" t="n">
        <x:v>45982</x:v>
      </x:c>
      <x:c r="B627" s="14" t="str">
        <x:v>15:30</x:v>
      </x:c>
      <x:c r="C627" s="12" t="n">
        <x:v>45968</x:v>
      </x:c>
      <x:c r="D627" s="9" t="n">
        <x:v>666.345</x:v>
      </x:c>
      <x:c r="E627" s="9" t="n">
        <x:v>668.72</x:v>
      </x:c>
      <x:c r="F627" s="10" t="n">
        <x:f>IF(H627=1,E627/D627-1,"")</x:f>
        <x:v>0.0035642197360226113</x:v>
      </x:c>
      <x:c r="G627" s="10" t="n">
        <x:f>IF(H627=1,ABS(F627),"")</x:f>
        <x:v>0.0035642197360226113</x:v>
      </x:c>
      <x:c r="H627" s="2" t="n">
        <x:v>1</x:v>
      </x:c>
      <x:c r="I627" s="2" t="str">
        <x:v>AV.Clean!B223</x:v>
      </x:c>
      <x:c r="J627" s="2" t="str">
        <x:v>AV.Clean!B212</x:v>
      </x:c>
      <x:c r="K627" s="13" t="n">
        <x:v>45968.625</x:v>
      </x:c>
      <x:c r="L627" s="13" t="n">
        <x:v>45968.645833333336</x:v>
      </x:c>
    </x:row>
    <x:row r="628" ht="22" customHeight="1">
      <x:c r="A628" s="12" t="n">
        <x:v>45982</x:v>
      </x:c>
      <x:c r="B628" s="14" t="str">
        <x:v>15:30</x:v>
      </x:c>
      <x:c r="C628" s="12" t="n">
        <x:v>45971</x:v>
      </x:c>
      <x:c r="D628" s="9" t="n">
        <x:v>678.525</x:v>
      </x:c>
      <x:c r="E628" s="9" t="n">
        <x:v>681.22</x:v>
      </x:c>
      <x:c r="F628" s="10" t="n">
        <x:f>IF(H628=1,E628/D628-1,"")</x:f>
        <x:v>0.003971850705574598</x:v>
      </x:c>
      <x:c r="G628" s="10" t="n">
        <x:f>IF(H628=1,ABS(F628),"")</x:f>
        <x:v>0.003971850705574598</x:v>
      </x:c>
      <x:c r="H628" s="2" t="n">
        <x:v>1</x:v>
      </x:c>
      <x:c r="I628" s="2" t="str">
        <x:v>AV.Clean!B209</x:v>
      </x:c>
      <x:c r="J628" s="2" t="str">
        <x:v>AV.Clean!B198</x:v>
      </x:c>
      <x:c r="K628" s="13" t="n">
        <x:v>45971.625</x:v>
      </x:c>
      <x:c r="L628" s="13" t="n">
        <x:v>45971.645833333336</x:v>
      </x:c>
    </x:row>
    <x:row r="629" ht="22" customHeight="1">
      <x:c r="A629" s="12" t="n">
        <x:v>45982</x:v>
      </x:c>
      <x:c r="B629" s="14" t="str">
        <x:v>15:30</x:v>
      </x:c>
      <x:c r="C629" s="12" t="n">
        <x:v>45972</x:v>
      </x:c>
      <x:c r="D629" s="9" t="n">
        <x:v>680.645</x:v>
      </x:c>
      <x:c r="E629" s="9" t="n">
        <x:v>682.84</x:v>
      </x:c>
      <x:c r="F629" s="10" t="n">
        <x:f>IF(H629=1,E629/D629-1,"")</x:f>
        <x:v>0.0032248822807778854</x:v>
      </x:c>
      <x:c r="G629" s="10" t="n">
        <x:f>IF(H629=1,ABS(F629),"")</x:f>
        <x:v>0.0032248822807778854</x:v>
      </x:c>
      <x:c r="H629" s="2" t="n">
        <x:v>1</x:v>
      </x:c>
      <x:c r="I629" s="2" t="str">
        <x:v>AV.Clean!B195</x:v>
      </x:c>
      <x:c r="J629" s="2" t="str">
        <x:v>AV.Clean!B184</x:v>
      </x:c>
      <x:c r="K629" s="13" t="n">
        <x:v>45972.625</x:v>
      </x:c>
      <x:c r="L629" s="13" t="n">
        <x:v>45972.645833333336</x:v>
      </x:c>
    </x:row>
    <x:row r="630" ht="22" customHeight="1">
      <x:c r="A630" s="12" t="n">
        <x:v>45982</x:v>
      </x:c>
      <x:c r="B630" s="14" t="str">
        <x:v>15:30</x:v>
      </x:c>
      <x:c r="C630" s="12" t="n">
        <x:v>45973</x:v>
      </x:c>
      <x:c r="D630" s="9" t="n">
        <x:v>683.61</x:v>
      </x:c>
      <x:c r="E630" s="9" t="n">
        <x:v>683.325</x:v>
      </x:c>
      <x:c r="F630" s="10" t="n">
        <x:f>IF(H630=1,E630/D630-1,"")</x:f>
        <x:v>-0.00041690437530161883</x:v>
      </x:c>
      <x:c r="G630" s="10" t="n">
        <x:f>IF(H630=1,ABS(F630),"")</x:f>
        <x:v>0.00041690437530161883</x:v>
      </x:c>
      <x:c r="H630" s="2" t="n">
        <x:v>1</x:v>
      </x:c>
      <x:c r="I630" s="2" t="str">
        <x:v>AV.Clean!B181</x:v>
      </x:c>
      <x:c r="J630" s="2" t="str">
        <x:v>AV.Clean!B170</x:v>
      </x:c>
      <x:c r="K630" s="13" t="n">
        <x:v>45973.625</x:v>
      </x:c>
      <x:c r="L630" s="13" t="n">
        <x:v>45973.645833333336</x:v>
      </x:c>
    </x:row>
    <x:row r="631" ht="22" customHeight="1">
      <x:c r="A631" s="12" t="n">
        <x:v>45982</x:v>
      </x:c>
      <x:c r="B631" s="14" t="str">
        <x:v>15:30</x:v>
      </x:c>
      <x:c r="C631" s="12" t="n">
        <x:v>45974</x:v>
      </x:c>
      <x:c r="D631" s="9" t="n">
        <x:v>678.72</x:v>
      </x:c>
      <x:c r="E631" s="9" t="n">
        <x:v>671.68</x:v>
      </x:c>
      <x:c r="F631" s="10" t="n">
        <x:f>IF(H631=1,E631/D631-1,"")</x:f>
        <x:v>-0.010372465818010435</x:v>
      </x:c>
      <x:c r="G631" s="10" t="n">
        <x:f>IF(H631=1,ABS(F631),"")</x:f>
        <x:v>0.010372465818010435</x:v>
      </x:c>
      <x:c r="H631" s="2" t="n">
        <x:v>1</x:v>
      </x:c>
      <x:c r="I631" s="2" t="str">
        <x:v>AV.Clean!B167</x:v>
      </x:c>
      <x:c r="J631" s="2" t="str">
        <x:v>AV.Clean!B156</x:v>
      </x:c>
      <x:c r="K631" s="13" t="n">
        <x:v>45974.625</x:v>
      </x:c>
      <x:c r="L631" s="13" t="n">
        <x:v>45974.645833333336</x:v>
      </x:c>
    </x:row>
    <x:row r="632" ht="22" customHeight="1">
      <x:c r="A632" s="12" t="n">
        <x:v>45982</x:v>
      </x:c>
      <x:c r="B632" s="14" t="str">
        <x:v>15:30</x:v>
      </x:c>
      <x:c r="C632" s="12" t="n">
        <x:v>45975</x:v>
      </x:c>
      <x:c r="D632" s="9" t="n">
        <x:v>668.75</x:v>
      </x:c>
      <x:c r="E632" s="9" t="n">
        <x:v>672.46</x:v>
      </x:c>
      <x:c r="F632" s="10" t="n">
        <x:f>IF(H632=1,E632/D632-1,"")</x:f>
        <x:v>0.005547663551402016</x:v>
      </x:c>
      <x:c r="G632" s="10" t="n">
        <x:f>IF(H632=1,ABS(F632),"")</x:f>
        <x:v>0.005547663551402016</x:v>
      </x:c>
      <x:c r="H632" s="2" t="n">
        <x:v>1</x:v>
      </x:c>
      <x:c r="I632" s="2" t="str">
        <x:v>AV.Clean!B153</x:v>
      </x:c>
      <x:c r="J632" s="2" t="str">
        <x:v>AV.Clean!B142</x:v>
      </x:c>
      <x:c r="K632" s="13" t="n">
        <x:v>45975.625</x:v>
      </x:c>
      <x:c r="L632" s="13" t="n">
        <x:v>45975.645833333336</x:v>
      </x:c>
    </x:row>
    <x:row r="633" ht="22" customHeight="1">
      <x:c r="A633" s="12" t="n">
        <x:v>45982</x:v>
      </x:c>
      <x:c r="B633" s="14" t="str">
        <x:v>15:30</x:v>
      </x:c>
      <x:c r="C633" s="12" t="n">
        <x:v>45978</x:v>
      </x:c>
      <x:c r="D633" s="9" t="n">
        <x:v>672.82</x:v>
      </x:c>
      <x:c r="E633" s="9" t="n">
        <x:v>663.88</x:v>
      </x:c>
      <x:c r="F633" s="10" t="n">
        <x:f>IF(H633=1,E633/D633-1,"")</x:f>
        <x:v>-0.013287357688534951</x:v>
      </x:c>
      <x:c r="G633" s="10" t="n">
        <x:f>IF(H633=1,ABS(F633),"")</x:f>
        <x:v>0.013287357688534951</x:v>
      </x:c>
      <x:c r="H633" s="2" t="n">
        <x:v>1</x:v>
      </x:c>
      <x:c r="I633" s="2" t="str">
        <x:v>AV.Clean!B139</x:v>
      </x:c>
      <x:c r="J633" s="2" t="str">
        <x:v>AV.Clean!B128</x:v>
      </x:c>
      <x:c r="K633" s="13" t="n">
        <x:v>45978.625</x:v>
      </x:c>
      <x:c r="L633" s="13" t="n">
        <x:v>45978.645833333336</x:v>
      </x:c>
    </x:row>
    <x:row r="634" ht="22" customHeight="1">
      <x:c r="A634" s="12" t="n">
        <x:v>45982</x:v>
      </x:c>
      <x:c r="B634" s="14" t="str">
        <x:v>15:30</x:v>
      </x:c>
      <x:c r="C634" s="12" t="n">
        <x:v>45979</x:v>
      </x:c>
      <x:c r="D634" s="9" t="n">
        <x:v>658.56</x:v>
      </x:c>
      <x:c r="E634" s="9" t="n">
        <x:v>662.45</x:v>
      </x:c>
      <x:c r="F634" s="10" t="n">
        <x:f>IF(H634=1,E634/D634-1,"")</x:f>
        <x:v>0.00590682701652101</x:v>
      </x:c>
      <x:c r="G634" s="10" t="n">
        <x:f>IF(H634=1,ABS(F634),"")</x:f>
        <x:v>0.00590682701652101</x:v>
      </x:c>
      <x:c r="H634" s="2" t="n">
        <x:v>1</x:v>
      </x:c>
      <x:c r="I634" s="2" t="str">
        <x:v>AV.Clean!B125</x:v>
      </x:c>
      <x:c r="J634" s="2" t="str">
        <x:v>AV.Clean!B114</x:v>
      </x:c>
      <x:c r="K634" s="13" t="n">
        <x:v>45979.625</x:v>
      </x:c>
      <x:c r="L634" s="13" t="n">
        <x:v>45979.645833333336</x:v>
      </x:c>
    </x:row>
    <x:row r="635" ht="22" customHeight="1">
      <x:c r="A635" s="12" t="n">
        <x:v>45982</x:v>
      </x:c>
      <x:c r="B635" s="14" t="str">
        <x:v>15:30</x:v>
      </x:c>
      <x:c r="C635" s="12" t="n">
        <x:v>45980</x:v>
      </x:c>
      <x:c r="D635" s="9" t="n">
        <x:v>665.85</x:v>
      </x:c>
      <x:c r="E635" s="9" t="n">
        <x:v>663.52</x:v>
      </x:c>
      <x:c r="F635" s="10" t="n">
        <x:f>IF(H635=1,E635/D635-1,"")</x:f>
        <x:v>-0.003499286626117093</x:v>
      </x:c>
      <x:c r="G635" s="10" t="n">
        <x:f>IF(H635=1,ABS(F635),"")</x:f>
        <x:v>0.003499286626117093</x:v>
      </x:c>
      <x:c r="H635" s="2" t="n">
        <x:v>1</x:v>
      </x:c>
      <x:c r="I635" s="2" t="str">
        <x:v>AV.Clean!B111</x:v>
      </x:c>
      <x:c r="J635" s="2" t="str">
        <x:v>AV.Clean!B100</x:v>
      </x:c>
      <x:c r="K635" s="13" t="n">
        <x:v>45980.625</x:v>
      </x:c>
      <x:c r="L635" s="13" t="n">
        <x:v>45980.645833333336</x:v>
      </x:c>
    </x:row>
    <x:row r="636" ht="22" customHeight="1">
      <x:c r="A636" s="12" t="n">
        <x:v>45982</x:v>
      </x:c>
      <x:c r="B636" s="14" t="str">
        <x:v>15:30</x:v>
      </x:c>
      <x:c r="C636" s="12" t="n">
        <x:v>45981</x:v>
      </x:c>
      <x:c r="D636" s="9" t="n">
        <x:v>675.1099</x:v>
      </x:c>
      <x:c r="E636" s="9" t="n">
        <x:v>656.21</x:v>
      </x:c>
      <x:c r="F636" s="10" t="n">
        <x:f>IF(H636=1,E636/D636-1,"")</x:f>
        <x:v>-0.02799529380327559</x:v>
      </x:c>
      <x:c r="G636" s="10" t="n">
        <x:f>IF(H636=1,ABS(F636),"")</x:f>
        <x:v>0.02799529380327559</x:v>
      </x:c>
      <x:c r="H636" s="2" t="n">
        <x:v>1</x:v>
      </x:c>
      <x:c r="I636" s="2" t="str">
        <x:v>AV.Clean!B97</x:v>
      </x:c>
      <x:c r="J636" s="2" t="str">
        <x:v>AV.Clean!B86</x:v>
      </x:c>
      <x:c r="K636" s="13" t="n">
        <x:v>45981.625</x:v>
      </x:c>
      <x:c r="L636" s="13" t="n">
        <x:v>45981.645833333336</x:v>
      </x:c>
    </x:row>
    <x:row r="637" ht="22" customHeight="1">
      <x:c r="A637" s="12" t="n">
        <x:v>45982</x:v>
      </x:c>
      <x:c r="B637" s="14" t="str">
        <x:v>16:00</x:v>
      </x:c>
      <x:c r="C637" s="12" t="n">
        <x:v>45964</x:v>
      </x:c>
      <x:c r="D637" s="9" t="n">
        <x:v>682.52</x:v>
      </x:c>
      <x:c r="E637" s="9" t="n">
        <x:v>683.34</x:v>
      </x:c>
      <x:c r="F637" s="10" t="n">
        <x:f>IF(H637=1,E637/D637-1,"")</x:f>
        <x:v>0.0012014299947256113</x:v>
      </x:c>
      <x:c r="G637" s="10" t="n">
        <x:f>IF(H637=1,ABS(F637),"")</x:f>
        <x:v>0.0012014299947256113</x:v>
      </x:c>
      <x:c r="H637" s="2" t="n">
        <x:v>1</x:v>
      </x:c>
      <x:c r="I637" s="2" t="str">
        <x:v>AV.Clean!B279</x:v>
      </x:c>
      <x:c r="J637" s="2" t="str">
        <x:v>AV.Clean!B266</x:v>
      </x:c>
      <x:c r="K637" s="13" t="n">
        <x:v>45964.666666666664</x:v>
      </x:c>
      <x:c r="L637" s="13" t="n">
        <x:v>45964.666666666664</x:v>
      </x:c>
    </x:row>
    <x:row r="638" ht="22" customHeight="1">
      <x:c r="A638" s="12" t="n">
        <x:v>45982</x:v>
      </x:c>
      <x:c r="B638" s="14" t="str">
        <x:v>16:00</x:v>
      </x:c>
      <x:c r="C638" s="12" t="n">
        <x:v>45965</x:v>
      </x:c>
      <x:c r="D638" s="9" t="n">
        <x:v>678.8</x:v>
      </x:c>
      <x:c r="E638" s="9" t="n">
        <x:v>675.24</x:v>
      </x:c>
      <x:c r="F638" s="10" t="n">
        <x:f>IF(H638=1,E638/D638-1,"")</x:f>
        <x:v>-0.005244549204478366</x:v>
      </x:c>
      <x:c r="G638" s="10" t="n">
        <x:f>IF(H638=1,ABS(F638),"")</x:f>
        <x:v>0.005244549204478366</x:v>
      </x:c>
      <x:c r="H638" s="2" t="n">
        <x:v>1</x:v>
      </x:c>
      <x:c r="I638" s="2" t="str">
        <x:v>AV.Clean!B265</x:v>
      </x:c>
      <x:c r="J638" s="2" t="str">
        <x:v>AV.Clean!B252</x:v>
      </x:c>
      <x:c r="K638" s="13" t="n">
        <x:v>45965.666666666664</x:v>
      </x:c>
      <x:c r="L638" s="13" t="n">
        <x:v>45965.666666666664</x:v>
      </x:c>
    </x:row>
    <x:row r="639" ht="22" customHeight="1">
      <x:c r="A639" s="12" t="n">
        <x:v>45982</x:v>
      </x:c>
      <x:c r="B639" s="14" t="str">
        <x:v>16:00</x:v>
      </x:c>
      <x:c r="C639" s="12" t="n">
        <x:v>45966</x:v>
      </x:c>
      <x:c r="D639" s="9" t="n">
        <x:v>677.17</x:v>
      </x:c>
      <x:c r="E639" s="9" t="n">
        <x:v>677.58</x:v>
      </x:c>
      <x:c r="F639" s="10" t="n">
        <x:f>IF(H639=1,E639/D639-1,"")</x:f>
        <x:v>0.0006054609625354423</x:v>
      </x:c>
      <x:c r="G639" s="10" t="n">
        <x:f>IF(H639=1,ABS(F639),"")</x:f>
        <x:v>0.0006054609625354423</x:v>
      </x:c>
      <x:c r="H639" s="2" t="n">
        <x:v>1</x:v>
      </x:c>
      <x:c r="I639" s="2" t="str">
        <x:v>AV.Clean!B251</x:v>
      </x:c>
      <x:c r="J639" s="2" t="str">
        <x:v>AV.Clean!B238</x:v>
      </x:c>
      <x:c r="K639" s="13" t="n">
        <x:v>45966.666666666664</x:v>
      </x:c>
      <x:c r="L639" s="13" t="n">
        <x:v>45966.666666666664</x:v>
      </x:c>
    </x:row>
    <x:row r="640" ht="22" customHeight="1">
      <x:c r="A640" s="12" t="n">
        <x:v>45982</x:v>
      </x:c>
      <x:c r="B640" s="14" t="str">
        <x:v>16:00</x:v>
      </x:c>
      <x:c r="C640" s="12" t="n">
        <x:v>45967</x:v>
      </x:c>
      <x:c r="D640" s="9" t="n">
        <x:v>674.05</x:v>
      </x:c>
      <x:c r="E640" s="9" t="n">
        <x:v>670.31</x:v>
      </x:c>
      <x:c r="F640" s="10" t="n">
        <x:f>IF(H640=1,E640/D640-1,"")</x:f>
        <x:v>-0.0055485498108449605</x:v>
      </x:c>
      <x:c r="G640" s="10" t="n">
        <x:f>IF(H640=1,ABS(F640),"")</x:f>
        <x:v>0.0055485498108449605</x:v>
      </x:c>
      <x:c r="H640" s="2" t="n">
        <x:v>1</x:v>
      </x:c>
      <x:c r="I640" s="2" t="str">
        <x:v>AV.Clean!B237</x:v>
      </x:c>
      <x:c r="J640" s="2" t="str">
        <x:v>AV.Clean!B224</x:v>
      </x:c>
      <x:c r="K640" s="13" t="n">
        <x:v>45967.666666666664</x:v>
      </x:c>
      <x:c r="L640" s="13" t="n">
        <x:v>45967.666666666664</x:v>
      </x:c>
    </x:row>
    <x:row r="641" ht="22" customHeight="1">
      <x:c r="A641" s="12" t="n">
        <x:v>45982</x:v>
      </x:c>
      <x:c r="B641" s="14" t="str">
        <x:v>16:00</x:v>
      </x:c>
      <x:c r="C641" s="12" t="n">
        <x:v>45968</x:v>
      </x:c>
      <x:c r="D641" s="9" t="n">
        <x:v>666.345</x:v>
      </x:c>
      <x:c r="E641" s="9" t="n">
        <x:v>670.97</x:v>
      </x:c>
      <x:c r="F641" s="10" t="n">
        <x:f>IF(H641=1,E641/D641-1,"")</x:f>
        <x:v>0.006940848959622992</x:v>
      </x:c>
      <x:c r="G641" s="10" t="n">
        <x:f>IF(H641=1,ABS(F641),"")</x:f>
        <x:v>0.006940848959622992</x:v>
      </x:c>
      <x:c r="H641" s="2" t="n">
        <x:v>1</x:v>
      </x:c>
      <x:c r="I641" s="2" t="str">
        <x:v>AV.Clean!B223</x:v>
      </x:c>
      <x:c r="J641" s="2" t="str">
        <x:v>AV.Clean!B210</x:v>
      </x:c>
      <x:c r="K641" s="13" t="n">
        <x:v>45968.666666666664</x:v>
      </x:c>
      <x:c r="L641" s="13" t="n">
        <x:v>45968.666666666664</x:v>
      </x:c>
    </x:row>
    <x:row r="642" ht="22" customHeight="1">
      <x:c r="A642" s="12" t="n">
        <x:v>45982</x:v>
      </x:c>
      <x:c r="B642" s="14" t="str">
        <x:v>16:00</x:v>
      </x:c>
      <x:c r="C642" s="12" t="n">
        <x:v>45971</x:v>
      </x:c>
      <x:c r="D642" s="9" t="n">
        <x:v>678.525</x:v>
      </x:c>
      <x:c r="E642" s="9" t="n">
        <x:v>681.44</x:v>
      </x:c>
      <x:c r="F642" s="10" t="n">
        <x:f>IF(H642=1,E642/D642-1,"")</x:f>
        <x:v>0.004296083416233776</x:v>
      </x:c>
      <x:c r="G642" s="10" t="n">
        <x:f>IF(H642=1,ABS(F642),"")</x:f>
        <x:v>0.004296083416233776</x:v>
      </x:c>
      <x:c r="H642" s="2" t="n">
        <x:v>1</x:v>
      </x:c>
      <x:c r="I642" s="2" t="str">
        <x:v>AV.Clean!B209</x:v>
      </x:c>
      <x:c r="J642" s="2" t="str">
        <x:v>AV.Clean!B196</x:v>
      </x:c>
      <x:c r="K642" s="13" t="n">
        <x:v>45971.666666666664</x:v>
      </x:c>
      <x:c r="L642" s="13" t="n">
        <x:v>45971.666666666664</x:v>
      </x:c>
    </x:row>
    <x:row r="643" ht="22" customHeight="1">
      <x:c r="A643" s="12" t="n">
        <x:v>45982</x:v>
      </x:c>
      <x:c r="B643" s="14" t="str">
        <x:v>16:00</x:v>
      </x:c>
      <x:c r="C643" s="12" t="n">
        <x:v>45972</x:v>
      </x:c>
      <x:c r="D643" s="9" t="n">
        <x:v>680.645</x:v>
      </x:c>
      <x:c r="E643" s="9" t="n">
        <x:v>683</x:v>
      </x:c>
      <x:c r="F643" s="10" t="n">
        <x:f>IF(H643=1,E643/D643-1,"")</x:f>
        <x:v>0.003459953426529383</x:v>
      </x:c>
      <x:c r="G643" s="10" t="n">
        <x:f>IF(H643=1,ABS(F643),"")</x:f>
        <x:v>0.003459953426529383</x:v>
      </x:c>
      <x:c r="H643" s="2" t="n">
        <x:v>1</x:v>
      </x:c>
      <x:c r="I643" s="2" t="str">
        <x:v>AV.Clean!B195</x:v>
      </x:c>
      <x:c r="J643" s="2" t="str">
        <x:v>AV.Clean!B182</x:v>
      </x:c>
      <x:c r="K643" s="13" t="n">
        <x:v>45972.666666666664</x:v>
      </x:c>
      <x:c r="L643" s="13" t="n">
        <x:v>45972.666666666664</x:v>
      </x:c>
    </x:row>
    <x:row r="644" ht="22" customHeight="1">
      <x:c r="A644" s="12" t="n">
        <x:v>45982</x:v>
      </x:c>
      <x:c r="B644" s="14" t="str">
        <x:v>16:00</x:v>
      </x:c>
      <x:c r="C644" s="12" t="n">
        <x:v>45973</x:v>
      </x:c>
      <x:c r="D644" s="9" t="n">
        <x:v>683.61</x:v>
      </x:c>
      <x:c r="E644" s="9" t="n">
        <x:v>683.38</x:v>
      </x:c>
      <x:c r="F644" s="10" t="n">
        <x:f>IF(H644=1,E644/D644-1,"")</x:f>
        <x:v>-0.00033644914498032197</x:v>
      </x:c>
      <x:c r="G644" s="10" t="n">
        <x:f>IF(H644=1,ABS(F644),"")</x:f>
        <x:v>0.00033644914498032197</x:v>
      </x:c>
      <x:c r="H644" s="2" t="n">
        <x:v>1</x:v>
      </x:c>
      <x:c r="I644" s="2" t="str">
        <x:v>AV.Clean!B181</x:v>
      </x:c>
      <x:c r="J644" s="2" t="str">
        <x:v>AV.Clean!B168</x:v>
      </x:c>
      <x:c r="K644" s="13" t="n">
        <x:v>45973.666666666664</x:v>
      </x:c>
      <x:c r="L644" s="13" t="n">
        <x:v>45973.666666666664</x:v>
      </x:c>
    </x:row>
    <x:row r="645" ht="22" customHeight="1">
      <x:c r="A645" s="12" t="n">
        <x:v>45982</x:v>
      </x:c>
      <x:c r="B645" s="14" t="str">
        <x:v>16:00</x:v>
      </x:c>
      <x:c r="C645" s="12" t="n">
        <x:v>45974</x:v>
      </x:c>
      <x:c r="D645" s="9" t="n">
        <x:v>678.72</x:v>
      </x:c>
      <x:c r="E645" s="9" t="n">
        <x:v>672.04</x:v>
      </x:c>
      <x:c r="F645" s="10" t="n">
        <x:f>IF(H645=1,E645/D645-1,"")</x:f>
        <x:v>-0.009842055634134983</x:v>
      </x:c>
      <x:c r="G645" s="10" t="n">
        <x:f>IF(H645=1,ABS(F645),"")</x:f>
        <x:v>0.009842055634134983</x:v>
      </x:c>
      <x:c r="H645" s="2" t="n">
        <x:v>1</x:v>
      </x:c>
      <x:c r="I645" s="2" t="str">
        <x:v>AV.Clean!B167</x:v>
      </x:c>
      <x:c r="J645" s="2" t="str">
        <x:v>AV.Clean!B154</x:v>
      </x:c>
      <x:c r="K645" s="13" t="n">
        <x:v>45974.666666666664</x:v>
      </x:c>
      <x:c r="L645" s="13" t="n">
        <x:v>45974.666666666664</x:v>
      </x:c>
    </x:row>
    <x:row r="646" ht="22" customHeight="1">
      <x:c r="A646" s="12" t="n">
        <x:v>45982</x:v>
      </x:c>
      <x:c r="B646" s="14" t="str">
        <x:v>16:00</x:v>
      </x:c>
      <x:c r="C646" s="12" t="n">
        <x:v>45975</x:v>
      </x:c>
      <x:c r="D646" s="9" t="n">
        <x:v>668.75</x:v>
      </x:c>
      <x:c r="E646" s="9" t="n">
        <x:v>671.93</x:v>
      </x:c>
      <x:c r="F646" s="10" t="n">
        <x:f>IF(H646=1,E646/D646-1,"")</x:f>
        <x:v>0.004755140186915918</x:v>
      </x:c>
      <x:c r="G646" s="10" t="n">
        <x:f>IF(H646=1,ABS(F646),"")</x:f>
        <x:v>0.004755140186915918</x:v>
      </x:c>
      <x:c r="H646" s="2" t="n">
        <x:v>1</x:v>
      </x:c>
      <x:c r="I646" s="2" t="str">
        <x:v>AV.Clean!B153</x:v>
      </x:c>
      <x:c r="J646" s="2" t="str">
        <x:v>AV.Clean!B140</x:v>
      </x:c>
      <x:c r="K646" s="13" t="n">
        <x:v>45975.666666666664</x:v>
      </x:c>
      <x:c r="L646" s="13" t="n">
        <x:v>45975.666666666664</x:v>
      </x:c>
    </x:row>
    <x:row r="647" ht="22" customHeight="1">
      <x:c r="A647" s="12" t="n">
        <x:v>45982</x:v>
      </x:c>
      <x:c r="B647" s="14" t="str">
        <x:v>16:00</x:v>
      </x:c>
      <x:c r="C647" s="12" t="n">
        <x:v>45978</x:v>
      </x:c>
      <x:c r="D647" s="9" t="n">
        <x:v>672.82</x:v>
      </x:c>
      <x:c r="E647" s="9" t="n">
        <x:v>665.67</x:v>
      </x:c>
      <x:c r="F647" s="10" t="n">
        <x:f>IF(H647=1,E647/D647-1,"")</x:f>
        <x:v>-0.010626913587586717</x:v>
      </x:c>
      <x:c r="G647" s="10" t="n">
        <x:f>IF(H647=1,ABS(F647),"")</x:f>
        <x:v>0.010626913587586717</x:v>
      </x:c>
      <x:c r="H647" s="2" t="n">
        <x:v>1</x:v>
      </x:c>
      <x:c r="I647" s="2" t="str">
        <x:v>AV.Clean!B139</x:v>
      </x:c>
      <x:c r="J647" s="2" t="str">
        <x:v>AV.Clean!B126</x:v>
      </x:c>
      <x:c r="K647" s="13" t="n">
        <x:v>45978.666666666664</x:v>
      </x:c>
      <x:c r="L647" s="13" t="n">
        <x:v>45978.666666666664</x:v>
      </x:c>
    </x:row>
    <x:row r="648" ht="22" customHeight="1">
      <x:c r="A648" s="12" t="n">
        <x:v>45982</x:v>
      </x:c>
      <x:c r="B648" s="14" t="str">
        <x:v>16:00</x:v>
      </x:c>
      <x:c r="C648" s="12" t="n">
        <x:v>45979</x:v>
      </x:c>
      <x:c r="D648" s="9" t="n">
        <x:v>658.56</x:v>
      </x:c>
      <x:c r="E648" s="9" t="n">
        <x:v>660.08</x:v>
      </x:c>
      <x:c r="F648" s="10" t="n">
        <x:f>IF(H648=1,E648/D648-1,"")</x:f>
        <x:v>0.0023080660835763656</x:v>
      </x:c>
      <x:c r="G648" s="10" t="n">
        <x:f>IF(H648=1,ABS(F648),"")</x:f>
        <x:v>0.0023080660835763656</x:v>
      </x:c>
      <x:c r="H648" s="2" t="n">
        <x:v>1</x:v>
      </x:c>
      <x:c r="I648" s="2" t="str">
        <x:v>AV.Clean!B125</x:v>
      </x:c>
      <x:c r="J648" s="2" t="str">
        <x:v>AV.Clean!B112</x:v>
      </x:c>
      <x:c r="K648" s="13" t="n">
        <x:v>45979.666666666664</x:v>
      </x:c>
      <x:c r="L648" s="13" t="n">
        <x:v>45979.666666666664</x:v>
      </x:c>
    </x:row>
    <x:row r="649" ht="22" customHeight="1">
      <x:c r="A649" s="12" t="n">
        <x:v>45982</x:v>
      </x:c>
      <x:c r="B649" s="14" t="str">
        <x:v>16:00</x:v>
      </x:c>
      <x:c r="C649" s="12" t="n">
        <x:v>45980</x:v>
      </x:c>
      <x:c r="D649" s="9" t="n">
        <x:v>665.85</x:v>
      </x:c>
      <x:c r="E649" s="9" t="n">
        <x:v>662.63</x:v>
      </x:c>
      <x:c r="F649" s="10" t="n">
        <x:f>IF(H649=1,E649/D649-1,"")</x:f>
        <x:v>-0.004835924006908465</x:v>
      </x:c>
      <x:c r="G649" s="10" t="n">
        <x:f>IF(H649=1,ABS(F649),"")</x:f>
        <x:v>0.004835924006908465</x:v>
      </x:c>
      <x:c r="H649" s="2" t="n">
        <x:v>1</x:v>
      </x:c>
      <x:c r="I649" s="2" t="str">
        <x:v>AV.Clean!B111</x:v>
      </x:c>
      <x:c r="J649" s="2" t="str">
        <x:v>AV.Clean!B98</x:v>
      </x:c>
      <x:c r="K649" s="13" t="n">
        <x:v>45980.666666666664</x:v>
      </x:c>
      <x:c r="L649" s="13" t="n">
        <x:v>45980.666666666664</x:v>
      </x:c>
    </x:row>
    <x:row r="650" ht="22" customHeight="1">
      <x:c r="A650" s="12" t="n">
        <x:v>45982</x:v>
      </x:c>
      <x:c r="B650" s="14" t="str">
        <x:v>16:00</x:v>
      </x:c>
      <x:c r="C650" s="12" t="n">
        <x:v>45981</x:v>
      </x:c>
      <x:c r="D650" s="9" t="n">
        <x:v>675.1099</x:v>
      </x:c>
      <x:c r="E650" s="9" t="n">
        <x:v>652.53</x:v>
      </x:c>
      <x:c r="F650" s="10" t="n">
        <x:f>IF(H650=1,E650/D650-1,"")</x:f>
        <x:v>-0.033446258157375675</x:v>
      </x:c>
      <x:c r="G650" s="10" t="n">
        <x:f>IF(H650=1,ABS(F650),"")</x:f>
        <x:v>0.033446258157375675</x:v>
      </x:c>
      <x:c r="H650" s="2" t="n">
        <x:v>1</x:v>
      </x:c>
      <x:c r="I650" s="2" t="str">
        <x:v>AV.Clean!B97</x:v>
      </x:c>
      <x:c r="J650" s="2" t="str">
        <x:v>AV.Clean!B84</x:v>
      </x:c>
      <x:c r="K650" s="13" t="n">
        <x:v>45981.666666666664</x:v>
      </x:c>
      <x:c r="L650" s="13" t="n">
        <x:v>45981.666666666664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Lagged daily volatility and Model C sizing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Source: BBRG.Daily closing-price cells and AV.Clean anchor cells. All 14 returns precede each target day.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6" customHeight="1">
      <x:c r="A6" s="8" t="str">
        <x:v>Target day</x:v>
      </x:c>
      <x:c r="B6" s="8" t="str">
        <x:v>Start equity ($)</x:v>
      </x:c>
      <x:c r="C6" s="8" t="str">
        <x:v>Open proxy ($)</x:v>
      </x:c>
      <x:c r="D6" s="8" t="str">
        <x:v>Prior close ($)</x:v>
      </x:c>
      <x:c r="E6" s="8" t="str">
        <x:v>Mean daily return</x:v>
      </x:c>
      <x:c r="F6" s="8" t="str">
        <x:v>Sum squared dev.</x:v>
      </x:c>
      <x:c r="G6" s="8" t="str">
        <x:v>Daily volatility</x:v>
      </x:c>
      <x:c r="H6" s="8" t="str">
        <x:v>Leverage</x:v>
      </x:c>
      <x:c r="I6" s="8" t="str">
        <x:v>Unrounded shares</x:v>
      </x:c>
      <x:c r="J6" s="8" t="str">
        <x:v>Floor shares</x:v>
      </x:c>
      <x:c r="K6" s="8" t="str">
        <x:v>Open source cell</x:v>
      </x:c>
      <x:c r="L6" s="8" t="str">
        <x:v>Prior-close source</x:v>
      </x:c>
    </x:row>
    <x:row r="7" ht="22" customHeight="1">
      <x:c r="A7" s="12" t="n">
        <x:v>45749</x:v>
      </x:c>
      <x:c r="B7" s="9" t="n">
        <x:f>'Daily Equity'!B7</x:f>
        <x:v>100000</x:v>
      </x:c>
      <x:c r="C7" s="9" t="n">
        <x:v>555.3837</x:v>
      </x:c>
      <x:c r="D7" s="9" t="n">
        <x:v>557.7698</x:v>
      </x:c>
      <x:c r="E7" s="10" t="n">
        <x:f>AVERAGE(F17:F30)</x:f>
        <x:v>0.0005481009983608343</x:v>
      </x:c>
      <x:c r="F7" s="15" t="n">
        <x:f>SUM(I17:I30)</x:f>
        <x:v>0.0018381713655686008</x:v>
      </x:c>
      <x:c r="G7" s="10" t="n">
        <x:f>SQRT(F7/('Summary'!$B$17-1))</x:f>
        <x:v>0.011891080579637447</x:v>
      </x:c>
      <x:c r="H7" s="9" t="n">
        <x:f>MIN('Summary'!$B$19,'Summary'!$B$18/G7)</x:f>
        <x:v>1.6819329299852235</x:v>
      </x:c>
      <x:c r="I7" s="9" t="n">
        <x:f>B7*H7/C7</x:f>
        <x:v>302.841608420489</x:v>
      </x:c>
      <x:c r="J7" s="11" t="n">
        <x:f>INT(I7)</x:f>
        <x:v>302</x:v>
      </x:c>
      <x:c r="K7" s="2" t="str">
        <x:v>AV.Clean!B2349</x:v>
      </x:c>
      <x:c r="L7" s="2" t="str">
        <x:v>BBRG.Daily!C170</x:v>
      </x:c>
    </x:row>
    <x:row r="8" ht="22" customHeight="1">
      <x:c r="A8" s="12" t="n">
        <x:v>45841</x:v>
      </x:c>
      <x:c r="B8" s="9" t="n">
        <x:f>'Daily Equity'!B70</x:f>
        <x:v>103627.93779999975</x:v>
      </x:c>
      <x:c r="C8" s="9" t="n">
        <x:v>622.514</x:v>
      </x:c>
      <x:c r="D8" s="9" t="n">
        <x:v>618.7344</x:v>
      </x:c>
      <x:c r="E8" s="10" t="n">
        <x:f>AVERAGE(F31:F44)</x:f>
        <x:v>0.0024666091514983224</x:v>
      </x:c>
      <x:c r="F8" s="15" t="n">
        <x:f>SUM(I31:I44)</x:f>
        <x:v>0.0005740217975755332</x:v>
      </x:c>
      <x:c r="G8" s="10" t="n">
        <x:f>SQRT(F8/('Summary'!$B$17-1))</x:f>
        <x:v>0.006644962218886247</x:v>
      </x:c>
      <x:c r="H8" s="9" t="n">
        <x:f>MIN('Summary'!$B$19,'Summary'!$B$18/G8)</x:f>
        <x:v>3.009798903469488</x:v>
      </x:c>
      <x:c r="I8" s="9" t="n">
        <x:f>B8*H8/C8</x:f>
        <x:v>501.0317094221874</x:v>
      </x:c>
      <x:c r="J8" s="11" t="n">
        <x:f>INT(I8)</x:f>
        <x:v>501</x:v>
      </x:c>
      <x:c r="K8" s="2" t="str">
        <x:v>AV.Clean!B1467</x:v>
      </x:c>
      <x:c r="L8" s="2" t="str">
        <x:v>BBRG.Daily!C107</x:v>
      </x:c>
    </x:row>
    <x:row r="9" ht="22" customHeight="1">
      <x:c r="A9" s="12" t="n">
        <x:v>45940</x:v>
      </x:c>
      <x:c r="B9" s="9" t="n">
        <x:f>'Daily Equity'!B139</x:f>
        <x:v>101698.91599999998</x:v>
      </x:c>
      <x:c r="C9" s="9" t="n">
        <x:v>673.17</x:v>
      </x:c>
      <x:c r="D9" s="9" t="n">
        <x:v>671.16</x:v>
      </x:c>
      <x:c r="E9" s="10" t="n">
        <x:f>AVERAGE(F45:F58)</x:f>
        <x:v>0.0008062952203088392</x:v>
      </x:c>
      <x:c r="F9" s="15" t="n">
        <x:f>SUM(I45:I58)</x:f>
        <x:v>0.00021272634932407064</x:v>
      </x:c>
      <x:c r="G9" s="10" t="n">
        <x:f>SQRT(F9/('Summary'!$B$17-1))</x:f>
        <x:v>0.004045190395101424</x:v>
      </x:c>
      <x:c r="H9" s="9" t="n">
        <x:f>MIN('Summary'!$B$19,'Summary'!$B$18/G9)</x:f>
        <x:v>4</x:v>
      </x:c>
      <x:c r="I9" s="9" t="n">
        <x:f>B9*H9/C9</x:f>
        <x:v>604.2985635129313</x:v>
      </x:c>
      <x:c r="J9" s="11" t="n">
        <x:f>INT(I9)</x:f>
        <x:v>604</x:v>
      </x:c>
      <x:c r="K9" s="2" t="str">
        <x:v>AV.Clean!B503</x:v>
      </x:c>
      <x:c r="L9" s="2" t="str">
        <x:v>BBRG.Daily!C38</x:v>
      </x:c>
    </x:row>
    <x:row r="10" ht="22" customHeight="1">
      <x:c r="A10" s="12" t="n">
        <x:v>45982</x:v>
      </x:c>
      <x:c r="B10" s="9" t="n">
        <x:f>'Daily Equity'!B169</x:f>
        <x:v>112150.37900000006</x:v>
      </x:c>
      <x:c r="C10" s="9" t="n">
        <x:v>654.83</x:v>
      </x:c>
      <x:c r="D10" s="9" t="n">
        <x:v>652.53</x:v>
      </x:c>
      <x:c r="E10" s="10" t="n">
        <x:f>AVERAGE(F59:F72)</x:f>
        <x:v>-0.003118361658067178</x:v>
      </x:c>
      <x:c r="F10" s="15" t="n">
        <x:f>SUM(I59:I72)</x:f>
        <x:v>0.0010649853015245606</x:v>
      </x:c>
      <x:c r="G10" s="10" t="n">
        <x:f>SQRT(F10/('Summary'!$B$17-1))</x:f>
        <x:v>0.009051074315854448</x:v>
      </x:c>
      <x:c r="H10" s="9" t="n">
        <x:f>MIN('Summary'!$B$19,'Summary'!$B$18/G10)</x:f>
        <x:v>2.209682442333581</x:v>
      </x:c>
      <x:c r="I10" s="9" t="n">
        <x:f>B10*H10/C10</x:f>
        <x:v>378.4443647623915</x:v>
      </x:c>
      <x:c r="J10" s="11" t="n">
        <x:f>INT(I10)</x:f>
        <x:v>378</x:v>
      </x:c>
      <x:c r="K10" s="2" t="str">
        <x:v>AV.Clean!B83</x:v>
      </x:c>
      <x:c r="L10" s="2" t="str">
        <x:v>BBRG.Daily!C8</x:v>
      </x:c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36" customHeight="1">
      <x:c r="A16" s="8" t="str">
        <x:v>Target day</x:v>
      </x:c>
      <x:c r="B16" s="8" t="str">
        <x:v>Return date</x:v>
      </x:c>
      <x:c r="C16" s="8" t="str">
        <x:v>Prior date</x:v>
      </x:c>
      <x:c r="D16" s="8" t="str">
        <x:v>Prior close ($)</x:v>
      </x:c>
      <x:c r="E16" s="8" t="str">
        <x:v>Close ($)</x:v>
      </x:c>
      <x:c r="F16" s="8" t="str">
        <x:v>Daily return</x:v>
      </x:c>
      <x:c r="G16" s="8" t="str">
        <x:v>Mean return</x:v>
      </x:c>
      <x:c r="H16" s="8" t="str">
        <x:v>Deviation</x:v>
      </x:c>
      <x:c r="I16" s="8" t="str">
        <x:v>Squared deviation</x:v>
      </x:c>
      <x:c r="J16" s="8" t="str">
        <x:v>Prior-close source</x:v>
      </x:c>
      <x:c r="K16" s="8" t="str">
        <x:v>Close source</x:v>
      </x:c>
      <x:c r="L16" s="2"/>
    </x:row>
    <x:row r="17" ht="22" customHeight="1">
      <x:c r="A17" s="12" t="n">
        <x:v>45749</x:v>
      </x:c>
      <x:c r="B17" s="12" t="n">
        <x:v>45729</x:v>
      </x:c>
      <x:c r="C17" s="12" t="n">
        <x:v>45728</x:v>
      </x:c>
      <x:c r="D17" s="9" t="n">
        <x:v>554.0158</x:v>
      </x:c>
      <x:c r="E17" s="9" t="n">
        <x:v>546.6305</x:v>
      </x:c>
      <x:c r="F17" s="10" t="n">
        <x:f>E17/D17-1</x:f>
        <x:v>-0.013330486242450146</x:v>
      </x:c>
      <x:c r="G17" s="10" t="n">
        <x:f>$E$7</x:f>
        <x:v>0.0005481009983608343</x:v>
      </x:c>
      <x:c r="H17" s="10" t="n">
        <x:f>F17-G17</x:f>
        <x:v>-0.01387858724081098</x:v>
      </x:c>
      <x:c r="I17" s="15" t="n">
        <x:f>H17^2</x:f>
        <x:v>0.00019261518380080133</x:v>
      </x:c>
      <x:c r="J17" s="2" t="str">
        <x:v>BBRG.Daily!C184</x:v>
      </x:c>
      <x:c r="K17" s="2" t="str">
        <x:v>BBRG.Daily!C183</x:v>
      </x:c>
      <x:c r="L17" s="2"/>
    </x:row>
    <x:row r="18" ht="22" customHeight="1">
      <x:c r="A18" s="12" t="n">
        <x:v>45749</x:v>
      </x:c>
      <x:c r="B18" s="12" t="n">
        <x:v>45730</x:v>
      </x:c>
      <x:c r="C18" s="12" t="n">
        <x:v>45729</x:v>
      </x:c>
      <x:c r="D18" s="9" t="n">
        <x:v>546.6305</x:v>
      </x:c>
      <x:c r="E18" s="9" t="n">
        <x:v>557.9216</x:v>
      </x:c>
      <x:c r="F18" s="10" t="n">
        <x:f>E18/D18-1</x:f>
        <x:v>0.020655817778188368</x:v>
      </x:c>
      <x:c r="G18" s="10" t="n">
        <x:f>$E$7</x:f>
        <x:v>0.0005481009983608343</x:v>
      </x:c>
      <x:c r="H18" s="10" t="n">
        <x:f>F18-G18</x:f>
        <x:v>0.020107716779827534</x:v>
      </x:c>
      <x:c r="I18" s="15" t="n">
        <x:f>H18^2</x:f>
        <x:v>0.00040432027409775773</x:v>
      </x:c>
      <x:c r="J18" s="2" t="str">
        <x:v>BBRG.Daily!C183</x:v>
      </x:c>
      <x:c r="K18" s="2" t="str">
        <x:v>BBRG.Daily!C182</x:v>
      </x:c>
      <x:c r="L18" s="2"/>
    </x:row>
    <x:row r="19" ht="22" customHeight="1">
      <x:c r="A19" s="12" t="n">
        <x:v>45749</x:v>
      </x:c>
      <x:c r="B19" s="12" t="n">
        <x:v>45733</x:v>
      </x:c>
      <x:c r="C19" s="12" t="n">
        <x:v>45730</x:v>
      </x:c>
      <x:c r="D19" s="9" t="n">
        <x:v>557.9216</x:v>
      </x:c>
      <x:c r="E19" s="9" t="n">
        <x:v>562.2239</x:v>
      </x:c>
      <x:c r="F19" s="10" t="n">
        <x:f>E19/D19-1</x:f>
        <x:v>0.007711298505022723</x:v>
      </x:c>
      <x:c r="G19" s="10" t="n">
        <x:f>$E$7</x:f>
        <x:v>0.0005481009983608343</x:v>
      </x:c>
      <x:c r="H19" s="10" t="n">
        <x:f>F19-G19</x:f>
        <x:v>0.007163197506661889</x:v>
      </x:c>
      <x:c r="I19" s="15" t="n">
        <x:f>H19^2</x:f>
        <x:v>0.00005131139851944711</x:v>
      </x:c>
      <x:c r="J19" s="2" t="str">
        <x:v>BBRG.Daily!C182</x:v>
      </x:c>
      <x:c r="K19" s="2" t="str">
        <x:v>BBRG.Daily!C181</x:v>
      </x:c>
      <x:c r="L19" s="2"/>
    </x:row>
    <x:row r="20" ht="22" customHeight="1">
      <x:c r="A20" s="12" t="n">
        <x:v>45749</x:v>
      </x:c>
      <x:c r="B20" s="12" t="n">
        <x:v>45734</x:v>
      </x:c>
      <x:c r="C20" s="12" t="n">
        <x:v>45733</x:v>
      </x:c>
      <x:c r="D20" s="9" t="n">
        <x:v>562.2239</x:v>
      </x:c>
      <x:c r="E20" s="9" t="n">
        <x:v>556.1471</x:v>
      </x:c>
      <x:c r="F20" s="10" t="n">
        <x:f>E20/D20-1</x:f>
        <x:v>-0.010808505294776616</x:v>
      </x:c>
      <x:c r="G20" s="10" t="n">
        <x:f>$E$7</x:f>
        <x:v>0.0005481009983608343</x:v>
      </x:c>
      <x:c r="H20" s="10" t="n">
        <x:f>F20-G20</x:f>
        <x:v>-0.01135660629313745</x:v>
      </x:c>
      <x:c r="I20" s="15" t="n">
        <x:f>H20^2</x:f>
        <x:v>0.00012897250649732914</x:v>
      </x:c>
      <x:c r="J20" s="2" t="str">
        <x:v>BBRG.Daily!C181</x:v>
      </x:c>
      <x:c r="K20" s="2" t="str">
        <x:v>BBRG.Daily!C180</x:v>
      </x:c>
      <x:c r="L20" s="2"/>
    </x:row>
    <x:row r="21" ht="22" customHeight="1">
      <x:c r="A21" s="12" t="n">
        <x:v>45749</x:v>
      </x:c>
      <x:c r="B21" s="12" t="n">
        <x:v>45735</x:v>
      </x:c>
      <x:c r="C21" s="12" t="n">
        <x:v>45734</x:v>
      </x:c>
      <x:c r="D21" s="9" t="n">
        <x:v>556.1471</x:v>
      </x:c>
      <x:c r="E21" s="9" t="n">
        <x:v>562.204</x:v>
      </x:c>
      <x:c r="F21" s="10" t="n">
        <x:f>E21/D21-1</x:f>
        <x:v>0.010890823668773919</x:v>
      </x:c>
      <x:c r="G21" s="10" t="n">
        <x:f>$E$7</x:f>
        <x:v>0.0005481009983608343</x:v>
      </x:c>
      <x:c r="H21" s="10" t="n">
        <x:f>F21-G21</x:f>
        <x:v>0.010342722670413085</x:v>
      </x:c>
      <x:c r="I21" s="15" t="n">
        <x:f>H21^2</x:f>
        <x:v>0.00010697191223707677</x:v>
      </x:c>
      <x:c r="J21" s="2" t="str">
        <x:v>BBRG.Daily!C180</x:v>
      </x:c>
      <x:c r="K21" s="2" t="str">
        <x:v>BBRG.Daily!C179</x:v>
      </x:c>
      <x:c r="L21" s="2"/>
    </x:row>
    <x:row r="22" ht="22" customHeight="1">
      <x:c r="A22" s="12" t="n">
        <x:v>45749</x:v>
      </x:c>
      <x:c r="B22" s="12" t="n">
        <x:v>45736</x:v>
      </x:c>
      <x:c r="C22" s="12" t="n">
        <x:v>45735</x:v>
      </x:c>
      <x:c r="D22" s="9" t="n">
        <x:v>562.204</x:v>
      </x:c>
      <x:c r="E22" s="9" t="n">
        <x:v>560.5783</x:v>
      </x:c>
      <x:c r="F22" s="10" t="n">
        <x:f>E22/D22-1</x:f>
        <x:v>-0.0028916549864460572</x:v>
      </x:c>
      <x:c r="G22" s="10" t="n">
        <x:f>$E$7</x:f>
        <x:v>0.0005481009983608343</x:v>
      </x:c>
      <x:c r="H22" s="10" t="n">
        <x:f>F22-G22</x:f>
        <x:v>-0.0034397559848068915</x:v>
      </x:c>
      <x:c r="I22" s="15" t="n">
        <x:f>H22^2</x:f>
        <x:v>0.000011831921235014828</x:v>
      </x:c>
      <x:c r="J22" s="2" t="str">
        <x:v>BBRG.Daily!C179</x:v>
      </x:c>
      <x:c r="K22" s="2" t="str">
        <x:v>BBRG.Daily!C178</x:v>
      </x:c>
      <x:c r="L22" s="2"/>
    </x:row>
    <x:row r="23" ht="22" customHeight="1">
      <x:c r="A23" s="12" t="n">
        <x:v>45749</x:v>
      </x:c>
      <x:c r="B23" s="12" t="n">
        <x:v>45737</x:v>
      </x:c>
      <x:c r="C23" s="12" t="n">
        <x:v>45736</x:v>
      </x:c>
      <x:c r="D23" s="9" t="n">
        <x:v>560.5783</x:v>
      </x:c>
      <x:c r="E23" s="9" t="n">
        <x:v>560.7626</x:v>
      </x:c>
      <x:c r="F23" s="10" t="n">
        <x:f>E23/D23-1</x:f>
        <x:v>0.0003287676315690824</x:v>
      </x:c>
      <x:c r="G23" s="10" t="n">
        <x:f>$E$7</x:f>
        <x:v>0.0005481009983608343</x:v>
      </x:c>
      <x:c r="H23" s="10" t="n">
        <x:f>F23-G23</x:f>
        <x:v>-0.00021933336679175186</x:v>
      </x:c>
      <x:c r="I23" s="15" t="n">
        <x:f>H23^2</x:f>
        <x:v>4.810712578820516e-8</x:v>
      </x:c>
      <x:c r="J23" s="2" t="str">
        <x:v>BBRG.Daily!C178</x:v>
      </x:c>
      <x:c r="K23" s="2" t="str">
        <x:v>BBRG.Daily!C177</x:v>
      </x:c>
      <x:c r="L23" s="2"/>
    </x:row>
    <x:row r="24" ht="22" customHeight="1">
      <x:c r="A24" s="12" t="n">
        <x:v>45749</x:v>
      </x:c>
      <x:c r="B24" s="12" t="n">
        <x:v>45740</x:v>
      </x:c>
      <x:c r="C24" s="12" t="n">
        <x:v>45737</x:v>
      </x:c>
      <x:c r="D24" s="9" t="n">
        <x:v>560.7626</x:v>
      </x:c>
      <x:c r="E24" s="9" t="n">
        <x:v>570.8049</x:v>
      </x:c>
      <x:c r="F24" s="10" t="n">
        <x:f>E24/D24-1</x:f>
        <x:v>0.017908291316146796</x:v>
      </x:c>
      <x:c r="G24" s="10" t="n">
        <x:f>$E$7</x:f>
        <x:v>0.0005481009983608343</x:v>
      </x:c>
      <x:c r="H24" s="10" t="n">
        <x:f>F24-G24</x:f>
        <x:v>0.017360190317785962</x:v>
      </x:c>
      <x:c r="I24" s="15" t="n">
        <x:f>H24^2</x:f>
        <x:v>0.00030137620786974947</x:v>
      </x:c>
      <x:c r="J24" s="2" t="str">
        <x:v>BBRG.Daily!C177</x:v>
      </x:c>
      <x:c r="K24" s="2" t="str">
        <x:v>BBRG.Daily!C176</x:v>
      </x:c>
      <x:c r="L24" s="2"/>
    </x:row>
    <x:row r="25" ht="22" customHeight="1">
      <x:c r="A25" s="12" t="n">
        <x:v>45749</x:v>
      </x:c>
      <x:c r="B25" s="12" t="n">
        <x:v>45741</x:v>
      </x:c>
      <x:c r="C25" s="12" t="n">
        <x:v>45740</x:v>
      </x:c>
      <x:c r="D25" s="9" t="n">
        <x:v>570.8049</x:v>
      </x:c>
      <x:c r="E25" s="9" t="n">
        <x:v>572.1771</x:v>
      </x:c>
      <x:c r="F25" s="10" t="n">
        <x:f>E25/D25-1</x:f>
        <x:v>0.002403973757057809</x:v>
      </x:c>
      <x:c r="G25" s="10" t="n">
        <x:f>$E$7</x:f>
        <x:v>0.0005481009983608343</x:v>
      </x:c>
      <x:c r="H25" s="10" t="n">
        <x:f>F25-G25</x:f>
        <x:v>0.0018558727586969748</x:v>
      </x:c>
      <x:c r="I25" s="15" t="n">
        <x:f>H25^2</x:f>
        <x:v>0.0000034442636964735196</x:v>
      </x:c>
      <x:c r="J25" s="2" t="str">
        <x:v>BBRG.Daily!C176</x:v>
      </x:c>
      <x:c r="K25" s="2" t="str">
        <x:v>BBRG.Daily!C175</x:v>
      </x:c>
      <x:c r="L25" s="2"/>
    </x:row>
    <x:row r="26" ht="22" customHeight="1">
      <x:c r="A26" s="12" t="n">
        <x:v>45749</x:v>
      </x:c>
      <x:c r="B26" s="12" t="n">
        <x:v>45742</x:v>
      </x:c>
      <x:c r="C26" s="12" t="n">
        <x:v>45741</x:v>
      </x:c>
      <x:c r="D26" s="9" t="n">
        <x:v>572.1771</x:v>
      </x:c>
      <x:c r="E26" s="9" t="n">
        <x:v>565.3463</x:v>
      </x:c>
      <x:c r="F26" s="10" t="n">
        <x:f>E26/D26-1</x:f>
        <x:v>-0.011938261772447611</x:v>
      </x:c>
      <x:c r="G26" s="10" t="n">
        <x:f>$E$7</x:f>
        <x:v>0.0005481009983608343</x:v>
      </x:c>
      <x:c r="H26" s="10" t="n">
        <x:f>F26-G26</x:f>
        <x:v>-0.012486362770808446</x:v>
      </x:c>
      <x:c r="I26" s="15" t="n">
        <x:f>H26^2</x:f>
        <x:v>0.00015590925524423116</x:v>
      </x:c>
      <x:c r="J26" s="2" t="str">
        <x:v>BBRG.Daily!C175</x:v>
      </x:c>
      <x:c r="K26" s="2" t="str">
        <x:v>BBRG.Daily!C174</x:v>
      </x:c>
      <x:c r="L26" s="2"/>
    </x:row>
    <x:row r="27" ht="22" customHeight="1">
      <x:c r="A27" s="12" t="n">
        <x:v>45749</x:v>
      </x:c>
      <x:c r="B27" s="12" t="n">
        <x:v>45743</x:v>
      </x:c>
      <x:c r="C27" s="12" t="n">
        <x:v>45742</x:v>
      </x:c>
      <x:c r="D27" s="9" t="n">
        <x:v>565.3463</x:v>
      </x:c>
      <x:c r="E27" s="9" t="n">
        <x:v>563.8449</x:v>
      </x:c>
      <x:c r="F27" s="10" t="n">
        <x:f>E27/D27-1</x:f>
        <x:v>-0.002655717389500878</x:v>
      </x:c>
      <x:c r="G27" s="10" t="n">
        <x:f>$E$7</x:f>
        <x:v>0.0005481009983608343</x:v>
      </x:c>
      <x:c r="H27" s="10" t="n">
        <x:f>F27-G27</x:f>
        <x:v>-0.003203818387861712</x:v>
      </x:c>
      <x:c r="I27" s="15" t="n">
        <x:f>H27^2</x:f>
        <x:v>0.00001026445226240082</x:v>
      </x:c>
      <x:c r="J27" s="2" t="str">
        <x:v>BBRG.Daily!C174</x:v>
      </x:c>
      <x:c r="K27" s="2" t="str">
        <x:v>BBRG.Daily!C173</x:v>
      </x:c>
      <x:c r="L27" s="2"/>
    </x:row>
    <x:row r="28" ht="22" customHeight="1">
      <x:c r="A28" s="12" t="n">
        <x:v>45749</x:v>
      </x:c>
      <x:c r="B28" s="12" t="n">
        <x:v>45744</x:v>
      </x:c>
      <x:c r="C28" s="12" t="n">
        <x:v>45743</x:v>
      </x:c>
      <x:c r="D28" s="9" t="n">
        <x:v>563.8449</x:v>
      </x:c>
      <x:c r="E28" s="9" t="n">
        <x:v>552.4901</x:v>
      </x:c>
      <x:c r="F28" s="10" t="n">
        <x:f>E28/D28-1</x:f>
        <x:v>-0.02013816210805497</x:v>
      </x:c>
      <x:c r="G28" s="10" t="n">
        <x:f>$E$7</x:f>
        <x:v>0.0005481009983608343</x:v>
      </x:c>
      <x:c r="H28" s="10" t="n">
        <x:f>F28-G28</x:f>
        <x:v>-0.020686263106415803</x:v>
      </x:c>
      <x:c r="I28" s="15" t="n">
        <x:f>H28^2</x:f>
        <x:v>0.0004279214813078596</x:v>
      </x:c>
      <x:c r="J28" s="2" t="str">
        <x:v>BBRG.Daily!C173</x:v>
      </x:c>
      <x:c r="K28" s="2" t="str">
        <x:v>BBRG.Daily!C172</x:v>
      </x:c>
      <x:c r="L28" s="2"/>
    </x:row>
    <x:row r="29" ht="22" customHeight="1">
      <x:c r="A29" s="12" t="n">
        <x:v>45749</x:v>
      </x:c>
      <x:c r="B29" s="12" t="n">
        <x:v>45747</x:v>
      </x:c>
      <x:c r="C29" s="12" t="n">
        <x:v>45744</x:v>
      </x:c>
      <x:c r="D29" s="9" t="n">
        <x:v>552.4901</x:v>
      </x:c>
      <x:c r="E29" s="9" t="n">
        <x:v>556.1988</x:v>
      </x:c>
      <x:c r="F29" s="10" t="n">
        <x:f>E29/D29-1</x:f>
        <x:v>0.006712699467375183</x:v>
      </x:c>
      <x:c r="G29" s="10" t="n">
        <x:f>$E$7</x:f>
        <x:v>0.0005481009983608343</x:v>
      </x:c>
      <x:c r="H29" s="10" t="n">
        <x:f>F29-G29</x:f>
        <x:v>0.0061645984690143485</x:v>
      </x:c>
      <x:c r="I29" s="15" t="n">
        <x:f>H29^2</x:f>
        <x:v>0.00003800227428417405</x:v>
      </x:c>
      <x:c r="J29" s="2" t="str">
        <x:v>BBRG.Daily!C172</x:v>
      </x:c>
      <x:c r="K29" s="2" t="str">
        <x:v>BBRG.Daily!C171</x:v>
      </x:c>
      <x:c r="L29" s="2"/>
    </x:row>
    <x:row r="30" ht="22" customHeight="1">
      <x:c r="A30" s="12" t="n">
        <x:v>45749</x:v>
      </x:c>
      <x:c r="B30" s="12" t="n">
        <x:v>45748</x:v>
      </x:c>
      <x:c r="C30" s="12" t="n">
        <x:v>45747</x:v>
      </x:c>
      <x:c r="D30" s="9" t="n">
        <x:v>556.1988</x:v>
      </x:c>
      <x:c r="E30" s="9" t="n">
        <x:v>557.7698</x:v>
      </x:c>
      <x:c r="F30" s="10" t="n">
        <x:f>E30/D30-1</x:f>
        <x:v>0.002824529646594076</x:v>
      </x:c>
      <x:c r="G30" s="10" t="n">
        <x:f>$E$7</x:f>
        <x:v>0.0005481009983608343</x:v>
      </x:c>
      <x:c r="H30" s="10" t="n">
        <x:f>F30-G30</x:f>
        <x:v>0.002276428648233242</x:v>
      </x:c>
      <x:c r="I30" s="15" t="n">
        <x:f>H30^2</x:f>
        <x:v>0.000005182127390497025</x:v>
      </x:c>
      <x:c r="J30" s="2" t="str">
        <x:v>BBRG.Daily!C171</x:v>
      </x:c>
      <x:c r="K30" s="2" t="str">
        <x:v>BBRG.Daily!C170</x:v>
      </x:c>
      <x:c r="L30" s="2"/>
    </x:row>
    <x:row r="31" ht="22" customHeight="1">
      <x:c r="A31" s="12" t="n">
        <x:v>45841</x:v>
      </x:c>
      <x:c r="B31" s="12" t="n">
        <x:v>45820</x:v>
      </x:c>
      <x:c r="C31" s="12" t="n">
        <x:v>45819</x:v>
      </x:c>
      <x:c r="D31" s="9" t="n">
        <x:v>597.9293</x:v>
      </x:c>
      <x:c r="E31" s="9" t="n">
        <x:v>600.3057</x:v>
      </x:c>
      <x:c r="F31" s="10" t="n">
        <x:f>E31/D31-1</x:f>
        <x:v>0.003974382924536446</x:v>
      </x:c>
      <x:c r="G31" s="10" t="n">
        <x:f>$E$8</x:f>
        <x:v>0.0024666091514983224</x:v>
      </x:c>
      <x:c r="H31" s="10" t="n">
        <x:f>F31-G31</x:f>
        <x:v>0.0015077737730381235</x:v>
      </x:c>
      <x:c r="I31" s="15" t="n">
        <x:f>H31^2</x:f>
        <x:v>0.000002273381750661619</x:v>
      </x:c>
      <x:c r="J31" s="2" t="str">
        <x:v>BBRG.Daily!C121</x:v>
      </x:c>
      <x:c r="K31" s="2" t="str">
        <x:v>BBRG.Daily!C120</x:v>
      </x:c>
      <x:c r="L31" s="2"/>
    </x:row>
    <x:row r="32" ht="22" customHeight="1">
      <x:c r="A32" s="12" t="n">
        <x:v>45841</x:v>
      </x:c>
      <x:c r="B32" s="12" t="n">
        <x:v>45821</x:v>
      </x:c>
      <x:c r="C32" s="12" t="n">
        <x:v>45820</x:v>
      </x:c>
      <x:c r="D32" s="9" t="n">
        <x:v>600.3057</x:v>
      </x:c>
      <x:c r="E32" s="9" t="n">
        <x:v>593.5942</x:v>
      </x:c>
      <x:c r="F32" s="10" t="n">
        <x:f>E32/D32-1</x:f>
        <x:v>-0.011180137053504624</x:v>
      </x:c>
      <x:c r="G32" s="10" t="n">
        <x:f>$E$8</x:f>
        <x:v>0.0024666091514983224</x:v>
      </x:c>
      <x:c r="H32" s="10" t="n">
        <x:f>F32-G32</x:f>
        <x:v>-0.013646746205002946</x:v>
      </x:c>
      <x:c r="I32" s="15" t="n">
        <x:f>H32^2</x:f>
        <x:v>0.00018623368198376233</x:v>
      </x:c>
      <x:c r="J32" s="2" t="str">
        <x:v>BBRG.Daily!C120</x:v>
      </x:c>
      <x:c r="K32" s="2" t="str">
        <x:v>BBRG.Daily!C119</x:v>
      </x:c>
      <x:c r="L32" s="2"/>
    </x:row>
    <x:row r="33" ht="22" customHeight="1">
      <x:c r="A33" s="12" t="n">
        <x:v>45841</x:v>
      </x:c>
      <x:c r="B33" s="12" t="n">
        <x:v>45824</x:v>
      </x:c>
      <x:c r="C33" s="12" t="n">
        <x:v>45821</x:v>
      </x:c>
      <x:c r="D33" s="9" t="n">
        <x:v>593.5942</x:v>
      </x:c>
      <x:c r="E33" s="9" t="n">
        <x:v>599.2418</x:v>
      </x:c>
      <x:c r="F33" s="10" t="n">
        <x:f>E33/D33-1</x:f>
        <x:v>0.009514243906022068</x:v>
      </x:c>
      <x:c r="G33" s="10" t="n">
        <x:f>$E$8</x:f>
        <x:v>0.0024666091514983224</x:v>
      </x:c>
      <x:c r="H33" s="10" t="n">
        <x:f>F33-G33</x:f>
        <x:v>0.007047634754523746</x:v>
      </x:c>
      <x:c r="I33" s="15" t="n">
        <x:f>H33^2</x:f>
        <x:v>0.000049669155633170984</x:v>
      </x:c>
      <x:c r="J33" s="2" t="str">
        <x:v>BBRG.Daily!C119</x:v>
      </x:c>
      <x:c r="K33" s="2" t="str">
        <x:v>BBRG.Daily!C118</x:v>
      </x:c>
      <x:c r="L33" s="2"/>
    </x:row>
    <x:row r="34" ht="22" customHeight="1">
      <x:c r="A34" s="12" t="n">
        <x:v>45841</x:v>
      </x:c>
      <x:c r="B34" s="12" t="n">
        <x:v>45825</x:v>
      </x:c>
      <x:c r="C34" s="12" t="n">
        <x:v>45824</x:v>
      </x:c>
      <x:c r="D34" s="9" t="n">
        <x:v>599.2418</x:v>
      </x:c>
      <x:c r="E34" s="9" t="n">
        <x:v>594.1212</x:v>
      </x:c>
      <x:c r="F34" s="10" t="n">
        <x:f>E34/D34-1</x:f>
        <x:v>-0.008545131531211503</x:v>
      </x:c>
      <x:c r="G34" s="10" t="n">
        <x:f>$E$8</x:f>
        <x:v>0.0024666091514983224</x:v>
      </x:c>
      <x:c r="H34" s="10" t="n">
        <x:f>F34-G34</x:f>
        <x:v>-0.011011740682709825</x:v>
      </x:c>
      <x:c r="I34" s="15" t="n">
        <x:f>H34^2</x:f>
        <x:v>0.00012125843286324665</x:v>
      </x:c>
      <x:c r="J34" s="2" t="str">
        <x:v>BBRG.Daily!C118</x:v>
      </x:c>
      <x:c r="K34" s="2" t="str">
        <x:v>BBRG.Daily!C117</x:v>
      </x:c>
      <x:c r="L34" s="2"/>
    </x:row>
    <x:row r="35" ht="22" customHeight="1">
      <x:c r="A35" s="12" t="n">
        <x:v>45841</x:v>
      </x:c>
      <x:c r="B35" s="12" t="n">
        <x:v>45826</x:v>
      </x:c>
      <x:c r="C35" s="12" t="n">
        <x:v>45825</x:v>
      </x:c>
      <x:c r="D35" s="9" t="n">
        <x:v>594.1212</x:v>
      </x:c>
      <x:c r="E35" s="9" t="n">
        <x:v>594.0317</x:v>
      </x:c>
      <x:c r="F35" s="10" t="n">
        <x:f>E35/D35-1</x:f>
        <x:v>-0.0001506426634835245</x:v>
      </x:c>
      <x:c r="G35" s="10" t="n">
        <x:f>$E$8</x:f>
        <x:v>0.0024666091514983224</x:v>
      </x:c>
      <x:c r="H35" s="10" t="n">
        <x:f>F35-G35</x:f>
        <x:v>-0.002617251814981847</x:v>
      </x:c>
      <x:c r="I35" s="15" t="n">
        <x:f>H35^2</x:f>
        <x:v>0.000006850007063025771</x:v>
      </x:c>
      <x:c r="J35" s="2" t="str">
        <x:v>BBRG.Daily!C117</x:v>
      </x:c>
      <x:c r="K35" s="2" t="str">
        <x:v>BBRG.Daily!C116</x:v>
      </x:c>
      <x:c r="L35" s="2"/>
    </x:row>
    <x:row r="36" ht="22" customHeight="1">
      <x:c r="A36" s="12" t="n">
        <x:v>45841</x:v>
      </x:c>
      <x:c r="B36" s="12" t="n">
        <x:v>45828</x:v>
      </x:c>
      <x:c r="C36" s="12" t="n">
        <x:v>45826</x:v>
      </x:c>
      <x:c r="D36" s="9" t="n">
        <x:v>594.0317</x:v>
      </x:c>
      <x:c r="E36" s="9" t="n">
        <x:v>592.6368</x:v>
      </x:c>
      <x:c r="F36" s="10" t="n">
        <x:f>E36/D36-1</x:f>
        <x:v>-0.002348191182389825</x:v>
      </x:c>
      <x:c r="G36" s="10" t="n">
        <x:f>$E$8</x:f>
        <x:v>0.0024666091514983224</x:v>
      </x:c>
      <x:c r="H36" s="10" t="n">
        <x:f>F36-G36</x:f>
        <x:v>-0.004814800333888147</x:v>
      </x:c>
      <x:c r="I36" s="15" t="n">
        <x:f>H36^2</x:f>
        <x:v>0.000023182302255209416</x:v>
      </x:c>
      <x:c r="J36" s="2" t="str">
        <x:v>BBRG.Daily!C116</x:v>
      </x:c>
      <x:c r="K36" s="2" t="str">
        <x:v>BBRG.Daily!C115</x:v>
      </x:c>
      <x:c r="L36" s="2"/>
    </x:row>
    <x:row r="37" ht="22" customHeight="1">
      <x:c r="A37" s="12" t="n">
        <x:v>45841</x:v>
      </x:c>
      <x:c r="B37" s="12" t="n">
        <x:v>45831</x:v>
      </x:c>
      <x:c r="C37" s="12" t="n">
        <x:v>45828</x:v>
      </x:c>
      <x:c r="D37" s="9" t="n">
        <x:v>592.6368</x:v>
      </x:c>
      <x:c r="E37" s="9" t="n">
        <x:v>598.4906</x:v>
      </x:c>
      <x:c r="F37" s="10" t="n">
        <x:f>E37/D37-1</x:f>
        <x:v>0.00987755063472262</x:v>
      </x:c>
      <x:c r="G37" s="10" t="n">
        <x:f>$E$8</x:f>
        <x:v>0.0024666091514983224</x:v>
      </x:c>
      <x:c r="H37" s="10" t="n">
        <x:f>F37-G37</x:f>
        <x:v>0.007410941483224298</x:v>
      </x:c>
      <x:c r="I37" s="15" t="n">
        <x:f>H37^2</x:f>
        <x:v>0.00005492205366777476</x:v>
      </x:c>
      <x:c r="J37" s="2" t="str">
        <x:v>BBRG.Daily!C115</x:v>
      </x:c>
      <x:c r="K37" s="2" t="str">
        <x:v>BBRG.Daily!C114</x:v>
      </x:c>
      <x:c r="L37" s="2"/>
    </x:row>
    <x:row r="38" ht="22" customHeight="1">
      <x:c r="A38" s="12" t="n">
        <x:v>45841</x:v>
      </x:c>
      <x:c r="B38" s="12" t="n">
        <x:v>45832</x:v>
      </x:c>
      <x:c r="C38" s="12" t="n">
        <x:v>45831</x:v>
      </x:c>
      <x:c r="D38" s="9" t="n">
        <x:v>598.4906</x:v>
      </x:c>
      <x:c r="E38" s="9" t="n">
        <x:v>605.1022</x:v>
      </x:c>
      <x:c r="F38" s="10" t="n">
        <x:f>E38/D38-1</x:f>
        <x:v>0.011047124215484816</x:v>
      </x:c>
      <x:c r="G38" s="10" t="n">
        <x:f>$E$8</x:f>
        <x:v>0.0024666091514983224</x:v>
      </x:c>
      <x:c r="H38" s="10" t="n">
        <x:f>F38-G38</x:f>
        <x:v>0.008580515063986494</x:v>
      </x:c>
      <x:c r="I38" s="15" t="n">
        <x:f>H38^2</x:f>
        <x:v>0.00007362523876329914</x:v>
      </x:c>
      <x:c r="J38" s="2" t="str">
        <x:v>BBRG.Daily!C114</x:v>
      </x:c>
      <x:c r="K38" s="2" t="str">
        <x:v>BBRG.Daily!C113</x:v>
      </x:c>
      <x:c r="L38" s="2"/>
    </x:row>
    <x:row r="39" ht="22" customHeight="1">
      <x:c r="A39" s="12" t="n">
        <x:v>45841</x:v>
      </x:c>
      <x:c r="B39" s="12" t="n">
        <x:v>45833</x:v>
      </x:c>
      <x:c r="C39" s="12" t="n">
        <x:v>45832</x:v>
      </x:c>
      <x:c r="D39" s="9" t="n">
        <x:v>605.1022</x:v>
      </x:c>
      <x:c r="E39" s="9" t="n">
        <x:v>605.4413</x:v>
      </x:c>
      <x:c r="F39" s="10" t="n">
        <x:f>E39/D39-1</x:f>
        <x:v>0.0005604012016480198</x:v>
      </x:c>
      <x:c r="G39" s="10" t="n">
        <x:f>$E$8</x:f>
        <x:v>0.0024666091514983224</x:v>
      </x:c>
      <x:c r="H39" s="10" t="n">
        <x:f>F39-G39</x:f>
        <x:v>-0.0019062079498503026</x:v>
      </x:c>
      <x:c r="I39" s="15" t="n">
        <x:f>H39^2</x:f>
        <x:v>0.0000036336287480724937</x:v>
      </x:c>
      <x:c r="J39" s="2" t="str">
        <x:v>BBRG.Daily!C113</x:v>
      </x:c>
      <x:c r="K39" s="2" t="str">
        <x:v>BBRG.Daily!C112</x:v>
      </x:c>
      <x:c r="L39" s="2"/>
    </x:row>
    <x:row r="40" ht="22" customHeight="1">
      <x:c r="A40" s="12" t="n">
        <x:v>45841</x:v>
      </x:c>
      <x:c r="B40" s="12" t="n">
        <x:v>45834</x:v>
      </x:c>
      <x:c r="C40" s="12" t="n">
        <x:v>45833</x:v>
      </x:c>
      <x:c r="D40" s="9" t="n">
        <x:v>605.4413</x:v>
      </x:c>
      <x:c r="E40" s="9" t="n">
        <x:v>610.1782</x:v>
      </x:c>
      <x:c r="F40" s="10" t="n">
        <x:f>E40/D40-1</x:f>
        <x:v>0.007823879870765271</x:v>
      </x:c>
      <x:c r="G40" s="10" t="n">
        <x:f>$E$8</x:f>
        <x:v>0.0024666091514983224</x:v>
      </x:c>
      <x:c r="H40" s="10" t="n">
        <x:f>F40-G40</x:f>
        <x:v>0.005357270719266949</x:v>
      </x:c>
      <x:c r="I40" s="15" t="n">
        <x:f>H40^2</x:f>
        <x:v>0.00002870034955951501</x:v>
      </x:c>
      <x:c r="J40" s="2" t="str">
        <x:v>BBRG.Daily!C112</x:v>
      </x:c>
      <x:c r="K40" s="2" t="str">
        <x:v>BBRG.Daily!C111</x:v>
      </x:c>
      <x:c r="L40" s="2"/>
    </x:row>
    <x:row r="41" ht="22" customHeight="1">
      <x:c r="A41" s="12" t="n">
        <x:v>45841</x:v>
      </x:c>
      <x:c r="B41" s="12" t="n">
        <x:v>45835</x:v>
      </x:c>
      <x:c r="C41" s="12" t="n">
        <x:v>45834</x:v>
      </x:c>
      <x:c r="D41" s="9" t="n">
        <x:v>610.1782</x:v>
      </x:c>
      <x:c r="E41" s="9" t="n">
        <x:v>613.2098</x:v>
      </x:c>
      <x:c r="F41" s="10" t="n">
        <x:f>E41/D41-1</x:f>
        <x:v>0.0049683846456658465</x:v>
      </x:c>
      <x:c r="G41" s="10" t="n">
        <x:f>$E$8</x:f>
        <x:v>0.0024666091514983224</x:v>
      </x:c>
      <x:c r="H41" s="10" t="n">
        <x:f>F41-G41</x:f>
        <x:v>0.002501775494167524</x:v>
      </x:c>
      <x:c r="I41" s="15" t="n">
        <x:f>H41^2</x:f>
        <x:v>0.00000625888062321716</x:v>
      </x:c>
      <x:c r="J41" s="2" t="str">
        <x:v>BBRG.Daily!C111</x:v>
      </x:c>
      <x:c r="K41" s="2" t="str">
        <x:v>BBRG.Daily!C110</x:v>
      </x:c>
      <x:c r="L41" s="2"/>
    </x:row>
    <x:row r="42" ht="22" customHeight="1">
      <x:c r="A42" s="12" t="n">
        <x:v>45841</x:v>
      </x:c>
      <x:c r="B42" s="12" t="n">
        <x:v>45838</x:v>
      </x:c>
      <x:c r="C42" s="12" t="n">
        <x:v>45835</x:v>
      </x:c>
      <x:c r="D42" s="9" t="n">
        <x:v>613.2098</x:v>
      </x:c>
      <x:c r="E42" s="9" t="n">
        <x:v>616.1417</x:v>
      </x:c>
      <x:c r="F42" s="10" t="n">
        <x:f>E42/D42-1</x:f>
        <x:v>0.004781234742171403</x:v>
      </x:c>
      <x:c r="G42" s="10" t="n">
        <x:f>$E$8</x:f>
        <x:v>0.0024666091514983224</x:v>
      </x:c>
      <x:c r="H42" s="10" t="n">
        <x:f>F42-G42</x:f>
        <x:v>0.0023146255906730806</x:v>
      </x:c>
      <x:c r="I42" s="15" t="n">
        <x:f>H42^2</x:f>
        <x:v>0.000005357491624998707</x:v>
      </x:c>
      <x:c r="J42" s="2" t="str">
        <x:v>BBRG.Daily!C110</x:v>
      </x:c>
      <x:c r="K42" s="2" t="str">
        <x:v>BBRG.Daily!C109</x:v>
      </x:c>
      <x:c r="L42" s="2"/>
    </x:row>
    <x:row r="43" ht="22" customHeight="1">
      <x:c r="A43" s="12" t="n">
        <x:v>45841</x:v>
      </x:c>
      <x:c r="B43" s="12" t="n">
        <x:v>45839</x:v>
      </x:c>
      <x:c r="C43" s="12" t="n">
        <x:v>45838</x:v>
      </x:c>
      <x:c r="D43" s="9" t="n">
        <x:v>616.1417</x:v>
      </x:c>
      <x:c r="E43" s="9" t="n">
        <x:v>615.9422</x:v>
      </x:c>
      <x:c r="F43" s="10" t="n">
        <x:f>E43/D43-1</x:f>
        <x:v>-0.0003237891543456106</x:v>
      </x:c>
      <x:c r="G43" s="10" t="n">
        <x:f>$E$8</x:f>
        <x:v>0.0024666091514983224</x:v>
      </x:c>
      <x:c r="H43" s="10" t="n">
        <x:f>F43-G43</x:f>
        <x:v>-0.002790398305843933</x:v>
      </x:c>
      <x:c r="I43" s="15" t="n">
        <x:f>H43^2</x:f>
        <x:v>0.000007786322705256692</x:v>
      </x:c>
      <x:c r="J43" s="2" t="str">
        <x:v>BBRG.Daily!C109</x:v>
      </x:c>
      <x:c r="K43" s="2" t="str">
        <x:v>BBRG.Daily!C108</x:v>
      </x:c>
      <x:c r="L43" s="2"/>
    </x:row>
    <x:row r="44" ht="22" customHeight="1">
      <x:c r="A44" s="12" t="n">
        <x:v>45841</x:v>
      </x:c>
      <x:c r="B44" s="12" t="n">
        <x:v>45840</x:v>
      </x:c>
      <x:c r="C44" s="12" t="n">
        <x:v>45839</x:v>
      </x:c>
      <x:c r="D44" s="9" t="n">
        <x:v>615.9422</x:v>
      </x:c>
      <x:c r="E44" s="9" t="n">
        <x:v>618.7344</x:v>
      </x:c>
      <x:c r="F44" s="10" t="n">
        <x:f>E44/D44-1</x:f>
        <x:v>0.004533217564895109</x:v>
      </x:c>
      <x:c r="G44" s="10" t="n">
        <x:f>$E$8</x:f>
        <x:v>0.0024666091514983224</x:v>
      </x:c>
      <x:c r="H44" s="10" t="n">
        <x:f>F44-G44</x:f>
        <x:v>0.0020666084133967866</x:v>
      </x:c>
      <x:c r="I44" s="15" t="n">
        <x:f>H44^2</x:f>
        <x:v>0.0000042708703343223835</x:v>
      </x:c>
      <x:c r="J44" s="2" t="str">
        <x:v>BBRG.Daily!C108</x:v>
      </x:c>
      <x:c r="K44" s="2" t="str">
        <x:v>BBRG.Daily!C107</x:v>
      </x:c>
      <x:c r="L44" s="2"/>
    </x:row>
    <x:row r="45" ht="22" customHeight="1">
      <x:c r="A45" s="12" t="n">
        <x:v>45940</x:v>
      </x:c>
      <x:c r="B45" s="12" t="n">
        <x:v>45922</x:v>
      </x:c>
      <x:c r="C45" s="12" t="n">
        <x:v>45919</x:v>
      </x:c>
      <x:c r="D45" s="9" t="n">
        <x:v>663.7</x:v>
      </x:c>
      <x:c r="E45" s="9" t="n">
        <x:v>666.84</x:v>
      </x:c>
      <x:c r="F45" s="10" t="n">
        <x:f>E45/D45-1</x:f>
        <x:v>0.004731053186680656</x:v>
      </x:c>
      <x:c r="G45" s="10" t="n">
        <x:f>$E$9</x:f>
        <x:v>0.0008062952203088392</x:v>
      </x:c>
      <x:c r="H45" s="10" t="n">
        <x:f>F45-G45</x:f>
        <x:v>0.003924757966371817</x:v>
      </x:c>
      <x:c r="I45" s="15" t="n">
        <x:f>H45^2</x:f>
        <x:v>0.00001540372509459904</x:v>
      </x:c>
      <x:c r="J45" s="2" t="str">
        <x:v>BBRG.Daily!C52</x:v>
      </x:c>
      <x:c r="K45" s="2" t="str">
        <x:v>BBRG.Daily!C51</x:v>
      </x:c>
      <x:c r="L45" s="2"/>
    </x:row>
    <x:row r="46" ht="22" customHeight="1">
      <x:c r="A46" s="12" t="n">
        <x:v>45940</x:v>
      </x:c>
      <x:c r="B46" s="12" t="n">
        <x:v>45923</x:v>
      </x:c>
      <x:c r="C46" s="12" t="n">
        <x:v>45922</x:v>
      </x:c>
      <x:c r="D46" s="9" t="n">
        <x:v>666.84</x:v>
      </x:c>
      <x:c r="E46" s="9" t="n">
        <x:v>663.21</x:v>
      </x:c>
      <x:c r="F46" s="10" t="n">
        <x:f>E46/D46-1</x:f>
        <x:v>-0.005443584667986334</x:v>
      </x:c>
      <x:c r="G46" s="10" t="n">
        <x:f>$E$9</x:f>
        <x:v>0.0008062952203088392</x:v>
      </x:c>
      <x:c r="H46" s="10" t="n">
        <x:f>F46-G46</x:f>
        <x:v>-0.006249879888295173</x:v>
      </x:c>
      <x:c r="I46" s="15" t="n">
        <x:f>H46^2</x:f>
        <x:v>0.00003906099861811649</x:v>
      </x:c>
      <x:c r="J46" s="2" t="str">
        <x:v>BBRG.Daily!C51</x:v>
      </x:c>
      <x:c r="K46" s="2" t="str">
        <x:v>BBRG.Daily!C50</x:v>
      </x:c>
      <x:c r="L46" s="2"/>
    </x:row>
    <x:row r="47" ht="22" customHeight="1">
      <x:c r="A47" s="12" t="n">
        <x:v>45940</x:v>
      </x:c>
      <x:c r="B47" s="12" t="n">
        <x:v>45924</x:v>
      </x:c>
      <x:c r="C47" s="12" t="n">
        <x:v>45923</x:v>
      </x:c>
      <x:c r="D47" s="9" t="n">
        <x:v>663.21</x:v>
      </x:c>
      <x:c r="E47" s="9" t="n">
        <x:v>661.1</x:v>
      </x:c>
      <x:c r="F47" s="10" t="n">
        <x:f>E47/D47-1</x:f>
        <x:v>-0.003181496057055866</x:v>
      </x:c>
      <x:c r="G47" s="10" t="n">
        <x:f>$E$9</x:f>
        <x:v>0.0008062952203088392</x:v>
      </x:c>
      <x:c r="H47" s="10" t="n">
        <x:f>F47-G47</x:f>
        <x:v>-0.003987791277364705</x:v>
      </x:c>
      <x:c r="I47" s="15" t="n">
        <x:f>H47^2</x:f>
        <x:v>0.000015902479271826027</x:v>
      </x:c>
      <x:c r="J47" s="2" t="str">
        <x:v>BBRG.Daily!C50</x:v>
      </x:c>
      <x:c r="K47" s="2" t="str">
        <x:v>BBRG.Daily!C49</x:v>
      </x:c>
      <x:c r="L47" s="2"/>
    </x:row>
    <x:row r="48" ht="22" customHeight="1">
      <x:c r="A48" s="12" t="n">
        <x:v>45940</x:v>
      </x:c>
      <x:c r="B48" s="12" t="n">
        <x:v>45925</x:v>
      </x:c>
      <x:c r="C48" s="12" t="n">
        <x:v>45924</x:v>
      </x:c>
      <x:c r="D48" s="9" t="n">
        <x:v>661.1</x:v>
      </x:c>
      <x:c r="E48" s="9" t="n">
        <x:v>658.05</x:v>
      </x:c>
      <x:c r="F48" s="10" t="n">
        <x:f>E48/D48-1</x:f>
        <x:v>-0.004613522916351642</x:v>
      </x:c>
      <x:c r="G48" s="10" t="n">
        <x:f>$E$9</x:f>
        <x:v>0.0008062952203088392</x:v>
      </x:c>
      <x:c r="H48" s="10" t="n">
        <x:f>F48-G48</x:f>
        <x:v>-0.005419818136660481</x:v>
      </x:c>
      <x:c r="I48" s="15" t="n">
        <x:f>H48^2</x:f>
        <x:v>0.000029374428634473893</x:v>
      </x:c>
      <x:c r="J48" s="2" t="str">
        <x:v>BBRG.Daily!C49</x:v>
      </x:c>
      <x:c r="K48" s="2" t="str">
        <x:v>BBRG.Daily!C48</x:v>
      </x:c>
      <x:c r="L48" s="2"/>
    </x:row>
    <x:row r="49" ht="22" customHeight="1">
      <x:c r="A49" s="12" t="n">
        <x:v>45940</x:v>
      </x:c>
      <x:c r="B49" s="12" t="n">
        <x:v>45926</x:v>
      </x:c>
      <x:c r="C49" s="12" t="n">
        <x:v>45925</x:v>
      </x:c>
      <x:c r="D49" s="9" t="n">
        <x:v>658.05</x:v>
      </x:c>
      <x:c r="E49" s="9" t="n">
        <x:v>661.82</x:v>
      </x:c>
      <x:c r="F49" s="10" t="n">
        <x:f>E49/D49-1</x:f>
        <x:v>0.005729047944685206</x:v>
      </x:c>
      <x:c r="G49" s="10" t="n">
        <x:f>$E$9</x:f>
        <x:v>0.0008062952203088392</x:v>
      </x:c>
      <x:c r="H49" s="10" t="n">
        <x:f>F49-G49</x:f>
        <x:v>0.004922752724376367</x:v>
      </x:c>
      <x:c r="I49" s="15" t="n">
        <x:f>H49^2</x:f>
        <x:v>0.000024233494385354944</x:v>
      </x:c>
      <x:c r="J49" s="2" t="str">
        <x:v>BBRG.Daily!C48</x:v>
      </x:c>
      <x:c r="K49" s="2" t="str">
        <x:v>BBRG.Daily!C47</x:v>
      </x:c>
      <x:c r="L49" s="2"/>
    </x:row>
    <x:row r="50" ht="22" customHeight="1">
      <x:c r="A50" s="12" t="n">
        <x:v>45940</x:v>
      </x:c>
      <x:c r="B50" s="12" t="n">
        <x:v>45929</x:v>
      </x:c>
      <x:c r="C50" s="12" t="n">
        <x:v>45926</x:v>
      </x:c>
      <x:c r="D50" s="9" t="n">
        <x:v>661.82</x:v>
      </x:c>
      <x:c r="E50" s="9" t="n">
        <x:v>663.68</x:v>
      </x:c>
      <x:c r="F50" s="10" t="n">
        <x:f>E50/D50-1</x:f>
        <x:v>0.0028104318394728267</x:v>
      </x:c>
      <x:c r="G50" s="10" t="n">
        <x:f>$E$9</x:f>
        <x:v>0.0008062952203088392</x:v>
      </x:c>
      <x:c r="H50" s="10" t="n">
        <x:f>F50-G50</x:f>
        <x:v>0.0020041366191639876</x:v>
      </x:c>
      <x:c r="I50" s="15" t="n">
        <x:f>H50^2</x:f>
        <x:v>0.000004016563588274058</x:v>
      </x:c>
      <x:c r="J50" s="2" t="str">
        <x:v>BBRG.Daily!C47</x:v>
      </x:c>
      <x:c r="K50" s="2" t="str">
        <x:v>BBRG.Daily!C46</x:v>
      </x:c>
      <x:c r="L50" s="2"/>
    </x:row>
    <x:row r="51" ht="22" customHeight="1">
      <x:c r="A51" s="12" t="n">
        <x:v>45940</x:v>
      </x:c>
      <x:c r="B51" s="12" t="n">
        <x:v>45930</x:v>
      </x:c>
      <x:c r="C51" s="12" t="n">
        <x:v>45929</x:v>
      </x:c>
      <x:c r="D51" s="9" t="n">
        <x:v>663.68</x:v>
      </x:c>
      <x:c r="E51" s="9" t="n">
        <x:v>666.18</x:v>
      </x:c>
      <x:c r="F51" s="10" t="n">
        <x:f>E51/D51-1</x:f>
        <x:v>0.0037668756027000594</x:v>
      </x:c>
      <x:c r="G51" s="10" t="n">
        <x:f>$E$9</x:f>
        <x:v>0.0008062952203088392</x:v>
      </x:c>
      <x:c r="H51" s="10" t="n">
        <x:f>F51-G51</x:f>
        <x:v>0.0029605803823912202</x:v>
      </x:c>
      <x:c r="I51" s="15" t="n">
        <x:f>H51^2</x:f>
        <x:v>0.000008765036200599743</x:v>
      </x:c>
      <x:c r="J51" s="2" t="str">
        <x:v>BBRG.Daily!C46</x:v>
      </x:c>
      <x:c r="K51" s="2" t="str">
        <x:v>BBRG.Daily!C45</x:v>
      </x:c>
      <x:c r="L51" s="2"/>
    </x:row>
    <x:row r="52" ht="22" customHeight="1">
      <x:c r="A52" s="12" t="n">
        <x:v>45940</x:v>
      </x:c>
      <x:c r="B52" s="12" t="n">
        <x:v>45931</x:v>
      </x:c>
      <x:c r="C52" s="12" t="n">
        <x:v>45930</x:v>
      </x:c>
      <x:c r="D52" s="9" t="n">
        <x:v>666.18</x:v>
      </x:c>
      <x:c r="E52" s="9" t="n">
        <x:v>668.45</x:v>
      </x:c>
      <x:c r="F52" s="10" t="n">
        <x:f>E52/D52-1</x:f>
        <x:v>0.0034074874658502896</x:v>
      </x:c>
      <x:c r="G52" s="10" t="n">
        <x:f>$E$9</x:f>
        <x:v>0.0008062952203088392</x:v>
      </x:c>
      <x:c r="H52" s="10" t="n">
        <x:f>F52-G52</x:f>
        <x:v>0.0026011922455414505</x:v>
      </x:c>
      <x:c r="I52" s="15" t="n">
        <x:f>H52^2</x:f>
        <x:v>0.000006766201098264973</x:v>
      </x:c>
      <x:c r="J52" s="2" t="str">
        <x:v>BBRG.Daily!C45</x:v>
      </x:c>
      <x:c r="K52" s="2" t="str">
        <x:v>BBRG.Daily!C44</x:v>
      </x:c>
      <x:c r="L52" s="2"/>
    </x:row>
    <x:row r="53" ht="22" customHeight="1">
      <x:c r="A53" s="12" t="n">
        <x:v>45940</x:v>
      </x:c>
      <x:c r="B53" s="12" t="n">
        <x:v>45932</x:v>
      </x:c>
      <x:c r="C53" s="12" t="n">
        <x:v>45931</x:v>
      </x:c>
      <x:c r="D53" s="9" t="n">
        <x:v>668.45</x:v>
      </x:c>
      <x:c r="E53" s="9" t="n">
        <x:v>669.22</x:v>
      </x:c>
      <x:c r="F53" s="10" t="n">
        <x:f>E53/D53-1</x:f>
        <x:v>0.0011519186176975893</x:v>
      </x:c>
      <x:c r="G53" s="10" t="n">
        <x:f>$E$9</x:f>
        <x:v>0.0008062952203088392</x:v>
      </x:c>
      <x:c r="H53" s="10" t="n">
        <x:f>F53-G53</x:f>
        <x:v>0.00034562339738875014</x:v>
      </x:c>
      <x:c r="I53" s="15" t="n">
        <x:f>H53^2</x:f>
        <x:v>1.194555328225419e-7</x:v>
      </x:c>
      <x:c r="J53" s="2" t="str">
        <x:v>BBRG.Daily!C44</x:v>
      </x:c>
      <x:c r="K53" s="2" t="str">
        <x:v>BBRG.Daily!C43</x:v>
      </x:c>
      <x:c r="L53" s="2"/>
    </x:row>
    <x:row r="54" ht="22" customHeight="1">
      <x:c r="A54" s="12" t="n">
        <x:v>45940</x:v>
      </x:c>
      <x:c r="B54" s="12" t="n">
        <x:v>45933</x:v>
      </x:c>
      <x:c r="C54" s="12" t="n">
        <x:v>45932</x:v>
      </x:c>
      <x:c r="D54" s="9" t="n">
        <x:v>669.22</x:v>
      </x:c>
      <x:c r="E54" s="9" t="n">
        <x:v>669.21</x:v>
      </x:c>
      <x:c r="F54" s="10" t="n">
        <x:f>E54/D54-1</x:f>
        <x:v>-0.000014942769194004057</x:v>
      </x:c>
      <x:c r="G54" s="10" t="n">
        <x:f>$E$9</x:f>
        <x:v>0.0008062952203088392</x:v>
      </x:c>
      <x:c r="H54" s="10" t="n">
        <x:f>F54-G54</x:f>
        <x:v>-0.0008212379895028432</x:v>
      </x:c>
      <x:c r="I54" s="15" t="n">
        <x:f>H54^2</x:f>
        <x:v>6.74431835402672e-7</x:v>
      </x:c>
      <x:c r="J54" s="2" t="str">
        <x:v>BBRG.Daily!C43</x:v>
      </x:c>
      <x:c r="K54" s="2" t="str">
        <x:v>BBRG.Daily!C42</x:v>
      </x:c>
      <x:c r="L54" s="2"/>
    </x:row>
    <x:row r="55" ht="22" customHeight="1">
      <x:c r="A55" s="12" t="n">
        <x:v>45940</x:v>
      </x:c>
      <x:c r="B55" s="12" t="n">
        <x:v>45936</x:v>
      </x:c>
      <x:c r="C55" s="12" t="n">
        <x:v>45933</x:v>
      </x:c>
      <x:c r="D55" s="9" t="n">
        <x:v>669.21</x:v>
      </x:c>
      <x:c r="E55" s="9" t="n">
        <x:v>671.61</x:v>
      </x:c>
      <x:c r="F55" s="10" t="n">
        <x:f>E55/D55-1</x:f>
        <x:v>0.0035863181960820167</x:v>
      </x:c>
      <x:c r="G55" s="10" t="n">
        <x:f>$E$9</x:f>
        <x:v>0.0008062952203088392</x:v>
      </x:c>
      <x:c r="H55" s="10" t="n">
        <x:f>F55-G55</x:f>
        <x:v>0.0027800229757731776</x:v>
      </x:c>
      <x:c r="I55" s="15" t="n">
        <x:f>H55^2</x:f>
        <x:v>0.000007728527745826753</x:v>
      </x:c>
      <x:c r="J55" s="2" t="str">
        <x:v>BBRG.Daily!C42</x:v>
      </x:c>
      <x:c r="K55" s="2" t="str">
        <x:v>BBRG.Daily!C41</x:v>
      </x:c>
      <x:c r="L55" s="2"/>
    </x:row>
    <x:row r="56" ht="22" customHeight="1">
      <x:c r="A56" s="12" t="n">
        <x:v>45940</x:v>
      </x:c>
      <x:c r="B56" s="12" t="n">
        <x:v>45937</x:v>
      </x:c>
      <x:c r="C56" s="12" t="n">
        <x:v>45936</x:v>
      </x:c>
      <x:c r="D56" s="9" t="n">
        <x:v>671.61</x:v>
      </x:c>
      <x:c r="E56" s="9" t="n">
        <x:v>669.12</x:v>
      </x:c>
      <x:c r="F56" s="10" t="n">
        <x:f>E56/D56-1</x:f>
        <x:v>-0.00370750882208426</x:v>
      </x:c>
      <x:c r="G56" s="10" t="n">
        <x:f>$E$9</x:f>
        <x:v>0.0008062952203088392</x:v>
      </x:c>
      <x:c r="H56" s="10" t="n">
        <x:f>F56-G56</x:f>
        <x:v>-0.004513804042393099</x:v>
      </x:c>
      <x:c r="I56" s="15" t="n">
        <x:f>H56^2</x:f>
        <x:v>0.000020374426933124282</x:v>
      </x:c>
      <x:c r="J56" s="2" t="str">
        <x:v>BBRG.Daily!C41</x:v>
      </x:c>
      <x:c r="K56" s="2" t="str">
        <x:v>BBRG.Daily!C40</x:v>
      </x:c>
      <x:c r="L56" s="2"/>
    </x:row>
    <x:row r="57" ht="22" customHeight="1">
      <x:c r="A57" s="12" t="n">
        <x:v>45940</x:v>
      </x:c>
      <x:c r="B57" s="12" t="n">
        <x:v>45938</x:v>
      </x:c>
      <x:c r="C57" s="12" t="n">
        <x:v>45937</x:v>
      </x:c>
      <x:c r="D57" s="9" t="n">
        <x:v>669.12</x:v>
      </x:c>
      <x:c r="E57" s="9" t="n">
        <x:v>673.11</x:v>
      </x:c>
      <x:c r="F57" s="10" t="n">
        <x:f>E57/D57-1</x:f>
        <x:v>0.005963055954088858</x:v>
      </x:c>
      <x:c r="G57" s="10" t="n">
        <x:f>$E$9</x:f>
        <x:v>0.0008062952203088392</x:v>
      </x:c>
      <x:c r="H57" s="10" t="n">
        <x:f>F57-G57</x:f>
        <x:v>0.005156760733780019</x:v>
      </x:c>
      <x:c r="I57" s="15" t="n">
        <x:f>H57^2</x:f>
        <x:v>0.00002659218126545544</x:v>
      </x:c>
      <x:c r="J57" s="2" t="str">
        <x:v>BBRG.Daily!C40</x:v>
      </x:c>
      <x:c r="K57" s="2" t="str">
        <x:v>BBRG.Daily!C39</x:v>
      </x:c>
      <x:c r="L57" s="2"/>
    </x:row>
    <x:row r="58" ht="22" customHeight="1">
      <x:c r="A58" s="12" t="n">
        <x:v>45940</x:v>
      </x:c>
      <x:c r="B58" s="12" t="n">
        <x:v>45939</x:v>
      </x:c>
      <x:c r="C58" s="12" t="n">
        <x:v>45938</x:v>
      </x:c>
      <x:c r="D58" s="9" t="n">
        <x:v>673.11</x:v>
      </x:c>
      <x:c r="E58" s="9" t="n">
        <x:v>671.16</x:v>
      </x:c>
      <x:c r="F58" s="10" t="n">
        <x:f>E58/D58-1</x:f>
        <x:v>-0.0028970004902616475</x:v>
      </x:c>
      <x:c r="G58" s="10" t="n">
        <x:f>$E$9</x:f>
        <x:v>0.0008062952203088392</x:v>
      </x:c>
      <x:c r="H58" s="10" t="n">
        <x:f>F58-G58</x:f>
        <x:v>-0.0037032957105704867</x:v>
      </x:c>
      <x:c r="I58" s="15" t="n">
        <x:f>H58^2</x:f>
        <x:v>0.000013714399119929766</x:v>
      </x:c>
      <x:c r="J58" s="2" t="str">
        <x:v>BBRG.Daily!C39</x:v>
      </x:c>
      <x:c r="K58" s="2" t="str">
        <x:v>BBRG.Daily!C38</x:v>
      </x:c>
      <x:c r="L58" s="2"/>
    </x:row>
    <x:row r="59" ht="22" customHeight="1">
      <x:c r="A59" s="12" t="n">
        <x:v>45982</x:v>
      </x:c>
      <x:c r="B59" s="12" t="n">
        <x:v>45964</x:v>
      </x:c>
      <x:c r="C59" s="12" t="n">
        <x:v>45961</x:v>
      </x:c>
      <x:c r="D59" s="9" t="n">
        <x:v>682.06</x:v>
      </x:c>
      <x:c r="E59" s="9" t="n">
        <x:v>683.34</x:v>
      </x:c>
      <x:c r="F59" s="10" t="n">
        <x:f>E59/D59-1</x:f>
        <x:v>0.0018766677418409206</x:v>
      </x:c>
      <x:c r="G59" s="10" t="n">
        <x:f>$E$10</x:f>
        <x:v>-0.003118361658067178</x:v>
      </x:c>
      <x:c r="H59" s="10" t="n">
        <x:f>F59-G59</x:f>
        <x:v>0.004995029399908099</x:v>
      </x:c>
      <x:c r="I59" s="15" t="n">
        <x:f>H59^2</x:f>
        <x:v>0.00002495031870594626</x:v>
      </x:c>
      <x:c r="J59" s="2" t="str">
        <x:v>BBRG.Daily!C22</x:v>
      </x:c>
      <x:c r="K59" s="2" t="str">
        <x:v>BBRG.Daily!C21</x:v>
      </x:c>
      <x:c r="L59" s="2"/>
    </x:row>
    <x:row r="60" ht="22" customHeight="1">
      <x:c r="A60" s="12" t="n">
        <x:v>45982</x:v>
      </x:c>
      <x:c r="B60" s="12" t="n">
        <x:v>45965</x:v>
      </x:c>
      <x:c r="C60" s="12" t="n">
        <x:v>45964</x:v>
      </x:c>
      <x:c r="D60" s="9" t="n">
        <x:v>683.34</x:v>
      </x:c>
      <x:c r="E60" s="9" t="n">
        <x:v>675.24</x:v>
      </x:c>
      <x:c r="F60" s="10" t="n">
        <x:f>E60/D60-1</x:f>
        <x:v>-0.01185354289226448</x:v>
      </x:c>
      <x:c r="G60" s="10" t="n">
        <x:f>$E$10</x:f>
        <x:v>-0.003118361658067178</x:v>
      </x:c>
      <x:c r="H60" s="10" t="n">
        <x:f>F60-G60</x:f>
        <x:v>-0.008735181234197302</x:v>
      </x:c>
      <x:c r="I60" s="15" t="n">
        <x:f>H60^2</x:f>
        <x:v>0.0000763033911942727</x:v>
      </x:c>
      <x:c r="J60" s="2" t="str">
        <x:v>BBRG.Daily!C21</x:v>
      </x:c>
      <x:c r="K60" s="2" t="str">
        <x:v>BBRG.Daily!C20</x:v>
      </x:c>
      <x:c r="L60" s="2"/>
    </x:row>
    <x:row r="61" ht="22" customHeight="1">
      <x:c r="A61" s="12" t="n">
        <x:v>45982</x:v>
      </x:c>
      <x:c r="B61" s="12" t="n">
        <x:v>45966</x:v>
      </x:c>
      <x:c r="C61" s="12" t="n">
        <x:v>45965</x:v>
      </x:c>
      <x:c r="D61" s="9" t="n">
        <x:v>675.24</x:v>
      </x:c>
      <x:c r="E61" s="9" t="n">
        <x:v>677.58</x:v>
      </x:c>
      <x:c r="F61" s="10" t="n">
        <x:f>E61/D61-1</x:f>
        <x:v>0.0034654345121734043</x:v>
      </x:c>
      <x:c r="G61" s="10" t="n">
        <x:f>$E$10</x:f>
        <x:v>-0.003118361658067178</x:v>
      </x:c>
      <x:c r="H61" s="10" t="n">
        <x:f>F61-G61</x:f>
        <x:v>0.006583796170240582</x:v>
      </x:c>
      <x:c r="I61" s="15" t="n">
        <x:f>H61^2</x:f>
        <x:v>0.000043346372011274556</x:v>
      </x:c>
      <x:c r="J61" s="2" t="str">
        <x:v>BBRG.Daily!C20</x:v>
      </x:c>
      <x:c r="K61" s="2" t="str">
        <x:v>BBRG.Daily!C19</x:v>
      </x:c>
      <x:c r="L61" s="2"/>
    </x:row>
    <x:row r="62" ht="22" customHeight="1">
      <x:c r="A62" s="12" t="n">
        <x:v>45982</x:v>
      </x:c>
      <x:c r="B62" s="12" t="n">
        <x:v>45967</x:v>
      </x:c>
      <x:c r="C62" s="12" t="n">
        <x:v>45966</x:v>
      </x:c>
      <x:c r="D62" s="9" t="n">
        <x:v>677.58</x:v>
      </x:c>
      <x:c r="E62" s="9" t="n">
        <x:v>670.31</x:v>
      </x:c>
      <x:c r="F62" s="10" t="n">
        <x:f>E62/D62-1</x:f>
        <x:v>-0.010729360370731245</x:v>
      </x:c>
      <x:c r="G62" s="10" t="n">
        <x:f>$E$10</x:f>
        <x:v>-0.003118361658067178</x:v>
      </x:c>
      <x:c r="H62" s="10" t="n">
        <x:f>F62-G62</x:f>
        <x:v>-0.0076109987126640665</x:v>
      </x:c>
      <x:c r="I62" s="15" t="n">
        <x:f>H62^2</x:f>
        <x:v>0.000057927301404174076</x:v>
      </x:c>
      <x:c r="J62" s="2" t="str">
        <x:v>BBRG.Daily!C19</x:v>
      </x:c>
      <x:c r="K62" s="2" t="str">
        <x:v>BBRG.Daily!C18</x:v>
      </x:c>
      <x:c r="L62" s="2"/>
    </x:row>
    <x:row r="63" ht="22" customHeight="1">
      <x:c r="A63" s="12" t="n">
        <x:v>45982</x:v>
      </x:c>
      <x:c r="B63" s="12" t="n">
        <x:v>45968</x:v>
      </x:c>
      <x:c r="C63" s="12" t="n">
        <x:v>45967</x:v>
      </x:c>
      <x:c r="D63" s="9" t="n">
        <x:v>670.31</x:v>
      </x:c>
      <x:c r="E63" s="9" t="n">
        <x:v>670.97</x:v>
      </x:c>
      <x:c r="F63" s="10" t="n">
        <x:f>E63/D63-1</x:f>
        <x:v>0.000984619056854319</x:v>
      </x:c>
      <x:c r="G63" s="10" t="n">
        <x:f>$E$10</x:f>
        <x:v>-0.003118361658067178</x:v>
      </x:c>
      <x:c r="H63" s="10" t="n">
        <x:f>F63-G63</x:f>
        <x:v>0.004102980714921497</x:v>
      </x:c>
      <x:c r="I63" s="15" t="n">
        <x:f>H63^2</x:f>
        <x:v>0.00001683445074701772</x:v>
      </x:c>
      <x:c r="J63" s="2" t="str">
        <x:v>BBRG.Daily!C18</x:v>
      </x:c>
      <x:c r="K63" s="2" t="str">
        <x:v>BBRG.Daily!C17</x:v>
      </x:c>
      <x:c r="L63" s="2"/>
    </x:row>
    <x:row r="64" ht="22" customHeight="1">
      <x:c r="A64" s="12" t="n">
        <x:v>45982</x:v>
      </x:c>
      <x:c r="B64" s="12" t="n">
        <x:v>45971</x:v>
      </x:c>
      <x:c r="C64" s="12" t="n">
        <x:v>45968</x:v>
      </x:c>
      <x:c r="D64" s="9" t="n">
        <x:v>670.97</x:v>
      </x:c>
      <x:c r="E64" s="9" t="n">
        <x:v>681.44</x:v>
      </x:c>
      <x:c r="F64" s="10" t="n">
        <x:f>E64/D64-1</x:f>
        <x:v>0.015604274408691943</x:v>
      </x:c>
      <x:c r="G64" s="10" t="n">
        <x:f>$E$10</x:f>
        <x:v>-0.003118361658067178</x:v>
      </x:c>
      <x:c r="H64" s="10" t="n">
        <x:f>F64-G64</x:f>
        <x:v>0.01872263606675912</x:v>
      </x:c>
      <x:c r="I64" s="15" t="n">
        <x:f>H64^2</x:f>
        <x:v>0.0003505371012883094</x:v>
      </x:c>
      <x:c r="J64" s="2" t="str">
        <x:v>BBRG.Daily!C17</x:v>
      </x:c>
      <x:c r="K64" s="2" t="str">
        <x:v>BBRG.Daily!C16</x:v>
      </x:c>
      <x:c r="L64" s="2"/>
    </x:row>
    <x:row r="65" ht="22" customHeight="1">
      <x:c r="A65" s="12" t="n">
        <x:v>45982</x:v>
      </x:c>
      <x:c r="B65" s="12" t="n">
        <x:v>45972</x:v>
      </x:c>
      <x:c r="C65" s="12" t="n">
        <x:v>45971</x:v>
      </x:c>
      <x:c r="D65" s="9" t="n">
        <x:v>681.44</x:v>
      </x:c>
      <x:c r="E65" s="9" t="n">
        <x:v>683</x:v>
      </x:c>
      <x:c r="F65" s="10" t="n">
        <x:f>E65/D65-1</x:f>
        <x:v>0.002289269781638792</x:v>
      </x:c>
      <x:c r="G65" s="10" t="n">
        <x:f>$E$10</x:f>
        <x:v>-0.003118361658067178</x:v>
      </x:c>
      <x:c r="H65" s="10" t="n">
        <x:f>F65-G65</x:f>
        <x:v>0.00540763143970597</x:v>
      </x:c>
      <x:c r="I65" s="15" t="n">
        <x:f>H65^2</x:f>
        <x:v>0.00002924247778769646</x:v>
      </x:c>
      <x:c r="J65" s="2" t="str">
        <x:v>BBRG.Daily!C16</x:v>
      </x:c>
      <x:c r="K65" s="2" t="str">
        <x:v>BBRG.Daily!C15</x:v>
      </x:c>
      <x:c r="L65" s="2"/>
    </x:row>
    <x:row r="66" ht="22" customHeight="1">
      <x:c r="A66" s="12" t="n">
        <x:v>45982</x:v>
      </x:c>
      <x:c r="B66" s="12" t="n">
        <x:v>45973</x:v>
      </x:c>
      <x:c r="C66" s="12" t="n">
        <x:v>45972</x:v>
      </x:c>
      <x:c r="D66" s="9" t="n">
        <x:v>683</x:v>
      </x:c>
      <x:c r="E66" s="9" t="n">
        <x:v>683.38</x:v>
      </x:c>
      <x:c r="F66" s="10" t="n">
        <x:f>E66/D66-1</x:f>
        <x:v>0.0005563689604686228</x:v>
      </x:c>
      <x:c r="G66" s="10" t="n">
        <x:f>$E$10</x:f>
        <x:v>-0.003118361658067178</x:v>
      </x:c>
      <x:c r="H66" s="10" t="n">
        <x:f>F66-G66</x:f>
        <x:v>0.003674730618535801</x:v>
      </x:c>
      <x:c r="I66" s="15" t="n">
        <x:f>H66^2</x:f>
        <x:v>0.00001350364511880451</x:v>
      </x:c>
      <x:c r="J66" s="2" t="str">
        <x:v>BBRG.Daily!C15</x:v>
      </x:c>
      <x:c r="K66" s="2" t="str">
        <x:v>BBRG.Daily!C14</x:v>
      </x:c>
      <x:c r="L66" s="2"/>
    </x:row>
    <x:row r="67" ht="22" customHeight="1">
      <x:c r="A67" s="12" t="n">
        <x:v>45982</x:v>
      </x:c>
      <x:c r="B67" s="12" t="n">
        <x:v>45974</x:v>
      </x:c>
      <x:c r="C67" s="12" t="n">
        <x:v>45973</x:v>
      </x:c>
      <x:c r="D67" s="9" t="n">
        <x:v>683.38</x:v>
      </x:c>
      <x:c r="E67" s="9" t="n">
        <x:v>672.04</x:v>
      </x:c>
      <x:c r="F67" s="10" t="n">
        <x:f>E67/D67-1</x:f>
        <x:v>-0.016593988703210605</x:v>
      </x:c>
      <x:c r="G67" s="10" t="n">
        <x:f>$E$10</x:f>
        <x:v>-0.003118361658067178</x:v>
      </x:c>
      <x:c r="H67" s="10" t="n">
        <x:f>F67-G67</x:f>
        <x:v>-0.013475627045143428</x:v>
      </x:c>
      <x:c r="I67" s="15" t="n">
        <x:f>H67^2</x:f>
        <x:v>0.000181592524259801</x:v>
      </x:c>
      <x:c r="J67" s="2" t="str">
        <x:v>BBRG.Daily!C14</x:v>
      </x:c>
      <x:c r="K67" s="2" t="str">
        <x:v>BBRG.Daily!C13</x:v>
      </x:c>
      <x:c r="L67" s="2"/>
    </x:row>
    <x:row r="68" ht="22" customHeight="1">
      <x:c r="A68" s="12" t="n">
        <x:v>45982</x:v>
      </x:c>
      <x:c r="B68" s="12" t="n">
        <x:v>45975</x:v>
      </x:c>
      <x:c r="C68" s="12" t="n">
        <x:v>45974</x:v>
      </x:c>
      <x:c r="D68" s="9" t="n">
        <x:v>672.04</x:v>
      </x:c>
      <x:c r="E68" s="9" t="n">
        <x:v>671.93</x:v>
      </x:c>
      <x:c r="F68" s="10" t="n">
        <x:f>E68/D68-1</x:f>
        <x:v>-0.0001636807332896506</x:v>
      </x:c>
      <x:c r="G68" s="10" t="n">
        <x:f>$E$10</x:f>
        <x:v>-0.003118361658067178</x:v>
      </x:c>
      <x:c r="H68" s="10" t="n">
        <x:f>F68-G68</x:f>
        <x:v>0.0029546809247775275</x:v>
      </x:c>
      <x:c r="I68" s="15" t="n">
        <x:f>H68^2</x:f>
        <x:v>0.000008730139367244185</x:v>
      </x:c>
      <x:c r="J68" s="2" t="str">
        <x:v>BBRG.Daily!C13</x:v>
      </x:c>
      <x:c r="K68" s="2" t="str">
        <x:v>BBRG.Daily!C12</x:v>
      </x:c>
      <x:c r="L68" s="2"/>
    </x:row>
    <x:row r="69" ht="22" customHeight="1">
      <x:c r="A69" s="12" t="n">
        <x:v>45982</x:v>
      </x:c>
      <x:c r="B69" s="12" t="n">
        <x:v>45978</x:v>
      </x:c>
      <x:c r="C69" s="12" t="n">
        <x:v>45975</x:v>
      </x:c>
      <x:c r="D69" s="9" t="n">
        <x:v>671.93</x:v>
      </x:c>
      <x:c r="E69" s="9" t="n">
        <x:v>665.67</x:v>
      </x:c>
      <x:c r="F69" s="10" t="n">
        <x:f>E69/D69-1</x:f>
        <x:v>-0.009316446653669264</x:v>
      </x:c>
      <x:c r="G69" s="10" t="n">
        <x:f>$E$10</x:f>
        <x:v>-0.003118361658067178</x:v>
      </x:c>
      <x:c r="H69" s="10" t="n">
        <x:f>F69-G69</x:f>
        <x:v>-0.0061980849956020856</x:v>
      </x:c>
      <x:c r="I69" s="15" t="n">
        <x:f>H69^2</x:f>
        <x:v>0.0000384162576127077</x:v>
      </x:c>
      <x:c r="J69" s="2" t="str">
        <x:v>BBRG.Daily!C12</x:v>
      </x:c>
      <x:c r="K69" s="2" t="str">
        <x:v>BBRG.Daily!C11</x:v>
      </x:c>
      <x:c r="L69" s="2"/>
    </x:row>
    <x:row r="70" ht="22" customHeight="1">
      <x:c r="A70" s="12" t="n">
        <x:v>45982</x:v>
      </x:c>
      <x:c r="B70" s="12" t="n">
        <x:v>45979</x:v>
      </x:c>
      <x:c r="C70" s="12" t="n">
        <x:v>45978</x:v>
      </x:c>
      <x:c r="D70" s="9" t="n">
        <x:v>665.67</x:v>
      </x:c>
      <x:c r="E70" s="9" t="n">
        <x:v>660.08</x:v>
      </x:c>
      <x:c r="F70" s="10" t="n">
        <x:f>E70/D70-1</x:f>
        <x:v>-0.008397554343743785</x:v>
      </x:c>
      <x:c r="G70" s="10" t="n">
        <x:f>$E$10</x:f>
        <x:v>-0.003118361658067178</x:v>
      </x:c>
      <x:c r="H70" s="10" t="n">
        <x:f>F70-G70</x:f>
        <x:v>-0.005279192685676607</x:v>
      </x:c>
      <x:c r="I70" s="15" t="n">
        <x:f>H70^2</x:f>
        <x:v>0.000027869875412501387</x:v>
      </x:c>
      <x:c r="J70" s="2" t="str">
        <x:v>BBRG.Daily!C11</x:v>
      </x:c>
      <x:c r="K70" s="2" t="str">
        <x:v>BBRG.Daily!C10</x:v>
      </x:c>
      <x:c r="L70" s="2"/>
    </x:row>
    <x:row r="71" ht="22" customHeight="1">
      <x:c r="A71" s="12" t="n">
        <x:v>45982</x:v>
      </x:c>
      <x:c r="B71" s="12" t="n">
        <x:v>45980</x:v>
      </x:c>
      <x:c r="C71" s="12" t="n">
        <x:v>45979</x:v>
      </x:c>
      <x:c r="D71" s="9" t="n">
        <x:v>660.08</x:v>
      </x:c>
      <x:c r="E71" s="9" t="n">
        <x:v>662.63</x:v>
      </x:c>
      <x:c r="F71" s="10" t="n">
        <x:f>E71/D71-1</x:f>
        <x:v>0.0038631681008360896</x:v>
      </x:c>
      <x:c r="G71" s="10" t="n">
        <x:f>$E$10</x:f>
        <x:v>-0.003118361658067178</x:v>
      </x:c>
      <x:c r="H71" s="10" t="n">
        <x:f>F71-G71</x:f>
        <x:v>0.006981529758903268</x:v>
      </x:c>
      <x:c r="I71" s="15" t="n">
        <x:f>H71^2</x:f>
        <x:v>0.00004874175777445192</x:v>
      </x:c>
      <x:c r="J71" s="2" t="str">
        <x:v>BBRG.Daily!C10</x:v>
      </x:c>
      <x:c r="K71" s="2" t="str">
        <x:v>BBRG.Daily!C9</x:v>
      </x:c>
      <x:c r="L71" s="2"/>
    </x:row>
    <x:row r="72" ht="22" customHeight="1">
      <x:c r="A72" s="12" t="n">
        <x:v>45982</x:v>
      </x:c>
      <x:c r="B72" s="12" t="n">
        <x:v>45981</x:v>
      </x:c>
      <x:c r="C72" s="12" t="n">
        <x:v>45980</x:v>
      </x:c>
      <x:c r="D72" s="9" t="n">
        <x:v>662.63</x:v>
      </x:c>
      <x:c r="E72" s="9" t="n">
        <x:v>652.53</x:v>
      </x:c>
      <x:c r="F72" s="10" t="n">
        <x:f>E72/D72-1</x:f>
        <x:v>-0.015242292078535558</x:v>
      </x:c>
      <x:c r="G72" s="10" t="n">
        <x:f>$E$10</x:f>
        <x:v>-0.003118361658067178</x:v>
      </x:c>
      <x:c r="H72" s="10" t="n">
        <x:f>F72-G72</x:f>
        <x:v>-0.01212393042046838</x:v>
      </x:c>
      <x:c r="I72" s="15" t="n">
        <x:f>H72^2</x:f>
        <x:v>0.0001469896888403586</x:v>
      </x:c>
      <x:c r="J72" s="2" t="str">
        <x:v>BBRG.Daily!C9</x:v>
      </x:c>
      <x:c r="K72" s="2" t="str">
        <x:v>BBRG.Daily!C8</x:v>
      </x:c>
      <x:c r="L7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Model C: independent daily inventory ledger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Gross P&amp;L and cost inputs are snapshots of the separate replay. Equity and daily returns below are formulas.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6" customHeight="1">
      <x:c r="A6" s="8" t="str">
        <x:v>Date</x:v>
      </x:c>
      <x:c r="B6" s="8" t="str">
        <x:v>Start equity ($)</x:v>
      </x:c>
      <x:c r="C6" s="8" t="str">
        <x:v>Gross P&amp;L ($)</x:v>
      </x:c>
      <x:c r="D6" s="8" t="str">
        <x:v>Commission ($)</x:v>
      </x:c>
      <x:c r="E6" s="8" t="str">
        <x:v>Slippage ($)</x:v>
      </x:c>
      <x:c r="F6" s="8" t="str">
        <x:v>Total costs ($)</x:v>
      </x:c>
      <x:c r="G6" s="8" t="str">
        <x:v>Net P&amp;L ($)</x:v>
      </x:c>
      <x:c r="H6" s="8" t="str">
        <x:v>End equity ($)</x:v>
      </x:c>
      <x:c r="I6" s="8" t="str">
        <x:v>Daily return</x:v>
      </x:c>
      <x:c r="J6" s="8" t="str">
        <x:v>Growth factor</x:v>
      </x:c>
      <x:c r="K6" s="8" t="str">
        <x:v>Drawdown</x:v>
      </x:c>
      <x:c r="L6" s="8" t="str">
        <x:v>Shares</x:v>
      </x:c>
      <x:c r="M6" s="8" t="str">
        <x:v>Leverage</x:v>
      </x:c>
    </x:row>
    <x:row r="7" ht="22" customHeight="1">
      <x:c r="A7" s="12" t="n">
        <x:v>45749</x:v>
      </x:c>
      <x:c r="B7" s="9" t="n">
        <x:f>'Summary'!B16</x:f>
        <x:v>100000</x:v>
      </x:c>
      <x:c r="C7" s="9" t="n">
        <x:v>-1285.1911999999875</x:v>
      </x:c>
      <x:c r="D7" s="9" t="n">
        <x:v>4.228</x:v>
      </x:c>
      <x:c r="E7" s="9" t="n">
        <x:v>1.208</x:v>
      </x:c>
      <x:c r="F7" s="9" t="n">
        <x:f>D7+E7</x:f>
        <x:v>5.436</x:v>
      </x:c>
      <x:c r="G7" s="9" t="n">
        <x:f>C7-F7</x:f>
        <x:v>-1290.6271999999874</x:v>
      </x:c>
      <x:c r="H7" s="9" t="n">
        <x:f>B7+G7</x:f>
        <x:v>98709.37280000001</x:v>
      </x:c>
      <x:c r="I7" s="10" t="n">
        <x:f>G7/B7</x:f>
        <x:v>-0.012906271999999873</x:v>
      </x:c>
      <x:c r="J7" s="9" t="n">
        <x:f>1+I7</x:f>
        <x:v>0.9870937280000002</x:v>
      </x:c>
      <x:c r="K7" s="10" t="n">
        <x:f>H7/MAX('Summary'!$B$16,H$7:H7)-1</x:f>
        <x:v>-0.01290627199999983</x:v>
      </x:c>
      <x:c r="L7" s="11" t="n">
        <x:v>302</x:v>
      </x:c>
      <x:c r="M7" s="9" t="n">
        <x:v>1.681932929985224</x:v>
      </x:c>
    </x:row>
    <x:row r="8" ht="22" customHeight="1">
      <x:c r="A8" s="12" t="n">
        <x:v>45750</x:v>
      </x:c>
      <x:c r="B8" s="9" t="n">
        <x:f>H7</x:f>
        <x:v>98709.37280000001</x:v>
      </x:c>
      <x:c r="C8" s="9" t="n">
        <x:v>258.5291999999896</x:v>
      </x:c>
      <x:c r="D8" s="9" t="n">
        <x:v>6.783</x:v>
      </x:c>
      <x:c r="E8" s="9" t="n">
        <x:v>1.938</x:v>
      </x:c>
      <x:c r="F8" s="9" t="n">
        <x:f>D8+E8</x:f>
        <x:v>8.721</x:v>
      </x:c>
      <x:c r="G8" s="9" t="n">
        <x:f>C8-F8</x:f>
        <x:v>249.8081999999896</x:v>
      </x:c>
      <x:c r="H8" s="9" t="n">
        <x:f>B8+G8</x:f>
        <x:v>98959.181</x:v>
      </x:c>
      <x:c r="I8" s="10" t="n">
        <x:f>G8/B8</x:f>
        <x:v>0.0025307444765770974</x:v>
      </x:c>
      <x:c r="J8" s="9" t="n">
        <x:f>1+I8</x:f>
        <x:v>1.0025307444765772</x:v>
      </x:c>
      <x:c r="K8" s="10" t="n">
        <x:f>H8/MAX('Summary'!$B$16,H$7:H8)-1</x:f>
        <x:v>-0.01040819000000004</x:v>
      </x:c>
      <x:c r="L8" s="11" t="n">
        <x:v>323</x:v>
      </x:c>
      <x:c r="M8" s="9" t="n">
        <x:v>1.77451876177265</x:v>
      </x:c>
    </x:row>
    <x:row r="9" ht="22" customHeight="1">
      <x:c r="A9" s="12" t="n">
        <x:v>45751</x:v>
      </x:c>
      <x:c r="B9" s="9" t="n">
        <x:f>H8</x:f>
        <x:v>98959.181</x:v>
      </x:c>
      <x:c r="C9" s="9" t="n">
        <x:v>2473.9098999999933</x:v>
      </x:c>
      <x:c r="D9" s="9" t="n">
        <x:v>1.603</x:v>
      </x:c>
      <x:c r="E9" s="9" t="n">
        <x:v>0.458</x:v>
      </x:c>
      <x:c r="F9" s="9" t="n">
        <x:f>D9+E9</x:f>
        <x:v>2.061</x:v>
      </x:c>
      <x:c r="G9" s="9" t="n">
        <x:f>C9-F9</x:f>
        <x:v>2471.848899999993</x:v>
      </x:c>
      <x:c r="H9" s="9" t="n">
        <x:f>B9+G9</x:f>
        <x:v>101431.0299</x:v>
      </x:c>
      <x:c r="I9" s="10" t="n">
        <x:f>G9/B9</x:f>
        <x:v>0.024978469658110784</x:v>
      </x:c>
      <x:c r="J9" s="9" t="n">
        <x:f>1+I9</x:f>
        <x:v>1.0249784696581108</x:v>
      </x:c>
      <x:c r="K9" s="10" t="n">
        <x:f>H9/MAX('Summary'!$B$16,H$7:H9)-1</x:f>
        <x:v>0</x:v>
      </x:c>
      <x:c r="L9" s="11" t="n">
        <x:v>229</x:v>
      </x:c>
      <x:c r="M9" s="9" t="n">
        <x:v>1.20570727501007</x:v>
      </x:c>
    </x:row>
    <x:row r="10" ht="22" customHeight="1">
      <x:c r="A10" s="12" t="n">
        <x:v>45754</x:v>
      </x:c>
      <x:c r="B10" s="9" t="n">
        <x:f>H9</x:f>
        <x:v>101431.0299</x:v>
      </x:c>
      <x:c r="C10" s="9" t="n">
        <x:v>-755.177200000004</x:v>
      </x:c>
      <x:c r="D10" s="9" t="n">
        <x:v>1.316</x:v>
      </x:c>
      <x:c r="E10" s="9" t="n">
        <x:v>0.376</x:v>
      </x:c>
      <x:c r="F10" s="9" t="n">
        <x:f>D10+E10</x:f>
        <x:v>1.6920000000000002</x:v>
      </x:c>
      <x:c r="G10" s="9" t="n">
        <x:f>C10-F10</x:f>
        <x:v>-756.869200000004</x:v>
      </x:c>
      <x:c r="H10" s="9" t="n">
        <x:f>B10+G10</x:f>
        <x:v>100674.1607</x:v>
      </x:c>
      <x:c r="I10" s="10" t="n">
        <x:f>G10/B10</x:f>
        <x:v>-0.0074619098390915975</x:v>
      </x:c>
      <x:c r="J10" s="9" t="n">
        <x:f>1+I10</x:f>
        <x:v>0.9925380901609084</x:v>
      </x:c>
      <x:c r="K10" s="10" t="n">
        <x:f>H10/MAX('Summary'!$B$16,H$7:H10)-1</x:f>
        <x:v>-0.007461909839091563</x:v>
      </x:c>
      <x:c r="L10" s="11" t="n">
        <x:v>188</x:v>
      </x:c>
      <x:c r="M10" s="9" t="n">
        <x:v>0.913748777447013</x:v>
      </x:c>
    </x:row>
    <x:row r="11" ht="22" customHeight="1">
      <x:c r="A11" s="12" t="n">
        <x:v>45755</x:v>
      </x:c>
      <x:c r="B11" s="9" t="n">
        <x:f>H10</x:f>
        <x:v>100674.1607</x:v>
      </x:c>
      <x:c r="C11" s="9" t="n">
        <x:v>137.13920000000053</x:v>
      </x:c>
      <x:c r="D11" s="9" t="n">
        <x:v>1.232</x:v>
      </x:c>
      <x:c r="E11" s="9" t="n">
        <x:v>0.352</x:v>
      </x:c>
      <x:c r="F11" s="9" t="n">
        <x:f>D11+E11</x:f>
        <x:v>1.584</x:v>
      </x:c>
      <x:c r="G11" s="9" t="n">
        <x:f>C11-F11</x:f>
        <x:v>135.55520000000053</x:v>
      </x:c>
      <x:c r="H11" s="9" t="n">
        <x:f>B11+G11</x:f>
        <x:v>100809.7159</x:v>
      </x:c>
      <x:c r="I11" s="10" t="n">
        <x:f>G11/B11</x:f>
        <x:v>0.001346474597428658</x:v>
      </x:c>
      <x:c r="J11" s="9" t="n">
        <x:f>1+I11</x:f>
        <x:v>1.0013464745974288</x:v>
      </x:c>
      <x:c r="K11" s="10" t="n">
        <x:f>H11/MAX('Summary'!$B$16,H$7:H11)-1</x:f>
        <x:v>-0.006125482513709479</x:v>
      </x:c>
      <x:c r="L11" s="11" t="n">
        <x:v>176</x:v>
      </x:c>
      <x:c r="M11" s="9" t="n">
        <x:v>0.912218486246168</x:v>
      </x:c>
    </x:row>
    <x:row r="12" ht="22" customHeight="1">
      <x:c r="A12" s="12" t="n">
        <x:v>45756</x:v>
      </x:c>
      <x:c r="B12" s="9" t="n">
        <x:f>H11</x:f>
        <x:v>100809.7159</x:v>
      </x:c>
      <x:c r="C12" s="9" t="n">
        <x:v>3529.1591999999996</x:v>
      </x:c>
      <x:c r="D12" s="9" t="n">
        <x:v>2.646</x:v>
      </x:c>
      <x:c r="E12" s="9" t="n">
        <x:v>0.756</x:v>
      </x:c>
      <x:c r="F12" s="9" t="n">
        <x:f>D12+E12</x:f>
        <x:v>3.402</x:v>
      </x:c>
      <x:c r="G12" s="9" t="n">
        <x:f>C12-F12</x:f>
        <x:v>3525.7571999999996</x:v>
      </x:c>
      <x:c r="H12" s="9" t="n">
        <x:f>B12+G12</x:f>
        <x:v>104335.47309999999</x:v>
      </x:c>
      <x:c r="I12" s="10" t="n">
        <x:f>G12/B12</x:f>
        <x:v>0.03497437889317571</x:v>
      </x:c>
      <x:c r="J12" s="9" t="n">
        <x:f>1+I12</x:f>
        <x:v>1.0349743788931758</x:v>
      </x:c>
      <x:c r="K12" s="10" t="n">
        <x:f>H12/MAX('Summary'!$B$16,H$7:H12)-1</x:f>
        <x:v>0</x:v>
      </x:c>
      <x:c r="L12" s="11" t="n">
        <x:v>189</x:v>
      </x:c>
      <x:c r="M12" s="9" t="n">
        <x:v>0.935121306922119</x:v>
      </x:c>
    </x:row>
    <x:row r="13" ht="22" customHeight="1">
      <x:c r="A13" s="12" t="n">
        <x:v>45757</x:v>
      </x:c>
      <x:c r="B13" s="9" t="n">
        <x:f>H12</x:f>
        <x:v>104335.47309999999</x:v>
      </x:c>
      <x:c r="C13" s="9" t="n">
        <x:v>-41.106799999996724</x:v>
      </x:c>
      <x:c r="D13" s="9" t="n">
        <x:v>0.742</x:v>
      </x:c>
      <x:c r="E13" s="9" t="n">
        <x:v>0.212</x:v>
      </x:c>
      <x:c r="F13" s="9" t="n">
        <x:f>D13+E13</x:f>
        <x:v>0.954</x:v>
      </x:c>
      <x:c r="G13" s="9" t="n">
        <x:f>C13-F13</x:f>
        <x:v>-42.060799999996725</x:v>
      </x:c>
      <x:c r="H13" s="9" t="n">
        <x:f>B13+G13</x:f>
        <x:v>104293.4123</x:v>
      </x:c>
      <x:c r="I13" s="10" t="n">
        <x:f>G13/B13</x:f>
        <x:v>-0.0004031303903676527</x:v>
      </x:c>
      <x:c r="J13" s="9" t="n">
        <x:f>1+I13</x:f>
        <x:v>0.9995968696096323</x:v>
      </x:c>
      <x:c r="K13" s="10" t="n">
        <x:f>H13/MAX('Summary'!$B$16,H$7:H13)-1</x:f>
        <x:v>-0.0004031303903676564</x:v>
      </x:c>
      <x:c r="L13" s="11" t="n">
        <x:v>106</x:v>
      </x:c>
      <x:c r="M13" s="9" t="n">
        <x:v>0.536236001737413</x:v>
      </x:c>
    </x:row>
    <x:row r="14" ht="22" customHeight="1">
      <x:c r="A14" s="12" t="n">
        <x:v>45758</x:v>
      </x:c>
      <x:c r="B14" s="9" t="n">
        <x:f>H13</x:f>
        <x:v>104293.4123</x:v>
      </x:c>
      <x:c r="C14" s="9" t="n">
        <x:v>-759.1044000000188</x:v>
      </x:c>
      <x:c r="D14" s="9" t="n">
        <x:v>2.856</x:v>
      </x:c>
      <x:c r="E14" s="9" t="n">
        <x:v>0.816</x:v>
      </x:c>
      <x:c r="F14" s="9" t="n">
        <x:f>D14+E14</x:f>
        <x:v>3.6719999999999997</x:v>
      </x:c>
      <x:c r="G14" s="9" t="n">
        <x:f>C14-F14</x:f>
        <x:v>-762.7764000000188</x:v>
      </x:c>
      <x:c r="H14" s="9" t="n">
        <x:f>B14+G14</x:f>
        <x:v>103530.63589999998</x:v>
      </x:c>
      <x:c r="I14" s="10" t="n">
        <x:f>G14/B14</x:f>
        <x:v>-0.007313754370275013</x:v>
      </x:c>
      <x:c r="J14" s="9" t="n">
        <x:f>1+I14</x:f>
        <x:v>0.992686245629725</x:v>
      </x:c>
      <x:c r="K14" s="10" t="n">
        <x:f>H14/MAX('Summary'!$B$16,H$7:H14)-1</x:f>
        <x:v>-0.007713936363988316</x:v>
      </x:c>
      <x:c r="L14" s="11" t="n">
        <x:v>102</x:v>
      </x:c>
      <x:c r="M14" s="9" t="n">
        <x:v>0.513143081570224</x:v>
      </x:c>
    </x:row>
    <x:row r="15" ht="22" customHeight="1">
      <x:c r="A15" s="12" t="n">
        <x:v>45761</x:v>
      </x:c>
      <x:c r="B15" s="9" t="n">
        <x:f>H14</x:f>
        <x:v>103530.63589999998</x:v>
      </x:c>
      <x:c r="C15" s="9" t="n">
        <x:v>0</x:v>
      </x:c>
      <x:c r="D15" s="9" t="n">
        <x:v>0</x:v>
      </x:c>
      <x:c r="E15" s="9" t="n">
        <x:v>0</x:v>
      </x:c>
      <x:c r="F15" s="9" t="n">
        <x:f>D15+E15</x:f>
        <x:v>0</x:v>
      </x:c>
      <x:c r="G15" s="9" t="n">
        <x:f>C15-F15</x:f>
        <x:v>0</x:v>
      </x:c>
      <x:c r="H15" s="9" t="n">
        <x:f>B15+G15</x:f>
        <x:v>103530.63589999998</x:v>
      </x:c>
      <x:c r="I15" s="10" t="n">
        <x:f>G15/B15</x:f>
        <x:v>0</x:v>
      </x:c>
      <x:c r="J15" s="9" t="n">
        <x:f>1+I15</x:f>
        <x:v>1</x:v>
      </x:c>
      <x:c r="K15" s="10" t="n">
        <x:f>H15/MAX('Summary'!$B$16,H$7:H15)-1</x:f>
        <x:v>-0.007713936363988316</x:v>
      </x:c>
      <x:c r="L15" s="11" t="n">
        <x:v>98</x:v>
      </x:c>
      <x:c r="M15" s="9" t="n">
        <x:v>0.513180985586843</x:v>
      </x:c>
    </x:row>
    <x:row r="16" ht="22" customHeight="1">
      <x:c r="A16" s="12" t="n">
        <x:v>45762</x:v>
      </x:c>
      <x:c r="B16" s="9" t="n">
        <x:f>H15</x:f>
        <x:v>103530.63589999998</x:v>
      </x:c>
      <x:c r="C16" s="9" t="n">
        <x:v>0</x:v>
      </x:c>
      <x:c r="D16" s="9" t="n">
        <x:v>0</x:v>
      </x:c>
      <x:c r="E16" s="9" t="n">
        <x:v>0</x:v>
      </x:c>
      <x:c r="F16" s="9" t="n">
        <x:f>D16+E16</x:f>
        <x:v>0</x:v>
      </x:c>
      <x:c r="G16" s="9" t="n">
        <x:f>C16-F16</x:f>
        <x:v>0</x:v>
      </x:c>
      <x:c r="H16" s="9" t="n">
        <x:f>B16+G16</x:f>
        <x:v>103530.63589999998</x:v>
      </x:c>
      <x:c r="I16" s="10" t="n">
        <x:f>G16/B16</x:f>
        <x:v>0</x:v>
      </x:c>
      <x:c r="J16" s="9" t="n">
        <x:f>1+I16</x:f>
        <x:v>1</x:v>
      </x:c>
      <x:c r="K16" s="10" t="n">
        <x:f>H16/MAX('Summary'!$B$16,H$7:H16)-1</x:f>
        <x:v>-0.007713936363988316</x:v>
      </x:c>
      <x:c r="L16" s="11" t="n">
        <x:v>98</x:v>
      </x:c>
      <x:c r="M16" s="9" t="n">
        <x:v>0.51124424931511</x:v>
      </x:c>
    </x:row>
    <x:row r="17" ht="22" customHeight="1">
      <x:c r="A17" s="12" t="n">
        <x:v>45763</x:v>
      </x:c>
      <x:c r="B17" s="9" t="n">
        <x:f>H16</x:f>
        <x:v>103530.63589999998</x:v>
      </x:c>
      <x:c r="C17" s="9" t="n">
        <x:v>0</x:v>
      </x:c>
      <x:c r="D17" s="9" t="n">
        <x:v>0</x:v>
      </x:c>
      <x:c r="E17" s="9" t="n">
        <x:v>0</x:v>
      </x:c>
      <x:c r="F17" s="9" t="n">
        <x:f>D17+E17</x:f>
        <x:v>0</x:v>
      </x:c>
      <x:c r="G17" s="9" t="n">
        <x:f>C17-F17</x:f>
        <x:v>0</x:v>
      </x:c>
      <x:c r="H17" s="9" t="n">
        <x:f>B17+G17</x:f>
        <x:v>103530.63589999998</x:v>
      </x:c>
      <x:c r="I17" s="10" t="n">
        <x:f>G17/B17</x:f>
        <x:v>0</x:v>
      </x:c>
      <x:c r="J17" s="9" t="n">
        <x:f>1+I17</x:f>
        <x:v>1</x:v>
      </x:c>
      <x:c r="K17" s="10" t="n">
        <x:f>H17/MAX('Summary'!$B$16,H$7:H17)-1</x:f>
        <x:v>-0.007713936363988316</x:v>
      </x:c>
      <x:c r="L17" s="11" t="n">
        <x:v>100</x:v>
      </x:c>
      <x:c r="M17" s="9" t="n">
        <x:v>0.512124562078309</x:v>
      </x:c>
    </x:row>
    <x:row r="18" ht="22" customHeight="1">
      <x:c r="A18" s="12" t="n">
        <x:v>45764</x:v>
      </x:c>
      <x:c r="B18" s="9" t="n">
        <x:f>H17</x:f>
        <x:v>103530.63589999998</x:v>
      </x:c>
      <x:c r="C18" s="9" t="n">
        <x:v>0</x:v>
      </x:c>
      <x:c r="D18" s="9" t="n">
        <x:v>0</x:v>
      </x:c>
      <x:c r="E18" s="9" t="n">
        <x:v>0</x:v>
      </x:c>
      <x:c r="F18" s="9" t="n">
        <x:f>D18+E18</x:f>
        <x:v>0</x:v>
      </x:c>
      <x:c r="G18" s="9" t="n">
        <x:f>C18-F18</x:f>
        <x:v>0</x:v>
      </x:c>
      <x:c r="H18" s="9" t="n">
        <x:f>B18+G18</x:f>
        <x:v>103530.63589999998</x:v>
      </x:c>
      <x:c r="I18" s="10" t="n">
        <x:f>G18/B18</x:f>
        <x:v>0</x:v>
      </x:c>
      <x:c r="J18" s="9" t="n">
        <x:f>1+I18</x:f>
        <x:v>1</x:v>
      </x:c>
      <x:c r="K18" s="10" t="n">
        <x:f>H18/MAX('Summary'!$B$16,H$7:H18)-1</x:f>
        <x:v>-0.007713936363988316</x:v>
      </x:c>
      <x:c r="L18" s="11" t="n">
        <x:v>100</x:v>
      </x:c>
      <x:c r="M18" s="9" t="n">
        <x:v>0.507910766683496</x:v>
      </x:c>
    </x:row>
    <x:row r="19" ht="22" customHeight="1">
      <x:c r="A19" s="12" t="n">
        <x:v>45768</x:v>
      </x:c>
      <x:c r="B19" s="9" t="n">
        <x:f>H18</x:f>
        <x:v>103530.63589999998</x:v>
      </x:c>
      <x:c r="C19" s="9" t="n">
        <x:v>57.507599999995705</x:v>
      </x:c>
      <x:c r="D19" s="9" t="n">
        <x:v>2.142</x:v>
      </x:c>
      <x:c r="E19" s="9" t="n">
        <x:v>0.612</x:v>
      </x:c>
      <x:c r="F19" s="9" t="n">
        <x:f>D19+E19</x:f>
        <x:v>2.754</x:v>
      </x:c>
      <x:c r="G19" s="9" t="n">
        <x:f>C19-F19</x:f>
        <x:v>54.75359999999571</x:v>
      </x:c>
      <x:c r="H19" s="9" t="n">
        <x:f>B19+G19</x:f>
        <x:v>103585.38949999998</x:v>
      </x:c>
      <x:c r="I19" s="10" t="n">
        <x:f>G19/B19</x:f>
        <x:v>0.0005288637466969883</x:v>
      </x:c>
      <x:c r="J19" s="9" t="n">
        <x:f>1+I19</x:f>
        <x:v>1.000528863746697</x:v>
      </x:c>
      <x:c r="K19" s="10" t="n">
        <x:f>H19/MAX('Summary'!$B$16,H$7:H19)-1</x:f>
        <x:v>-0.007189152238578522</x:v>
      </x:c>
      <x:c r="L19" s="11" t="n">
        <x:v>102</x:v>
      </x:c>
      <x:c r="M19" s="9" t="n">
        <x:v>0.510884052497837</x:v>
      </x:c>
    </x:row>
    <x:row r="20" ht="22" customHeight="1">
      <x:c r="A20" s="12" t="n">
        <x:v>45769</x:v>
      </x:c>
      <x:c r="B20" s="9" t="n">
        <x:f>H19</x:f>
        <x:v>103585.38949999998</x:v>
      </x:c>
      <x:c r="C20" s="9" t="n">
        <x:v>-364.04440000000557</x:v>
      </x:c>
      <x:c r="D20" s="9" t="n">
        <x:v>0.707</x:v>
      </x:c>
      <x:c r="E20" s="9" t="n">
        <x:v>0.202</x:v>
      </x:c>
      <x:c r="F20" s="9" t="n">
        <x:f>D20+E20</x:f>
        <x:v>0.909</x:v>
      </x:c>
      <x:c r="G20" s="9" t="n">
        <x:f>C20-F20</x:f>
        <x:v>-364.95340000000556</x:v>
      </x:c>
      <x:c r="H20" s="9" t="n">
        <x:f>B20+G20</x:f>
        <x:v>103220.43609999998</x:v>
      </x:c>
      <x:c r="I20" s="10" t="n">
        <x:f>G20/B20</x:f>
        <x:v>-0.0035232130878844227</x:v>
      </x:c>
      <x:c r="J20" s="9" t="n">
        <x:f>1+I20</x:f>
        <x:v>0.9964767869121156</x:v>
      </x:c>
      <x:c r="K20" s="10" t="n">
        <x:f>H20/MAX('Summary'!$B$16,H$7:H20)-1</x:f>
        <x:v>-0.010687036411205164</x:v>
      </x:c>
      <x:c r="L20" s="11" t="n">
        <x:v>101</x:v>
      </x:c>
      <x:c r="M20" s="9" t="n">
        <x:v>0.507556985921003</x:v>
      </x:c>
    </x:row>
    <x:row r="21" ht="22" customHeight="1">
      <x:c r="A21" s="12" t="n">
        <x:v>45770</x:v>
      </x:c>
      <x:c r="B21" s="9" t="n">
        <x:f>H20</x:f>
        <x:v>103220.43609999998</x:v>
      </x:c>
      <x:c r="C21" s="9" t="n">
        <x:v>0</x:v>
      </x:c>
      <x:c r="D21" s="9" t="n">
        <x:v>0</x:v>
      </x:c>
      <x:c r="E21" s="9" t="n">
        <x:v>0</x:v>
      </x:c>
      <x:c r="F21" s="9" t="n">
        <x:f>D21+E21</x:f>
        <x:v>0</x:v>
      </x:c>
      <x:c r="G21" s="9" t="n">
        <x:f>C21-F21</x:f>
        <x:v>0</x:v>
      </x:c>
      <x:c r="H21" s="9" t="n">
        <x:f>B21+G21</x:f>
        <x:v>103220.43609999998</x:v>
      </x:c>
      <x:c r="I21" s="10" t="n">
        <x:f>G21/B21</x:f>
        <x:v>0</x:v>
      </x:c>
      <x:c r="J21" s="9" t="n">
        <x:f>1+I21</x:f>
        <x:v>1</x:v>
      </x:c>
      <x:c r="K21" s="10" t="n">
        <x:f>H21/MAX('Summary'!$B$16,H$7:H21)-1</x:f>
        <x:v>-0.010687036411205164</x:v>
      </x:c>
      <x:c r="L21" s="11" t="n">
        <x:v>94</x:v>
      </x:c>
      <x:c r="M21" s="9" t="n">
        <x:v>0.496862665370468</x:v>
      </x:c>
    </x:row>
    <x:row r="22" ht="22" customHeight="1">
      <x:c r="A22" s="12" t="n">
        <x:v>45771</x:v>
      </x:c>
      <x:c r="B22" s="9" t="n">
        <x:f>H21</x:f>
        <x:v>103220.43609999998</x:v>
      </x:c>
      <x:c r="C22" s="9" t="n">
        <x:v>-11.276499999999032</x:v>
      </x:c>
      <x:c r="D22" s="9" t="n">
        <x:v>1.33</x:v>
      </x:c>
      <x:c r="E22" s="9" t="n">
        <x:v>0.38</x:v>
      </x:c>
      <x:c r="F22" s="9" t="n">
        <x:f>D22+E22</x:f>
        <x:v>1.71</x:v>
      </x:c>
      <x:c r="G22" s="9" t="n">
        <x:f>C22-F22</x:f>
        <x:v>-12.986499999999033</x:v>
      </x:c>
      <x:c r="H22" s="9" t="n">
        <x:f>B22+G22</x:f>
        <x:v>103207.44959999998</x:v>
      </x:c>
      <x:c r="I22" s="10" t="n">
        <x:f>G22/B22</x:f>
        <x:v>-0.00012581326422044672</x:v>
      </x:c>
      <x:c r="J22" s="9" t="n">
        <x:f>1+I22</x:f>
        <x:v>0.9998741867357795</x:v>
      </x:c>
      <x:c r="K22" s="10" t="n">
        <x:f>H22/MAX('Summary'!$B$16,H$7:H22)-1</x:f>
        <x:v>-0.010811505104489805</x:v>
      </x:c>
      <x:c r="L22" s="11" t="n">
        <x:v>95</x:v>
      </x:c>
      <x:c r="M22" s="9" t="n">
        <x:v>0.493805535881365</x:v>
      </x:c>
    </x:row>
    <x:row r="23" ht="22" customHeight="1">
      <x:c r="A23" s="12" t="n">
        <x:v>45772</x:v>
      </x:c>
      <x:c r="B23" s="9" t="n">
        <x:f>H22</x:f>
        <x:v>103207.44959999998</x:v>
      </x:c>
      <x:c r="C23" s="9" t="n">
        <x:v>0</x:v>
      </x:c>
      <x:c r="D23" s="9" t="n">
        <x:v>0</x:v>
      </x:c>
      <x:c r="E23" s="9" t="n">
        <x:v>0</x:v>
      </x:c>
      <x:c r="F23" s="9" t="n">
        <x:f>D23+E23</x:f>
        <x:v>0</x:v>
      </x:c>
      <x:c r="G23" s="9" t="n">
        <x:f>C23-F23</x:f>
        <x:v>0</x:v>
      </x:c>
      <x:c r="H23" s="9" t="n">
        <x:f>B23+G23</x:f>
        <x:v>103207.44959999998</x:v>
      </x:c>
      <x:c r="I23" s="10" t="n">
        <x:f>G23/B23</x:f>
        <x:v>0</x:v>
      </x:c>
      <x:c r="J23" s="9" t="n">
        <x:f>1+I23</x:f>
        <x:v>1</x:v>
      </x:c>
      <x:c r="K23" s="10" t="n">
        <x:f>H23/MAX('Summary'!$B$16,H$7:H23)-1</x:f>
        <x:v>-0.010811505104489805</x:v>
      </x:c>
      <x:c r="L23" s="11" t="n">
        <x:v>98</x:v>
      </x:c>
      <x:c r="M23" s="9" t="n">
        <x:v>0.517561423456604</x:v>
      </x:c>
    </x:row>
    <x:row r="24" ht="22" customHeight="1">
      <x:c r="A24" s="12" t="n">
        <x:v>45775</x:v>
      </x:c>
      <x:c r="B24" s="9" t="n">
        <x:f>H23</x:f>
        <x:v>103207.44959999998</x:v>
      </x:c>
      <x:c r="C24" s="9" t="n">
        <x:v>0</x:v>
      </x:c>
      <x:c r="D24" s="9" t="n">
        <x:v>0</x:v>
      </x:c>
      <x:c r="E24" s="9" t="n">
        <x:v>0</x:v>
      </x:c>
      <x:c r="F24" s="9" t="n">
        <x:f>D24+E24</x:f>
        <x:v>0</x:v>
      </x:c>
      <x:c r="G24" s="9" t="n">
        <x:f>C24-F24</x:f>
        <x:v>0</x:v>
      </x:c>
      <x:c r="H24" s="9" t="n">
        <x:f>B24+G24</x:f>
        <x:v>103207.44959999998</x:v>
      </x:c>
      <x:c r="I24" s="10" t="n">
        <x:f>G24/B24</x:f>
        <x:v>0</x:v>
      </x:c>
      <x:c r="J24" s="9" t="n">
        <x:f>1+I24</x:f>
        <x:v>1</x:v>
      </x:c>
      <x:c r="K24" s="10" t="n">
        <x:f>H24/MAX('Summary'!$B$16,H$7:H24)-1</x:f>
        <x:v>-0.010811505104489805</x:v>
      </x:c>
      <x:c r="L24" s="11" t="n">
        <x:v>109</x:v>
      </x:c>
      <x:c r="M24" s="9" t="n">
        <x:v>0.579843762328116</x:v>
      </x:c>
    </x:row>
    <x:row r="25" ht="22" customHeight="1">
      <x:c r="A25" s="12" t="n">
        <x:v>45776</x:v>
      </x:c>
      <x:c r="B25" s="9" t="n">
        <x:f>H24</x:f>
        <x:v>103207.44959999998</x:v>
      </x:c>
      <x:c r="C25" s="9" t="n">
        <x:v>0</x:v>
      </x:c>
      <x:c r="D25" s="9" t="n">
        <x:v>0</x:v>
      </x:c>
      <x:c r="E25" s="9" t="n">
        <x:v>0</x:v>
      </x:c>
      <x:c r="F25" s="9" t="n">
        <x:f>D25+E25</x:f>
        <x:v>0</x:v>
      </x:c>
      <x:c r="G25" s="9" t="n">
        <x:f>C25-F25</x:f>
        <x:v>0</x:v>
      </x:c>
      <x:c r="H25" s="9" t="n">
        <x:f>B25+G25</x:f>
        <x:v>103207.44959999998</x:v>
      </x:c>
      <x:c r="I25" s="10" t="n">
        <x:f>G25/B25</x:f>
        <x:v>0</x:v>
      </x:c>
      <x:c r="J25" s="9" t="n">
        <x:f>1+I25</x:f>
        <x:v>1</x:v>
      </x:c>
      <x:c r="K25" s="10" t="n">
        <x:f>H25/MAX('Summary'!$B$16,H$7:H25)-1</x:f>
        <x:v>-0.010811505104489805</x:v>
      </x:c>
      <x:c r="L25" s="11" t="n">
        <x:v>109</x:v>
      </x:c>
      <x:c r="M25" s="9" t="n">
        <x:v>0.580450283234866</x:v>
      </x:c>
    </x:row>
    <x:row r="26" ht="22" customHeight="1">
      <x:c r="A26" s="12" t="n">
        <x:v>45777</x:v>
      </x:c>
      <x:c r="B26" s="9" t="n">
        <x:f>H25</x:f>
        <x:v>103207.44959999998</x:v>
      </x:c>
      <x:c r="C26" s="9" t="n">
        <x:v>0</x:v>
      </x:c>
      <x:c r="D26" s="9" t="n">
        <x:v>0</x:v>
      </x:c>
      <x:c r="E26" s="9" t="n">
        <x:v>0</x:v>
      </x:c>
      <x:c r="F26" s="9" t="n">
        <x:f>D26+E26</x:f>
        <x:v>0</x:v>
      </x:c>
      <x:c r="G26" s="9" t="n">
        <x:f>C26-F26</x:f>
        <x:v>0</x:v>
      </x:c>
      <x:c r="H26" s="9" t="n">
        <x:f>B26+G26</x:f>
        <x:v>103207.44959999998</x:v>
      </x:c>
      <x:c r="I26" s="10" t="n">
        <x:f>G26/B26</x:f>
        <x:v>0</x:v>
      </x:c>
      <x:c r="J26" s="9" t="n">
        <x:f>1+I26</x:f>
        <x:v>1</x:v>
      </x:c>
      <x:c r="K26" s="10" t="n">
        <x:f>H26/MAX('Summary'!$B$16,H$7:H26)-1</x:f>
        <x:v>-0.010811505104489805</x:v>
      </x:c>
      <x:c r="L26" s="11" t="n">
        <x:v>113</x:v>
      </x:c>
      <x:c r="M26" s="9" t="n">
        <x:v>0.590895293547811</x:v>
      </x:c>
    </x:row>
    <x:row r="27" ht="22" customHeight="1">
      <x:c r="A27" s="12" t="n">
        <x:v>45778</x:v>
      </x:c>
      <x:c r="B27" s="9" t="n">
        <x:f>H26</x:f>
        <x:v>103207.44959999998</x:v>
      </x:c>
      <x:c r="C27" s="9" t="n">
        <x:v>-3.80090000000132</x:v>
      </x:c>
      <x:c r="D27" s="9" t="n">
        <x:v>1.337</x:v>
      </x:c>
      <x:c r="E27" s="9" t="n">
        <x:v>0.382</x:v>
      </x:c>
      <x:c r="F27" s="9" t="n">
        <x:f>D27+E27</x:f>
        <x:v>1.7189999999999999</x:v>
      </x:c>
      <x:c r="G27" s="9" t="n">
        <x:f>C27-F27</x:f>
        <x:v>-5.51990000000132</x:v>
      </x:c>
      <x:c r="H27" s="9" t="n">
        <x:f>B27+G27</x:f>
        <x:v>103201.92969999998</x:v>
      </x:c>
      <x:c r="I27" s="10" t="n">
        <x:f>G27/B27</x:f>
        <x:v>-0.000053483542335313366</x:v>
      </x:c>
      <x:c r="J27" s="9" t="n">
        <x:f>1+I27</x:f>
        <x:v>0.9999465164576646</x:v>
      </x:c>
      <x:c r="K27" s="10" t="n">
        <x:f>H27/MAX('Summary'!$B$16,H$7:H27)-1</x:f>
        <x:v>-0.010864410409234138</x:v>
      </x:c>
      <x:c r="L27" s="11" t="n">
        <x:v>191</x:v>
      </x:c>
      <x:c r="M27" s="9" t="n">
        <x:v>1.036202414649262</x:v>
      </x:c>
    </x:row>
    <x:row r="28" ht="22" customHeight="1">
      <x:c r="A28" s="12" t="n">
        <x:v>45779</x:v>
      </x:c>
      <x:c r="B28" s="9" t="n">
        <x:f>H27</x:f>
        <x:v>103201.92969999998</x:v>
      </x:c>
      <x:c r="C28" s="9" t="n">
        <x:v>-135.52640000000247</x:v>
      </x:c>
      <x:c r="D28" s="9" t="n">
        <x:v>1.792</x:v>
      </x:c>
      <x:c r="E28" s="9" t="n">
        <x:v>0.512</x:v>
      </x:c>
      <x:c r="F28" s="9" t="n">
        <x:f>D28+E28</x:f>
        <x:v>2.3040000000000003</x:v>
      </x:c>
      <x:c r="G28" s="9" t="n">
        <x:f>C28-F28</x:f>
        <x:v>-137.83040000000247</x:v>
      </x:c>
      <x:c r="H28" s="9" t="n">
        <x:f>B28+G28</x:f>
        <x:v>103064.09929999997</x:v>
      </x:c>
      <x:c r="I28" s="10" t="n">
        <x:f>G28/B28</x:f>
        <x:v>-0.0013355409186694936</x:v>
      </x:c>
      <x:c r="J28" s="9" t="n">
        <x:f>1+I28</x:f>
        <x:v>0.9986644590813305</x:v>
      </x:c>
      <x:c r="K28" s="10" t="n">
        <x:f>H28/MAX('Summary'!$B$16,H$7:H28)-1</x:f>
        <x:v>-0.012185441463244961</x:v>
      </x:c>
      <x:c r="L28" s="11" t="n">
        <x:v>256</x:v>
      </x:c>
      <x:c r="M28" s="9" t="n">
        <x:v>1.389807993577931</x:v>
      </x:c>
    </x:row>
    <x:row r="29" ht="22" customHeight="1">
      <x:c r="A29" s="12" t="n">
        <x:v>45782</x:v>
      </x:c>
      <x:c r="B29" s="9" t="n">
        <x:f>H28</x:f>
        <x:v>103064.09929999997</x:v>
      </x:c>
      <x:c r="C29" s="9" t="n">
        <x:v>0</x:v>
      </x:c>
      <x:c r="D29" s="9" t="n">
        <x:v>0</x:v>
      </x:c>
      <x:c r="E29" s="9" t="n">
        <x:v>0</x:v>
      </x:c>
      <x:c r="F29" s="9" t="n">
        <x:f>D29+E29</x:f>
        <x:v>0</x:v>
      </x:c>
      <x:c r="G29" s="9" t="n">
        <x:f>C29-F29</x:f>
        <x:v>0</x:v>
      </x:c>
      <x:c r="H29" s="9" t="n">
        <x:f>B29+G29</x:f>
        <x:v>103064.09929999997</x:v>
      </x:c>
      <x:c r="I29" s="10" t="n">
        <x:f>G29/B29</x:f>
        <x:v>0</x:v>
      </x:c>
      <x:c r="J29" s="9" t="n">
        <x:f>1+I29</x:f>
        <x:v>1</x:v>
      </x:c>
      <x:c r="K29" s="10" t="n">
        <x:f>H29/MAX('Summary'!$B$16,H$7:H29)-1</x:f>
        <x:v>-0.012185441463244961</x:v>
      </x:c>
      <x:c r="L29" s="11" t="n">
        <x:v>258</x:v>
      </x:c>
      <x:c r="M29" s="9" t="n">
        <x:v>1.408562155331992</x:v>
      </x:c>
    </x:row>
    <x:row r="30" ht="22" customHeight="1">
      <x:c r="A30" s="12" t="n">
        <x:v>45783</x:v>
      </x:c>
      <x:c r="B30" s="9" t="n">
        <x:f>H29</x:f>
        <x:v>103064.09929999997</x:v>
      </x:c>
      <x:c r="C30" s="9" t="n">
        <x:v>0</x:v>
      </x:c>
      <x:c r="D30" s="9" t="n">
        <x:v>0</x:v>
      </x:c>
      <x:c r="E30" s="9" t="n">
        <x:v>0</x:v>
      </x:c>
      <x:c r="F30" s="9" t="n">
        <x:f>D30+E30</x:f>
        <x:v>0</x:v>
      </x:c>
      <x:c r="G30" s="9" t="n">
        <x:f>C30-F30</x:f>
        <x:v>0</x:v>
      </x:c>
      <x:c r="H30" s="9" t="n">
        <x:f>B30+G30</x:f>
        <x:v>103064.09929999997</x:v>
      </x:c>
      <x:c r="I30" s="10" t="n">
        <x:f>G30/B30</x:f>
        <x:v>0</x:v>
      </x:c>
      <x:c r="J30" s="9" t="n">
        <x:f>1+I30</x:f>
        <x:v>1</x:v>
      </x:c>
      <x:c r="K30" s="10" t="n">
        <x:f>H30/MAX('Summary'!$B$16,H$7:H30)-1</x:f>
        <x:v>-0.012185441463244961</x:v>
      </x:c>
      <x:c r="L30" s="11" t="n">
        <x:v>259</x:v>
      </x:c>
      <x:c r="M30" s="9" t="n">
        <x:v>1.393630912671448</x:v>
      </x:c>
    </x:row>
    <x:row r="31" ht="22" customHeight="1">
      <x:c r="A31" s="12" t="n">
        <x:v>45784</x:v>
      </x:c>
      <x:c r="B31" s="9" t="n">
        <x:f>H30</x:f>
        <x:v>103064.09929999997</x:v>
      </x:c>
      <x:c r="C31" s="9" t="n">
        <x:v>0</x:v>
      </x:c>
      <x:c r="D31" s="9" t="n">
        <x:v>0</x:v>
      </x:c>
      <x:c r="E31" s="9" t="n">
        <x:v>0</x:v>
      </x:c>
      <x:c r="F31" s="9" t="n">
        <x:f>D31+E31</x:f>
        <x:v>0</x:v>
      </x:c>
      <x:c r="G31" s="9" t="n">
        <x:f>C31-F31</x:f>
        <x:v>0</x:v>
      </x:c>
      <x:c r="H31" s="9" t="n">
        <x:f>B31+G31</x:f>
        <x:v>103064.09929999997</x:v>
      </x:c>
      <x:c r="I31" s="10" t="n">
        <x:f>G31/B31</x:f>
        <x:v>0</x:v>
      </x:c>
      <x:c r="J31" s="9" t="n">
        <x:f>1+I31</x:f>
        <x:v>1</x:v>
      </x:c>
      <x:c r="K31" s="10" t="n">
        <x:f>H31/MAX('Summary'!$B$16,H$7:H31)-1</x:f>
        <x:v>-0.012185441463244961</x:v>
      </x:c>
      <x:c r="L31" s="11" t="n">
        <x:v>252</x:v>
      </x:c>
      <x:c r="M31" s="9" t="n">
        <x:v>1.369283096126284</x:v>
      </x:c>
    </x:row>
    <x:row r="32" ht="22" customHeight="1">
      <x:c r="A32" s="12" t="n">
        <x:v>45785</x:v>
      </x:c>
      <x:c r="B32" s="9" t="n">
        <x:f>H31</x:f>
        <x:v>103064.09929999997</x:v>
      </x:c>
      <x:c r="C32" s="9" t="n">
        <x:v>-1031.5854999999851</x:v>
      </x:c>
      <x:c r="D32" s="9" t="n">
        <x:v>4.046</x:v>
      </x:c>
      <x:c r="E32" s="9" t="n">
        <x:v>1.156</x:v>
      </x:c>
      <x:c r="F32" s="9" t="n">
        <x:f>D32+E32</x:f>
        <x:v>5.202</x:v>
      </x:c>
      <x:c r="G32" s="9" t="n">
        <x:f>C32-F32</x:f>
        <x:v>-1036.7874999999851</x:v>
      </x:c>
      <x:c r="H32" s="9" t="n">
        <x:f>B32+G32</x:f>
        <x:v>102027.31179999998</x:v>
      </x:c>
      <x:c r="I32" s="10" t="n">
        <x:f>G32/B32</x:f>
        <x:v>-0.010059637711305214</x:v>
      </x:c>
      <x:c r="J32" s="9" t="n">
        <x:f>1+I32</x:f>
        <x:v>0.9899403622886948</x:v>
      </x:c>
      <x:c r="K32" s="10" t="n">
        <x:f>H32/MAX('Summary'!$B$16,H$7:H32)-1</x:f>
        <x:v>-0.022122498048077643</x:v>
      </x:c>
      <x:c r="L32" s="11" t="n">
        <x:v>289</x:v>
      </x:c>
      <x:c r="M32" s="9" t="n">
        <x:v>1.575205586301865</x:v>
      </x:c>
    </x:row>
    <x:row r="33" ht="22" customHeight="1">
      <x:c r="A33" s="12" t="n">
        <x:v>45786</x:v>
      </x:c>
      <x:c r="B33" s="9" t="n">
        <x:f>H32</x:f>
        <x:v>102027.31179999998</x:v>
      </x:c>
      <x:c r="C33" s="9" t="n">
        <x:v>0</x:v>
      </x:c>
      <x:c r="D33" s="9" t="n">
        <x:v>0</x:v>
      </x:c>
      <x:c r="E33" s="9" t="n">
        <x:v>0</x:v>
      </x:c>
      <x:c r="F33" s="9" t="n">
        <x:f>D33+E33</x:f>
        <x:v>0</x:v>
      </x:c>
      <x:c r="G33" s="9" t="n">
        <x:f>C33-F33</x:f>
        <x:v>0</x:v>
      </x:c>
      <x:c r="H33" s="9" t="n">
        <x:f>B33+G33</x:f>
        <x:v>102027.31179999998</x:v>
      </x:c>
      <x:c r="I33" s="10" t="n">
        <x:f>G33/B33</x:f>
        <x:v>0</x:v>
      </x:c>
      <x:c r="J33" s="9" t="n">
        <x:f>1+I33</x:f>
        <x:v>1</x:v>
      </x:c>
      <x:c r="K33" s="10" t="n">
        <x:f>H33/MAX('Summary'!$B$16,H$7:H33)-1</x:f>
        <x:v>-0.022122498048077643</x:v>
      </x:c>
      <x:c r="L33" s="11" t="n">
        <x:v>285</x:v>
      </x:c>
      <x:c r="M33" s="9" t="n">
        <x:v>1.578350963464568</x:v>
      </x:c>
    </x:row>
    <x:row r="34" ht="22" customHeight="1">
      <x:c r="A34" s="12" t="n">
        <x:v>45789</x:v>
      </x:c>
      <x:c r="B34" s="9" t="n">
        <x:f>H33</x:f>
        <x:v>102027.31179999998</x:v>
      </x:c>
      <x:c r="C34" s="9" t="n">
        <x:v>0</x:v>
      </x:c>
      <x:c r="D34" s="9" t="n">
        <x:v>0</x:v>
      </x:c>
      <x:c r="E34" s="9" t="n">
        <x:v>0</x:v>
      </x:c>
      <x:c r="F34" s="9" t="n">
        <x:f>D34+E34</x:f>
        <x:v>0</x:v>
      </x:c>
      <x:c r="G34" s="9" t="n">
        <x:f>C34-F34</x:f>
        <x:v>0</x:v>
      </x:c>
      <x:c r="H34" s="9" t="n">
        <x:f>B34+G34</x:f>
        <x:v>102027.31179999998</x:v>
      </x:c>
      <x:c r="I34" s="10" t="n">
        <x:f>G34/B34</x:f>
        <x:v>0</x:v>
      </x:c>
      <x:c r="J34" s="9" t="n">
        <x:f>1+I34</x:f>
        <x:v>1</x:v>
      </x:c>
      <x:c r="K34" s="10" t="n">
        <x:f>H34/MAX('Summary'!$B$16,H$7:H34)-1</x:f>
        <x:v>-0.022122498048077643</x:v>
      </x:c>
      <x:c r="L34" s="11" t="n">
        <x:v>360</x:v>
      </x:c>
      <x:c r="M34" s="9" t="n">
        <x:v>2.03619218306514</x:v>
      </x:c>
    </x:row>
    <x:row r="35" ht="22" customHeight="1">
      <x:c r="A35" s="12" t="n">
        <x:v>45790</x:v>
      </x:c>
      <x:c r="B35" s="9" t="n">
        <x:f>H34</x:f>
        <x:v>102027.31179999998</x:v>
      </x:c>
      <x:c r="C35" s="9" t="n">
        <x:v>0</x:v>
      </x:c>
      <x:c r="D35" s="9" t="n">
        <x:v>0</x:v>
      </x:c>
      <x:c r="E35" s="9" t="n">
        <x:v>0</x:v>
      </x:c>
      <x:c r="F35" s="9" t="n">
        <x:f>D35+E35</x:f>
        <x:v>0</x:v>
      </x:c>
      <x:c r="G35" s="9" t="n">
        <x:f>C35-F35</x:f>
        <x:v>0</x:v>
      </x:c>
      <x:c r="H35" s="9" t="n">
        <x:f>B35+G35</x:f>
        <x:v>102027.31179999998</x:v>
      </x:c>
      <x:c r="I35" s="10" t="n">
        <x:f>G35/B35</x:f>
        <x:v>0</x:v>
      </x:c>
      <x:c r="J35" s="9" t="n">
        <x:f>1+I35</x:f>
        <x:v>1</x:v>
      </x:c>
      <x:c r="K35" s="10" t="n">
        <x:f>H35/MAX('Summary'!$B$16,H$7:H35)-1</x:f>
        <x:v>-0.022122498048077643</x:v>
      </x:c>
      <x:c r="L35" s="11" t="n">
        <x:v>318</x:v>
      </x:c>
      <x:c r="M35" s="9" t="n">
        <x:v>1.819410563171165</x:v>
      </x:c>
    </x:row>
    <x:row r="36" ht="22" customHeight="1">
      <x:c r="A36" s="12" t="n">
        <x:v>45791</x:v>
      </x:c>
      <x:c r="B36" s="9" t="n">
        <x:f>H35</x:f>
        <x:v>102027.31179999998</x:v>
      </x:c>
      <x:c r="C36" s="9" t="n">
        <x:v>0</x:v>
      </x:c>
      <x:c r="D36" s="9" t="n">
        <x:v>0</x:v>
      </x:c>
      <x:c r="E36" s="9" t="n">
        <x:v>0</x:v>
      </x:c>
      <x:c r="F36" s="9" t="n">
        <x:f>D36+E36</x:f>
        <x:v>0</x:v>
      </x:c>
      <x:c r="G36" s="9" t="n">
        <x:f>C36-F36</x:f>
        <x:v>0</x:v>
      </x:c>
      <x:c r="H36" s="9" t="n">
        <x:f>B36+G36</x:f>
        <x:v>102027.31179999998</x:v>
      </x:c>
      <x:c r="I36" s="10" t="n">
        <x:f>G36/B36</x:f>
        <x:v>0</x:v>
      </x:c>
      <x:c r="J36" s="9" t="n">
        <x:f>1+I36</x:f>
        <x:v>1</x:v>
      </x:c>
      <x:c r="K36" s="10" t="n">
        <x:f>H36/MAX('Summary'!$B$16,H$7:H36)-1</x:f>
        <x:v>-0.022122498048077643</x:v>
      </x:c>
      <x:c r="L36" s="11" t="n">
        <x:v>325</x:v>
      </x:c>
      <x:c r="M36" s="9" t="n">
        <x:v>1.863249534861096</x:v>
      </x:c>
    </x:row>
    <x:row r="37" ht="22" customHeight="1">
      <x:c r="A37" s="12" t="n">
        <x:v>45792</x:v>
      </x:c>
      <x:c r="B37" s="9" t="n">
        <x:f>H36</x:f>
        <x:v>102027.31179999998</x:v>
      </x:c>
      <x:c r="C37" s="9" t="n">
        <x:v>0</x:v>
      </x:c>
      <x:c r="D37" s="9" t="n">
        <x:v>0</x:v>
      </x:c>
      <x:c r="E37" s="9" t="n">
        <x:v>0</x:v>
      </x:c>
      <x:c r="F37" s="9" t="n">
        <x:f>D37+E37</x:f>
        <x:v>0</x:v>
      </x:c>
      <x:c r="G37" s="9" t="n">
        <x:f>C37-F37</x:f>
        <x:v>0</x:v>
      </x:c>
      <x:c r="H37" s="9" t="n">
        <x:f>B37+G37</x:f>
        <x:v>102027.31179999998</x:v>
      </x:c>
      <x:c r="I37" s="10" t="n">
        <x:f>G37/B37</x:f>
        <x:v>0</x:v>
      </x:c>
      <x:c r="J37" s="9" t="n">
        <x:f>1+I37</x:f>
        <x:v>1</x:v>
      </x:c>
      <x:c r="K37" s="10" t="n">
        <x:f>H37/MAX('Summary'!$B$16,H$7:H37)-1</x:f>
        <x:v>-0.022122498048077643</x:v>
      </x:c>
      <x:c r="L37" s="11" t="n">
        <x:v>351</x:v>
      </x:c>
      <x:c r="M37" s="9" t="n">
        <x:v>2.007409454143722</x:v>
      </x:c>
    </x:row>
    <x:row r="38" ht="22" customHeight="1">
      <x:c r="A38" s="12" t="n">
        <x:v>45793</x:v>
      </x:c>
      <x:c r="B38" s="9" t="n">
        <x:f>H37</x:f>
        <x:v>102027.31179999998</x:v>
      </x:c>
      <x:c r="C38" s="9" t="n">
        <x:v>142.287299999992</x:v>
      </x:c>
      <x:c r="D38" s="9" t="n">
        <x:v>2.443</x:v>
      </x:c>
      <x:c r="E38" s="9" t="n">
        <x:v>0.698</x:v>
      </x:c>
      <x:c r="F38" s="9" t="n">
        <x:f>D38+E38</x:f>
        <x:v>3.141</x:v>
      </x:c>
      <x:c r="G38" s="9" t="n">
        <x:f>C38-F38</x:f>
        <x:v>139.146299999992</x:v>
      </x:c>
      <x:c r="H38" s="9" t="n">
        <x:f>B38+G38</x:f>
        <x:v>102166.45809999997</x:v>
      </x:c>
      <x:c r="I38" s="10" t="n">
        <x:f>G38/B38</x:f>
        <x:v>0.0013638142331217633</x:v>
      </x:c>
      <x:c r="J38" s="9" t="n">
        <x:f>1+I38</x:f>
        <x:v>1.0013638142331218</x:v>
      </x:c>
      <x:c r="K38" s="10" t="n">
        <x:f>H38/MAX('Summary'!$B$16,H$7:H38)-1</x:f>
        <x:v>-0.02078885479266601</x:v>
      </x:c>
      <x:c r="L38" s="11" t="n">
        <x:v>349</x:v>
      </x:c>
      <x:c r="M38" s="9" t="n">
        <x:v>2.010791440851889</x:v>
      </x:c>
    </x:row>
    <x:row r="39" ht="22" customHeight="1">
      <x:c r="A39" s="12" t="n">
        <x:v>45796</x:v>
      </x:c>
      <x:c r="B39" s="9" t="n">
        <x:f>H38</x:f>
        <x:v>102166.45809999997</x:v>
      </x:c>
      <x:c r="C39" s="9" t="n">
        <x:v>0</x:v>
      </x:c>
      <x:c r="D39" s="9" t="n">
        <x:v>0</x:v>
      </x:c>
      <x:c r="E39" s="9" t="n">
        <x:v>0</x:v>
      </x:c>
      <x:c r="F39" s="9" t="n">
        <x:f>D39+E39</x:f>
        <x:v>0</x:v>
      </x:c>
      <x:c r="G39" s="9" t="n">
        <x:f>C39-F39</x:f>
        <x:v>0</x:v>
      </x:c>
      <x:c r="H39" s="9" t="n">
        <x:f>B39+G39</x:f>
        <x:v>102166.45809999997</x:v>
      </x:c>
      <x:c r="I39" s="10" t="n">
        <x:f>G39/B39</x:f>
        <x:v>0</x:v>
      </x:c>
      <x:c r="J39" s="9" t="n">
        <x:f>1+I39</x:f>
        <x:v>1</x:v>
      </x:c>
      <x:c r="K39" s="10" t="n">
        <x:f>H39/MAX('Summary'!$B$16,H$7:H39)-1</x:f>
        <x:v>-0.02078885479266601</x:v>
      </x:c>
      <x:c r="L39" s="11" t="n">
        <x:v>352</x:v>
      </x:c>
      <x:c r="M39" s="9" t="n">
        <x:v>2.028709483239986</x:v>
      </x:c>
    </x:row>
    <x:row r="40" ht="22" customHeight="1">
      <x:c r="A40" s="12" t="n">
        <x:v>45797</x:v>
      </x:c>
      <x:c r="B40" s="9" t="n">
        <x:f>H39</x:f>
        <x:v>102166.45809999997</x:v>
      </x:c>
      <x:c r="C40" s="9" t="n">
        <x:v>0</x:v>
      </x:c>
      <x:c r="D40" s="9" t="n">
        <x:v>0</x:v>
      </x:c>
      <x:c r="E40" s="9" t="n">
        <x:v>0</x:v>
      </x:c>
      <x:c r="F40" s="9" t="n">
        <x:f>D40+E40</x:f>
        <x:v>0</x:v>
      </x:c>
      <x:c r="G40" s="9" t="n">
        <x:f>C40-F40</x:f>
        <x:v>0</x:v>
      </x:c>
      <x:c r="H40" s="9" t="n">
        <x:f>B40+G40</x:f>
        <x:v>102166.45809999997</x:v>
      </x:c>
      <x:c r="I40" s="10" t="n">
        <x:f>G40/B40</x:f>
        <x:v>0</x:v>
      </x:c>
      <x:c r="J40" s="9" t="n">
        <x:f>1+I40</x:f>
        <x:v>1</x:v>
      </x:c>
      <x:c r="K40" s="10" t="n">
        <x:f>H40/MAX('Summary'!$B$16,H$7:H40)-1</x:f>
        <x:v>-0.02078885479266601</x:v>
      </x:c>
      <x:c r="L40" s="11" t="n">
        <x:v>349</x:v>
      </x:c>
      <x:c r="M40" s="9" t="n">
        <x:v>2.015569089711152</x:v>
      </x:c>
    </x:row>
    <x:row r="41" ht="22" customHeight="1">
      <x:c r="A41" s="12" t="n">
        <x:v>45798</x:v>
      </x:c>
      <x:c r="B41" s="9" t="n">
        <x:f>H40</x:f>
        <x:v>102166.45809999997</x:v>
      </x:c>
      <x:c r="C41" s="9" t="n">
        <x:v>550.6751999999778</x:v>
      </x:c>
      <x:c r="D41" s="9" t="n">
        <x:v>2.408</x:v>
      </x:c>
      <x:c r="E41" s="9" t="n">
        <x:v>0.688</x:v>
      </x:c>
      <x:c r="F41" s="9" t="n">
        <x:f>D41+E41</x:f>
        <x:v>3.096</x:v>
      </x:c>
      <x:c r="G41" s="9" t="n">
        <x:f>C41-F41</x:f>
        <x:v>547.5791999999778</x:v>
      </x:c>
      <x:c r="H41" s="9" t="n">
        <x:f>B41+G41</x:f>
        <x:v>102714.03729999995</x:v>
      </x:c>
      <x:c r="I41" s="10" t="n">
        <x:f>G41/B41</x:f>
        <x:v>0.005359676846818065</x:v>
      </x:c>
      <x:c r="J41" s="9" t="n">
        <x:f>1+I41</x:f>
        <x:v>1.005359676846818</x:v>
      </x:c>
      <x:c r="K41" s="10" t="n">
        <x:f>H41/MAX('Summary'!$B$16,H$7:H41)-1</x:f>
        <x:v>-0.01554059948955211</x:v>
      </x:c>
      <x:c r="L41" s="11" t="n">
        <x:v>344</x:v>
      </x:c>
      <x:c r="M41" s="9" t="n">
        <x:v>1.978460088935498</x:v>
      </x:c>
    </x:row>
    <x:row r="42" ht="22" customHeight="1">
      <x:c r="A42" s="12" t="n">
        <x:v>45799</x:v>
      </x:c>
      <x:c r="B42" s="9" t="n">
        <x:f>H41</x:f>
        <x:v>102714.03729999995</x:v>
      </x:c>
      <x:c r="C42" s="9" t="n">
        <x:v>0</x:v>
      </x:c>
      <x:c r="D42" s="9" t="n">
        <x:v>0</x:v>
      </x:c>
      <x:c r="E42" s="9" t="n">
        <x:v>0</x:v>
      </x:c>
      <x:c r="F42" s="9" t="n">
        <x:f>D42+E42</x:f>
        <x:v>0</x:v>
      </x:c>
      <x:c r="G42" s="9" t="n">
        <x:f>C42-F42</x:f>
        <x:v>0</x:v>
      </x:c>
      <x:c r="H42" s="9" t="n">
        <x:f>B42+G42</x:f>
        <x:v>102714.03729999995</x:v>
      </x:c>
      <x:c r="I42" s="10" t="n">
        <x:f>G42/B42</x:f>
        <x:v>0</x:v>
      </x:c>
      <x:c r="J42" s="9" t="n">
        <x:f>1+I42</x:f>
        <x:v>1</x:v>
      </x:c>
      <x:c r="K42" s="10" t="n">
        <x:f>H42/MAX('Summary'!$B$16,H$7:H42)-1</x:f>
        <x:v>-0.01554059948955211</x:v>
      </x:c>
      <x:c r="L42" s="11" t="n">
        <x:v>304</x:v>
      </x:c>
      <x:c r="M42" s="9" t="n">
        <x:v>1.722561295526469</x:v>
      </x:c>
    </x:row>
    <x:row r="43" ht="22" customHeight="1">
      <x:c r="A43" s="12" t="n">
        <x:v>45800</x:v>
      </x:c>
      <x:c r="B43" s="9" t="n">
        <x:f>H42</x:f>
        <x:v>102714.03729999995</x:v>
      </x:c>
      <x:c r="C43" s="9" t="n">
        <x:v>0</x:v>
      </x:c>
      <x:c r="D43" s="9" t="n">
        <x:v>0</x:v>
      </x:c>
      <x:c r="E43" s="9" t="n">
        <x:v>0</x:v>
      </x:c>
      <x:c r="F43" s="9" t="n">
        <x:f>D43+E43</x:f>
        <x:v>0</x:v>
      </x:c>
      <x:c r="G43" s="9" t="n">
        <x:f>C43-F43</x:f>
        <x:v>0</x:v>
      </x:c>
      <x:c r="H43" s="9" t="n">
        <x:f>B43+G43</x:f>
        <x:v>102714.03729999995</x:v>
      </x:c>
      <x:c r="I43" s="10" t="n">
        <x:f>G43/B43</x:f>
        <x:v>0</x:v>
      </x:c>
      <x:c r="J43" s="9" t="n">
        <x:f>1+I43</x:f>
        <x:v>1</x:v>
      </x:c>
      <x:c r="K43" s="10" t="n">
        <x:f>H43/MAX('Summary'!$B$16,H$7:H43)-1</x:f>
        <x:v>-0.01554059948955211</x:v>
      </x:c>
      <x:c r="L43" s="11" t="n">
        <x:v>322</x:v>
      </x:c>
      <x:c r="M43" s="9" t="n">
        <x:v>1.798541621222854</x:v>
      </x:c>
    </x:row>
    <x:row r="44" ht="22" customHeight="1">
      <x:c r="A44" s="12" t="n">
        <x:v>45804</x:v>
      </x:c>
      <x:c r="B44" s="9" t="n">
        <x:f>H43</x:f>
        <x:v>102714.03729999995</x:v>
      </x:c>
      <x:c r="C44" s="9" t="n">
        <x:v>1024.4429999999693</x:v>
      </x:c>
      <x:c r="D44" s="9" t="n">
        <x:v>2.205</x:v>
      </x:c>
      <x:c r="E44" s="9" t="n">
        <x:v>0.63</x:v>
      </x:c>
      <x:c r="F44" s="9" t="n">
        <x:f>D44+E44</x:f>
        <x:v>2.835</x:v>
      </x:c>
      <x:c r="G44" s="9" t="n">
        <x:f>C44-F44</x:f>
        <x:v>1021.6079999999693</x:v>
      </x:c>
      <x:c r="H44" s="9" t="n">
        <x:f>B44+G44</x:f>
        <x:v>103735.64529999992</x:v>
      </x:c>
      <x:c r="I44" s="10" t="n">
        <x:f>G44/B44</x:f>
        <x:v>0.009946138102001855</x:v>
      </x:c>
      <x:c r="J44" s="9" t="n">
        <x:f>1+I44</x:f>
        <x:v>1.0099461381020018</x:v>
      </x:c>
      <x:c r="K44" s="10" t="n">
        <x:f>H44/MAX('Summary'!$B$16,H$7:H44)-1</x:f>
        <x:v>-0.005749030336261285</x:v>
      </x:c>
      <x:c r="L44" s="11" t="n">
        <x:v>315</x:v>
      </x:c>
      <x:c r="M44" s="9" t="n">
        <x:v>1.788457999617731</x:v>
      </x:c>
    </x:row>
    <x:row r="45" ht="22" customHeight="1">
      <x:c r="A45" s="12" t="n">
        <x:v>45805</x:v>
      </x:c>
      <x:c r="B45" s="9" t="n">
        <x:f>H44</x:f>
        <x:v>103735.64529999992</x:v>
      </x:c>
      <x:c r="C45" s="9" t="n">
        <x:v>-221.43939999999168</x:v>
      </x:c>
      <x:c r="D45" s="9" t="n">
        <x:v>4.186</x:v>
      </x:c>
      <x:c r="E45" s="9" t="n">
        <x:v>1.196</x:v>
      </x:c>
      <x:c r="F45" s="9" t="n">
        <x:f>D45+E45</x:f>
        <x:v>5.382</x:v>
      </x:c>
      <x:c r="G45" s="9" t="n">
        <x:f>C45-F45</x:f>
        <x:v>-226.82139999999168</x:v>
      </x:c>
      <x:c r="H45" s="9" t="n">
        <x:f>B45+G45</x:f>
        <x:v>103508.82389999993</x:v>
      </x:c>
      <x:c r="I45" s="10" t="n">
        <x:f>G45/B45</x:f>
        <x:v>-0.0021865328869746944</x:v>
      </x:c>
      <x:c r="J45" s="9" t="n">
        <x:f>1+I45</x:f>
        <x:v>0.9978134671130253</x:v>
      </x:c>
      <x:c r="K45" s="10" t="n">
        <x:f>H45/MAX('Summary'!$B$16,H$7:H45)-1</x:f>
        <x:v>-0.007922992779337501</x:v>
      </x:c>
      <x:c r="L45" s="11" t="n">
        <x:v>299</x:v>
      </x:c>
      <x:c r="M45" s="9" t="n">
        <x:v>1.694859236532492</x:v>
      </x:c>
    </x:row>
    <x:row r="46" ht="22" customHeight="1">
      <x:c r="A46" s="12" t="n">
        <x:v>45806</x:v>
      </x:c>
      <x:c r="B46" s="9" t="n">
        <x:f>H45</x:f>
        <x:v>103508.82389999993</x:v>
      </x:c>
      <x:c r="C46" s="9" t="n">
        <x:v>0</x:v>
      </x:c>
      <x:c r="D46" s="9" t="n">
        <x:v>0</x:v>
      </x:c>
      <x:c r="E46" s="9" t="n">
        <x:v>0</x:v>
      </x:c>
      <x:c r="F46" s="9" t="n">
        <x:f>D46+E46</x:f>
        <x:v>0</x:v>
      </x:c>
      <x:c r="G46" s="9" t="n">
        <x:f>C46-F46</x:f>
        <x:v>0</x:v>
      </x:c>
      <x:c r="H46" s="9" t="n">
        <x:f>B46+G46</x:f>
        <x:v>103508.82389999993</x:v>
      </x:c>
      <x:c r="I46" s="10" t="n">
        <x:f>G46/B46</x:f>
        <x:v>0</x:v>
      </x:c>
      <x:c r="J46" s="9" t="n">
        <x:f>1+I46</x:f>
        <x:v>1</x:v>
      </x:c>
      <x:c r="K46" s="10" t="n">
        <x:f>H46/MAX('Summary'!$B$16,H$7:H46)-1</x:f>
        <x:v>-0.007922992779337501</x:v>
      </x:c>
      <x:c r="L46" s="11" t="n">
        <x:v>291</x:v>
      </x:c>
      <x:c r="M46" s="9" t="n">
        <x:v>1.654053954911156</x:v>
      </x:c>
    </x:row>
    <x:row r="47" ht="22" customHeight="1">
      <x:c r="A47" s="12" t="n">
        <x:v>45807</x:v>
      </x:c>
      <x:c r="B47" s="9" t="n">
        <x:f>H46</x:f>
        <x:v>103508.82389999993</x:v>
      </x:c>
      <x:c r="C47" s="9" t="n">
        <x:v>-233.87700000001792</x:v>
      </x:c>
      <x:c r="D47" s="9" t="n">
        <x:v>2.058</x:v>
      </x:c>
      <x:c r="E47" s="9" t="n">
        <x:v>0.588</x:v>
      </x:c>
      <x:c r="F47" s="9" t="n">
        <x:f>D47+E47</x:f>
        <x:v>2.646</x:v>
      </x:c>
      <x:c r="G47" s="9" t="n">
        <x:f>C47-F47</x:f>
        <x:v>-236.5230000000179</x:v>
      </x:c>
      <x:c r="H47" s="9" t="n">
        <x:f>B47+G47</x:f>
        <x:v>103272.30089999991</x:v>
      </x:c>
      <x:c r="I47" s="10" t="n">
        <x:f>G47/B47</x:f>
        <x:v>-0.0022850515645750475</x:v>
      </x:c>
      <x:c r="J47" s="9" t="n">
        <x:f>1+I47</x:f>
        <x:v>0.997714948435425</x:v>
      </x:c>
      <x:c r="K47" s="10" t="n">
        <x:f>H47/MAX('Summary'!$B$16,H$7:H47)-1</x:f>
        <x:v>-0.010189939896865896</x:v>
      </x:c>
      <x:c r="L47" s="11" t="n">
        <x:v>294</x:v>
      </x:c>
      <x:c r="M47" s="9" t="n">
        <x:v>1.659833292931449</x:v>
      </x:c>
    </x:row>
    <x:row r="48" ht="22" customHeight="1">
      <x:c r="A48" s="12" t="n">
        <x:v>45810</x:v>
      </x:c>
      <x:c r="B48" s="9" t="n">
        <x:f>H47</x:f>
        <x:v>103272.30089999991</x:v>
      </x:c>
      <x:c r="C48" s="9" t="n">
        <x:v>116.92379999999594</x:v>
      </x:c>
      <x:c r="D48" s="9" t="n">
        <x:v>2.058</x:v>
      </x:c>
      <x:c r="E48" s="9" t="n">
        <x:v>0.588</x:v>
      </x:c>
      <x:c r="F48" s="9" t="n">
        <x:f>D48+E48</x:f>
        <x:v>2.646</x:v>
      </x:c>
      <x:c r="G48" s="9" t="n">
        <x:f>C48-F48</x:f>
        <x:v>114.27779999999593</x:v>
      </x:c>
      <x:c r="H48" s="9" t="n">
        <x:f>B48+G48</x:f>
        <x:v>103386.57869999991</x:v>
      </x:c>
      <x:c r="I48" s="10" t="n">
        <x:f>G48/B48</x:f>
        <x:v>0.001106567772811151</x:v>
      </x:c>
      <x:c r="J48" s="9" t="n">
        <x:f>1+I48</x:f>
        <x:v>1.001106567772811</x:v>
      </x:c>
      <x:c r="K48" s="10" t="n">
        <x:f>H48/MAX('Summary'!$B$16,H$7:H48)-1</x:f>
        <x:v>-0.009094647983151516</x:v>
      </x:c>
      <x:c r="L48" s="11" t="n">
        <x:v>294</x:v>
      </x:c>
      <x:c r="M48" s="9" t="n">
        <x:v>1.660431309771781</x:v>
      </x:c>
    </x:row>
    <x:row r="49" ht="22" customHeight="1">
      <x:c r="A49" s="12" t="n">
        <x:v>45811</x:v>
      </x:c>
      <x:c r="B49" s="9" t="n">
        <x:f>H48</x:f>
        <x:v>103386.57869999991</x:v>
      </x:c>
      <x:c r="C49" s="9" t="n">
        <x:v>921.5031000000208</x:v>
      </x:c>
      <x:c r="D49" s="9" t="n">
        <x:v>2.877</x:v>
      </x:c>
      <x:c r="E49" s="9" t="n">
        <x:v>0.822</x:v>
      </x:c>
      <x:c r="F49" s="9" t="n">
        <x:f>D49+E49</x:f>
        <x:v>3.699</x:v>
      </x:c>
      <x:c r="G49" s="9" t="n">
        <x:f>C49-F49</x:f>
        <x:v>917.8041000000209</x:v>
      </x:c>
      <x:c r="H49" s="9" t="n">
        <x:f>B49+G49</x:f>
        <x:v>104304.38279999993</x:v>
      </x:c>
      <x:c r="I49" s="10" t="n">
        <x:f>G49/B49</x:f>
        <x:v>0.008877400834234411</x:v>
      </x:c>
      <x:c r="J49" s="9" t="n">
        <x:f>1+I49</x:f>
        <x:v>1.0088774008342345</x:v>
      </x:c>
      <x:c r="K49" s="10" t="n">
        <x:f>H49/MAX('Summary'!$B$16,H$7:H49)-1</x:f>
        <x:v>-0.0002979839845098642</x:v>
      </x:c>
      <x:c r="L49" s="11" t="n">
        <x:v>411</x:v>
      </x:c>
      <x:c r="M49" s="9" t="n">
        <x:v>2.344518473106769</x:v>
      </x:c>
    </x:row>
    <x:row r="50" ht="22" customHeight="1">
      <x:c r="A50" s="12" t="n">
        <x:v>45812</x:v>
      </x:c>
      <x:c r="B50" s="9" t="n">
        <x:f>H49</x:f>
        <x:v>104304.38279999993</x:v>
      </x:c>
      <x:c r="C50" s="9" t="n">
        <x:v>0</x:v>
      </x:c>
      <x:c r="D50" s="9" t="n">
        <x:v>0</x:v>
      </x:c>
      <x:c r="E50" s="9" t="n">
        <x:v>0</x:v>
      </x:c>
      <x:c r="F50" s="9" t="n">
        <x:f>D50+E50</x:f>
        <x:v>0</x:v>
      </x:c>
      <x:c r="G50" s="9" t="n">
        <x:f>C50-F50</x:f>
        <x:v>0</x:v>
      </x:c>
      <x:c r="H50" s="9" t="n">
        <x:f>B50+G50</x:f>
        <x:v>104304.38279999993</x:v>
      </x:c>
      <x:c r="I50" s="10" t="n">
        <x:f>G50/B50</x:f>
        <x:v>0</x:v>
      </x:c>
      <x:c r="J50" s="9" t="n">
        <x:f>1+I50</x:f>
        <x:v>1</x:v>
      </x:c>
      <x:c r="K50" s="10" t="n">
        <x:f>H50/MAX('Summary'!$B$16,H$7:H50)-1</x:f>
        <x:v>-0.0002979839845098642</x:v>
      </x:c>
      <x:c r="L50" s="11" t="n">
        <x:v>414</x:v>
      </x:c>
      <x:c r="M50" s="9" t="n">
        <x:v>2.355700770162115</x:v>
      </x:c>
    </x:row>
    <x:row r="51" ht="22" customHeight="1">
      <x:c r="A51" s="12" t="n">
        <x:v>45813</x:v>
      </x:c>
      <x:c r="B51" s="9" t="n">
        <x:f>H50</x:f>
        <x:v>104304.38279999993</x:v>
      </x:c>
      <x:c r="C51" s="9" t="n">
        <x:v>-1105.8505000000164</x:v>
      </x:c>
      <x:c r="D51" s="9" t="n">
        <x:v>2.905</x:v>
      </x:c>
      <x:c r="E51" s="9" t="n">
        <x:v>0.83</x:v>
      </x:c>
      <x:c r="F51" s="9" t="n">
        <x:f>D51+E51</x:f>
        <x:v>3.735</x:v>
      </x:c>
      <x:c r="G51" s="9" t="n">
        <x:f>C51-F51</x:f>
        <x:v>-1109.5855000000163</x:v>
      </x:c>
      <x:c r="H51" s="9" t="n">
        <x:f>B51+G51</x:f>
        <x:v>103194.79729999992</x:v>
      </x:c>
      <x:c r="I51" s="10" t="n">
        <x:f>G51/B51</x:f>
        <x:v>-0.010637956624772023</x:v>
      </x:c>
      <x:c r="J51" s="9" t="n">
        <x:f>1+I51</x:f>
        <x:v>0.9893620433752279</x:v>
      </x:c>
      <x:c r="K51" s="10" t="n">
        <x:f>H51/MAX('Summary'!$B$16,H$7:H51)-1</x:f>
        <x:v>-0.010932770668579783</x:v>
      </x:c>
      <x:c r="L51" s="11" t="n">
        <x:v>415</x:v>
      </x:c>
      <x:c r="M51" s="9" t="n">
        <x:v>2.353406059081611</x:v>
      </x:c>
    </x:row>
    <x:row r="52" ht="22" customHeight="1">
      <x:c r="A52" s="12" t="n">
        <x:v>45814</x:v>
      </x:c>
      <x:c r="B52" s="9" t="n">
        <x:f>H51</x:f>
        <x:v>103194.79729999992</x:v>
      </x:c>
      <x:c r="C52" s="9" t="n">
        <x:v>0</x:v>
      </x:c>
      <x:c r="D52" s="9" t="n">
        <x:v>0</x:v>
      </x:c>
      <x:c r="E52" s="9" t="n">
        <x:v>0</x:v>
      </x:c>
      <x:c r="F52" s="9" t="n">
        <x:f>D52+E52</x:f>
        <x:v>0</x:v>
      </x:c>
      <x:c r="G52" s="9" t="n">
        <x:f>C52-F52</x:f>
        <x:v>0</x:v>
      </x:c>
      <x:c r="H52" s="9" t="n">
        <x:f>B52+G52</x:f>
        <x:v>103194.79729999992</x:v>
      </x:c>
      <x:c r="I52" s="10" t="n">
        <x:f>G52/B52</x:f>
        <x:v>0</x:v>
      </x:c>
      <x:c r="J52" s="9" t="n">
        <x:f>1+I52</x:f>
        <x:v>1</x:v>
      </x:c>
      <x:c r="K52" s="10" t="n">
        <x:f>H52/MAX('Summary'!$B$16,H$7:H52)-1</x:f>
        <x:v>-0.010932770668579783</x:v>
      </x:c>
      <x:c r="L52" s="11" t="n">
        <x:v>404</x:v>
      </x:c>
      <x:c r="M52" s="9" t="n">
        <x:v>2.337304988910035</x:v>
      </x:c>
    </x:row>
    <x:row r="53" ht="22" customHeight="1">
      <x:c r="A53" s="12" t="n">
        <x:v>45817</x:v>
      </x:c>
      <x:c r="B53" s="9" t="n">
        <x:f>H52</x:f>
        <x:v>103194.79729999992</x:v>
      </x:c>
      <x:c r="C53" s="9" t="n">
        <x:v>0</x:v>
      </x:c>
      <x:c r="D53" s="9" t="n">
        <x:v>0</x:v>
      </x:c>
      <x:c r="E53" s="9" t="n">
        <x:v>0</x:v>
      </x:c>
      <x:c r="F53" s="9" t="n">
        <x:f>D53+E53</x:f>
        <x:v>0</x:v>
      </x:c>
      <x:c r="G53" s="9" t="n">
        <x:f>C53-F53</x:f>
        <x:v>0</x:v>
      </x:c>
      <x:c r="H53" s="9" t="n">
        <x:f>B53+G53</x:f>
        <x:v>103194.79729999992</x:v>
      </x:c>
      <x:c r="I53" s="10" t="n">
        <x:f>G53/B53</x:f>
        <x:v>0</x:v>
      </x:c>
      <x:c r="J53" s="9" t="n">
        <x:f>1+I53</x:f>
        <x:v>1</x:v>
      </x:c>
      <x:c r="K53" s="10" t="n">
        <x:f>H53/MAX('Summary'!$B$16,H$7:H53)-1</x:f>
        <x:v>-0.010932770668579783</x:v>
      </x:c>
      <x:c r="L53" s="11" t="n">
        <x:v>392</x:v>
      </x:c>
      <x:c r="M53" s="9" t="n">
        <x:v>2.265272136302029</x:v>
      </x:c>
    </x:row>
    <x:row r="54" ht="22" customHeight="1">
      <x:c r="A54" s="12" t="n">
        <x:v>45818</x:v>
      </x:c>
      <x:c r="B54" s="9" t="n">
        <x:f>H53</x:f>
        <x:v>103194.79729999992</x:v>
      </x:c>
      <x:c r="C54" s="9" t="n">
        <x:v>0</x:v>
      </x:c>
      <x:c r="D54" s="9" t="n">
        <x:v>0</x:v>
      </x:c>
      <x:c r="E54" s="9" t="n">
        <x:v>0</x:v>
      </x:c>
      <x:c r="F54" s="9" t="n">
        <x:f>D54+E54</x:f>
        <x:v>0</x:v>
      </x:c>
      <x:c r="G54" s="9" t="n">
        <x:f>C54-F54</x:f>
        <x:v>0</x:v>
      </x:c>
      <x:c r="H54" s="9" t="n">
        <x:f>B54+G54</x:f>
        <x:v>103194.79729999992</x:v>
      </x:c>
      <x:c r="I54" s="10" t="n">
        <x:f>G54/B54</x:f>
        <x:v>0</x:v>
      </x:c>
      <x:c r="J54" s="9" t="n">
        <x:f>1+I54</x:f>
        <x:v>1</x:v>
      </x:c>
      <x:c r="K54" s="10" t="n">
        <x:f>H54/MAX('Summary'!$B$16,H$7:H54)-1</x:f>
        <x:v>-0.010932770668579783</x:v>
      </x:c>
      <x:c r="L54" s="11" t="n">
        <x:v>391</x:v>
      </x:c>
      <x:c r="M54" s="9" t="n">
        <x:v>2.265434442229494</x:v>
      </x:c>
    </x:row>
    <x:row r="55" ht="22" customHeight="1">
      <x:c r="A55" s="12" t="n">
        <x:v>45819</x:v>
      </x:c>
      <x:c r="B55" s="9" t="n">
        <x:f>H54</x:f>
        <x:v>103194.79729999992</x:v>
      </x:c>
      <x:c r="C55" s="9" t="n">
        <x:v>-61.691999999996824</x:v>
      </x:c>
      <x:c r="D55" s="9" t="n">
        <x:v>2.716</x:v>
      </x:c>
      <x:c r="E55" s="9" t="n">
        <x:v>0.776</x:v>
      </x:c>
      <x:c r="F55" s="9" t="n">
        <x:f>D55+E55</x:f>
        <x:v>3.492</x:v>
      </x:c>
      <x:c r="G55" s="9" t="n">
        <x:f>C55-F55</x:f>
        <x:v>-65.18399999999683</x:v>
      </x:c>
      <x:c r="H55" s="9" t="n">
        <x:f>B55+G55</x:f>
        <x:v>103129.61329999992</x:v>
      </x:c>
      <x:c r="I55" s="10" t="n">
        <x:f>G55/B55</x:f>
        <x:v>-0.0006316597513196227</x:v>
      </x:c>
      <x:c r="J55" s="9" t="n">
        <x:f>1+I55</x:f>
        <x:v>0.9993683402486804</x:v>
      </x:c>
      <x:c r="K55" s="10" t="n">
        <x:f>H55/MAX('Summary'!$B$16,H$7:H55)-1</x:f>
        <x:v>-0.011557524628697635</x:v>
      </x:c>
      <x:c r="L55" s="11" t="n">
        <x:v>388</x:v>
      </x:c>
      <x:c r="M55" s="9" t="n">
        <x:v>2.26105931159336</x:v>
      </x:c>
    </x:row>
    <x:row r="56" ht="22" customHeight="1">
      <x:c r="A56" s="12" t="n">
        <x:v>45820</x:v>
      </x:c>
      <x:c r="B56" s="9" t="n">
        <x:f>H55</x:f>
        <x:v>103129.61329999992</x:v>
      </x:c>
      <x:c r="C56" s="9" t="n">
        <x:v>0</x:v>
      </x:c>
      <x:c r="D56" s="9" t="n">
        <x:v>0</x:v>
      </x:c>
      <x:c r="E56" s="9" t="n">
        <x:v>0</x:v>
      </x:c>
      <x:c r="F56" s="9" t="n">
        <x:f>D56+E56</x:f>
        <x:v>0</x:v>
      </x:c>
      <x:c r="G56" s="9" t="n">
        <x:f>C56-F56</x:f>
        <x:v>0</x:v>
      </x:c>
      <x:c r="H56" s="9" t="n">
        <x:f>B56+G56</x:f>
        <x:v>103129.61329999992</x:v>
      </x:c>
      <x:c r="I56" s="10" t="n">
        <x:f>G56/B56</x:f>
        <x:v>0</x:v>
      </x:c>
      <x:c r="J56" s="9" t="n">
        <x:f>1+I56</x:f>
        <x:v>1</x:v>
      </x:c>
      <x:c r="K56" s="10" t="n">
        <x:f>H56/MAX('Summary'!$B$16,H$7:H56)-1</x:f>
        <x:v>-0.011557524628697635</x:v>
      </x:c>
      <x:c r="L56" s="11" t="n">
        <x:v>473</x:v>
      </x:c>
      <x:c r="M56" s="9" t="n">
        <x:v>2.741101415928252</x:v>
      </x:c>
    </x:row>
    <x:row r="57" ht="22" customHeight="1">
      <x:c r="A57" s="12" t="n">
        <x:v>45821</x:v>
      </x:c>
      <x:c r="B57" s="9" t="n">
        <x:f>H56</x:f>
        <x:v>103129.61329999992</x:v>
      </x:c>
      <x:c r="C57" s="9" t="n">
        <x:v>-1112.2599999999863</x:v>
      </x:c>
      <x:c r="D57" s="9" t="n">
        <x:v>3.325</x:v>
      </x:c>
      <x:c r="E57" s="9" t="n">
        <x:v>0.95</x:v>
      </x:c>
      <x:c r="F57" s="9" t="n">
        <x:f>D57+E57</x:f>
        <x:v>4.275</x:v>
      </x:c>
      <x:c r="G57" s="9" t="n">
        <x:f>C57-F57</x:f>
        <x:v>-1116.5349999999864</x:v>
      </x:c>
      <x:c r="H57" s="9" t="n">
        <x:f>B57+G57</x:f>
        <x:v>102013.07829999994</x:v>
      </x:c>
      <x:c r="I57" s="10" t="n">
        <x:f>G57/B57</x:f>
        <x:v>-0.010826521735828008</x:v>
      </x:c>
      <x:c r="J57" s="9" t="n">
        <x:f>1+I57</x:f>
        <x:v>0.989173478264172</x:v>
      </x:c>
      <x:c r="K57" s="10" t="n">
        <x:f>H57/MAX('Summary'!$B$16,H$7:H57)-1</x:f>
        <x:v>-0.022258918572920616</x:v>
      </x:c>
      <x:c r="L57" s="11" t="n">
        <x:v>475</x:v>
      </x:c>
      <x:c r="M57" s="9" t="n">
        <x:v>2.743975361780436</x:v>
      </x:c>
    </x:row>
    <x:row r="58" ht="22" customHeight="1">
      <x:c r="A58" s="12" t="n">
        <x:v>45824</x:v>
      </x:c>
      <x:c r="B58" s="9" t="n">
        <x:f>H57</x:f>
        <x:v>102013.07829999994</x:v>
      </x:c>
      <x:c r="C58" s="9" t="n">
        <x:v>0</x:v>
      </x:c>
      <x:c r="D58" s="9" t="n">
        <x:v>0</x:v>
      </x:c>
      <x:c r="E58" s="9" t="n">
        <x:v>0</x:v>
      </x:c>
      <x:c r="F58" s="9" t="n">
        <x:f>D58+E58</x:f>
        <x:v>0</x:v>
      </x:c>
      <x:c r="G58" s="9" t="n">
        <x:f>C58-F58</x:f>
        <x:v>0</x:v>
      </x:c>
      <x:c r="H58" s="9" t="n">
        <x:f>B58+G58</x:f>
        <x:v>102013.07829999994</x:v>
      </x:c>
      <x:c r="I58" s="10" t="n">
        <x:f>G58/B58</x:f>
        <x:v>0</x:v>
      </x:c>
      <x:c r="J58" s="9" t="n">
        <x:f>1+I58</x:f>
        <x:v>1</x:v>
      </x:c>
      <x:c r="K58" s="10" t="n">
        <x:f>H58/MAX('Summary'!$B$16,H$7:H58)-1</x:f>
        <x:v>-0.022258918572920616</x:v>
      </x:c>
      <x:c r="L58" s="11" t="n">
        <x:v>436</x:v>
      </x:c>
      <x:c r="M58" s="9" t="n">
        <x:v>2.566278217874197</x:v>
      </x:c>
    </x:row>
    <x:row r="59" ht="22" customHeight="1">
      <x:c r="A59" s="12" t="n">
        <x:v>45825</x:v>
      </x:c>
      <x:c r="B59" s="9" t="n">
        <x:f>H58</x:f>
        <x:v>102013.07829999994</x:v>
      </x:c>
      <x:c r="C59" s="9" t="n">
        <x:v>708.8382000000063</x:v>
      </x:c>
      <x:c r="D59" s="9" t="n">
        <x:v>3.899</x:v>
      </x:c>
      <x:c r="E59" s="9" t="n">
        <x:v>1.114</x:v>
      </x:c>
      <x:c r="F59" s="9" t="n">
        <x:f>D59+E59</x:f>
        <x:v>5.013</x:v>
      </x:c>
      <x:c r="G59" s="9" t="n">
        <x:f>C59-F59</x:f>
        <x:v>703.8252000000062</x:v>
      </x:c>
      <x:c r="H59" s="9" t="n">
        <x:f>B59+G59</x:f>
        <x:v>102716.90349999994</x:v>
      </x:c>
      <x:c r="I59" s="10" t="n">
        <x:f>G59/B59</x:f>
        <x:v>0.006899362432042272</x:v>
      </x:c>
      <x:c r="J59" s="9" t="n">
        <x:f>1+I59</x:f>
        <x:v>1.0068993624320424</x:v>
      </x:c>
      <x:c r="K59" s="10" t="n">
        <x:f>H59/MAX('Summary'!$B$16,H$7:H59)-1</x:f>
        <x:v>-0.015513128487458228</x:v>
      </x:c>
      <x:c r="L59" s="11" t="n">
        <x:v>557</x:v>
      </x:c>
      <x:c r="M59" s="9" t="n">
        <x:v>3.262742407977029</x:v>
      </x:c>
    </x:row>
    <x:row r="60" ht="22" customHeight="1">
      <x:c r="A60" s="12" t="n">
        <x:v>45826</x:v>
      </x:c>
      <x:c r="B60" s="9" t="n">
        <x:f>H59</x:f>
        <x:v>102716.90349999994</x:v>
      </x:c>
      <x:c r="C60" s="9" t="n">
        <x:v>-321.39450000003126</x:v>
      </x:c>
      <x:c r="D60" s="9" t="n">
        <x:v>3.759</x:v>
      </x:c>
      <x:c r="E60" s="9" t="n">
        <x:v>1.074</x:v>
      </x:c>
      <x:c r="F60" s="9" t="n">
        <x:f>D60+E60</x:f>
        <x:v>4.833</x:v>
      </x:c>
      <x:c r="G60" s="9" t="n">
        <x:f>C60-F60</x:f>
        <x:v>-326.2275000000313</x:v>
      </x:c>
      <x:c r="H60" s="9" t="n">
        <x:f>B60+G60</x:f>
        <x:v>102390.6759999999</x:v>
      </x:c>
      <x:c r="I60" s="10" t="n">
        <x:f>G60/B60</x:f>
        <x:v>-0.003175986511314873</x:v>
      </x:c>
      <x:c r="J60" s="9" t="n">
        <x:f>1+I60</x:f>
        <x:v>0.9968240134886851</x:v>
      </x:c>
      <x:c r="K60" s="10" t="n">
        <x:f>H60/MAX('Summary'!$B$16,H$7:H60)-1</x:f>
        <x:v>-0.01863984551194875</x:v>
      </x:c>
      <x:c r="L60" s="11" t="n">
        <x:v>537</x:v>
      </x:c>
      <x:c r="M60" s="9" t="n">
        <x:v>3.117072186206873</x:v>
      </x:c>
    </x:row>
    <x:row r="61" ht="22" customHeight="1">
      <x:c r="A61" s="12" t="n">
        <x:v>45828</x:v>
      </x:c>
      <x:c r="B61" s="9" t="n">
        <x:f>H60</x:f>
        <x:v>102390.6759999999</x:v>
      </x:c>
      <x:c r="C61" s="9" t="n">
        <x:v>-792.8151000000768</x:v>
      </x:c>
      <x:c r="D61" s="9" t="n">
        <x:v>11.319</x:v>
      </x:c>
      <x:c r="E61" s="9" t="n">
        <x:v>3.234</x:v>
      </x:c>
      <x:c r="F61" s="9" t="n">
        <x:f>D61+E61</x:f>
        <x:v>14.553</x:v>
      </x:c>
      <x:c r="G61" s="9" t="n">
        <x:f>C61-F61</x:f>
        <x:v>-807.3681000000768</x:v>
      </x:c>
      <x:c r="H61" s="9" t="n">
        <x:f>B61+G61</x:f>
        <x:v>101583.30789999983</x:v>
      </x:c>
      <x:c r="I61" s="10" t="n">
        <x:f>G61/B61</x:f>
        <x:v>-0.007885172083443198</x:v>
      </x:c>
      <x:c r="J61" s="9" t="n">
        <x:f>1+I61</x:f>
        <x:v>0.9921148279165568</x:v>
      </x:c>
      <x:c r="K61" s="10" t="n">
        <x:f>H61/MAX('Summary'!$B$16,H$7:H61)-1</x:f>
        <x:v>-0.02637803920592141</x:v>
      </x:c>
      <x:c r="L61" s="11" t="n">
        <x:v>539</x:v>
      </x:c>
      <x:c r="M61" s="9" t="n">
        <x:v>3.137404826773455</x:v>
      </x:c>
    </x:row>
    <x:row r="62" ht="22" customHeight="1">
      <x:c r="A62" s="12" t="n">
        <x:v>45831</x:v>
      </x:c>
      <x:c r="B62" s="9" t="n">
        <x:f>H61</x:f>
        <x:v>101583.30789999983</x:v>
      </x:c>
      <x:c r="C62" s="9" t="n">
        <x:v>493.42999999994436</x:v>
      </x:c>
      <x:c r="D62" s="9" t="n">
        <x:v>3.724</x:v>
      </x:c>
      <x:c r="E62" s="9" t="n">
        <x:v>1.064</x:v>
      </x:c>
      <x:c r="F62" s="9" t="n">
        <x:f>D62+E62</x:f>
        <x:v>4.788</x:v>
      </x:c>
      <x:c r="G62" s="9" t="n">
        <x:f>C62-F62</x:f>
        <x:v>488.64199999994435</x:v>
      </x:c>
      <x:c r="H62" s="9" t="n">
        <x:f>B62+G62</x:f>
        <x:v>102071.94989999977</x:v>
      </x:c>
      <x:c r="I62" s="10" t="n">
        <x:f>G62/B62</x:f>
        <x:v>0.004810258792526928</x:v>
      </x:c>
      <x:c r="J62" s="9" t="n">
        <x:f>1+I62</x:f>
        <x:v>1.004810258792527</x:v>
      </x:c>
      <x:c r="K62" s="10" t="n">
        <x:f>H62/MAX('Summary'!$B$16,H$7:H62)-1</x:f>
        <x:v>-0.021694665608414376</x:v>
      </x:c>
      <x:c r="L62" s="11" t="n">
        <x:v>532</x:v>
      </x:c>
      <x:c r="M62" s="9" t="n">
        <x:v>3.118603588970868</x:v>
      </x:c>
    </x:row>
    <x:row r="63" ht="22" customHeight="1">
      <x:c r="A63" s="12" t="n">
        <x:v>45832</x:v>
      </x:c>
      <x:c r="B63" s="9" t="n">
        <x:f>H62</x:f>
        <x:v>102071.94989999977</x:v>
      </x:c>
      <x:c r="C63" s="9" t="n">
        <x:v>500.6445999999978</x:v>
      </x:c>
      <x:c r="D63" s="9" t="n">
        <x:v>3.514</x:v>
      </x:c>
      <x:c r="E63" s="9" t="n">
        <x:v>1.004</x:v>
      </x:c>
      <x:c r="F63" s="9" t="n">
        <x:f>D63+E63</x:f>
        <x:v>4.518</x:v>
      </x:c>
      <x:c r="G63" s="9" t="n">
        <x:f>C63-F63</x:f>
        <x:v>496.12659999999784</x:v>
      </x:c>
      <x:c r="H63" s="9" t="n">
        <x:f>B63+G63</x:f>
        <x:v>102568.07649999978</x:v>
      </x:c>
      <x:c r="I63" s="10" t="n">
        <x:f>G63/B63</x:f>
        <x:v>0.004860557680009588</x:v>
      </x:c>
      <x:c r="J63" s="9" t="n">
        <x:f>1+I63</x:f>
        <x:v>1.0048605576800096</x:v>
      </x:c>
      <x:c r="K63" s="10" t="n">
        <x:f>H63/MAX('Summary'!$B$16,H$7:H63)-1</x:f>
        <x:v>-0.016939556101942976</x:v>
      </x:c>
      <x:c r="L63" s="11" t="n">
        <x:v>502</x:v>
      </x:c>
      <x:c r="M63" s="9" t="n">
        <x:v>2.963120048627506</x:v>
      </x:c>
    </x:row>
    <x:row r="64" ht="22" customHeight="1">
      <x:c r="A64" s="12" t="n">
        <x:v>45833</x:v>
      </x:c>
      <x:c r="B64" s="9" t="n">
        <x:f>H63</x:f>
        <x:v>102568.07649999978</x:v>
      </x:c>
      <x:c r="C64" s="9" t="n">
        <x:v>0</x:v>
      </x:c>
      <x:c r="D64" s="9" t="n">
        <x:v>0</x:v>
      </x:c>
      <x:c r="E64" s="9" t="n">
        <x:v>0</x:v>
      </x:c>
      <x:c r="F64" s="9" t="n">
        <x:f>D64+E64</x:f>
        <x:v>0</x:v>
      </x:c>
      <x:c r="G64" s="9" t="n">
        <x:f>C64-F64</x:f>
        <x:v>0</x:v>
      </x:c>
      <x:c r="H64" s="9" t="n">
        <x:f>B64+G64</x:f>
        <x:v>102568.07649999978</x:v>
      </x:c>
      <x:c r="I64" s="10" t="n">
        <x:f>G64/B64</x:f>
        <x:v>0</x:v>
      </x:c>
      <x:c r="J64" s="9" t="n">
        <x:f>1+I64</x:f>
        <x:v>1</x:v>
      </x:c>
      <x:c r="K64" s="10" t="n">
        <x:f>H64/MAX('Summary'!$B$16,H$7:H64)-1</x:f>
        <x:v>-0.016939556101942976</x:v>
      </x:c>
      <x:c r="L64" s="11" t="n">
        <x:v>471</x:v>
      </x:c>
      <x:c r="M64" s="9" t="n">
        <x:v>2.790648664815219</x:v>
      </x:c>
    </x:row>
    <x:row r="65" ht="22" customHeight="1">
      <x:c r="A65" s="12" t="n">
        <x:v>45834</x:v>
      </x:c>
      <x:c r="B65" s="9" t="n">
        <x:f>H64</x:f>
        <x:v>102568.07649999978</x:v>
      </x:c>
      <x:c r="C65" s="9" t="n">
        <x:v>460.2611999999648</x:v>
      </x:c>
      <x:c r="D65" s="9" t="n">
        <x:v>3.297</x:v>
      </x:c>
      <x:c r="E65" s="9" t="n">
        <x:v>0.942</x:v>
      </x:c>
      <x:c r="F65" s="9" t="n">
        <x:f>D65+E65</x:f>
        <x:v>4.239</x:v>
      </x:c>
      <x:c r="G65" s="9" t="n">
        <x:f>C65-F65</x:f>
        <x:v>456.0221999999648</x:v>
      </x:c>
      <x:c r="H65" s="9" t="n">
        <x:f>B65+G65</x:f>
        <x:v>103024.09869999974</x:v>
      </x:c>
      <x:c r="I65" s="10" t="n">
        <x:f>G65/B65</x:f>
        <x:v>0.004446044184127464</x:v>
      </x:c>
      <x:c r="J65" s="9" t="n">
        <x:f>1+I65</x:f>
        <x:v>1.0044460441841274</x:v>
      </x:c>
      <x:c r="K65" s="10" t="n">
        <x:f>H65/MAX('Summary'!$B$16,H$7:H65)-1</x:f>
        <x:v>-0.012568825932704253</x:v>
      </x:c>
      <x:c r="L65" s="11" t="n">
        <x:v>471</x:v>
      </x:c>
      <x:c r="M65" s="9" t="n">
        <x:v>2.795472816769817</x:v>
      </x:c>
    </x:row>
    <x:row r="66" ht="22" customHeight="1">
      <x:c r="A66" s="12" t="n">
        <x:v>45835</x:v>
      </x:c>
      <x:c r="B66" s="9" t="n">
        <x:f>H65</x:f>
        <x:v>103024.09869999974</x:v>
      </x:c>
      <x:c r="C66" s="9" t="n">
        <x:v>21.2825999999925</x:v>
      </x:c>
      <x:c r="D66" s="9" t="n">
        <x:v>3.318</x:v>
      </x:c>
      <x:c r="E66" s="9" t="n">
        <x:v>0.948</x:v>
      </x:c>
      <x:c r="F66" s="9" t="n">
        <x:f>D66+E66</x:f>
        <x:v>4.266</x:v>
      </x:c>
      <x:c r="G66" s="9" t="n">
        <x:f>C66-F66</x:f>
        <x:v>17.0165999999925</x:v>
      </x:c>
      <x:c r="H66" s="9" t="n">
        <x:f>B66+G66</x:f>
        <x:v>103041.11529999973</x:v>
      </x:c>
      <x:c r="I66" s="10" t="n">
        <x:f>G66/B66</x:f>
        <x:v>0.00016517106400070397</x:v>
      </x:c>
      <x:c r="J66" s="9" t="n">
        <x:f>1+I66</x:f>
        <x:v>1.0001651710640007</x:v>
      </x:c>
      <x:c r="K66" s="10" t="n">
        <x:f>H66/MAX('Summary'!$B$16,H$7:H66)-1</x:f>
        <x:v>-0.012405730875056142</x:v>
      </x:c>
      <x:c r="L66" s="11" t="n">
        <x:v>474</x:v>
      </x:c>
      <x:c r="M66" s="9" t="n">
        <x:v>2.82360087894453</x:v>
      </x:c>
    </x:row>
    <x:row r="67" ht="22" customHeight="1">
      <x:c r="A67" s="12" t="n">
        <x:v>45838</x:v>
      </x:c>
      <x:c r="B67" s="9" t="n">
        <x:f>H66</x:f>
        <x:v>103041.11529999973</x:v>
      </x:c>
      <x:c r="C67" s="9" t="n">
        <x:v>0</x:v>
      </x:c>
      <x:c r="D67" s="9" t="n">
        <x:v>0</x:v>
      </x:c>
      <x:c r="E67" s="9" t="n">
        <x:v>0</x:v>
      </x:c>
      <x:c r="F67" s="9" t="n">
        <x:f>D67+E67</x:f>
        <x:v>0</x:v>
      </x:c>
      <x:c r="G67" s="9" t="n">
        <x:f>C67-F67</x:f>
        <x:v>0</x:v>
      </x:c>
      <x:c r="H67" s="9" t="n">
        <x:f>B67+G67</x:f>
        <x:v>103041.11529999973</x:v>
      </x:c>
      <x:c r="I67" s="10" t="n">
        <x:f>G67/B67</x:f>
        <x:v>0</x:v>
      </x:c>
      <x:c r="J67" s="9" t="n">
        <x:f>1+I67</x:f>
        <x:v>1</x:v>
      </x:c>
      <x:c r="K67" s="10" t="n">
        <x:f>H67/MAX('Summary'!$B$16,H$7:H67)-1</x:f>
        <x:v>-0.012405730875056142</x:v>
      </x:c>
      <x:c r="L67" s="11" t="n">
        <x:v>495</x:v>
      </x:c>
      <x:c r="M67" s="9" t="n">
        <x:v>2.954724489325566</x:v>
      </x:c>
    </x:row>
    <x:row r="68" ht="22" customHeight="1">
      <x:c r="A68" s="12" t="n">
        <x:v>45839</x:v>
      </x:c>
      <x:c r="B68" s="9" t="n">
        <x:f>H67</x:f>
        <x:v>103041.11529999973</x:v>
      </x:c>
      <x:c r="C68" s="9" t="n">
        <x:v>0</x:v>
      </x:c>
      <x:c r="D68" s="9" t="n">
        <x:v>0</x:v>
      </x:c>
      <x:c r="E68" s="9" t="n">
        <x:v>0</x:v>
      </x:c>
      <x:c r="F68" s="9" t="n">
        <x:f>D68+E68</x:f>
        <x:v>0</x:v>
      </x:c>
      <x:c r="G68" s="9" t="n">
        <x:f>C68-F68</x:f>
        <x:v>0</x:v>
      </x:c>
      <x:c r="H68" s="9" t="n">
        <x:f>B68+G68</x:f>
        <x:v>103041.11529999973</x:v>
      </x:c>
      <x:c r="I68" s="10" t="n">
        <x:f>G68/B68</x:f>
        <x:v>0</x:v>
      </x:c>
      <x:c r="J68" s="9" t="n">
        <x:f>1+I68</x:f>
        <x:v>1</x:v>
      </x:c>
      <x:c r="K68" s="10" t="n">
        <x:f>H68/MAX('Summary'!$B$16,H$7:H68)-1</x:f>
        <x:v>-0.012405730875056142</x:v>
      </x:c>
      <x:c r="L68" s="11" t="n">
        <x:v>492</x:v>
      </x:c>
      <x:c r="M68" s="9" t="n">
        <x:v>2.943003103571243</x:v>
      </x:c>
    </x:row>
    <x:row r="69" ht="22" customHeight="1">
      <x:c r="A69" s="12" t="n">
        <x:v>45840</x:v>
      </x:c>
      <x:c r="B69" s="9" t="n">
        <x:f>H68</x:f>
        <x:v>103041.11529999973</x:v>
      </x:c>
      <x:c r="C69" s="9" t="n">
        <x:v>591.2775000000306</x:v>
      </x:c>
      <x:c r="D69" s="9" t="n">
        <x:v>3.465</x:v>
      </x:c>
      <x:c r="E69" s="9" t="n">
        <x:v>0.99</x:v>
      </x:c>
      <x:c r="F69" s="9" t="n">
        <x:f>D69+E69</x:f>
        <x:v>4.455</x:v>
      </x:c>
      <x:c r="G69" s="9" t="n">
        <x:f>C69-F69</x:f>
        <x:v>586.8225000000306</x:v>
      </x:c>
      <x:c r="H69" s="9" t="n">
        <x:f>B69+G69</x:f>
        <x:v>103627.93779999975</x:v>
      </x:c>
      <x:c r="I69" s="10" t="n">
        <x:f>G69/B69</x:f>
        <x:v>0.005695032495441479</x:v>
      </x:c>
      <x:c r="J69" s="9" t="n">
        <x:f>1+I69</x:f>
        <x:v>1.0056950324954415</x:v>
      </x:c>
      <x:c r="K69" s="10" t="n">
        <x:f>H69/MAX('Summary'!$B$16,H$7:H69)-1</x:f>
        <x:v>-0.006781349420077909</x:v>
      </x:c>
      <x:c r="L69" s="11" t="n">
        <x:v>495</x:v>
      </x:c>
      <x:c r="M69" s="9" t="n">
        <x:v>2.958394727118374</x:v>
      </x:c>
    </x:row>
    <x:row r="70" ht="22" customHeight="1">
      <x:c r="A70" s="12" t="n">
        <x:v>45841</x:v>
      </x:c>
      <x:c r="B70" s="9" t="n">
        <x:f>H69</x:f>
        <x:v>103627.93779999975</x:v>
      </x:c>
      <x:c r="C70" s="9" t="n">
        <x:v>19.98989999999435</x:v>
      </x:c>
      <x:c r="D70" s="9" t="n">
        <x:v>3.507</x:v>
      </x:c>
      <x:c r="E70" s="9" t="n">
        <x:v>1.002</x:v>
      </x:c>
      <x:c r="F70" s="9" t="n">
        <x:f>D70+E70</x:f>
        <x:v>4.509</x:v>
      </x:c>
      <x:c r="G70" s="9" t="n">
        <x:f>C70-F70</x:f>
        <x:v>15.48089999999435</x:v>
      </x:c>
      <x:c r="H70" s="9" t="n">
        <x:f>B70+G70</x:f>
        <x:v>103643.41869999975</x:v>
      </x:c>
      <x:c r="I70" s="10" t="n">
        <x:f>G70/B70</x:f>
        <x:v>0.00014938925089749675</x:v>
      </x:c>
      <x:c r="J70" s="9" t="n">
        <x:f>1+I70</x:f>
        <x:v>1.0001493892508975</x:v>
      </x:c>
      <x:c r="K70" s="10" t="n">
        <x:f>H70/MAX('Summary'!$B$16,H$7:H70)-1</x:f>
        <x:v>-0.0066329732298903155</x:v>
      </x:c>
      <x:c r="L70" s="11" t="n">
        <x:v>501</x:v>
      </x:c>
      <x:c r="M70" s="9" t="n">
        <x:v>3.009798903469488</x:v>
      </x:c>
    </x:row>
    <x:row r="71" ht="22" customHeight="1">
      <x:c r="A71" s="12" t="n">
        <x:v>45845</x:v>
      </x:c>
      <x:c r="B71" s="9" t="n">
        <x:f>H70</x:f>
        <x:v>103643.41869999975</x:v>
      </x:c>
      <x:c r="C71" s="9" t="n">
        <x:v>693.8400000000263</x:v>
      </x:c>
      <x:c r="D71" s="9" t="n">
        <x:v>3.43</x:v>
      </x:c>
      <x:c r="E71" s="9" t="n">
        <x:v>0.98</x:v>
      </x:c>
      <x:c r="F71" s="9" t="n">
        <x:f>D71+E71</x:f>
        <x:v>4.41</x:v>
      </x:c>
      <x:c r="G71" s="9" t="n">
        <x:f>C71-F71</x:f>
        <x:v>689.4300000000263</x:v>
      </x:c>
      <x:c r="H71" s="9" t="n">
        <x:f>B71+G71</x:f>
        <x:v>104332.84869999977</x:v>
      </x:c>
      <x:c r="I71" s="10" t="n">
        <x:f>G71/B71</x:f>
        <x:v>0.006651941904730204</x:v>
      </x:c>
      <x:c r="J71" s="9" t="n">
        <x:f>1+I71</x:f>
        <x:v>1.0066519419047302</x:v>
      </x:c>
      <x:c r="K71" s="10" t="n">
        <x:f>H71/MAX('Summary'!$B$16,H$7:H71)-1</x:f>
        <x:v>-0.000025153477741013397</x:v>
      </x:c>
      <x:c r="L71" s="11" t="n">
        <x:v>490</x:v>
      </x:c>
      <x:c r="M71" s="9" t="n">
        <x:v>2.943969832579985</x:v>
      </x:c>
    </x:row>
    <x:row r="72" ht="22" customHeight="1">
      <x:c r="A72" s="12" t="n">
        <x:v>45846</x:v>
      </x:c>
      <x:c r="B72" s="9" t="n">
        <x:f>H71</x:f>
        <x:v>104332.84869999977</x:v>
      </x:c>
      <x:c r="C72" s="9" t="n">
        <x:v>0</x:v>
      </x:c>
      <x:c r="D72" s="9" t="n">
        <x:v>0</x:v>
      </x:c>
      <x:c r="E72" s="9" t="n">
        <x:v>0</x:v>
      </x:c>
      <x:c r="F72" s="9" t="n">
        <x:f>D72+E72</x:f>
        <x:v>0</x:v>
      </x:c>
      <x:c r="G72" s="9" t="n">
        <x:f>C72-F72</x:f>
        <x:v>0</x:v>
      </x:c>
      <x:c r="H72" s="9" t="n">
        <x:f>B72+G72</x:f>
        <x:v>104332.84869999977</x:v>
      </x:c>
      <x:c r="I72" s="10" t="n">
        <x:f>G72/B72</x:f>
        <x:v>0</x:v>
      </x:c>
      <x:c r="J72" s="9" t="n">
        <x:f>1+I72</x:f>
        <x:v>1</x:v>
      </x:c>
      <x:c r="K72" s="10" t="n">
        <x:f>H72/MAX('Summary'!$B$16,H$7:H72)-1</x:f>
        <x:v>-0.000025153477741013397</x:v>
      </x:c>
      <x:c r="L72" s="11" t="n">
        <x:v>538</x:v>
      </x:c>
      <x:c r="M72" s="9" t="n">
        <x:v>3.196098878899132</x:v>
      </x:c>
    </x:row>
    <x:row r="73" ht="22" customHeight="1">
      <x:c r="A73" s="12" t="n">
        <x:v>45847</x:v>
      </x:c>
      <x:c r="B73" s="9" t="n">
        <x:f>H72</x:f>
        <x:v>104332.84869999977</x:v>
      </x:c>
      <x:c r="C73" s="9" t="n">
        <x:v>0</x:v>
      </x:c>
      <x:c r="D73" s="9" t="n">
        <x:v>0</x:v>
      </x:c>
      <x:c r="E73" s="9" t="n">
        <x:v>0</x:v>
      </x:c>
      <x:c r="F73" s="9" t="n">
        <x:f>D73+E73</x:f>
        <x:v>0</x:v>
      </x:c>
      <x:c r="G73" s="9" t="n">
        <x:f>C73-F73</x:f>
        <x:v>0</x:v>
      </x:c>
      <x:c r="H73" s="9" t="n">
        <x:f>B73+G73</x:f>
        <x:v>104332.84869999977</x:v>
      </x:c>
      <x:c r="I73" s="10" t="n">
        <x:f>G73/B73</x:f>
        <x:v>0</x:v>
      </x:c>
      <x:c r="J73" s="9" t="n">
        <x:f>1+I73</x:f>
        <x:v>1</x:v>
      </x:c>
      <x:c r="K73" s="10" t="n">
        <x:f>H73/MAX('Summary'!$B$16,H$7:H73)-1</x:f>
        <x:v>-0.000025153477741013397</x:v>
      </x:c>
      <x:c r="L73" s="11" t="n">
        <x:v>556</x:v>
      </x:c>
      <x:c r="M73" s="9" t="n">
        <x:v>3.31842962420253</x:v>
      </x:c>
    </x:row>
    <x:row r="74" ht="22" customHeight="1">
      <x:c r="A74" s="12" t="n">
        <x:v>45848</x:v>
      </x:c>
      <x:c r="B74" s="9" t="n">
        <x:f>H73</x:f>
        <x:v>104332.84869999977</x:v>
      </x:c>
      <x:c r="C74" s="9" t="n">
        <x:v>121.78420000005883</x:v>
      </x:c>
      <x:c r="D74" s="9" t="n">
        <x:v>9.002</x:v>
      </x:c>
      <x:c r="E74" s="9" t="n">
        <x:v>2.572</x:v>
      </x:c>
      <x:c r="F74" s="9" t="n">
        <x:f>D74+E74</x:f>
        <x:v>11.574000000000002</x:v>
      </x:c>
      <x:c r="G74" s="9" t="n">
        <x:f>C74-F74</x:f>
        <x:v>110.21020000005883</x:v>
      </x:c>
      <x:c r="H74" s="9" t="n">
        <x:f>B74+G74</x:f>
        <x:v>104443.05889999983</x:v>
      </x:c>
      <x:c r="I74" s="10" t="n">
        <x:f>G74/B74</x:f>
        <x:v>0.0010563327022437476</x:v>
      </x:c>
      <x:c r="J74" s="9" t="n">
        <x:f>1+I74</x:f>
        <x:v>1.0010563327022437</x:v>
      </x:c>
      <x:c r="K74" s="10" t="n">
        <x:f>H74/MAX('Summary'!$B$16,H$7:H74)-1</x:f>
        <x:v>0</x:v>
      </x:c>
      <x:c r="L74" s="11" t="n">
        <x:v>643</x:v>
      </x:c>
      <x:c r="M74" s="9" t="n">
        <x:v>3.836165979092591</x:v>
      </x:c>
    </x:row>
    <x:row r="75" ht="22" customHeight="1">
      <x:c r="A75" s="12" t="n">
        <x:v>45849</x:v>
      </x:c>
      <x:c r="B75" s="9" t="n">
        <x:f>H74</x:f>
        <x:v>104443.05889999983</x:v>
      </x:c>
      <x:c r="C75" s="9" t="n">
        <x:v>0</x:v>
      </x:c>
      <x:c r="D75" s="9" t="n">
        <x:v>0</x:v>
      </x:c>
      <x:c r="E75" s="9" t="n">
        <x:v>0</x:v>
      </x:c>
      <x:c r="F75" s="9" t="n">
        <x:f>D75+E75</x:f>
        <x:v>0</x:v>
      </x:c>
      <x:c r="G75" s="9" t="n">
        <x:f>C75-F75</x:f>
        <x:v>0</x:v>
      </x:c>
      <x:c r="H75" s="9" t="n">
        <x:f>B75+G75</x:f>
        <x:v>104443.05889999983</x:v>
      </x:c>
      <x:c r="I75" s="10" t="n">
        <x:f>G75/B75</x:f>
        <x:v>0</x:v>
      </x:c>
      <x:c r="J75" s="9" t="n">
        <x:f>1+I75</x:f>
        <x:v>1</x:v>
      </x:c>
      <x:c r="K75" s="10" t="n">
        <x:f>H75/MAX('Summary'!$B$16,H$7:H75)-1</x:f>
        <x:v>0</x:v>
      </x:c>
      <x:c r="L75" s="11" t="n">
        <x:v>656</x:v>
      </x:c>
      <x:c r="M75" s="9" t="n">
        <x:v>3.905857456549212</x:v>
      </x:c>
    </x:row>
    <x:row r="76" ht="22" customHeight="1">
      <x:c r="A76" s="12" t="n">
        <x:v>45852</x:v>
      </x:c>
      <x:c r="B76" s="9" t="n">
        <x:f>H75</x:f>
        <x:v>104443.05889999983</x:v>
      </x:c>
      <x:c r="C76" s="9" t="n">
        <x:v>0</x:v>
      </x:c>
      <x:c r="D76" s="9" t="n">
        <x:v>0</x:v>
      </x:c>
      <x:c r="E76" s="9" t="n">
        <x:v>0</x:v>
      </x:c>
      <x:c r="F76" s="9" t="n">
        <x:f>D76+E76</x:f>
        <x:v>0</x:v>
      </x:c>
      <x:c r="G76" s="9" t="n">
        <x:f>C76-F76</x:f>
        <x:v>0</x:v>
      </x:c>
      <x:c r="H76" s="9" t="n">
        <x:f>B76+G76</x:f>
        <x:v>104443.05889999983</x:v>
      </x:c>
      <x:c r="I76" s="10" t="n">
        <x:f>G76/B76</x:f>
        <x:v>0</x:v>
      </x:c>
      <x:c r="J76" s="9" t="n">
        <x:f>1+I76</x:f>
        <x:v>1</x:v>
      </x:c>
      <x:c r="K76" s="10" t="n">
        <x:f>H76/MAX('Summary'!$B$16,H$7:H76)-1</x:f>
        <x:v>0</x:v>
      </x:c>
      <x:c r="L76" s="11" t="n">
        <x:v>642</x:v>
      </x:c>
      <x:c r="M76" s="9" t="n">
        <x:v>3.822545352759109</x:v>
      </x:c>
    </x:row>
    <x:row r="77" ht="22" customHeight="1">
      <x:c r="A77" s="12" t="n">
        <x:v>45853</x:v>
      </x:c>
      <x:c r="B77" s="9" t="n">
        <x:f>H76</x:f>
        <x:v>104443.05889999983</x:v>
      </x:c>
      <x:c r="C77" s="9" t="n">
        <x:v>-453.6488999999814</x:v>
      </x:c>
      <x:c r="D77" s="9" t="n">
        <x:v>4.683</x:v>
      </x:c>
      <x:c r="E77" s="9" t="n">
        <x:v>1.338</x:v>
      </x:c>
      <x:c r="F77" s="9" t="n">
        <x:f>D77+E77</x:f>
        <x:v>6.021</x:v>
      </x:c>
      <x:c r="G77" s="9" t="n">
        <x:f>C77-F77</x:f>
        <x:v>-459.6698999999814</x:v>
      </x:c>
      <x:c r="H77" s="9" t="n">
        <x:f>B77+G77</x:f>
        <x:v>103983.38899999985</x:v>
      </x:c>
      <x:c r="I77" s="10" t="n">
        <x:f>G77/B77</x:f>
        <x:v>-0.004401153172276364</x:v>
      </x:c>
      <x:c r="J77" s="9" t="n">
        <x:f>1+I77</x:f>
        <x:v>0.9955988468277236</x:v>
      </x:c>
      <x:c r="K77" s="10" t="n">
        <x:f>H77/MAX('Summary'!$B$16,H$7:H77)-1</x:f>
        <x:v>-0.004401153172276295</x:v>
      </x:c>
      <x:c r="L77" s="11" t="n">
        <x:v>669</x:v>
      </x:c>
      <x:c r="M77" s="9" t="n">
        <x:v>4</x:v>
      </x:c>
    </x:row>
    <x:row r="78" ht="22" customHeight="1">
      <x:c r="A78" s="12" t="n">
        <x:v>45854</x:v>
      </x:c>
      <x:c r="B78" s="9" t="n">
        <x:f>H77</x:f>
        <x:v>103983.38899999985</x:v>
      </x:c>
      <x:c r="C78" s="9" t="n">
        <x:v>-73.49899999998343</x:v>
      </x:c>
      <x:c r="D78" s="9" t="n">
        <x:v>4.69</x:v>
      </x:c>
      <x:c r="E78" s="9" t="n">
        <x:v>1.34</x:v>
      </x:c>
      <x:c r="F78" s="9" t="n">
        <x:f>D78+E78</x:f>
        <x:v>6.03</x:v>
      </x:c>
      <x:c r="G78" s="9" t="n">
        <x:f>C78-F78</x:f>
        <x:v>-79.52899999998343</x:v>
      </x:c>
      <x:c r="H78" s="9" t="n">
        <x:f>B78+G78</x:f>
        <x:v>103903.85999999987</x:v>
      </x:c>
      <x:c r="I78" s="10" t="n">
        <x:f>G78/B78</x:f>
        <x:v>-0.0007648240816615771</x:v>
      </x:c>
      <x:c r="J78" s="9" t="n">
        <x:f>1+I78</x:f>
        <x:v>0.9992351759183384</x:v>
      </x:c>
      <x:c r="K78" s="10" t="n">
        <x:f>H78/MAX('Summary'!$B$16,H$7:H78)-1</x:f>
        <x:v>-0.005162611146004692</x:v>
      </x:c>
      <x:c r="L78" s="11" t="n">
        <x:v>670</x:v>
      </x:c>
      <x:c r="M78" s="9" t="n">
        <x:v>4</x:v>
      </x:c>
    </x:row>
    <x:row r="79" ht="22" customHeight="1">
      <x:c r="A79" s="12" t="n">
        <x:v>45855</x:v>
      </x:c>
      <x:c r="B79" s="9" t="n">
        <x:f>H78</x:f>
        <x:v>103903.85999999987</x:v>
      </x:c>
      <x:c r="C79" s="9" t="n">
        <x:v>-116.04250000005322</x:v>
      </x:c>
      <x:c r="D79" s="9" t="n">
        <x:v>9.31</x:v>
      </x:c>
      <x:c r="E79" s="9" t="n">
        <x:v>2.66</x:v>
      </x:c>
      <x:c r="F79" s="9" t="n">
        <x:f>D79+E79</x:f>
        <x:v>11.97</x:v>
      </x:c>
      <x:c r="G79" s="9" t="n">
        <x:f>C79-F79</x:f>
        <x:v>-128.01250000005322</x:v>
      </x:c>
      <x:c r="H79" s="9" t="n">
        <x:f>B79+G79</x:f>
        <x:v>103775.84749999981</x:v>
      </x:c>
      <x:c r="I79" s="10" t="n">
        <x:f>G79/B79</x:f>
        <x:v>-0.0012320283385049736</x:v>
      </x:c>
      <x:c r="J79" s="9" t="n">
        <x:f>1+I79</x:f>
        <x:v>0.998767971661495</x:v>
      </x:c>
      <x:c r="K79" s="10" t="n">
        <x:f>H79/MAX('Summary'!$B$16,H$7:H79)-1</x:f>
        <x:v>-0.006388279001277031</x:v>
      </x:c>
      <x:c r="L79" s="11" t="n">
        <x:v>665</x:v>
      </x:c>
      <x:c r="M79" s="9" t="n">
        <x:v>4</x:v>
      </x:c>
    </x:row>
    <x:row r="80" ht="22" customHeight="1">
      <x:c r="A80" s="12" t="n">
        <x:v>45856</x:v>
      </x:c>
      <x:c r="B80" s="9" t="n">
        <x:f>H79</x:f>
        <x:v>103775.84749999981</x:v>
      </x:c>
      <x:c r="C80" s="9" t="n">
        <x:v>138.41340000004845</x:v>
      </x:c>
      <x:c r="D80" s="9" t="n">
        <x:v>4.627</x:v>
      </x:c>
      <x:c r="E80" s="9" t="n">
        <x:v>1.322</x:v>
      </x:c>
      <x:c r="F80" s="9" t="n">
        <x:f>D80+E80</x:f>
        <x:v>5.949</x:v>
      </x:c>
      <x:c r="G80" s="9" t="n">
        <x:f>C80-F80</x:f>
        <x:v>132.46440000004844</x:v>
      </x:c>
      <x:c r="H80" s="9" t="n">
        <x:f>B80+G80</x:f>
        <x:v>103908.31189999987</x:v>
      </x:c>
      <x:c r="I80" s="10" t="n">
        <x:f>G80/B80</x:f>
        <x:v>0.001276447296660706</x:v>
      </x:c>
      <x:c r="J80" s="9" t="n">
        <x:f>1+I80</x:f>
        <x:v>1.0012764472966607</x:v>
      </x:c>
      <x:c r="K80" s="10" t="n">
        <x:f>H80/MAX('Summary'!$B$16,H$7:H80)-1</x:f>
        <x:v>-0.00511998600607777</x:v>
      </x:c>
      <x:c r="L80" s="11" t="n">
        <x:v>661</x:v>
      </x:c>
      <x:c r="M80" s="9" t="n">
        <x:v>4</x:v>
      </x:c>
    </x:row>
    <x:row r="81" ht="22" customHeight="1">
      <x:c r="A81" s="12" t="n">
        <x:v>45859</x:v>
      </x:c>
      <x:c r="B81" s="9" t="n">
        <x:f>H80</x:f>
        <x:v>103908.31189999987</x:v>
      </x:c>
      <x:c r="C81" s="9" t="n">
        <x:v>0</x:v>
      </x:c>
      <x:c r="D81" s="9" t="n">
        <x:v>0</x:v>
      </x:c>
      <x:c r="E81" s="9" t="n">
        <x:v>0</x:v>
      </x:c>
      <x:c r="F81" s="9" t="n">
        <x:f>D81+E81</x:f>
        <x:v>0</x:v>
      </x:c>
      <x:c r="G81" s="9" t="n">
        <x:f>C81-F81</x:f>
        <x:v>0</x:v>
      </x:c>
      <x:c r="H81" s="9" t="n">
        <x:f>B81+G81</x:f>
        <x:v>103908.31189999987</x:v>
      </x:c>
      <x:c r="I81" s="10" t="n">
        <x:f>G81/B81</x:f>
        <x:v>0</x:v>
      </x:c>
      <x:c r="J81" s="9" t="n">
        <x:f>1+I81</x:f>
        <x:v>1</x:v>
      </x:c>
      <x:c r="K81" s="10" t="n">
        <x:f>H81/MAX('Summary'!$B$16,H$7:H81)-1</x:f>
        <x:v>-0.00511998600607777</x:v>
      </x:c>
      <x:c r="L81" s="11" t="n">
        <x:v>660</x:v>
      </x:c>
      <x:c r="M81" s="9" t="n">
        <x:v>4</x:v>
      </x:c>
    </x:row>
    <x:row r="82" ht="22" customHeight="1">
      <x:c r="A82" s="12" t="n">
        <x:v>45860</x:v>
      </x:c>
      <x:c r="B82" s="9" t="n">
        <x:f>H81</x:f>
        <x:v>103908.31189999987</x:v>
      </x:c>
      <x:c r="C82" s="9" t="n">
        <x:v>0</x:v>
      </x:c>
      <x:c r="D82" s="9" t="n">
        <x:v>0</x:v>
      </x:c>
      <x:c r="E82" s="9" t="n">
        <x:v>0</x:v>
      </x:c>
      <x:c r="F82" s="9" t="n">
        <x:f>D82+E82</x:f>
        <x:v>0</x:v>
      </x:c>
      <x:c r="G82" s="9" t="n">
        <x:f>C82-F82</x:f>
        <x:v>0</x:v>
      </x:c>
      <x:c r="H82" s="9" t="n">
        <x:f>B82+G82</x:f>
        <x:v>103908.31189999987</x:v>
      </x:c>
      <x:c r="I82" s="10" t="n">
        <x:f>G82/B82</x:f>
        <x:v>0</x:v>
      </x:c>
      <x:c r="J82" s="9" t="n">
        <x:f>1+I82</x:f>
        <x:v>1</x:v>
      </x:c>
      <x:c r="K82" s="10" t="n">
        <x:f>H82/MAX('Summary'!$B$16,H$7:H82)-1</x:f>
        <x:v>-0.00511998600607777</x:v>
      </x:c>
      <x:c r="L82" s="11" t="n">
        <x:v>664</x:v>
      </x:c>
      <x:c r="M82" s="9" t="n">
        <x:v>4</x:v>
      </x:c>
    </x:row>
    <x:row r="83" ht="22" customHeight="1">
      <x:c r="A83" s="12" t="n">
        <x:v>45861</x:v>
      </x:c>
      <x:c r="B83" s="9" t="n">
        <x:f>H82</x:f>
        <x:v>103908.31189999987</x:v>
      </x:c>
      <x:c r="C83" s="9" t="n">
        <x:v>1469.9317999999887</x:v>
      </x:c>
      <x:c r="D83" s="9" t="n">
        <x:v>9.254</x:v>
      </x:c>
      <x:c r="E83" s="9" t="n">
        <x:v>2.644</x:v>
      </x:c>
      <x:c r="F83" s="9" t="n">
        <x:f>D83+E83</x:f>
        <x:v>11.898</x:v>
      </x:c>
      <x:c r="G83" s="9" t="n">
        <x:f>C83-F83</x:f>
        <x:v>1458.0337999999888</x:v>
      </x:c>
      <x:c r="H83" s="9" t="n">
        <x:f>B83+G83</x:f>
        <x:v>105366.34569999986</x:v>
      </x:c>
      <x:c r="I83" s="10" t="n">
        <x:f>G83/B83</x:f>
        <x:v>0.014031926545040816</x:v>
      </x:c>
      <x:c r="J83" s="9" t="n">
        <x:f>1+I83</x:f>
        <x:v>1.0140319265450408</x:v>
      </x:c>
      <x:c r="K83" s="10" t="n">
        <x:f>H83/MAX('Summary'!$B$16,H$7:H83)-1</x:f>
        <x:v>0</x:v>
      </x:c>
      <x:c r="L83" s="11" t="n">
        <x:v>661</x:v>
      </x:c>
      <x:c r="M83" s="9" t="n">
        <x:v>4</x:v>
      </x:c>
    </x:row>
    <x:row r="84" ht="22" customHeight="1">
      <x:c r="A84" s="12" t="n">
        <x:v>45862</x:v>
      </x:c>
      <x:c r="B84" s="9" t="n">
        <x:f>H83</x:f>
        <x:v>105366.34569999986</x:v>
      </x:c>
      <x:c r="C84" s="9" t="n">
        <x:v>0</x:v>
      </x:c>
      <x:c r="D84" s="9" t="n">
        <x:v>0</x:v>
      </x:c>
      <x:c r="E84" s="9" t="n">
        <x:v>0</x:v>
      </x:c>
      <x:c r="F84" s="9" t="n">
        <x:f>D84+E84</x:f>
        <x:v>0</x:v>
      </x:c>
      <x:c r="G84" s="9" t="n">
        <x:f>C84-F84</x:f>
        <x:v>0</x:v>
      </x:c>
      <x:c r="H84" s="9" t="n">
        <x:f>B84+G84</x:f>
        <x:v>105366.34569999986</x:v>
      </x:c>
      <x:c r="I84" s="10" t="n">
        <x:f>G84/B84</x:f>
        <x:v>0</x:v>
      </x:c>
      <x:c r="J84" s="9" t="n">
        <x:f>1+I84</x:f>
        <x:v>1</x:v>
      </x:c>
      <x:c r="K84" s="10" t="n">
        <x:f>H84/MAX('Summary'!$B$16,H$7:H84)-1</x:f>
        <x:v>0</x:v>
      </x:c>
      <x:c r="L84" s="11" t="n">
        <x:v>665</x:v>
      </x:c>
      <x:c r="M84" s="9" t="n">
        <x:v>4</x:v>
      </x:c>
    </x:row>
    <x:row r="85" ht="22" customHeight="1">
      <x:c r="A85" s="12" t="n">
        <x:v>45863</x:v>
      </x:c>
      <x:c r="B85" s="9" t="n">
        <x:f>H84</x:f>
        <x:v>105366.34569999986</x:v>
      </x:c>
      <x:c r="C85" s="9" t="n">
        <x:v>-10.041499999974235</x:v>
      </x:c>
      <x:c r="D85" s="9" t="n">
        <x:v>13.965000000000002</x:v>
      </x:c>
      <x:c r="E85" s="9" t="n">
        <x:v>3.99</x:v>
      </x:c>
      <x:c r="F85" s="9" t="n">
        <x:f>D85+E85</x:f>
        <x:v>17.955000000000002</x:v>
      </x:c>
      <x:c r="G85" s="9" t="n">
        <x:f>C85-F85</x:f>
        <x:v>-27.996499999974237</x:v>
      </x:c>
      <x:c r="H85" s="9" t="n">
        <x:f>B85+G85</x:f>
        <x:v>105338.34919999988</x:v>
      </x:c>
      <x:c r="I85" s="10" t="n">
        <x:f>G85/B85</x:f>
        <x:v>-0.0002657062823426197</x:v>
      </x:c>
      <x:c r="J85" s="9" t="n">
        <x:f>1+I85</x:f>
        <x:v>0.9997342937176574</x:v>
      </x:c>
      <x:c r="K85" s="10" t="n">
        <x:f>H85/MAX('Summary'!$B$16,H$7:H85)-1</x:f>
        <x:v>-0.00026570628234268145</x:v>
      </x:c>
      <x:c r="L85" s="11" t="n">
        <x:v>665</x:v>
      </x:c>
      <x:c r="M85" s="9" t="n">
        <x:v>4</x:v>
      </x:c>
    </x:row>
    <x:row r="86" ht="22" customHeight="1">
      <x:c r="A86" s="12" t="n">
        <x:v>45866</x:v>
      </x:c>
      <x:c r="B86" s="9" t="n">
        <x:f>H85</x:f>
        <x:v>105338.34919999988</x:v>
      </x:c>
      <x:c r="C86" s="9" t="n">
        <x:v>0</x:v>
      </x:c>
      <x:c r="D86" s="9" t="n">
        <x:v>0</x:v>
      </x:c>
      <x:c r="E86" s="9" t="n">
        <x:v>0</x:v>
      </x:c>
      <x:c r="F86" s="9" t="n">
        <x:f>D86+E86</x:f>
        <x:v>0</x:v>
      </x:c>
      <x:c r="G86" s="9" t="n">
        <x:f>C86-F86</x:f>
        <x:v>0</x:v>
      </x:c>
      <x:c r="H86" s="9" t="n">
        <x:f>B86+G86</x:f>
        <x:v>105338.34919999988</x:v>
      </x:c>
      <x:c r="I86" s="10" t="n">
        <x:f>G86/B86</x:f>
        <x:v>0</x:v>
      </x:c>
      <x:c r="J86" s="9" t="n">
        <x:f>1+I86</x:f>
        <x:v>1</x:v>
      </x:c>
      <x:c r="K86" s="10" t="n">
        <x:f>H86/MAX('Summary'!$B$16,H$7:H86)-1</x:f>
        <x:v>-0.00026570628234268145</x:v>
      </x:c>
      <x:c r="L86" s="11" t="n">
        <x:v>662</x:v>
      </x:c>
      <x:c r="M86" s="9" t="n">
        <x:v>4</x:v>
      </x:c>
    </x:row>
    <x:row r="87" ht="22" customHeight="1">
      <x:c r="A87" s="12" t="n">
        <x:v>45867</x:v>
      </x:c>
      <x:c r="B87" s="9" t="n">
        <x:f>H86</x:f>
        <x:v>105338.34919999988</x:v>
      </x:c>
      <x:c r="C87" s="9" t="n">
        <x:v>-603.942599999973</x:v>
      </x:c>
      <x:c r="D87" s="9" t="n">
        <x:v>4.634</x:v>
      </x:c>
      <x:c r="E87" s="9" t="n">
        <x:v>1.324</x:v>
      </x:c>
      <x:c r="F87" s="9" t="n">
        <x:f>D87+E87</x:f>
        <x:v>5.958</x:v>
      </x:c>
      <x:c r="G87" s="9" t="n">
        <x:f>C87-F87</x:f>
        <x:v>-609.900599999973</x:v>
      </x:c>
      <x:c r="H87" s="9" t="n">
        <x:f>B87+G87</x:f>
        <x:v>104728.4485999999</x:v>
      </x:c>
      <x:c r="I87" s="10" t="n">
        <x:f>G87/B87</x:f>
        <x:v>-0.005789919859499504</x:v>
      </x:c>
      <x:c r="J87" s="9" t="n">
        <x:f>1+I87</x:f>
        <x:v>0.9942100801405005</x:v>
      </x:c>
      <x:c r="K87" s="10" t="n">
        <x:f>H87/MAX('Summary'!$B$16,H$7:H87)-1</x:f>
        <x:v>-0.006054087723761259</x:v>
      </x:c>
      <x:c r="L87" s="11" t="n">
        <x:v>662</x:v>
      </x:c>
      <x:c r="M87" s="9" t="n">
        <x:v>4</x:v>
      </x:c>
    </x:row>
    <x:row r="88" ht="22" customHeight="1">
      <x:c r="A88" s="12" t="n">
        <x:v>45868</x:v>
      </x:c>
      <x:c r="B88" s="9" t="n">
        <x:f>H87</x:f>
        <x:v>104728.4485999999</x:v>
      </x:c>
      <x:c r="C88" s="9" t="n">
        <x:v>-1211.0339999999655</x:v>
      </x:c>
      <x:c r="D88" s="9" t="n">
        <x:v>9.24</x:v>
      </x:c>
      <x:c r="E88" s="9" t="n">
        <x:v>2.64</x:v>
      </x:c>
      <x:c r="F88" s="9" t="n">
        <x:f>D88+E88</x:f>
        <x:v>11.88</x:v>
      </x:c>
      <x:c r="G88" s="9" t="n">
        <x:f>C88-F88</x:f>
        <x:v>-1222.9139999999657</x:v>
      </x:c>
      <x:c r="H88" s="9" t="n">
        <x:f>B88+G88</x:f>
        <x:v>103505.53459999994</x:v>
      </x:c>
      <x:c r="I88" s="10" t="n">
        <x:f>G88/B88</x:f>
        <x:v>-0.011676999099554759</x:v>
      </x:c>
      <x:c r="J88" s="9" t="n">
        <x:f>1+I88</x:f>
        <x:v>0.9883230009004452</x:v>
      </x:c>
      <x:c r="K88" s="10" t="n">
        <x:f>H88/MAX('Summary'!$B$16,H$7:H88)-1</x:f>
        <x:v>-0.017660393246416994</x:v>
      </x:c>
      <x:c r="L88" s="11" t="n">
        <x:v>660</x:v>
      </x:c>
      <x:c r="M88" s="9" t="n">
        <x:v>4</x:v>
      </x:c>
    </x:row>
    <x:row r="89" ht="22" customHeight="1">
      <x:c r="A89" s="12" t="n">
        <x:v>45869</x:v>
      </x:c>
      <x:c r="B89" s="9" t="n">
        <x:f>H88</x:f>
        <x:v>103505.53459999994</x:v>
      </x:c>
      <x:c r="C89" s="9" t="n">
        <x:v>0</x:v>
      </x:c>
      <x:c r="D89" s="9" t="n">
        <x:v>0</x:v>
      </x:c>
      <x:c r="E89" s="9" t="n">
        <x:v>0</x:v>
      </x:c>
      <x:c r="F89" s="9" t="n">
        <x:f>D89+E89</x:f>
        <x:v>0</x:v>
      </x:c>
      <x:c r="G89" s="9" t="n">
        <x:f>C89-F89</x:f>
        <x:v>0</x:v>
      </x:c>
      <x:c r="H89" s="9" t="n">
        <x:f>B89+G89</x:f>
        <x:v>103505.53459999994</x:v>
      </x:c>
      <x:c r="I89" s="10" t="n">
        <x:f>G89/B89</x:f>
        <x:v>0</x:v>
      </x:c>
      <x:c r="J89" s="9" t="n">
        <x:f>1+I89</x:f>
        <x:v>1</x:v>
      </x:c>
      <x:c r="K89" s="10" t="n">
        <x:f>H89/MAX('Summary'!$B$16,H$7:H89)-1</x:f>
        <x:v>-0.017660393246416994</x:v>
      </x:c>
      <x:c r="L89" s="11" t="n">
        <x:v>649</x:v>
      </x:c>
      <x:c r="M89" s="9" t="n">
        <x:v>4</x:v>
      </x:c>
    </x:row>
    <x:row r="90" ht="22" customHeight="1">
      <x:c r="A90" s="12" t="n">
        <x:v>45870</x:v>
      </x:c>
      <x:c r="B90" s="9" t="n">
        <x:f>H89</x:f>
        <x:v>103505.53459999994</x:v>
      </x:c>
      <x:c r="C90" s="9" t="n">
        <x:v>0</x:v>
      </x:c>
      <x:c r="D90" s="9" t="n">
        <x:v>0</x:v>
      </x:c>
      <x:c r="E90" s="9" t="n">
        <x:v>0</x:v>
      </x:c>
      <x:c r="F90" s="9" t="n">
        <x:f>D90+E90</x:f>
        <x:v>0</x:v>
      </x:c>
      <x:c r="G90" s="9" t="n">
        <x:f>C90-F90</x:f>
        <x:v>0</x:v>
      </x:c>
      <x:c r="H90" s="9" t="n">
        <x:f>B90+G90</x:f>
        <x:v>103505.53459999994</x:v>
      </x:c>
      <x:c r="I90" s="10" t="n">
        <x:f>G90/B90</x:f>
        <x:v>0</x:v>
      </x:c>
      <x:c r="J90" s="9" t="n">
        <x:f>1+I90</x:f>
        <x:v>1</x:v>
      </x:c>
      <x:c r="K90" s="10" t="n">
        <x:f>H90/MAX('Summary'!$B$16,H$7:H90)-1</x:f>
        <x:v>-0.017660393246416994</x:v>
      </x:c>
      <x:c r="L90" s="11" t="n">
        <x:v>668</x:v>
      </x:c>
      <x:c r="M90" s="9" t="n">
        <x:v>4</x:v>
      </x:c>
    </x:row>
    <x:row r="91" ht="22" customHeight="1">
      <x:c r="A91" s="12" t="n">
        <x:v>45873</x:v>
      </x:c>
      <x:c r="B91" s="9" t="n">
        <x:f>H90</x:f>
        <x:v>103505.53459999994</x:v>
      </x:c>
      <x:c r="C91" s="9" t="n">
        <x:v>0</x:v>
      </x:c>
      <x:c r="D91" s="9" t="n">
        <x:v>0</x:v>
      </x:c>
      <x:c r="E91" s="9" t="n">
        <x:v>0</x:v>
      </x:c>
      <x:c r="F91" s="9" t="n">
        <x:f>D91+E91</x:f>
        <x:v>0</x:v>
      </x:c>
      <x:c r="G91" s="9" t="n">
        <x:f>C91-F91</x:f>
        <x:v>0</x:v>
      </x:c>
      <x:c r="H91" s="9" t="n">
        <x:f>B91+G91</x:f>
        <x:v>103505.53459999994</x:v>
      </x:c>
      <x:c r="I91" s="10" t="n">
        <x:f>G91/B91</x:f>
        <x:v>0</x:v>
      </x:c>
      <x:c r="J91" s="9" t="n">
        <x:f>1+I91</x:f>
        <x:v>1</x:v>
      </x:c>
      <x:c r="K91" s="10" t="n">
        <x:f>H91/MAX('Summary'!$B$16,H$7:H91)-1</x:f>
        <x:v>-0.017660393246416994</x:v>
      </x:c>
      <x:c r="L91" s="11" t="n">
        <x:v>560</x:v>
      </x:c>
      <x:c r="M91" s="9" t="n">
        <x:v>3.39520990852432</x:v>
      </x:c>
    </x:row>
    <x:row r="92" ht="22" customHeight="1">
      <x:c r="A92" s="12" t="n">
        <x:v>45874</x:v>
      </x:c>
      <x:c r="B92" s="9" t="n">
        <x:f>H91</x:f>
        <x:v>103505.53459999994</x:v>
      </x:c>
      <x:c r="C92" s="9" t="n">
        <x:v>-138.1979999999885</x:v>
      </x:c>
      <x:c r="D92" s="9" t="n">
        <x:v>6.51</x:v>
      </x:c>
      <x:c r="E92" s="9" t="n">
        <x:v>1.86</x:v>
      </x:c>
      <x:c r="F92" s="9" t="n">
        <x:f>D92+E92</x:f>
        <x:v>8.37</x:v>
      </x:c>
      <x:c r="G92" s="9" t="n">
        <x:f>C92-F92</x:f>
        <x:v>-146.5679999999885</x:v>
      </x:c>
      <x:c r="H92" s="9" t="n">
        <x:f>B92+G92</x:f>
        <x:v>103358.96659999996</x:v>
      </x:c>
      <x:c r="I92" s="10" t="n">
        <x:f>G92/B92</x:f>
        <x:v>-0.0014160402201332004</x:v>
      </x:c>
      <x:c r="J92" s="9" t="n">
        <x:f>1+I92</x:f>
        <x:v>0.9985839597798668</x:v>
      </x:c>
      <x:c r="K92" s="10" t="n">
        <x:f>H92/MAX('Summary'!$B$16,H$7:H92)-1</x:f>
        <x:v>-0.01905142563940987</x:v>
      </x:c>
      <x:c r="L92" s="11" t="n">
        <x:v>465</x:v>
      </x:c>
      <x:c r="M92" s="9" t="n">
        <x:v>2.828549070473549</x:v>
      </x:c>
    </x:row>
    <x:row r="93" ht="22" customHeight="1">
      <x:c r="A93" s="12" t="n">
        <x:v>45875</x:v>
      </x:c>
      <x:c r="B93" s="9" t="n">
        <x:f>H92</x:f>
        <x:v>103358.96659999996</x:v>
      </x:c>
      <x:c r="C93" s="9" t="n">
        <x:v>818.5655999999699</x:v>
      </x:c>
      <x:c r="D93" s="9" t="n">
        <x:v>3.192</x:v>
      </x:c>
      <x:c r="E93" s="9" t="n">
        <x:v>0.912</x:v>
      </x:c>
      <x:c r="F93" s="9" t="n">
        <x:f>D93+E93</x:f>
        <x:v>4.104</x:v>
      </x:c>
      <x:c r="G93" s="9" t="n">
        <x:f>C93-F93</x:f>
        <x:v>814.4615999999698</x:v>
      </x:c>
      <x:c r="H93" s="9" t="n">
        <x:f>B93+G93</x:f>
        <x:v>104173.42819999992</x:v>
      </x:c>
      <x:c r="I93" s="10" t="n">
        <x:f>G93/B93</x:f>
        <x:v>0.007879931725245889</x:v>
      </x:c>
      <x:c r="J93" s="9" t="n">
        <x:f>1+I93</x:f>
        <x:v>1.0078799317252458</x:v>
      </x:c>
      <x:c r="K93" s="10" t="n">
        <x:f>H93/MAX('Summary'!$B$16,H$7:H93)-1</x:f>
        <x:v>-0.01132161784747121</x:v>
      </x:c>
      <x:c r="L93" s="11" t="n">
        <x:v>456</x:v>
      </x:c>
      <x:c r="M93" s="9" t="n">
        <x:v>2.771174834310417</x:v>
      </x:c>
    </x:row>
    <x:row r="94" ht="22" customHeight="1">
      <x:c r="A94" s="12" t="n">
        <x:v>45876</x:v>
      </x:c>
      <x:c r="B94" s="9" t="n">
        <x:f>H93</x:f>
        <x:v>104173.42819999992</x:v>
      </x:c>
      <x:c r="C94" s="9" t="n">
        <x:v>388.68479999996634</x:v>
      </x:c>
      <x:c r="D94" s="9" t="n">
        <x:v>3.136</x:v>
      </x:c>
      <x:c r="E94" s="9" t="n">
        <x:v>0.896</x:v>
      </x:c>
      <x:c r="F94" s="9" t="n">
        <x:f>D94+E94</x:f>
        <x:v>4.032</x:v>
      </x:c>
      <x:c r="G94" s="9" t="n">
        <x:f>C94-F94</x:f>
        <x:v>384.65279999996636</x:v>
      </x:c>
      <x:c r="H94" s="9" t="n">
        <x:f>B94+G94</x:f>
        <x:v>104558.08099999989</x:v>
      </x:c>
      <x:c r="I94" s="10" t="n">
        <x:f>G94/B94</x:f>
        <x:v>0.0036924272018914574</x:v>
      </x:c>
      <x:c r="J94" s="9" t="n">
        <x:f>1+I94</x:f>
        <x:v>1.0036924272018914</x:v>
      </x:c>
      <x:c r="K94" s="10" t="n">
        <x:f>H94/MAX('Summary'!$B$16,H$7:H94)-1</x:f>
        <x:v>-0.007670994895289107</x:v>
      </x:c>
      <x:c r="L94" s="11" t="n">
        <x:v>448</x:v>
      </x:c>
      <x:c r="M94" s="9" t="n">
        <x:v>2.731807671937852</x:v>
      </x:c>
    </x:row>
    <x:row r="95" ht="22" customHeight="1">
      <x:c r="A95" s="12" t="n">
        <x:v>45877</x:v>
      </x:c>
      <x:c r="B95" s="9" t="n">
        <x:f>H94</x:f>
        <x:v>104558.08099999989</x:v>
      </x:c>
      <x:c r="C95" s="9" t="n">
        <x:v>0</x:v>
      </x:c>
      <x:c r="D95" s="9" t="n">
        <x:v>0</x:v>
      </x:c>
      <x:c r="E95" s="9" t="n">
        <x:v>0</x:v>
      </x:c>
      <x:c r="F95" s="9" t="n">
        <x:f>D95+E95</x:f>
        <x:v>0</x:v>
      </x:c>
      <x:c r="G95" s="9" t="n">
        <x:f>C95-F95</x:f>
        <x:v>0</x:v>
      </x:c>
      <x:c r="H95" s="9" t="n">
        <x:f>B95+G95</x:f>
        <x:v>104558.08099999989</x:v>
      </x:c>
      <x:c r="I95" s="10" t="n">
        <x:f>G95/B95</x:f>
        <x:v>0</x:v>
      </x:c>
      <x:c r="J95" s="9" t="n">
        <x:f>1+I95</x:f>
        <x:v>1</x:v>
      </x:c>
      <x:c r="K95" s="10" t="n">
        <x:f>H95/MAX('Summary'!$B$16,H$7:H95)-1</x:f>
        <x:v>-0.007670994895289107</x:v>
      </x:c>
      <x:c r="L95" s="11" t="n">
        <x:v>450</x:v>
      </x:c>
      <x:c r="M95" s="9" t="n">
        <x:v>2.731254996949412</x:v>
      </x:c>
    </x:row>
    <x:row r="96" ht="22" customHeight="1">
      <x:c r="A96" s="12" t="n">
        <x:v>45880</x:v>
      </x:c>
      <x:c r="B96" s="9" t="n">
        <x:f>H95</x:f>
        <x:v>104558.08099999989</x:v>
      </x:c>
      <x:c r="C96" s="9" t="n">
        <x:v>0</x:v>
      </x:c>
      <x:c r="D96" s="9" t="n">
        <x:v>0</x:v>
      </x:c>
      <x:c r="E96" s="9" t="n">
        <x:v>0</x:v>
      </x:c>
      <x:c r="F96" s="9" t="n">
        <x:f>D96+E96</x:f>
        <x:v>0</x:v>
      </x:c>
      <x:c r="G96" s="9" t="n">
        <x:f>C96-F96</x:f>
        <x:v>0</x:v>
      </x:c>
      <x:c r="H96" s="9" t="n">
        <x:f>B96+G96</x:f>
        <x:v>104558.08099999989</x:v>
      </x:c>
      <x:c r="I96" s="10" t="n">
        <x:f>G96/B96</x:f>
        <x:v>0</x:v>
      </x:c>
      <x:c r="J96" s="9" t="n">
        <x:f>1+I96</x:f>
        <x:v>1</x:v>
      </x:c>
      <x:c r="K96" s="10" t="n">
        <x:f>H96/MAX('Summary'!$B$16,H$7:H96)-1</x:f>
        <x:v>-0.007670994895289107</x:v>
      </x:c>
      <x:c r="L96" s="11" t="n">
        <x:v>434</x:v>
      </x:c>
      <x:c r="M96" s="9" t="n">
        <x:v>2.641504826044155</x:v>
      </x:c>
    </x:row>
    <x:row r="97" ht="22" customHeight="1">
      <x:c r="A97" s="12" t="n">
        <x:v>45881</x:v>
      </x:c>
      <x:c r="B97" s="9" t="n">
        <x:f>H96</x:f>
        <x:v>104558.08099999989</x:v>
      </x:c>
      <x:c r="C97" s="9" t="n">
        <x:v>1447.502399999983</x:v>
      </x:c>
      <x:c r="D97" s="9" t="n">
        <x:v>3.024</x:v>
      </x:c>
      <x:c r="E97" s="9" t="n">
        <x:v>0.864</x:v>
      </x:c>
      <x:c r="F97" s="9" t="n">
        <x:f>D97+E97</x:f>
        <x:v>3.888</x:v>
      </x:c>
      <x:c r="G97" s="9" t="n">
        <x:f>C97-F97</x:f>
        <x:v>1443.614399999983</x:v>
      </x:c>
      <x:c r="H97" s="9" t="n">
        <x:f>B97+G97</x:f>
        <x:v>106001.69539999987</x:v>
      </x:c>
      <x:c r="I97" s="10" t="n">
        <x:f>G97/B97</x:f>
        <x:v>0.013806818049768766</x:v>
      </x:c>
      <x:c r="J97" s="9" t="n">
        <x:f>1+I97</x:f>
        <x:v>1.0138068180497688</x:v>
      </x:c>
      <x:c r="K97" s="10" t="n">
        <x:f>H97/MAX('Summary'!$B$16,H$7:H97)-1</x:f>
        <x:v>0</x:v>
      </x:c>
      <x:c r="L97" s="11" t="n">
        <x:v>432</x:v>
      </x:c>
      <x:c r="M97" s="9" t="n">
        <x:v>2.627948442284845</x:v>
      </x:c>
    </x:row>
    <x:row r="98" ht="22" customHeight="1">
      <x:c r="A98" s="12" t="n">
        <x:v>45882</x:v>
      </x:c>
      <x:c r="B98" s="9" t="n">
        <x:f>H97</x:f>
        <x:v>106001.69539999987</x:v>
      </x:c>
      <x:c r="C98" s="9" t="n">
        <x:v>0</x:v>
      </x:c>
      <x:c r="D98" s="9" t="n">
        <x:v>0</x:v>
      </x:c>
      <x:c r="E98" s="9" t="n">
        <x:v>0</x:v>
      </x:c>
      <x:c r="F98" s="9" t="n">
        <x:f>D98+E98</x:f>
        <x:v>0</x:v>
      </x:c>
      <x:c r="G98" s="9" t="n">
        <x:f>C98-F98</x:f>
        <x:v>0</x:v>
      </x:c>
      <x:c r="H98" s="9" t="n">
        <x:f>B98+G98</x:f>
        <x:v>106001.69539999987</x:v>
      </x:c>
      <x:c r="I98" s="10" t="n">
        <x:f>G98/B98</x:f>
        <x:v>0</x:v>
      </x:c>
      <x:c r="J98" s="9" t="n">
        <x:f>1+I98</x:f>
        <x:v>1</x:v>
      </x:c>
      <x:c r="K98" s="10" t="n">
        <x:f>H98/MAX('Summary'!$B$16,H$7:H98)-1</x:f>
        <x:v>0</x:v>
      </x:c>
      <x:c r="L98" s="11" t="n">
        <x:v>422</x:v>
      </x:c>
      <x:c r="M98" s="9" t="n">
        <x:v>2.565492221762256</x:v>
      </x:c>
    </x:row>
    <x:row r="99" ht="22" customHeight="1">
      <x:c r="A99" s="12" t="n">
        <x:v>45883</x:v>
      </x:c>
      <x:c r="B99" s="9" t="n">
        <x:f>H98</x:f>
        <x:v>106001.69539999987</x:v>
      </x:c>
      <x:c r="C99" s="9" t="n">
        <x:v>0</x:v>
      </x:c>
      <x:c r="D99" s="9" t="n">
        <x:v>0</x:v>
      </x:c>
      <x:c r="E99" s="9" t="n">
        <x:v>0</x:v>
      </x:c>
      <x:c r="F99" s="9" t="n">
        <x:f>D99+E99</x:f>
        <x:v>0</x:v>
      </x:c>
      <x:c r="G99" s="9" t="n">
        <x:f>C99-F99</x:f>
        <x:v>0</x:v>
      </x:c>
      <x:c r="H99" s="9" t="n">
        <x:f>B99+G99</x:f>
        <x:v>106001.69539999987</x:v>
      </x:c>
      <x:c r="I99" s="10" t="n">
        <x:f>G99/B99</x:f>
        <x:v>0</x:v>
      </x:c>
      <x:c r="J99" s="9" t="n">
        <x:f>1+I99</x:f>
        <x:v>1</x:v>
      </x:c>
      <x:c r="K99" s="10" t="n">
        <x:f>H99/MAX('Summary'!$B$16,H$7:H99)-1</x:f>
        <x:v>0</x:v>
      </x:c>
      <x:c r="L99" s="11" t="n">
        <x:v>422</x:v>
      </x:c>
      <x:c r="M99" s="9" t="n">
        <x:v>2.557604492300324</x:v>
      </x:c>
    </x:row>
    <x:row r="100" ht="22" customHeight="1">
      <x:c r="A100" s="12" t="n">
        <x:v>45884</x:v>
      </x:c>
      <x:c r="B100" s="9" t="n">
        <x:f>H99</x:f>
        <x:v>106001.69539999987</x:v>
      </x:c>
      <x:c r="C100" s="9" t="n">
        <x:v>0</x:v>
      </x:c>
      <x:c r="D100" s="9" t="n">
        <x:v>0</x:v>
      </x:c>
      <x:c r="E100" s="9" t="n">
        <x:v>0</x:v>
      </x:c>
      <x:c r="F100" s="9" t="n">
        <x:f>D100+E100</x:f>
        <x:v>0</x:v>
      </x:c>
      <x:c r="G100" s="9" t="n">
        <x:f>C100-F100</x:f>
        <x:v>0</x:v>
      </x:c>
      <x:c r="H100" s="9" t="n">
        <x:f>B100+G100</x:f>
        <x:v>106001.69539999987</x:v>
      </x:c>
      <x:c r="I100" s="10" t="n">
        <x:f>G100/B100</x:f>
        <x:v>0</x:v>
      </x:c>
      <x:c r="J100" s="9" t="n">
        <x:f>1+I100</x:f>
        <x:v>1</x:v>
      </x:c>
      <x:c r="K100" s="10" t="n">
        <x:f>H100/MAX('Summary'!$B$16,H$7:H100)-1</x:f>
        <x:v>0</x:v>
      </x:c>
      <x:c r="L100" s="11" t="n">
        <x:v>424</x:v>
      </x:c>
      <x:c r="M100" s="9" t="n">
        <x:v>2.572459678395681</x:v>
      </x:c>
    </x:row>
    <x:row r="101" ht="22" customHeight="1">
      <x:c r="A101" s="12" t="n">
        <x:v>45887</x:v>
      </x:c>
      <x:c r="B101" s="9" t="n">
        <x:f>H100</x:f>
        <x:v>106001.69539999987</x:v>
      </x:c>
      <x:c r="C101" s="9" t="n">
        <x:v>0</x:v>
      </x:c>
      <x:c r="D101" s="9" t="n">
        <x:v>0</x:v>
      </x:c>
      <x:c r="E101" s="9" t="n">
        <x:v>0</x:v>
      </x:c>
      <x:c r="F101" s="9" t="n">
        <x:f>D101+E101</x:f>
        <x:v>0</x:v>
      </x:c>
      <x:c r="G101" s="9" t="n">
        <x:f>C101-F101</x:f>
        <x:v>0</x:v>
      </x:c>
      <x:c r="H101" s="9" t="n">
        <x:f>B101+G101</x:f>
        <x:v>106001.69539999987</x:v>
      </x:c>
      <x:c r="I101" s="10" t="n">
        <x:f>G101/B101</x:f>
        <x:v>0</x:v>
      </x:c>
      <x:c r="J101" s="9" t="n">
        <x:f>1+I101</x:f>
        <x:v>1</x:v>
      </x:c>
      <x:c r="K101" s="10" t="n">
        <x:f>H101/MAX('Summary'!$B$16,H$7:H101)-1</x:f>
        <x:v>0</x:v>
      </x:c>
      <x:c r="L101" s="11" t="n">
        <x:v>423</x:v>
      </x:c>
      <x:c r="M101" s="9" t="n">
        <x:v>2.558043887504793</x:v>
      </x:c>
    </x:row>
    <x:row r="102" ht="22" customHeight="1">
      <x:c r="A102" s="12" t="n">
        <x:v>45888</x:v>
      </x:c>
      <x:c r="B102" s="9" t="n">
        <x:f>H101</x:f>
        <x:v>106001.69539999987</x:v>
      </x:c>
      <x:c r="C102" s="9" t="n">
        <x:v>256.4024999999475</x:v>
      </x:c>
      <x:c r="D102" s="9" t="n">
        <x:v>5.95</x:v>
      </x:c>
      <x:c r="E102" s="9" t="n">
        <x:v>1.7</x:v>
      </x:c>
      <x:c r="F102" s="9" t="n">
        <x:f>D102+E102</x:f>
        <x:v>7.65</x:v>
      </x:c>
      <x:c r="G102" s="9" t="n">
        <x:f>C102-F102</x:f>
        <x:v>248.7524999999475</x:v>
      </x:c>
      <x:c r="H102" s="9" t="n">
        <x:f>B102+G102</x:f>
        <x:v>106250.44789999981</x:v>
      </x:c>
      <x:c r="I102" s="10" t="n">
        <x:f>G102/B102</x:f>
        <x:v>0.002346684164449202</x:v>
      </x:c>
      <x:c r="J102" s="9" t="n">
        <x:f>1+I102</x:f>
        <x:v>1.0023466841644493</x:v>
      </x:c>
      <x:c r="K102" s="10" t="n">
        <x:f>H102/MAX('Summary'!$B$16,H$7:H102)-1</x:f>
        <x:v>0</x:v>
      </x:c>
      <x:c r="L102" s="11" t="n">
        <x:v>425</x:v>
      </x:c>
      <x:c r="M102" s="9" t="n">
        <x:v>2.575895328600184</x:v>
      </x:c>
    </x:row>
    <x:row r="103" ht="22" customHeight="1">
      <x:c r="A103" s="12" t="n">
        <x:v>45889</x:v>
      </x:c>
      <x:c r="B103" s="9" t="n">
        <x:f>H102</x:f>
        <x:v>106250.44789999981</x:v>
      </x:c>
      <x:c r="C103" s="9" t="n">
        <x:v>-1009.9725999999805</x:v>
      </x:c>
      <x:c r="D103" s="9" t="n">
        <x:v>2.954</x:v>
      </x:c>
      <x:c r="E103" s="9" t="n">
        <x:v>0.844</x:v>
      </x:c>
      <x:c r="F103" s="9" t="n">
        <x:f>D103+E103</x:f>
        <x:v>3.798</x:v>
      </x:c>
      <x:c r="G103" s="9" t="n">
        <x:f>C103-F103</x:f>
        <x:v>-1013.7705999999805</x:v>
      </x:c>
      <x:c r="H103" s="9" t="n">
        <x:f>B103+G103</x:f>
        <x:v>105236.67729999984</x:v>
      </x:c>
      <x:c r="I103" s="10" t="n">
        <x:f>G103/B103</x:f>
        <x:v>-0.009541330131183214</x:v>
      </x:c>
      <x:c r="J103" s="9" t="n">
        <x:f>1+I103</x:f>
        <x:v>0.9904586698688168</x:v>
      </x:c>
      <x:c r="K103" s="10" t="n">
        <x:f>H103/MAX('Summary'!$B$16,H$7:H103)-1</x:f>
        <x:v>-0.00954133013118319</x:v>
      </x:c>
      <x:c r="L103" s="11" t="n">
        <x:v>422</x:v>
      </x:c>
      <x:c r="M103" s="9" t="n">
        <x:v>2.521269310429247</x:v>
      </x:c>
    </x:row>
    <x:row r="104" ht="22" customHeight="1">
      <x:c r="A104" s="12" t="n">
        <x:v>45890</x:v>
      </x:c>
      <x:c r="B104" s="9" t="n">
        <x:f>H103</x:f>
        <x:v>105236.67729999984</x:v>
      </x:c>
      <x:c r="C104" s="9" t="n">
        <x:v>0</x:v>
      </x:c>
      <x:c r="D104" s="9" t="n">
        <x:v>0</x:v>
      </x:c>
      <x:c r="E104" s="9" t="n">
        <x:v>0</x:v>
      </x:c>
      <x:c r="F104" s="9" t="n">
        <x:f>D104+E104</x:f>
        <x:v>0</x:v>
      </x:c>
      <x:c r="G104" s="9" t="n">
        <x:f>C104-F104</x:f>
        <x:v>0</x:v>
      </x:c>
      <x:c r="H104" s="9" t="n">
        <x:f>B104+G104</x:f>
        <x:v>105236.67729999984</x:v>
      </x:c>
      <x:c r="I104" s="10" t="n">
        <x:f>G104/B104</x:f>
        <x:v>0</x:v>
      </x:c>
      <x:c r="J104" s="9" t="n">
        <x:f>1+I104</x:f>
        <x:v>1</x:v>
      </x:c>
      <x:c r="K104" s="10" t="n">
        <x:f>H104/MAX('Summary'!$B$16,H$7:H104)-1</x:f>
        <x:v>-0.00954133013118319</x:v>
      </x:c>
      <x:c r="L104" s="11" t="n">
        <x:v>421</x:v>
      </x:c>
      <x:c r="M104" s="9" t="n">
        <x:v>2.534429013330178</x:v>
      </x:c>
    </x:row>
    <x:row r="105" ht="22" customHeight="1">
      <x:c r="A105" s="12" t="n">
        <x:v>45891</x:v>
      </x:c>
      <x:c r="B105" s="9" t="n">
        <x:f>H104</x:f>
        <x:v>105236.67729999984</x:v>
      </x:c>
      <x:c r="C105" s="9" t="n">
        <x:v>547.7850000000024</x:v>
      </x:c>
      <x:c r="D105" s="9" t="n">
        <x:v>3.626</x:v>
      </x:c>
      <x:c r="E105" s="9" t="n">
        <x:v>1.036</x:v>
      </x:c>
      <x:c r="F105" s="9" t="n">
        <x:f>D105+E105</x:f>
        <x:v>4.662</x:v>
      </x:c>
      <x:c r="G105" s="9" t="n">
        <x:f>C105-F105</x:f>
        <x:v>543.1230000000023</x:v>
      </x:c>
      <x:c r="H105" s="9" t="n">
        <x:f>B105+G105</x:f>
        <x:v>105779.80029999984</x:v>
      </x:c>
      <x:c r="I105" s="10" t="n">
        <x:f>G105/B105</x:f>
        <x:v>0.0051609668219732285</x:v>
      </x:c>
      <x:c r="J105" s="9" t="n">
        <x:f>1+I105</x:f>
        <x:v>1.0051609668219732</x:v>
      </x:c>
      <x:c r="K105" s="10" t="n">
        <x:f>H105/MAX('Summary'!$B$16,H$7:H105)-1</x:f>
        <x:v>-0.004429605797454439</x:v>
      </x:c>
      <x:c r="L105" s="11" t="n">
        <x:v>518</x:v>
      </x:c>
      <x:c r="M105" s="9" t="n">
        <x:v>3.136620960677683</x:v>
      </x:c>
    </x:row>
    <x:row r="106" ht="22" customHeight="1">
      <x:c r="A106" s="12" t="n">
        <x:v>45894</x:v>
      </x:c>
      <x:c r="B106" s="9" t="n">
        <x:f>H105</x:f>
        <x:v>105779.80029999984</x:v>
      </x:c>
      <x:c r="C106" s="9" t="n">
        <x:v>0</x:v>
      </x:c>
      <x:c r="D106" s="9" t="n">
        <x:v>0</x:v>
      </x:c>
      <x:c r="E106" s="9" t="n">
        <x:v>0</x:v>
      </x:c>
      <x:c r="F106" s="9" t="n">
        <x:f>D106+E106</x:f>
        <x:v>0</x:v>
      </x:c>
      <x:c r="G106" s="9" t="n">
        <x:f>C106-F106</x:f>
        <x:v>0</x:v>
      </x:c>
      <x:c r="H106" s="9" t="n">
        <x:f>B106+G106</x:f>
        <x:v>105779.80029999984</x:v>
      </x:c>
      <x:c r="I106" s="10" t="n">
        <x:f>G106/B106</x:f>
        <x:v>0</x:v>
      </x:c>
      <x:c r="J106" s="9" t="n">
        <x:f>1+I106</x:f>
        <x:v>1</x:v>
      </x:c>
      <x:c r="K106" s="10" t="n">
        <x:f>H106/MAX('Summary'!$B$16,H$7:H106)-1</x:f>
        <x:v>-0.004429605797454439</x:v>
      </x:c>
      <x:c r="L106" s="11" t="n">
        <x:v>514</x:v>
      </x:c>
      <x:c r="M106" s="9" t="n">
        <x:v>3.123956061202752</x:v>
      </x:c>
    </x:row>
    <x:row r="107" ht="22" customHeight="1">
      <x:c r="A107" s="12" t="n">
        <x:v>45895</x:v>
      </x:c>
      <x:c r="B107" s="9" t="n">
        <x:f>H106</x:f>
        <x:v>105779.80029999984</x:v>
      </x:c>
      <x:c r="C107" s="9" t="n">
        <x:v>0</x:v>
      </x:c>
      <x:c r="D107" s="9" t="n">
        <x:v>0</x:v>
      </x:c>
      <x:c r="E107" s="9" t="n">
        <x:v>0</x:v>
      </x:c>
      <x:c r="F107" s="9" t="n">
        <x:f>D107+E107</x:f>
        <x:v>0</x:v>
      </x:c>
      <x:c r="G107" s="9" t="n">
        <x:f>C107-F107</x:f>
        <x:v>0</x:v>
      </x:c>
      <x:c r="H107" s="9" t="n">
        <x:f>B107+G107</x:f>
        <x:v>105779.80029999984</x:v>
      </x:c>
      <x:c r="I107" s="10" t="n">
        <x:f>G107/B107</x:f>
        <x:v>0</x:v>
      </x:c>
      <x:c r="J107" s="9" t="n">
        <x:f>1+I107</x:f>
        <x:v>1</x:v>
      </x:c>
      <x:c r="K107" s="10" t="n">
        <x:f>H107/MAX('Summary'!$B$16,H$7:H107)-1</x:f>
        <x:v>-0.004429605797454439</x:v>
      </x:c>
      <x:c r="L107" s="11" t="n">
        <x:v>519</x:v>
      </x:c>
      <x:c r="M107" s="9" t="n">
        <x:v>3.149211645584597</x:v>
      </x:c>
    </x:row>
    <x:row r="108" ht="22" customHeight="1">
      <x:c r="A108" s="12" t="n">
        <x:v>45896</x:v>
      </x:c>
      <x:c r="B108" s="9" t="n">
        <x:f>H107</x:f>
        <x:v>105779.80029999984</x:v>
      </x:c>
      <x:c r="C108" s="9" t="n">
        <x:v>0</x:v>
      </x:c>
      <x:c r="D108" s="9" t="n">
        <x:v>0</x:v>
      </x:c>
      <x:c r="E108" s="9" t="n">
        <x:v>0</x:v>
      </x:c>
      <x:c r="F108" s="9" t="n">
        <x:f>D108+E108</x:f>
        <x:v>0</x:v>
      </x:c>
      <x:c r="G108" s="9" t="n">
        <x:f>C108-F108</x:f>
        <x:v>0</x:v>
      </x:c>
      <x:c r="H108" s="9" t="n">
        <x:f>B108+G108</x:f>
        <x:v>105779.80029999984</x:v>
      </x:c>
      <x:c r="I108" s="10" t="n">
        <x:f>G108/B108</x:f>
        <x:v>0</x:v>
      </x:c>
      <x:c r="J108" s="9" t="n">
        <x:f>1+I108</x:f>
        <x:v>1</x:v>
      </x:c>
      <x:c r="K108" s="10" t="n">
        <x:f>H108/MAX('Summary'!$B$16,H$7:H108)-1</x:f>
        <x:v>-0.004429605797454439</x:v>
      </x:c>
      <x:c r="L108" s="11" t="n">
        <x:v>533</x:v>
      </x:c>
      <x:c r="M108" s="9" t="n">
        <x:v>3.245124321633193</x:v>
      </x:c>
    </x:row>
    <x:row r="109" ht="22" customHeight="1">
      <x:c r="A109" s="12" t="n">
        <x:v>45897</x:v>
      </x:c>
      <x:c r="B109" s="9" t="n">
        <x:f>H108</x:f>
        <x:v>105779.80029999984</x:v>
      </x:c>
      <x:c r="C109" s="9" t="n">
        <x:v>144.02200000003688</x:v>
      </x:c>
      <x:c r="D109" s="9" t="n">
        <x:v>3.745</x:v>
      </x:c>
      <x:c r="E109" s="9" t="n">
        <x:v>1.07</x:v>
      </x:c>
      <x:c r="F109" s="9" t="n">
        <x:f>D109+E109</x:f>
        <x:v>4.815</x:v>
      </x:c>
      <x:c r="G109" s="9" t="n">
        <x:f>C109-F109</x:f>
        <x:v>139.20700000003689</x:v>
      </x:c>
      <x:c r="H109" s="9" t="n">
        <x:f>B109+G109</x:f>
        <x:v>105919.00729999988</x:v>
      </x:c>
      <x:c r="I109" s="10" t="n">
        <x:f>G109/B109</x:f>
        <x:v>0.0013160074003281804</x:v>
      </x:c>
      <x:c r="J109" s="9" t="n">
        <x:f>1+I109</x:f>
        <x:v>1.0013160074003282</x:v>
      </x:c>
      <x:c r="K109" s="10" t="n">
        <x:f>H109/MAX('Summary'!$B$16,H$7:H109)-1</x:f>
        <x:v>-0.0031194277911361645</x:v>
      </x:c>
      <x:c r="L109" s="11" t="n">
        <x:v>535</x:v>
      </x:c>
      <x:c r="M109" s="9" t="n">
        <x:v>3.2614930780704</x:v>
      </x:c>
    </x:row>
    <x:row r="110" ht="22" customHeight="1">
      <x:c r="A110" s="12" t="n">
        <x:v>45898</x:v>
      </x:c>
      <x:c r="B110" s="9" t="n">
        <x:f>H109</x:f>
        <x:v>105919.00729999988</x:v>
      </x:c>
      <x:c r="C110" s="9" t="n">
        <x:v>-641.0512999999881</x:v>
      </x:c>
      <x:c r="D110" s="9" t="n">
        <x:v>7.798</x:v>
      </x:c>
      <x:c r="E110" s="9" t="n">
        <x:v>2.228</x:v>
      </x:c>
      <x:c r="F110" s="9" t="n">
        <x:f>D110+E110</x:f>
        <x:v>10.026</x:v>
      </x:c>
      <x:c r="G110" s="9" t="n">
        <x:f>C110-F110</x:f>
        <x:v>-651.0772999999881</x:v>
      </x:c>
      <x:c r="H110" s="9" t="n">
        <x:f>B110+G110</x:f>
        <x:v>105267.92999999989</x:v>
      </x:c>
      <x:c r="I110" s="10" t="n">
        <x:f>G110/B110</x:f>
        <x:v>-0.006146935442435824</x:v>
      </x:c>
      <x:c r="J110" s="9" t="n">
        <x:f>1+I110</x:f>
        <x:v>0.9938530645575642</x:v>
      </x:c>
      <x:c r="K110" s="10" t="n">
        <x:f>H110/MAX('Summary'!$B$16,H$7:H110)-1</x:f>
        <x:v>-0.00924718831232263</x:v>
      </x:c>
      <x:c r="L110" s="11" t="n">
        <x:v>557</x:v>
      </x:c>
      <x:c r="M110" s="9" t="n">
        <x:v>3.387613369365159</x:v>
      </x:c>
    </x:row>
    <x:row r="111" ht="22" customHeight="1">
      <x:c r="A111" s="12" t="n">
        <x:v>45902</x:v>
      </x:c>
      <x:c r="B111" s="9" t="n">
        <x:f>H110</x:f>
        <x:v>105267.92999999989</x:v>
      </x:c>
      <x:c r="C111" s="9" t="n">
        <x:v>10.485999999983278</x:v>
      </x:c>
      <x:c r="D111" s="9" t="n">
        <x:v>3.745</x:v>
      </x:c>
      <x:c r="E111" s="9" t="n">
        <x:v>1.07</x:v>
      </x:c>
      <x:c r="F111" s="9" t="n">
        <x:f>D111+E111</x:f>
        <x:v>4.815</x:v>
      </x:c>
      <x:c r="G111" s="9" t="n">
        <x:f>C111-F111</x:f>
        <x:v>5.670999999983278</x:v>
      </x:c>
      <x:c r="H111" s="9" t="n">
        <x:f>B111+G111</x:f>
        <x:v>105273.60099999988</x:v>
      </x:c>
      <x:c r="I111" s="10" t="n">
        <x:f>G111/B111</x:f>
        <x:v>0.000053872057710104906</x:v>
      </x:c>
      <x:c r="J111" s="9" t="n">
        <x:f>1+I111</x:f>
        <x:v>1.0000538720577101</x:v>
      </x:c>
      <x:c r="K111" s="10" t="n">
        <x:f>H111/MAX('Summary'!$B$16,H$7:H111)-1</x:f>
        <x:v>-0.009193814419674817</x:v>
      </x:c>
      <x:c r="L111" s="11" t="n">
        <x:v>535</x:v>
      </x:c>
      <x:c r="M111" s="9" t="n">
        <x:v>3.243851539954007</x:v>
      </x:c>
    </x:row>
    <x:row r="112" ht="22" customHeight="1">
      <x:c r="A112" s="12" t="n">
        <x:v>45903</x:v>
      </x:c>
      <x:c r="B112" s="9" t="n">
        <x:f>H111</x:f>
        <x:v>105273.60099999988</x:v>
      </x:c>
      <x:c r="C112" s="9" t="n">
        <x:v>-856.9205999999476</x:v>
      </x:c>
      <x:c r="D112" s="9" t="n">
        <x:v>3.906</x:v>
      </x:c>
      <x:c r="E112" s="9" t="n">
        <x:v>1.116</x:v>
      </x:c>
      <x:c r="F112" s="9" t="n">
        <x:f>D112+E112</x:f>
        <x:v>5.022</x:v>
      </x:c>
      <x:c r="G112" s="9" t="n">
        <x:f>C112-F112</x:f>
        <x:v>-861.9425999999477</x:v>
      </x:c>
      <x:c r="H112" s="9" t="n">
        <x:f>B112+G112</x:f>
        <x:v>104411.65839999993</x:v>
      </x:c>
      <x:c r="I112" s="10" t="n">
        <x:f>G112/B112</x:f>
        <x:v>-0.008187642408090027</x:v>
      </x:c>
      <x:c r="J112" s="9" t="n">
        <x:f>1+I112</x:f>
        <x:v>0.99181235759191</x:v>
      </x:c>
      <x:c r="K112" s="10" t="n">
        <x:f>H112/MAX('Summary'!$B$16,H$7:H112)-1</x:f>
        <x:v>-0.017306181162930256</x:v>
      </x:c>
      <x:c r="L112" s="11" t="n">
        <x:v>558</x:v>
      </x:c>
      <x:c r="M112" s="9" t="n">
        <x:v>3.399777236611016</x:v>
      </x:c>
    </x:row>
    <x:row r="113" ht="22" customHeight="1">
      <x:c r="A113" s="12" t="n">
        <x:v>45904</x:v>
      </x:c>
      <x:c r="B113" s="9" t="n">
        <x:f>H112</x:f>
        <x:v>104411.65839999993</x:v>
      </x:c>
      <x:c r="C113" s="9" t="n">
        <x:v>1206.9539999999938</x:v>
      </x:c>
      <x:c r="D113" s="9" t="n">
        <x:v>3.78</x:v>
      </x:c>
      <x:c r="E113" s="9" t="n">
        <x:v>1.08</x:v>
      </x:c>
      <x:c r="F113" s="9" t="n">
        <x:f>D113+E113</x:f>
        <x:v>4.859999999999999</x:v>
      </x:c>
      <x:c r="G113" s="9" t="n">
        <x:f>C113-F113</x:f>
        <x:v>1202.093999999994</x:v>
      </x:c>
      <x:c r="H113" s="9" t="n">
        <x:f>B113+G113</x:f>
        <x:v>105613.75239999992</x:v>
      </x:c>
      <x:c r="I113" s="10" t="n">
        <x:f>G113/B113</x:f>
        <x:v>0.011513024679627105</x:v>
      </x:c>
      <x:c r="J113" s="9" t="n">
        <x:f>1+I113</x:f>
        <x:v>1.0115130246796271</x:v>
      </x:c>
      <x:c r="K113" s="10" t="n">
        <x:f>H113/MAX('Summary'!$B$16,H$7:H113)-1</x:f>
        <x:v>-0.005992402974142053</x:v>
      </x:c>
      <x:c r="L113" s="11" t="n">
        <x:v>540</x:v>
      </x:c>
      <x:c r="M113" s="9" t="n">
        <x:v>3.332374721917496</x:v>
      </x:c>
    </x:row>
    <x:row r="114" ht="22" customHeight="1">
      <x:c r="A114" s="12" t="n">
        <x:v>45905</x:v>
      </x:c>
      <x:c r="B114" s="9" t="n">
        <x:f>H113</x:f>
        <x:v>105613.75239999992</x:v>
      </x:c>
      <x:c r="C114" s="9" t="n">
        <x:v>-335.22840000000417</x:v>
      </x:c>
      <x:c r="D114" s="9" t="n">
        <x:v>3.549</x:v>
      </x:c>
      <x:c r="E114" s="9" t="n">
        <x:v>1.014</x:v>
      </x:c>
      <x:c r="F114" s="9" t="n">
        <x:f>D114+E114</x:f>
        <x:v>4.563</x:v>
      </x:c>
      <x:c r="G114" s="9" t="n">
        <x:f>C114-F114</x:f>
        <x:v>-339.79140000000416</x:v>
      </x:c>
      <x:c r="H114" s="9" t="n">
        <x:f>B114+G114</x:f>
        <x:v>105273.96099999992</x:v>
      </x:c>
      <x:c r="I114" s="10" t="n">
        <x:f>G114/B114</x:f>
        <x:v>-0.0032173025981794812</x:v>
      </x:c>
      <x:c r="J114" s="9" t="n">
        <x:f>1+I114</x:f>
        <x:v>0.9967826974018206</x:v>
      </x:c>
      <x:c r="K114" s="10" t="n">
        <x:f>H114/MAX('Summary'!$B$16,H$7:H114)-1</x:f>
        <x:v>-0.009190426198663504</x:v>
      </x:c>
      <x:c r="L114" s="11" t="n">
        <x:v>507</x:v>
      </x:c>
      <x:c r="M114" s="9" t="n">
        <x:v>3.117457966153211</x:v>
      </x:c>
    </x:row>
    <x:row r="115" ht="22" customHeight="1">
      <x:c r="A115" s="12" t="n">
        <x:v>45908</x:v>
      </x:c>
      <x:c r="B115" s="9" t="n">
        <x:f>H114</x:f>
        <x:v>105273.96099999992</x:v>
      </x:c>
      <x:c r="C115" s="9" t="n">
        <x:v>0</x:v>
      </x:c>
      <x:c r="D115" s="9" t="n">
        <x:v>0</x:v>
      </x:c>
      <x:c r="E115" s="9" t="n">
        <x:v>0</x:v>
      </x:c>
      <x:c r="F115" s="9" t="n">
        <x:f>D115+E115</x:f>
        <x:v>0</x:v>
      </x:c>
      <x:c r="G115" s="9" t="n">
        <x:f>C115-F115</x:f>
        <x:v>0</x:v>
      </x:c>
      <x:c r="H115" s="9" t="n">
        <x:f>B115+G115</x:f>
        <x:v>105273.96099999992</x:v>
      </x:c>
      <x:c r="I115" s="10" t="n">
        <x:f>G115/B115</x:f>
        <x:v>0</x:v>
      </x:c>
      <x:c r="J115" s="9" t="n">
        <x:f>1+I115</x:f>
        <x:v>1</x:v>
      </x:c>
      <x:c r="K115" s="10" t="n">
        <x:f>H115/MAX('Summary'!$B$16,H$7:H115)-1</x:f>
        <x:v>-0.009190426198663504</x:v>
      </x:c>
      <x:c r="L115" s="11" t="n">
        <x:v>505</x:v>
      </x:c>
      <x:c r="M115" s="9" t="n">
        <x:v>3.107551021387675</x:v>
      </x:c>
    </x:row>
    <x:row r="116" ht="22" customHeight="1">
      <x:c r="A116" s="12" t="n">
        <x:v>45909</x:v>
      </x:c>
      <x:c r="B116" s="9" t="n">
        <x:f>H115</x:f>
        <x:v>105273.96099999992</x:v>
      </x:c>
      <x:c r="C116" s="9" t="n">
        <x:v>0</x:v>
      </x:c>
      <x:c r="D116" s="9" t="n">
        <x:v>0</x:v>
      </x:c>
      <x:c r="E116" s="9" t="n">
        <x:v>0</x:v>
      </x:c>
      <x:c r="F116" s="9" t="n">
        <x:f>D116+E116</x:f>
        <x:v>0</x:v>
      </x:c>
      <x:c r="G116" s="9" t="n">
        <x:f>C116-F116</x:f>
        <x:v>0</x:v>
      </x:c>
      <x:c r="H116" s="9" t="n">
        <x:f>B116+G116</x:f>
        <x:v>105273.96099999992</x:v>
      </x:c>
      <x:c r="I116" s="10" t="n">
        <x:f>G116/B116</x:f>
        <x:v>0</x:v>
      </x:c>
      <x:c r="J116" s="9" t="n">
        <x:f>1+I116</x:f>
        <x:v>1</x:v>
      </x:c>
      <x:c r="K116" s="10" t="n">
        <x:f>H116/MAX('Summary'!$B$16,H$7:H116)-1</x:f>
        <x:v>-0.009190426198663504</x:v>
      </x:c>
      <x:c r="L116" s="11" t="n">
        <x:v>503</x:v>
      </x:c>
      <x:c r="M116" s="9" t="n">
        <x:v>3.098575039418448</x:v>
      </x:c>
    </x:row>
    <x:row r="117" ht="22" customHeight="1">
      <x:c r="A117" s="12" t="n">
        <x:v>45910</x:v>
      </x:c>
      <x:c r="B117" s="9" t="n">
        <x:f>H116</x:f>
        <x:v>105273.96099999992</x:v>
      </x:c>
      <x:c r="C117" s="9" t="n">
        <x:v>0</x:v>
      </x:c>
      <x:c r="D117" s="9" t="n">
        <x:v>0</x:v>
      </x:c>
      <x:c r="E117" s="9" t="n">
        <x:v>0</x:v>
      </x:c>
      <x:c r="F117" s="9" t="n">
        <x:f>D117+E117</x:f>
        <x:v>0</x:v>
      </x:c>
      <x:c r="G117" s="9" t="n">
        <x:f>C117-F117</x:f>
        <x:v>0</x:v>
      </x:c>
      <x:c r="H117" s="9" t="n">
        <x:f>B117+G117</x:f>
        <x:v>105273.96099999992</x:v>
      </x:c>
      <x:c r="I117" s="10" t="n">
        <x:f>G117/B117</x:f>
        <x:v>0</x:v>
      </x:c>
      <x:c r="J117" s="9" t="n">
        <x:f>1+I117</x:f>
        <x:v>1</x:v>
      </x:c>
      <x:c r="K117" s="10" t="n">
        <x:f>H117/MAX('Summary'!$B$16,H$7:H117)-1</x:f>
        <x:v>-0.009190426198663504</x:v>
      </x:c>
      <x:c r="L117" s="11" t="n">
        <x:v>519</x:v>
      </x:c>
      <x:c r="M117" s="9" t="n">
        <x:v>3.213749052705181</x:v>
      </x:c>
    </x:row>
    <x:row r="118" ht="22" customHeight="1">
      <x:c r="A118" s="12" t="n">
        <x:v>45911</x:v>
      </x:c>
      <x:c r="B118" s="9" t="n">
        <x:f>H117</x:f>
        <x:v>105273.96099999992</x:v>
      </x:c>
      <x:c r="C118" s="9" t="n">
        <x:v>-452.002399999963</x:v>
      </x:c>
      <x:c r="D118" s="9" t="n">
        <x:v>14.671999999999999</x:v>
      </x:c>
      <x:c r="E118" s="9" t="n">
        <x:v>4.192</x:v>
      </x:c>
      <x:c r="F118" s="9" t="n">
        <x:f>D118+E118</x:f>
        <x:v>18.863999999999997</x:v>
      </x:c>
      <x:c r="G118" s="9" t="n">
        <x:f>C118-F118</x:f>
        <x:v>-470.866399999963</x:v>
      </x:c>
      <x:c r="H118" s="9" t="n">
        <x:f>B118+G118</x:f>
        <x:v>104803.09459999995</x:v>
      </x:c>
      <x:c r="I118" s="10" t="n">
        <x:f>G118/B118</x:f>
        <x:v>-0.004472771761670137</x:v>
      </x:c>
      <x:c r="J118" s="9" t="n">
        <x:f>1+I118</x:f>
        <x:v>0.9955272282383298</x:v>
      </x:c>
      <x:c r="K118" s="10" t="n">
        <x:f>H118/MAX('Summary'!$B$16,H$7:H118)-1</x:f>
        <x:v>-0.01362209128155456</x:v>
      </x:c>
      <x:c r="L118" s="11" t="n">
        <x:v>524</x:v>
      </x:c>
      <x:c r="M118" s="9" t="n">
        <x:v>3.259501176038362</x:v>
      </x:c>
    </x:row>
    <x:row r="119" ht="22" customHeight="1">
      <x:c r="A119" s="12" t="n">
        <x:v>45912</x:v>
      </x:c>
      <x:c r="B119" s="9" t="n">
        <x:f>H118</x:f>
        <x:v>104803.09459999995</x:v>
      </x:c>
      <x:c r="C119" s="9" t="n">
        <x:v>0</x:v>
      </x:c>
      <x:c r="D119" s="9" t="n">
        <x:v>0</x:v>
      </x:c>
      <x:c r="E119" s="9" t="n">
        <x:v>0</x:v>
      </x:c>
      <x:c r="F119" s="9" t="n">
        <x:f>D119+E119</x:f>
        <x:v>0</x:v>
      </x:c>
      <x:c r="G119" s="9" t="n">
        <x:f>C119-F119</x:f>
        <x:v>0</x:v>
      </x:c>
      <x:c r="H119" s="9" t="n">
        <x:f>B119+G119</x:f>
        <x:v>104803.09459999995</x:v>
      </x:c>
      <x:c r="I119" s="10" t="n">
        <x:f>G119/B119</x:f>
        <x:v>0</x:v>
      </x:c>
      <x:c r="J119" s="9" t="n">
        <x:f>1+I119</x:f>
        <x:v>1</x:v>
      </x:c>
      <x:c r="K119" s="10" t="n">
        <x:f>H119/MAX('Summary'!$B$16,H$7:H119)-1</x:f>
        <x:v>-0.01362209128155456</x:v>
      </x:c>
      <x:c r="L119" s="11" t="n">
        <x:v>519</x:v>
      </x:c>
      <x:c r="M119" s="9" t="n">
        <x:v>3.248939115333916</x:v>
      </x:c>
    </x:row>
    <x:row r="120" ht="22" customHeight="1">
      <x:c r="A120" s="12" t="n">
        <x:v>45915</x:v>
      </x:c>
      <x:c r="B120" s="9" t="n">
        <x:f>H119</x:f>
        <x:v>104803.09459999995</x:v>
      </x:c>
      <x:c r="C120" s="9" t="n">
        <x:v>0</x:v>
      </x:c>
      <x:c r="D120" s="9" t="n">
        <x:v>0</x:v>
      </x:c>
      <x:c r="E120" s="9" t="n">
        <x:v>0</x:v>
      </x:c>
      <x:c r="F120" s="9" t="n">
        <x:f>D120+E120</x:f>
        <x:v>0</x:v>
      </x:c>
      <x:c r="G120" s="9" t="n">
        <x:f>C120-F120</x:f>
        <x:v>0</x:v>
      </x:c>
      <x:c r="H120" s="9" t="n">
        <x:f>B120+G120</x:f>
        <x:v>104803.09459999995</x:v>
      </x:c>
      <x:c r="I120" s="10" t="n">
        <x:f>G120/B120</x:f>
        <x:v>0</x:v>
      </x:c>
      <x:c r="J120" s="9" t="n">
        <x:f>1+I120</x:f>
        <x:v>1</x:v>
      </x:c>
      <x:c r="K120" s="10" t="n">
        <x:f>H120/MAX('Summary'!$B$16,H$7:H120)-1</x:f>
        <x:v>-0.01362209128155456</x:v>
      </x:c>
      <x:c r="L120" s="11" t="n">
        <x:v>636</x:v>
      </x:c>
      <x:c r="M120" s="9" t="n">
        <x:v>4</x:v>
      </x:c>
    </x:row>
    <x:row r="121" ht="22" customHeight="1">
      <x:c r="A121" s="12" t="n">
        <x:v>45916</x:v>
      </x:c>
      <x:c r="B121" s="9" t="n">
        <x:f>H120</x:f>
        <x:v>104803.09459999995</x:v>
      </x:c>
      <x:c r="C121" s="9" t="n">
        <x:v>0</x:v>
      </x:c>
      <x:c r="D121" s="9" t="n">
        <x:v>0</x:v>
      </x:c>
      <x:c r="E121" s="9" t="n">
        <x:v>0</x:v>
      </x:c>
      <x:c r="F121" s="9" t="n">
        <x:f>D121+E121</x:f>
        <x:v>0</x:v>
      </x:c>
      <x:c r="G121" s="9" t="n">
        <x:f>C121-F121</x:f>
        <x:v>0</x:v>
      </x:c>
      <x:c r="H121" s="9" t="n">
        <x:f>B121+G121</x:f>
        <x:v>104803.09459999995</x:v>
      </x:c>
      <x:c r="I121" s="10" t="n">
        <x:f>G121/B121</x:f>
        <x:v>0</x:v>
      </x:c>
      <x:c r="J121" s="9" t="n">
        <x:f>1+I121</x:f>
        <x:v>1</x:v>
      </x:c>
      <x:c r="K121" s="10" t="n">
        <x:f>H121/MAX('Summary'!$B$16,H$7:H121)-1</x:f>
        <x:v>-0.01362209128155456</x:v>
      </x:c>
      <x:c r="L121" s="11" t="n">
        <x:v>636</x:v>
      </x:c>
      <x:c r="M121" s="9" t="n">
        <x:v>4</x:v>
      </x:c>
    </x:row>
    <x:row r="122" ht="22" customHeight="1">
      <x:c r="A122" s="12" t="n">
        <x:v>45917</x:v>
      </x:c>
      <x:c r="B122" s="9" t="n">
        <x:f>H121</x:f>
        <x:v>104803.09459999995</x:v>
      </x:c>
      <x:c r="C122" s="9" t="n">
        <x:v>-1849.7206000000297</x:v>
      </x:c>
      <x:c r="D122" s="9" t="n">
        <x:v>13.377</x:v>
      </x:c>
      <x:c r="E122" s="9" t="n">
        <x:v>3.822</x:v>
      </x:c>
      <x:c r="F122" s="9" t="n">
        <x:f>D122+E122</x:f>
        <x:v>17.199</x:v>
      </x:c>
      <x:c r="G122" s="9" t="n">
        <x:f>C122-F122</x:f>
        <x:v>-1866.9196000000297</x:v>
      </x:c>
      <x:c r="H122" s="9" t="n">
        <x:f>B122+G122</x:f>
        <x:v>102936.17499999993</x:v>
      </x:c>
      <x:c r="I122" s="10" t="n">
        <x:f>G122/B122</x:f>
        <x:v>-0.017813592309706763</x:v>
      </x:c>
      <x:c r="J122" s="9" t="n">
        <x:f>1+I122</x:f>
        <x:v>0.9821864076902932</x:v>
      </x:c>
      <x:c r="K122" s="10" t="n">
        <x:f>H122/MAX('Summary'!$B$16,H$7:H122)-1</x:f>
        <x:v>-0.031193025210766057</x:v>
      </x:c>
      <x:c r="L122" s="11" t="n">
        <x:v>637</x:v>
      </x:c>
      <x:c r="M122" s="9" t="n">
        <x:v>4</x:v>
      </x:c>
    </x:row>
    <x:row r="123" ht="22" customHeight="1">
      <x:c r="A123" s="12" t="n">
        <x:v>45918</x:v>
      </x:c>
      <x:c r="B123" s="9" t="n">
        <x:f>H122</x:f>
        <x:v>102936.17499999993</x:v>
      </x:c>
      <x:c r="C123" s="9" t="n">
        <x:v>-1689.825199999931</x:v>
      </x:c>
      <x:c r="D123" s="9" t="n">
        <x:v>13.083</x:v>
      </x:c>
      <x:c r="E123" s="9" t="n">
        <x:v>3.738</x:v>
      </x:c>
      <x:c r="F123" s="9" t="n">
        <x:f>D123+E123</x:f>
        <x:v>16.821</x:v>
      </x:c>
      <x:c r="G123" s="9" t="n">
        <x:f>C123-F123</x:f>
        <x:v>-1706.646199999931</x:v>
      </x:c>
      <x:c r="H123" s="9" t="n">
        <x:f>B123+G123</x:f>
        <x:v>101229.5288</x:v>
      </x:c>
      <x:c r="I123" s="10" t="n">
        <x:f>G123/B123</x:f>
        <x:v>-0.016579654334347785</x:v>
      </x:c>
      <x:c r="J123" s="9" t="n">
        <x:f>1+I123</x:f>
        <x:v>0.9834203456656522</x:v>
      </x:c>
      <x:c r="K123" s="10" t="n">
        <x:f>H123/MAX('Summary'!$B$16,H$7:H123)-1</x:f>
        <x:v>-0.047255509969476694</x:v>
      </x:c>
      <x:c r="L123" s="11" t="n">
        <x:v>623</x:v>
      </x:c>
      <x:c r="M123" s="9" t="n">
        <x:v>4</x:v>
      </x:c>
    </x:row>
    <x:row r="124" ht="22" customHeight="1">
      <x:c r="A124" s="12" t="n">
        <x:v>45919</x:v>
      </x:c>
      <x:c r="B124" s="9" t="n">
        <x:f>H123</x:f>
        <x:v>101229.5288</x:v>
      </x:c>
      <x:c r="C124" s="9" t="n">
        <x:v>-91.64999999998611</x:v>
      </x:c>
      <x:c r="D124" s="9" t="n">
        <x:v>4.277</x:v>
      </x:c>
      <x:c r="E124" s="9" t="n">
        <x:v>1.222</x:v>
      </x:c>
      <x:c r="F124" s="9" t="n">
        <x:f>D124+E124</x:f>
        <x:v>5.4990000000000006</x:v>
      </x:c>
      <x:c r="G124" s="9" t="n">
        <x:f>C124-F124</x:f>
        <x:v>-97.1489999999861</x:v>
      </x:c>
      <x:c r="H124" s="9" t="n">
        <x:f>B124+G124</x:f>
        <x:v>101132.37980000001</x:v>
      </x:c>
      <x:c r="I124" s="10" t="n">
        <x:f>G124/B124</x:f>
        <x:v>-0.0009596903309895294</x:v>
      </x:c>
      <x:c r="J124" s="9" t="n">
        <x:f>1+I124</x:f>
        <x:v>0.9990403096690105</x:v>
      </x:c>
      <x:c r="K124" s="10" t="n">
        <x:f>H124/MAX('Summary'!$B$16,H$7:H124)-1</x:f>
        <x:v>-0.04816984964446258</x:v>
      </x:c>
      <x:c r="L124" s="11" t="n">
        <x:v>611</x:v>
      </x:c>
      <x:c r="M124" s="9" t="n">
        <x:v>4</x:v>
      </x:c>
    </x:row>
    <x:row r="125" ht="22" customHeight="1">
      <x:c r="A125" s="12" t="n">
        <x:v>45922</x:v>
      </x:c>
      <x:c r="B125" s="9" t="n">
        <x:f>H124</x:f>
        <x:v>101132.37980000001</x:v>
      </x:c>
      <x:c r="C125" s="9" t="n">
        <x:v>581.5949999999557</x:v>
      </x:c>
      <x:c r="D125" s="9" t="n">
        <x:v>8.526</x:v>
      </x:c>
      <x:c r="E125" s="9" t="n">
        <x:v>2.436</x:v>
      </x:c>
      <x:c r="F125" s="9" t="n">
        <x:f>D125+E125</x:f>
        <x:v>10.962</x:v>
      </x:c>
      <x:c r="G125" s="9" t="n">
        <x:f>C125-F125</x:f>
        <x:v>570.6329999999557</x:v>
      </x:c>
      <x:c r="H125" s="9" t="n">
        <x:f>B125+G125</x:f>
        <x:v>101703.01279999997</x:v>
      </x:c>
      <x:c r="I125" s="10" t="n">
        <x:f>G125/B125</x:f>
        <x:v>0.005642436192329726</x:v>
      </x:c>
      <x:c r="J125" s="9" t="n">
        <x:f>1+I125</x:f>
        <x:v>1.0056424361923297</x:v>
      </x:c>
      <x:c r="K125" s="10" t="n">
        <x:f>H125/MAX('Summary'!$B$16,H$7:H125)-1</x:f>
        <x:v>-0.04279920875514587</x:v>
      </x:c>
      <x:c r="L125" s="11" t="n">
        <x:v>609</x:v>
      </x:c>
      <x:c r="M125" s="9" t="n">
        <x:v>4</x:v>
      </x:c>
    </x:row>
    <x:row r="126" ht="22" customHeight="1">
      <x:c r="A126" s="12" t="n">
        <x:v>45923</x:v>
      </x:c>
      <x:c r="B126" s="9" t="n">
        <x:f>H125</x:f>
        <x:v>101703.01279999997</x:v>
      </x:c>
      <x:c r="C126" s="9" t="n">
        <x:v>1440.0269999999703</x:v>
      </x:c>
      <x:c r="D126" s="9" t="n">
        <x:v>4.27</x:v>
      </x:c>
      <x:c r="E126" s="9" t="n">
        <x:v>1.22</x:v>
      </x:c>
      <x:c r="F126" s="9" t="n">
        <x:f>D126+E126</x:f>
        <x:v>5.489999999999999</x:v>
      </x:c>
      <x:c r="G126" s="9" t="n">
        <x:f>C126-F126</x:f>
        <x:v>1434.5369999999702</x:v>
      </x:c>
      <x:c r="H126" s="9" t="n">
        <x:f>B126+G126</x:f>
        <x:v>103137.54979999994</x:v>
      </x:c>
      <x:c r="I126" s="10" t="n">
        <x:f>G126/B126</x:f>
        <x:v>0.014105157364620084</x:v>
      </x:c>
      <x:c r="J126" s="9" t="n">
        <x:f>1+I126</x:f>
        <x:v>1.01410515736462</x:v>
      </x:c>
      <x:c r="K126" s="10" t="n">
        <x:f>H126/MAX('Summary'!$B$16,H$7:H126)-1</x:f>
        <x:v>-0.029297740965098407</x:v>
      </x:c>
      <x:c r="L126" s="11" t="n">
        <x:v>610</x:v>
      </x:c>
      <x:c r="M126" s="9" t="n">
        <x:v>4</x:v>
      </x:c>
    </x:row>
    <x:row r="127" ht="22" customHeight="1">
      <x:c r="A127" s="12" t="n">
        <x:v>45924</x:v>
      </x:c>
      <x:c r="B127" s="9" t="n">
        <x:f>H126</x:f>
        <x:v>103137.54979999994</x:v>
      </x:c>
      <x:c r="C127" s="9" t="n">
        <x:v>-640.659999999983</x:v>
      </x:c>
      <x:c r="D127" s="9" t="n">
        <x:v>8.708</x:v>
      </x:c>
      <x:c r="E127" s="9" t="n">
        <x:v>2.488</x:v>
      </x:c>
      <x:c r="F127" s="9" t="n">
        <x:f>D127+E127</x:f>
        <x:v>11.196</x:v>
      </x:c>
      <x:c r="G127" s="9" t="n">
        <x:f>C127-F127</x:f>
        <x:v>-651.855999999983</x:v>
      </x:c>
      <x:c r="H127" s="9" t="n">
        <x:f>B127+G127</x:f>
        <x:v>102485.69379999995</x:v>
      </x:c>
      <x:c r="I127" s="10" t="n">
        <x:f>G127/B127</x:f>
        <x:v>-0.006320258734709475</x:v>
      </x:c>
      <x:c r="J127" s="9" t="n">
        <x:f>1+I127</x:f>
        <x:v>0.9936797412652906</x:v>
      </x:c>
      <x:c r="K127" s="10" t="n">
        <x:f>H127/MAX('Summary'!$B$16,H$7:H127)-1</x:f>
        <x:v>-0.03543283039656597</x:v>
      </x:c>
      <x:c r="L127" s="11" t="n">
        <x:v>622</x:v>
      </x:c>
      <x:c r="M127" s="9" t="n">
        <x:v>4</x:v>
      </x:c>
    </x:row>
    <x:row r="128" ht="22" customHeight="1">
      <x:c r="A128" s="12" t="n">
        <x:v>45925</x:v>
      </x:c>
      <x:c r="B128" s="9" t="n">
        <x:f>H127</x:f>
        <x:v>102485.69379999995</x:v>
      </x:c>
      <x:c r="C128" s="9" t="n">
        <x:v>0</x:v>
      </x:c>
      <x:c r="D128" s="9" t="n">
        <x:v>0</x:v>
      </x:c>
      <x:c r="E128" s="9" t="n">
        <x:v>0</x:v>
      </x:c>
      <x:c r="F128" s="9" t="n">
        <x:f>D128+E128</x:f>
        <x:v>0</x:v>
      </x:c>
      <x:c r="G128" s="9" t="n">
        <x:f>C128-F128</x:f>
        <x:v>0</x:v>
      </x:c>
      <x:c r="H128" s="9" t="n">
        <x:f>B128+G128</x:f>
        <x:v>102485.69379999995</x:v>
      </x:c>
      <x:c r="I128" s="10" t="n">
        <x:f>G128/B128</x:f>
        <x:v>0</x:v>
      </x:c>
      <x:c r="J128" s="9" t="n">
        <x:f>1+I128</x:f>
        <x:v>1</x:v>
      </x:c>
      <x:c r="K128" s="10" t="n">
        <x:f>H128/MAX('Summary'!$B$16,H$7:H128)-1</x:f>
        <x:v>-0.03543283039656597</x:v>
      </x:c>
      <x:c r="L128" s="11" t="n">
        <x:v>624</x:v>
      </x:c>
      <x:c r="M128" s="9" t="n">
        <x:v>4</x:v>
      </x:c>
    </x:row>
    <x:row r="129" ht="22" customHeight="1">
      <x:c r="A129" s="12" t="n">
        <x:v>45926</x:v>
      </x:c>
      <x:c r="B129" s="9" t="n">
        <x:f>H128</x:f>
        <x:v>102485.69379999995</x:v>
      </x:c>
      <x:c r="C129" s="9" t="n">
        <x:v>0</x:v>
      </x:c>
      <x:c r="D129" s="9" t="n">
        <x:v>0</x:v>
      </x:c>
      <x:c r="E129" s="9" t="n">
        <x:v>0</x:v>
      </x:c>
      <x:c r="F129" s="9" t="n">
        <x:f>D129+E129</x:f>
        <x:v>0</x:v>
      </x:c>
      <x:c r="G129" s="9" t="n">
        <x:f>C129-F129</x:f>
        <x:v>0</x:v>
      </x:c>
      <x:c r="H129" s="9" t="n">
        <x:f>B129+G129</x:f>
        <x:v>102485.69379999995</x:v>
      </x:c>
      <x:c r="I129" s="10" t="n">
        <x:f>G129/B129</x:f>
        <x:v>0</x:v>
      </x:c>
      <x:c r="J129" s="9" t="n">
        <x:f>1+I129</x:f>
        <x:v>1</x:v>
      </x:c>
      <x:c r="K129" s="10" t="n">
        <x:f>H129/MAX('Summary'!$B$16,H$7:H129)-1</x:f>
        <x:v>-0.03543283039656597</x:v>
      </x:c>
      <x:c r="L129" s="11" t="n">
        <x:v>619</x:v>
      </x:c>
      <x:c r="M129" s="9" t="n">
        <x:v>4</x:v>
      </x:c>
    </x:row>
    <x:row r="130" ht="22" customHeight="1">
      <x:c r="A130" s="12" t="n">
        <x:v>45929</x:v>
      </x:c>
      <x:c r="B130" s="9" t="n">
        <x:f>H129</x:f>
        <x:v>102485.69379999995</x:v>
      </x:c>
      <x:c r="C130" s="9" t="n">
        <x:v>0</x:v>
      </x:c>
      <x:c r="D130" s="9" t="n">
        <x:v>0</x:v>
      </x:c>
      <x:c r="E130" s="9" t="n">
        <x:v>0</x:v>
      </x:c>
      <x:c r="F130" s="9" t="n">
        <x:f>D130+E130</x:f>
        <x:v>0</x:v>
      </x:c>
      <x:c r="G130" s="9" t="n">
        <x:f>C130-F130</x:f>
        <x:v>0</x:v>
      </x:c>
      <x:c r="H130" s="9" t="n">
        <x:f>B130+G130</x:f>
        <x:v>102485.69379999995</x:v>
      </x:c>
      <x:c r="I130" s="10" t="n">
        <x:f>G130/B130</x:f>
        <x:v>0</x:v>
      </x:c>
      <x:c r="J130" s="9" t="n">
        <x:f>1+I130</x:f>
        <x:v>1</x:v>
      </x:c>
      <x:c r="K130" s="10" t="n">
        <x:f>H130/MAX('Summary'!$B$16,H$7:H130)-1</x:f>
        <x:v>-0.03543283039656597</x:v>
      </x:c>
      <x:c r="L130" s="11" t="n">
        <x:v>616</x:v>
      </x:c>
      <x:c r="M130" s="9" t="n">
        <x:v>4</x:v>
      </x:c>
    </x:row>
    <x:row r="131" ht="22" customHeight="1">
      <x:c r="A131" s="12" t="n">
        <x:v>45930</x:v>
      </x:c>
      <x:c r="B131" s="9" t="n">
        <x:f>H130</x:f>
        <x:v>102485.69379999995</x:v>
      </x:c>
      <x:c r="C131" s="9" t="n">
        <x:v>478.94999999998595</x:v>
      </x:c>
      <x:c r="D131" s="9" t="n">
        <x:v>4.326</x:v>
      </x:c>
      <x:c r="E131" s="9" t="n">
        <x:v>1.236</x:v>
      </x:c>
      <x:c r="F131" s="9" t="n">
        <x:f>D131+E131</x:f>
        <x:v>5.561999999999999</x:v>
      </x:c>
      <x:c r="G131" s="9" t="n">
        <x:f>C131-F131</x:f>
        <x:v>473.38799999998594</x:v>
      </x:c>
      <x:c r="H131" s="9" t="n">
        <x:f>B131+G131</x:f>
        <x:v>102959.08179999994</x:v>
      </x:c>
      <x:c r="I131" s="10" t="n">
        <x:f>G131/B131</x:f>
        <x:v>0.004619064207379022</x:v>
      </x:c>
      <x:c r="J131" s="9" t="n">
        <x:f>1+I131</x:f>
        <x:v>1.0046190642073791</x:v>
      </x:c>
      <x:c r="K131" s="10" t="n">
        <x:f>H131/MAX('Summary'!$B$16,H$7:H131)-1</x:f>
        <x:v>-0.030977432707837815</x:v>
      </x:c>
      <x:c r="L131" s="11" t="n">
        <x:v>618</x:v>
      </x:c>
      <x:c r="M131" s="9" t="n">
        <x:v>4</x:v>
      </x:c>
    </x:row>
    <x:row r="132" ht="22" customHeight="1">
      <x:c r="A132" s="12" t="n">
        <x:v>45931</x:v>
      </x:c>
      <x:c r="B132" s="9" t="n">
        <x:f>H131</x:f>
        <x:v>102959.08179999994</x:v>
      </x:c>
      <x:c r="C132" s="9" t="n">
        <x:v>279.80600000003733</x:v>
      </x:c>
      <x:c r="D132" s="9" t="n">
        <x:v>4.34</x:v>
      </x:c>
      <x:c r="E132" s="9" t="n">
        <x:v>1.24</x:v>
      </x:c>
      <x:c r="F132" s="9" t="n">
        <x:f>D132+E132</x:f>
        <x:v>5.58</x:v>
      </x:c>
      <x:c r="G132" s="9" t="n">
        <x:f>C132-F132</x:f>
        <x:v>274.22600000003735</x:v>
      </x:c>
      <x:c r="H132" s="9" t="n">
        <x:f>B132+G132</x:f>
        <x:v>103233.30779999998</x:v>
      </x:c>
      <x:c r="I132" s="10" t="n">
        <x:f>G132/B132</x:f>
        <x:v>0.0026634464411087774</x:v>
      </x:c>
      <x:c r="J132" s="9" t="n">
        <x:f>1+I132</x:f>
        <x:v>1.0026634464411088</x:v>
      </x:c>
      <x:c r="K132" s="10" t="n">
        <x:f>H132/MAX('Summary'!$B$16,H$7:H132)-1</x:f>
        <x:v>-0.02839649299962932</x:v>
      </x:c>
      <x:c r="L132" s="11" t="n">
        <x:v>620</x:v>
      </x:c>
      <x:c r="M132" s="9" t="n">
        <x:v>4</x:v>
      </x:c>
    </x:row>
    <x:row r="133" ht="22" customHeight="1">
      <x:c r="A133" s="12" t="n">
        <x:v>45932</x:v>
      </x:c>
      <x:c r="B133" s="9" t="n">
        <x:f>H132</x:f>
        <x:v>103233.30779999998</x:v>
      </x:c>
      <x:c r="C133" s="9" t="n">
        <x:v>0</x:v>
      </x:c>
      <x:c r="D133" s="9" t="n">
        <x:v>0</x:v>
      </x:c>
      <x:c r="E133" s="9" t="n">
        <x:v>0</x:v>
      </x:c>
      <x:c r="F133" s="9" t="n">
        <x:f>D133+E133</x:f>
        <x:v>0</x:v>
      </x:c>
      <x:c r="G133" s="9" t="n">
        <x:f>C133-F133</x:f>
        <x:v>0</x:v>
      </x:c>
      <x:c r="H133" s="9" t="n">
        <x:f>B133+G133</x:f>
        <x:v>103233.30779999998</x:v>
      </x:c>
      <x:c r="I133" s="10" t="n">
        <x:f>G133/B133</x:f>
        <x:v>0</x:v>
      </x:c>
      <x:c r="J133" s="9" t="n">
        <x:f>1+I133</x:f>
        <x:v>1</x:v>
      </x:c>
      <x:c r="K133" s="10" t="n">
        <x:f>H133/MAX('Summary'!$B$16,H$7:H133)-1</x:f>
        <x:v>-0.02839649299962932</x:v>
      </x:c>
      <x:c r="L133" s="11" t="n">
        <x:v>616</x:v>
      </x:c>
      <x:c r="M133" s="9" t="n">
        <x:v>4</x:v>
      </x:c>
    </x:row>
    <x:row r="134" ht="22" customHeight="1">
      <x:c r="A134" s="12" t="n">
        <x:v>45933</x:v>
      </x:c>
      <x:c r="B134" s="9" t="n">
        <x:f>H133</x:f>
        <x:v>103233.30779999998</x:v>
      </x:c>
      <x:c r="C134" s="9" t="n">
        <x:v>-1589.7750000000224</x:v>
      </x:c>
      <x:c r="D134" s="9" t="n">
        <x:v>8.61</x:v>
      </x:c>
      <x:c r="E134" s="9" t="n">
        <x:v>2.46</x:v>
      </x:c>
      <x:c r="F134" s="9" t="n">
        <x:f>D134+E134</x:f>
        <x:v>11.07</x:v>
      </x:c>
      <x:c r="G134" s="9" t="n">
        <x:f>C134-F134</x:f>
        <x:v>-1600.8450000000223</x:v>
      </x:c>
      <x:c r="H134" s="9" t="n">
        <x:f>B134+G134</x:f>
        <x:v>101632.46279999996</x:v>
      </x:c>
      <x:c r="I134" s="10" t="n">
        <x:f>G134/B134</x:f>
        <x:v>-0.015507059050180145</x:v>
      </x:c>
      <x:c r="J134" s="9" t="n">
        <x:f>1+I134</x:f>
        <x:v>0.9844929409498199</x:v>
      </x:c>
      <x:c r="K134" s="10" t="n">
        <x:f>H134/MAX('Summary'!$B$16,H$7:H134)-1</x:f>
        <x:v>-0.043463205956046136</x:v>
      </x:c>
      <x:c r="L134" s="11" t="n">
        <x:v>615</x:v>
      </x:c>
      <x:c r="M134" s="9" t="n">
        <x:v>4</x:v>
      </x:c>
    </x:row>
    <x:row r="135" ht="22" customHeight="1">
      <x:c r="A135" s="12" t="n">
        <x:v>45936</x:v>
      </x:c>
      <x:c r="B135" s="9" t="n">
        <x:f>H134</x:f>
        <x:v>101632.46279999996</x:v>
      </x:c>
      <x:c r="C135" s="9" t="n">
        <x:v>-60.60000000001378</x:v>
      </x:c>
      <x:c r="D135" s="9" t="n">
        <x:v>4.242</x:v>
      </x:c>
      <x:c r="E135" s="9" t="n">
        <x:v>1.212</x:v>
      </x:c>
      <x:c r="F135" s="9" t="n">
        <x:f>D135+E135</x:f>
        <x:v>5.454</x:v>
      </x:c>
      <x:c r="G135" s="9" t="n">
        <x:f>C135-F135</x:f>
        <x:v>-66.05400000001377</x:v>
      </x:c>
      <x:c r="H135" s="9" t="n">
        <x:f>B135+G135</x:f>
        <x:v>101566.40879999995</x:v>
      </x:c>
      <x:c r="I135" s="10" t="n">
        <x:f>G135/B135</x:f>
        <x:v>-0.000649930132363316</x:v>
      </x:c>
      <x:c r="J135" s="9" t="n">
        <x:f>1+I135</x:f>
        <x:v>0.9993500698676366</x:v>
      </x:c>
      <x:c r="K135" s="10" t="n">
        <x:f>H135/MAX('Summary'!$B$16,H$7:H135)-1</x:f>
        <x:v>-0.04408488804120958</x:v>
      </x:c>
      <x:c r="L135" s="11" t="n">
        <x:v>606</x:v>
      </x:c>
      <x:c r="M135" s="9" t="n">
        <x:v>4</x:v>
      </x:c>
    </x:row>
    <x:row r="136" ht="22" customHeight="1">
      <x:c r="A136" s="12" t="n">
        <x:v>45937</x:v>
      </x:c>
      <x:c r="B136" s="9" t="n">
        <x:f>H135</x:f>
        <x:v>101566.40879999995</x:v>
      </x:c>
      <x:c r="C136" s="9" t="n">
        <x:v>66.44000000000824</x:v>
      </x:c>
      <x:c r="D136" s="9" t="n">
        <x:v>4.228</x:v>
      </x:c>
      <x:c r="E136" s="9" t="n">
        <x:v>1.208</x:v>
      </x:c>
      <x:c r="F136" s="9" t="n">
        <x:f>D136+E136</x:f>
        <x:v>5.436</x:v>
      </x:c>
      <x:c r="G136" s="9" t="n">
        <x:f>C136-F136</x:f>
        <x:v>61.00400000000824</x:v>
      </x:c>
      <x:c r="H136" s="9" t="n">
        <x:f>B136+G136</x:f>
        <x:v>101627.41279999996</x:v>
      </x:c>
      <x:c r="I136" s="10" t="n">
        <x:f>G136/B136</x:f>
        <x:v>0.0006006316529329554</x:v>
      </x:c>
      <x:c r="J136" s="9" t="n">
        <x:f>1+I136</x:f>
        <x:v>1.000600631652933</x:v>
      </x:c>
      <x:c r="K136" s="10" t="n">
        <x:f>H136/MAX('Summary'!$B$16,H$7:H136)-1</x:f>
        <x:v>-0.043510735167450076</x:v>
      </x:c>
      <x:c r="L136" s="11" t="n">
        <x:v>604</x:v>
      </x:c>
      <x:c r="M136" s="9" t="n">
        <x:v>4</x:v>
      </x:c>
    </x:row>
    <x:row r="137" ht="22" customHeight="1">
      <x:c r="A137" s="12" t="n">
        <x:v>45938</x:v>
      </x:c>
      <x:c r="B137" s="9" t="n">
        <x:f>H136</x:f>
        <x:v>101627.41279999996</x:v>
      </x:c>
      <x:c r="C137" s="9" t="n">
        <x:v>342.8141999999955</x:v>
      </x:c>
      <x:c r="D137" s="9" t="n">
        <x:v>8.484</x:v>
      </x:c>
      <x:c r="E137" s="9" t="n">
        <x:v>2.424</x:v>
      </x:c>
      <x:c r="F137" s="9" t="n">
        <x:f>D137+E137</x:f>
        <x:v>10.908</x:v>
      </x:c>
      <x:c r="G137" s="9" t="n">
        <x:f>C137-F137</x:f>
        <x:v>331.90619999999547</x:v>
      </x:c>
      <x:c r="H137" s="9" t="n">
        <x:f>B137+G137</x:f>
        <x:v>101959.31899999996</x:v>
      </x:c>
      <x:c r="I137" s="10" t="n">
        <x:f>G137/B137</x:f>
        <x:v>0.0032659121279922576</x:v>
      </x:c>
      <x:c r="J137" s="9" t="n">
        <x:f>1+I137</x:f>
        <x:v>1.0032659121279923</x:v>
      </x:c>
      <x:c r="K137" s="10" t="n">
        <x:f>H137/MAX('Summary'!$B$16,H$7:H137)-1</x:f>
        <x:v>-0.04038692527713905</x:v>
      </x:c>
      <x:c r="L137" s="11" t="n">
        <x:v>606</x:v>
      </x:c>
      <x:c r="M137" s="9" t="n">
        <x:v>4</x:v>
      </x:c>
    </x:row>
    <x:row r="138" ht="22" customHeight="1">
      <x:c r="A138" s="12" t="n">
        <x:v>45939</x:v>
      </x:c>
      <x:c r="B138" s="9" t="n">
        <x:f>H137</x:f>
        <x:v>101959.31899999996</x:v>
      </x:c>
      <x:c r="C138" s="9" t="n">
        <x:v>-254.93999999997516</x:v>
      </x:c>
      <x:c r="D138" s="9" t="n">
        <x:v>4.249</x:v>
      </x:c>
      <x:c r="E138" s="9" t="n">
        <x:v>1.214</x:v>
      </x:c>
      <x:c r="F138" s="9" t="n">
        <x:f>D138+E138</x:f>
        <x:v>5.462999999999999</x:v>
      </x:c>
      <x:c r="G138" s="9" t="n">
        <x:f>C138-F138</x:f>
        <x:v>-260.4029999999752</x:v>
      </x:c>
      <x:c r="H138" s="9" t="n">
        <x:f>B138+G138</x:f>
        <x:v>101698.91599999998</x:v>
      </x:c>
      <x:c r="I138" s="10" t="n">
        <x:f>G138/B138</x:f>
        <x:v>-0.0025539892042626853</x:v>
      </x:c>
      <x:c r="J138" s="9" t="n">
        <x:f>1+I138</x:f>
        <x:v>0.9974460107957374</x:v>
      </x:c>
      <x:c r="K138" s="10" t="n">
        <x:f>H138/MAX('Summary'!$B$16,H$7:H138)-1</x:f>
        <x:v>-0.042837766710250635</x:v>
      </x:c>
      <x:c r="L138" s="11" t="n">
        <x:v>607</x:v>
      </x:c>
      <x:c r="M138" s="9" t="n">
        <x:v>4</x:v>
      </x:c>
    </x:row>
    <x:row r="139" ht="22" customHeight="1">
      <x:c r="A139" s="12" t="n">
        <x:v>45940</x:v>
      </x:c>
      <x:c r="B139" s="9" t="n">
        <x:f>H138</x:f>
        <x:v>101698.91599999998</x:v>
      </x:c>
      <x:c r="C139" s="9" t="n">
        <x:v>9485.820000000025</x:v>
      </x:c>
      <x:c r="D139" s="9" t="n">
        <x:v>4.228</x:v>
      </x:c>
      <x:c r="E139" s="9" t="n">
        <x:v>1.208</x:v>
      </x:c>
      <x:c r="F139" s="9" t="n">
        <x:f>D139+E139</x:f>
        <x:v>5.436</x:v>
      </x:c>
      <x:c r="G139" s="9" t="n">
        <x:f>C139-F139</x:f>
        <x:v>9480.384000000025</x:v>
      </x:c>
      <x:c r="H139" s="9" t="n">
        <x:f>B139+G139</x:f>
        <x:v>111179.3</x:v>
      </x:c>
      <x:c r="I139" s="10" t="n">
        <x:f>G139/B139</x:f>
        <x:v>0.09322010865877889</x:v>
      </x:c>
      <x:c r="J139" s="9" t="n">
        <x:f>1+I139</x:f>
        <x:v>1.093220108658779</x:v>
      </x:c>
      <x:c r="K139" s="10" t="n">
        <x:f>H139/MAX('Summary'!$B$16,H$7:H139)-1</x:f>
        <x:v>0</x:v>
      </x:c>
      <x:c r="L139" s="11" t="n">
        <x:v>604</x:v>
      </x:c>
      <x:c r="M139" s="9" t="n">
        <x:v>4</x:v>
      </x:c>
    </x:row>
    <x:row r="140" ht="22" customHeight="1">
      <x:c r="A140" s="12" t="n">
        <x:v>45943</x:v>
      </x:c>
      <x:c r="B140" s="9" t="n">
        <x:f>H139</x:f>
        <x:v>111179.3</x:v>
      </x:c>
      <x:c r="C140" s="9" t="n">
        <x:v>0</x:v>
      </x:c>
      <x:c r="D140" s="9" t="n">
        <x:v>0</x:v>
      </x:c>
      <x:c r="E140" s="9" t="n">
        <x:v>0</x:v>
      </x:c>
      <x:c r="F140" s="9" t="n">
        <x:f>D140+E140</x:f>
        <x:v>0</x:v>
      </x:c>
      <x:c r="G140" s="9" t="n">
        <x:f>C140-F140</x:f>
        <x:v>0</x:v>
      </x:c>
      <x:c r="H140" s="9" t="n">
        <x:f>B140+G140</x:f>
        <x:v>111179.3</x:v>
      </x:c>
      <x:c r="I140" s="10" t="n">
        <x:f>G140/B140</x:f>
        <x:v>0</x:v>
      </x:c>
      <x:c r="J140" s="9" t="n">
        <x:f>1+I140</x:f>
        <x:v>1</x:v>
      </x:c>
      <x:c r="K140" s="10" t="n">
        <x:f>H140/MAX('Summary'!$B$16,H$7:H140)-1</x:f>
        <x:v>0</x:v>
      </x:c>
      <x:c r="L140" s="11" t="n">
        <x:v>403</x:v>
      </x:c>
      <x:c r="M140" s="9" t="n">
        <x:v>2.403678799736598</x:v>
      </x:c>
    </x:row>
    <x:row r="141" ht="22" customHeight="1">
      <x:c r="A141" s="12" t="n">
        <x:v>45944</x:v>
      </x:c>
      <x:c r="B141" s="9" t="n">
        <x:f>H140</x:f>
        <x:v>111179.3</x:v>
      </x:c>
      <x:c r="C141" s="9" t="n">
        <x:v>0</x:v>
      </x:c>
      <x:c r="D141" s="9" t="n">
        <x:v>0</x:v>
      </x:c>
      <x:c r="E141" s="9" t="n">
        <x:v>0</x:v>
      </x:c>
      <x:c r="F141" s="9" t="n">
        <x:f>D141+E141</x:f>
        <x:v>0</x:v>
      </x:c>
      <x:c r="G141" s="9" t="n">
        <x:f>C141-F141</x:f>
        <x:v>0</x:v>
      </x:c>
      <x:c r="H141" s="9" t="n">
        <x:f>B141+G141</x:f>
        <x:v>111179.3</x:v>
      </x:c>
      <x:c r="I141" s="10" t="n">
        <x:f>G141/B141</x:f>
        <x:v>0</x:v>
      </x:c>
      <x:c r="J141" s="9" t="n">
        <x:f>1+I141</x:f>
        <x:v>1</x:v>
      </x:c>
      <x:c r="K141" s="10" t="n">
        <x:f>H141/MAX('Summary'!$B$16,H$7:H141)-1</x:f>
        <x:v>0</x:v>
      </x:c>
      <x:c r="L141" s="11" t="n">
        <x:v>362</x:v>
      </x:c>
      <x:c r="M141" s="9" t="n">
        <x:v>2.139736334065883</x:v>
      </x:c>
    </x:row>
    <x:row r="142" ht="22" customHeight="1">
      <x:c r="A142" s="12" t="n">
        <x:v>45945</x:v>
      </x:c>
      <x:c r="B142" s="9" t="n">
        <x:f>H141</x:f>
        <x:v>111179.3</x:v>
      </x:c>
      <x:c r="C142" s="9" t="n">
        <x:v>0</x:v>
      </x:c>
      <x:c r="D142" s="9" t="n">
        <x:v>0</x:v>
      </x:c>
      <x:c r="E142" s="9" t="n">
        <x:v>0</x:v>
      </x:c>
      <x:c r="F142" s="9" t="n">
        <x:f>D142+E142</x:f>
        <x:v>0</x:v>
      </x:c>
      <x:c r="G142" s="9" t="n">
        <x:f>C142-F142</x:f>
        <x:v>0</x:v>
      </x:c>
      <x:c r="H142" s="9" t="n">
        <x:f>B142+G142</x:f>
        <x:v>111179.3</x:v>
      </x:c>
      <x:c r="I142" s="10" t="n">
        <x:f>G142/B142</x:f>
        <x:v>0</x:v>
      </x:c>
      <x:c r="J142" s="9" t="n">
        <x:f>1+I142</x:f>
        <x:v>1</x:v>
      </x:c>
      <x:c r="K142" s="10" t="n">
        <x:f>H142/MAX('Summary'!$B$16,H$7:H142)-1</x:f>
        <x:v>0</x:v>
      </x:c>
      <x:c r="L142" s="11" t="n">
        <x:v>357</x:v>
      </x:c>
      <x:c r="M142" s="9" t="n">
        <x:v>2.148257923168147</x:v>
      </x:c>
    </x:row>
    <x:row r="143" ht="22" customHeight="1">
      <x:c r="A143" s="12" t="n">
        <x:v>45946</x:v>
      </x:c>
      <x:c r="B143" s="9" t="n">
        <x:f>H142</x:f>
        <x:v>111179.3</x:v>
      </x:c>
      <x:c r="C143" s="9" t="n">
        <x:v>420.0299999999852</x:v>
      </x:c>
      <x:c r="D143" s="9" t="n">
        <x:v>2.513</x:v>
      </x:c>
      <x:c r="E143" s="9" t="n">
        <x:v>0.718</x:v>
      </x:c>
      <x:c r="F143" s="9" t="n">
        <x:f>D143+E143</x:f>
        <x:v>3.231</x:v>
      </x:c>
      <x:c r="G143" s="9" t="n">
        <x:f>C143-F143</x:f>
        <x:v>416.7989999999852</x:v>
      </x:c>
      <x:c r="H143" s="9" t="n">
        <x:f>B143+G143</x:f>
        <x:v>111596.09899999999</x:v>
      </x:c>
      <x:c r="I143" s="10" t="n">
        <x:f>G143/B143</x:f>
        <x:v>0.003748890306019063</x:v>
      </x:c>
      <x:c r="J143" s="9" t="n">
        <x:f>1+I143</x:f>
        <x:v>1.003748890306019</x:v>
      </x:c>
      <x:c r="K143" s="10" t="n">
        <x:f>H143/MAX('Summary'!$B$16,H$7:H143)-1</x:f>
        <x:v>0</x:v>
      </x:c>
      <x:c r="L143" s="11" t="n">
        <x:v>359</x:v>
      </x:c>
      <x:c r="M143" s="9" t="n">
        <x:v>2.158215922415021</x:v>
      </x:c>
    </x:row>
    <x:row r="144" ht="22" customHeight="1">
      <x:c r="A144" s="12" t="n">
        <x:v>45947</x:v>
      </x:c>
      <x:c r="B144" s="9" t="n">
        <x:f>H143</x:f>
        <x:v>111596.09899999999</x:v>
      </x:c>
      <x:c r="C144" s="9" t="n">
        <x:v>-1112.3999999999705</x:v>
      </x:c>
      <x:c r="D144" s="9" t="n">
        <x:v>5.04</x:v>
      </x:c>
      <x:c r="E144" s="9" t="n">
        <x:v>1.44</x:v>
      </x:c>
      <x:c r="F144" s="9" t="n">
        <x:f>D144+E144</x:f>
        <x:v>6.48</x:v>
      </x:c>
      <x:c r="G144" s="9" t="n">
        <x:f>C144-F144</x:f>
        <x:v>-1118.8799999999706</x:v>
      </x:c>
      <x:c r="H144" s="9" t="n">
        <x:f>B144+G144</x:f>
        <x:v>110477.21900000001</x:v>
      </x:c>
      <x:c r="I144" s="10" t="n">
        <x:f>G144/B144</x:f>
        <x:v>-0.010026156917904188</x:v>
      </x:c>
      <x:c r="J144" s="9" t="n">
        <x:f>1+I144</x:f>
        <x:v>0.9899738430820958</x:v>
      </x:c>
      <x:c r="K144" s="10" t="n">
        <x:f>H144/MAX('Summary'!$B$16,H$7:H144)-1</x:f>
        <x:v>-0.010026156917904205</x:v>
      </x:c>
      <x:c r="L144" s="11" t="n">
        <x:v>360</x:v>
      </x:c>
      <x:c r="M144" s="9" t="n">
        <x:v>2.136675598270838</x:v>
      </x:c>
    </x:row>
    <x:row r="145" ht="22" customHeight="1">
      <x:c r="A145" s="12" t="n">
        <x:v>45950</x:v>
      </x:c>
      <x:c r="B145" s="9" t="n">
        <x:f>H144</x:f>
        <x:v>110477.21900000001</x:v>
      </x:c>
      <x:c r="C145" s="9" t="n">
        <x:v>118.66000000001111</x:v>
      </x:c>
      <x:c r="D145" s="9" t="n">
        <x:v>2.443</x:v>
      </x:c>
      <x:c r="E145" s="9" t="n">
        <x:v>0.698</x:v>
      </x:c>
      <x:c r="F145" s="9" t="n">
        <x:f>D145+E145</x:f>
        <x:v>3.141</x:v>
      </x:c>
      <x:c r="G145" s="9" t="n">
        <x:f>C145-F145</x:f>
        <x:v>115.5190000000111</x:v>
      </x:c>
      <x:c r="H145" s="9" t="n">
        <x:f>B145+G145</x:f>
        <x:v>110592.73800000003</x:v>
      </x:c>
      <x:c r="I145" s="10" t="n">
        <x:f>G145/B145</x:f>
        <x:v>0.001045636385905144</x:v>
      </x:c>
      <x:c r="J145" s="9" t="n">
        <x:f>1+I145</x:f>
        <x:v>1.001045636385905</x:v>
      </x:c>
      <x:c r="K145" s="10" t="n">
        <x:f>H145/MAX('Summary'!$B$16,H$7:H145)-1</x:f>
        <x:v>-0.008991004246483247</x:v>
      </x:c>
      <x:c r="L145" s="11" t="n">
        <x:v>349</x:v>
      </x:c>
      <x:c r="M145" s="9" t="n">
        <x:v>2.114304731296137</x:v>
      </x:c>
    </x:row>
    <x:row r="146" ht="22" customHeight="1">
      <x:c r="A146" s="12" t="n">
        <x:v>45951</x:v>
      </x:c>
      <x:c r="B146" s="9" t="n">
        <x:f>H145</x:f>
        <x:v>110592.73800000003</x:v>
      </x:c>
      <x:c r="C146" s="9" t="n">
        <x:v>0</x:v>
      </x:c>
      <x:c r="D146" s="9" t="n">
        <x:v>0</x:v>
      </x:c>
      <x:c r="E146" s="9" t="n">
        <x:v>0</x:v>
      </x:c>
      <x:c r="F146" s="9" t="n">
        <x:f>D146+E146</x:f>
        <x:v>0</x:v>
      </x:c>
      <x:c r="G146" s="9" t="n">
        <x:f>C146-F146</x:f>
        <x:v>0</x:v>
      </x:c>
      <x:c r="H146" s="9" t="n">
        <x:f>B146+G146</x:f>
        <x:v>110592.73800000003</x:v>
      </x:c>
      <x:c r="I146" s="10" t="n">
        <x:f>G146/B146</x:f>
        <x:v>0</x:v>
      </x:c>
      <x:c r="J146" s="9" t="n">
        <x:f>1+I146</x:f>
        <x:v>1</x:v>
      </x:c>
      <x:c r="K146" s="10" t="n">
        <x:f>H146/MAX('Summary'!$B$16,H$7:H146)-1</x:f>
        <x:v>-0.008991004246483247</x:v>
      </x:c>
      <x:c r="L146" s="11" t="n">
        <x:v>336</x:v>
      </x:c>
      <x:c r="M146" s="9" t="n">
        <x:v>2.037566846012751</x:v>
      </x:c>
    </x:row>
    <x:row r="147" ht="22" customHeight="1">
      <x:c r="A147" s="12" t="n">
        <x:v>45952</x:v>
      </x:c>
      <x:c r="B147" s="9" t="n">
        <x:f>H146</x:f>
        <x:v>110592.73800000003</x:v>
      </x:c>
      <x:c r="C147" s="9" t="n">
        <x:v>-568.0080000000526</x:v>
      </x:c>
      <x:c r="D147" s="9" t="n">
        <x:v>7.056</x:v>
      </x:c>
      <x:c r="E147" s="9" t="n">
        <x:v>2.016</x:v>
      </x:c>
      <x:c r="F147" s="9" t="n">
        <x:f>D147+E147</x:f>
        <x:v>9.072</x:v>
      </x:c>
      <x:c r="G147" s="9" t="n">
        <x:f>C147-F147</x:f>
        <x:v>-577.0800000000526</x:v>
      </x:c>
      <x:c r="H147" s="9" t="n">
        <x:f>B147+G147</x:f>
        <x:v>110015.65799999998</x:v>
      </x:c>
      <x:c r="I147" s="10" t="n">
        <x:f>G147/B147</x:f>
        <x:v>-0.005218064137267787</x:v>
      </x:c>
      <x:c r="J147" s="9" t="n">
        <x:f>1+I147</x:f>
        <x:v>0.9947819358627322</x:v>
      </x:c>
      <x:c r="K147" s="10" t="n">
        <x:f>H147/MAX('Summary'!$B$16,H$7:H147)-1</x:f>
        <x:v>-0.014162152746934331</x:v>
      </x:c>
      <x:c r="L147" s="11" t="n">
        <x:v>336</x:v>
      </x:c>
      <x:c r="M147" s="9" t="n">
        <x:v>2.044429232700989</x:v>
      </x:c>
    </x:row>
    <x:row r="148" ht="22" customHeight="1">
      <x:c r="A148" s="12" t="n">
        <x:v>45953</x:v>
      </x:c>
      <x:c r="B148" s="9" t="n">
        <x:f>H147</x:f>
        <x:v>110015.65799999998</x:v>
      </x:c>
      <x:c r="C148" s="9" t="n">
        <x:v>0</x:v>
      </x:c>
      <x:c r="D148" s="9" t="n">
        <x:v>0</x:v>
      </x:c>
      <x:c r="E148" s="9" t="n">
        <x:v>0</x:v>
      </x:c>
      <x:c r="F148" s="9" t="n">
        <x:f>D148+E148</x:f>
        <x:v>0</x:v>
      </x:c>
      <x:c r="G148" s="9" t="n">
        <x:f>C148-F148</x:f>
        <x:v>0</x:v>
      </x:c>
      <x:c r="H148" s="9" t="n">
        <x:f>B148+G148</x:f>
        <x:v>110015.65799999998</x:v>
      </x:c>
      <x:c r="I148" s="10" t="n">
        <x:f>G148/B148</x:f>
        <x:v>0</x:v>
      </x:c>
      <x:c r="J148" s="9" t="n">
        <x:f>1+I148</x:f>
        <x:v>1</x:v>
      </x:c>
      <x:c r="K148" s="10" t="n">
        <x:f>H148/MAX('Summary'!$B$16,H$7:H148)-1</x:f>
        <x:v>-0.014162152746934331</x:v>
      </x:c>
      <x:c r="L148" s="11" t="n">
        <x:v>332</x:v>
      </x:c>
      <x:c r="M148" s="9" t="n">
        <x:v>2.022410709099819</x:v>
      </x:c>
    </x:row>
    <x:row r="149" ht="22" customHeight="1">
      <x:c r="A149" s="12" t="n">
        <x:v>45954</x:v>
      </x:c>
      <x:c r="B149" s="9" t="n">
        <x:f>H148</x:f>
        <x:v>110015.65799999998</x:v>
      </x:c>
      <x:c r="C149" s="9" t="n">
        <x:v>0</x:v>
      </x:c>
      <x:c r="D149" s="9" t="n">
        <x:v>0</x:v>
      </x:c>
      <x:c r="E149" s="9" t="n">
        <x:v>0</x:v>
      </x:c>
      <x:c r="F149" s="9" t="n">
        <x:f>D149+E149</x:f>
        <x:v>0</x:v>
      </x:c>
      <x:c r="G149" s="9" t="n">
        <x:f>C149-F149</x:f>
        <x:v>0</x:v>
      </x:c>
      <x:c r="H149" s="9" t="n">
        <x:f>B149+G149</x:f>
        <x:v>110015.65799999998</x:v>
      </x:c>
      <x:c r="I149" s="10" t="n">
        <x:f>G149/B149</x:f>
        <x:v>0</x:v>
      </x:c>
      <x:c r="J149" s="9" t="n">
        <x:f>1+I149</x:f>
        <x:v>1</x:v>
      </x:c>
      <x:c r="K149" s="10" t="n">
        <x:f>H149/MAX('Summary'!$B$16,H$7:H149)-1</x:f>
        <x:v>-0.014162152746934331</x:v>
      </x:c>
      <x:c r="L149" s="11" t="n">
        <x:v>324</x:v>
      </x:c>
      <x:c r="M149" s="9" t="n">
        <x:v>1.995975621218296</x:v>
      </x:c>
    </x:row>
    <x:row r="150" ht="22" customHeight="1">
      <x:c r="A150" s="12" t="n">
        <x:v>45957</x:v>
      </x:c>
      <x:c r="B150" s="9" t="n">
        <x:f>H149</x:f>
        <x:v>110015.65799999998</x:v>
      </x:c>
      <x:c r="C150" s="9" t="n">
        <x:v>0</x:v>
      </x:c>
      <x:c r="D150" s="9" t="n">
        <x:v>0</x:v>
      </x:c>
      <x:c r="E150" s="9" t="n">
        <x:v>0</x:v>
      </x:c>
      <x:c r="F150" s="9" t="n">
        <x:f>D150+E150</x:f>
        <x:v>0</x:v>
      </x:c>
      <x:c r="G150" s="9" t="n">
        <x:f>C150-F150</x:f>
        <x:v>0</x:v>
      </x:c>
      <x:c r="H150" s="9" t="n">
        <x:f>B150+G150</x:f>
        <x:v>110015.65799999998</x:v>
      </x:c>
      <x:c r="I150" s="10" t="n">
        <x:f>G150/B150</x:f>
        <x:v>0</x:v>
      </x:c>
      <x:c r="J150" s="9" t="n">
        <x:f>1+I150</x:f>
        <x:v>1</x:v>
      </x:c>
      <x:c r="K150" s="10" t="n">
        <x:f>H150/MAX('Summary'!$B$16,H$7:H150)-1</x:f>
        <x:v>-0.014162152746934331</x:v>
      </x:c>
      <x:c r="L150" s="11" t="n">
        <x:v>315</x:v>
      </x:c>
      <x:c r="M150" s="9" t="n">
        <x:v>1.959169113552433</x:v>
      </x:c>
    </x:row>
    <x:row r="151" ht="22" customHeight="1">
      <x:c r="A151" s="12" t="n">
        <x:v>45958</x:v>
      </x:c>
      <x:c r="B151" s="9" t="n">
        <x:f>H150</x:f>
        <x:v>110015.65799999998</x:v>
      </x:c>
      <x:c r="C151" s="9" t="n">
        <x:v>0</x:v>
      </x:c>
      <x:c r="D151" s="9" t="n">
        <x:v>0</x:v>
      </x:c>
      <x:c r="E151" s="9" t="n">
        <x:v>0</x:v>
      </x:c>
      <x:c r="F151" s="9" t="n">
        <x:f>D151+E151</x:f>
        <x:v>0</x:v>
      </x:c>
      <x:c r="G151" s="9" t="n">
        <x:f>C151-F151</x:f>
        <x:v>0</x:v>
      </x:c>
      <x:c r="H151" s="9" t="n">
        <x:f>B151+G151</x:f>
        <x:v>110015.65799999998</x:v>
      </x:c>
      <x:c r="I151" s="10" t="n">
        <x:f>G151/B151</x:f>
        <x:v>0</x:v>
      </x:c>
      <x:c r="J151" s="9" t="n">
        <x:f>1+I151</x:f>
        <x:v>1</x:v>
      </x:c>
      <x:c r="K151" s="10" t="n">
        <x:f>H151/MAX('Summary'!$B$16,H$7:H151)-1</x:f>
        <x:v>-0.014162152746934331</x:v>
      </x:c>
      <x:c r="L151" s="11" t="n">
        <x:v>304</x:v>
      </x:c>
      <x:c r="M151" s="9" t="n">
        <x:v>1.898330609644423</x:v>
      </x:c>
    </x:row>
    <x:row r="152" ht="22" customHeight="1">
      <x:c r="A152" s="12" t="n">
        <x:v>45959</x:v>
      </x:c>
      <x:c r="B152" s="9" t="n">
        <x:f>H151</x:f>
        <x:v>110015.65799999998</x:v>
      </x:c>
      <x:c r="C152" s="9" t="n">
        <x:v>0</x:v>
      </x:c>
      <x:c r="D152" s="9" t="n">
        <x:v>0</x:v>
      </x:c>
      <x:c r="E152" s="9" t="n">
        <x:v>0</x:v>
      </x:c>
      <x:c r="F152" s="9" t="n">
        <x:f>D152+E152</x:f>
        <x:v>0</x:v>
      </x:c>
      <x:c r="G152" s="9" t="n">
        <x:f>C152-F152</x:f>
        <x:v>0</x:v>
      </x:c>
      <x:c r="H152" s="9" t="n">
        <x:f>B152+G152</x:f>
        <x:v>110015.65799999998</x:v>
      </x:c>
      <x:c r="I152" s="10" t="n">
        <x:f>G152/B152</x:f>
        <x:v>0</x:v>
      </x:c>
      <x:c r="J152" s="9" t="n">
        <x:f>1+I152</x:f>
        <x:v>1</x:v>
      </x:c>
      <x:c r="K152" s="10" t="n">
        <x:f>H152/MAX('Summary'!$B$16,H$7:H152)-1</x:f>
        <x:v>-0.014162152746934331</x:v>
      </x:c>
      <x:c r="L152" s="11" t="n">
        <x:v>304</x:v>
      </x:c>
      <x:c r="M152" s="9" t="n">
        <x:v>1.91007158490034</x:v>
      </x:c>
    </x:row>
    <x:row r="153" ht="22" customHeight="1">
      <x:c r="A153" s="12" t="n">
        <x:v>45960</x:v>
      </x:c>
      <x:c r="B153" s="9" t="n">
        <x:f>H152</x:f>
        <x:v>110015.65799999998</x:v>
      </x:c>
      <x:c r="C153" s="9" t="n">
        <x:v>-323.399999999986</x:v>
      </x:c>
      <x:c r="D153" s="9" t="n">
        <x:v>2.156</x:v>
      </x:c>
      <x:c r="E153" s="9" t="n">
        <x:v>0.616</x:v>
      </x:c>
      <x:c r="F153" s="9" t="n">
        <x:f>D153+E153</x:f>
        <x:v>2.7720000000000002</x:v>
      </x:c>
      <x:c r="G153" s="9" t="n">
        <x:f>C153-F153</x:f>
        <x:v>-326.171999999986</x:v>
      </x:c>
      <x:c r="H153" s="9" t="n">
        <x:f>B153+G153</x:f>
        <x:v>109689.48599999999</x:v>
      </x:c>
      <x:c r="I153" s="10" t="n">
        <x:f>G153/B153</x:f>
        <x:v>-0.0029647779773310633</x:v>
      </x:c>
      <x:c r="J153" s="9" t="n">
        <x:f>1+I153</x:f>
        <x:v>0.9970352220226689</x:v>
      </x:c>
      <x:c r="K153" s="10" t="n">
        <x:f>H153/MAX('Summary'!$B$16,H$7:H153)-1</x:f>
        <x:v>-0.017084943085689752</x:v>
      </x:c>
      <x:c r="L153" s="11" t="n">
        <x:v>308</x:v>
      </x:c>
      <x:c r="M153" s="9" t="n">
        <x:v>1.923086908066448</x:v>
      </x:c>
    </x:row>
    <x:row r="154" ht="22" customHeight="1">
      <x:c r="A154" s="12" t="n">
        <x:v>45961</x:v>
      </x:c>
      <x:c r="B154" s="9" t="n">
        <x:f>H153</x:f>
        <x:v>109689.48599999999</x:v>
      </x:c>
      <x:c r="C154" s="9" t="n">
        <x:v>0</x:v>
      </x:c>
      <x:c r="D154" s="9" t="n">
        <x:v>0</x:v>
      </x:c>
      <x:c r="E154" s="9" t="n">
        <x:v>0</x:v>
      </x:c>
      <x:c r="F154" s="9" t="n">
        <x:f>D154+E154</x:f>
        <x:v>0</x:v>
      </x:c>
      <x:c r="G154" s="9" t="n">
        <x:f>C154-F154</x:f>
        <x:v>0</x:v>
      </x:c>
      <x:c r="H154" s="9" t="n">
        <x:f>B154+G154</x:f>
        <x:v>109689.48599999999</x:v>
      </x:c>
      <x:c r="I154" s="10" t="n">
        <x:f>G154/B154</x:f>
        <x:v>0</x:v>
      </x:c>
      <x:c r="J154" s="9" t="n">
        <x:f>1+I154</x:f>
        <x:v>1</x:v>
      </x:c>
      <x:c r="K154" s="10" t="n">
        <x:f>H154/MAX('Summary'!$B$16,H$7:H154)-1</x:f>
        <x:v>-0.017084943085689752</x:v>
      </x:c>
      <x:c r="L154" s="11" t="n">
        <x:v>430</x:v>
      </x:c>
      <x:c r="M154" s="9" t="n">
        <x:v>2.684103027880765</x:v>
      </x:c>
    </x:row>
    <x:row r="155" ht="22" customHeight="1">
      <x:c r="A155" s="12" t="n">
        <x:v>45964</x:v>
      </x:c>
      <x:c r="B155" s="9" t="n">
        <x:f>H154</x:f>
        <x:v>109689.48599999999</x:v>
      </x:c>
      <x:c r="C155" s="9" t="n">
        <x:v>-996.7790999999743</x:v>
      </x:c>
      <x:c r="D155" s="9" t="n">
        <x:v>3.437</x:v>
      </x:c>
      <x:c r="E155" s="9" t="n">
        <x:v>0.982</x:v>
      </x:c>
      <x:c r="F155" s="9" t="n">
        <x:f>D155+E155</x:f>
        <x:v>4.419</x:v>
      </x:c>
      <x:c r="G155" s="9" t="n">
        <x:f>C155-F155</x:f>
        <x:v>-1001.1980999999743</x:v>
      </x:c>
      <x:c r="H155" s="9" t="n">
        <x:f>B155+G155</x:f>
        <x:v>108688.28790000001</x:v>
      </x:c>
      <x:c r="I155" s="10" t="n">
        <x:f>G155/B155</x:f>
        <x:v>-0.009127566702245049</x:v>
      </x:c>
      <x:c r="J155" s="9" t="n">
        <x:f>1+I155</x:f>
        <x:v>0.990872433297755</x:v>
      </x:c>
      <x:c r="K155" s="10" t="n">
        <x:f>H155/MAX('Summary'!$B$16,H$7:H155)-1</x:f>
        <x:v>-0.026056565830316125</x:v>
      </x:c>
      <x:c r="L155" s="11" t="n">
        <x:v>491</x:v>
      </x:c>
      <x:c r="M155" s="9" t="n">
        <x:v>3.056086084543451</x:v>
      </x:c>
    </x:row>
    <x:row r="156" ht="22" customHeight="1">
      <x:c r="A156" s="12" t="n">
        <x:v>45965</x:v>
      </x:c>
      <x:c r="B156" s="9" t="n">
        <x:f>H155</x:f>
        <x:v>108688.28790000001</x:v>
      </x:c>
      <x:c r="C156" s="9" t="n">
        <x:v>-24.699999999977535</x:v>
      </x:c>
      <x:c r="D156" s="9" t="n">
        <x:v>6.916</x:v>
      </x:c>
      <x:c r="E156" s="9" t="n">
        <x:v>1.976</x:v>
      </x:c>
      <x:c r="F156" s="9" t="n">
        <x:f>D156+E156</x:f>
        <x:v>8.892</x:v>
      </x:c>
      <x:c r="G156" s="9" t="n">
        <x:f>C156-F156</x:f>
        <x:v>-33.59199999997753</x:v>
      </x:c>
      <x:c r="H156" s="9" t="n">
        <x:f>B156+G156</x:f>
        <x:v>108654.69590000004</x:v>
      </x:c>
      <x:c r="I156" s="10" t="n">
        <x:f>G156/B156</x:f>
        <x:v>-0.0003090673397200282</x:v>
      </x:c>
      <x:c r="J156" s="9" t="n">
        <x:f>1+I156</x:f>
        <x:v>0.99969093266028</x:v>
      </x:c>
      <x:c r="K156" s="10" t="n">
        <x:f>H156/MAX('Summary'!$B$16,H$7:H156)-1</x:f>
        <x:v>-0.026357579936552744</x:v>
      </x:c>
      <x:c r="L156" s="11" t="n">
        <x:v>494</x:v>
      </x:c>
      <x:c r="M156" s="9" t="n">
        <x:v>3.087608207762236</x:v>
      </x:c>
    </x:row>
    <x:row r="157" ht="22" customHeight="1">
      <x:c r="A157" s="12" t="n">
        <x:v>45966</x:v>
      </x:c>
      <x:c r="B157" s="9" t="n">
        <x:f>H156</x:f>
        <x:v>108654.69590000004</x:v>
      </x:c>
      <x:c r="C157" s="9" t="n">
        <x:v>610.5999999999824</x:v>
      </x:c>
      <x:c r="D157" s="9" t="n">
        <x:v>3.01</x:v>
      </x:c>
      <x:c r="E157" s="9" t="n">
        <x:v>0.86</x:v>
      </x:c>
      <x:c r="F157" s="9" t="n">
        <x:f>D157+E157</x:f>
        <x:v>3.8699999999999997</x:v>
      </x:c>
      <x:c r="G157" s="9" t="n">
        <x:f>C157-F157</x:f>
        <x:v>606.7299999999824</x:v>
      </x:c>
      <x:c r="H157" s="9" t="n">
        <x:f>B157+G157</x:f>
        <x:v>109261.42590000002</x:v>
      </x:c>
      <x:c r="I157" s="10" t="n">
        <x:f>G157/B157</x:f>
        <x:v>0.005584020046021611</x:v>
      </x:c>
      <x:c r="J157" s="9" t="n">
        <x:f>1+I157</x:f>
        <x:v>1.0055840200460215</x:v>
      </x:c>
      <x:c r="K157" s="10" t="n">
        <x:f>H157/MAX('Summary'!$B$16,H$7:H157)-1</x:f>
        <x:v>-0.020920741145261434</x:v>
      </x:c>
      <x:c r="L157" s="11" t="n">
        <x:v>430</x:v>
      </x:c>
      <x:c r="M157" s="9" t="n">
        <x:v>2.685470037850897</x:v>
      </x:c>
    </x:row>
    <x:row r="158" ht="22" customHeight="1">
      <x:c r="A158" s="12" t="n">
        <x:v>45967</x:v>
      </x:c>
      <x:c r="B158" s="9" t="n">
        <x:f>H157</x:f>
        <x:v>109261.42590000002</x:v>
      </x:c>
      <x:c r="C158" s="9" t="n">
        <x:v>-1135.4400000000041</x:v>
      </x:c>
      <x:c r="D158" s="9" t="n">
        <x:v>3.192</x:v>
      </x:c>
      <x:c r="E158" s="9" t="n">
        <x:v>0.912</x:v>
      </x:c>
      <x:c r="F158" s="9" t="n">
        <x:f>D158+E158</x:f>
        <x:v>4.104</x:v>
      </x:c>
      <x:c r="G158" s="9" t="n">
        <x:f>C158-F158</x:f>
        <x:v>-1139.5440000000042</x:v>
      </x:c>
      <x:c r="H158" s="9" t="n">
        <x:f>B158+G158</x:f>
        <x:v>108121.88190000001</x:v>
      </x:c>
      <x:c r="I158" s="10" t="n">
        <x:f>G158/B158</x:f>
        <x:v>-0.010429517925593941</x:v>
      </x:c>
      <x:c r="J158" s="9" t="n">
        <x:f>1+I158</x:f>
        <x:v>0.989570482074406</x:v>
      </x:c>
      <x:c r="K158" s="10" t="n">
        <x:f>H158/MAX('Summary'!$B$16,H$7:H158)-1</x:f>
        <x:v>-0.031132065826064204</x:v>
      </x:c>
      <x:c r="L158" s="11" t="n">
        <x:v>456</x:v>
      </x:c>
      <x:c r="M158" s="9" t="n">
        <x:v>2.814316922155313</x:v>
      </x:c>
    </x:row>
    <x:row r="159" ht="22" customHeight="1">
      <x:c r="A159" s="12" t="n">
        <x:v>45968</x:v>
      </x:c>
      <x:c r="B159" s="9" t="n">
        <x:f>H158</x:f>
        <x:v>108121.88190000001</x:v>
      </x:c>
      <x:c r="C159" s="9" t="n">
        <x:v>-810.9199999999753</x:v>
      </x:c>
      <x:c r="D159" s="9" t="n">
        <x:v>2.926</x:v>
      </x:c>
      <x:c r="E159" s="9" t="n">
        <x:v>0.836</x:v>
      </x:c>
      <x:c r="F159" s="9" t="n">
        <x:f>D159+E159</x:f>
        <x:v>3.762</x:v>
      </x:c>
      <x:c r="G159" s="9" t="n">
        <x:f>C159-F159</x:f>
        <x:v>-814.6819999999752</x:v>
      </x:c>
      <x:c r="H159" s="9" t="n">
        <x:f>B159+G159</x:f>
        <x:v>107307.19990000004</x:v>
      </x:c>
      <x:c r="I159" s="10" t="n">
        <x:f>G159/B159</x:f>
        <x:v>-0.007534848503223982</x:v>
      </x:c>
      <x:c r="J159" s="9" t="n">
        <x:f>1+I159</x:f>
        <x:v>0.992465151496776</x:v>
      </x:c>
      <x:c r="K159" s="10" t="n">
        <x:f>H159/MAX('Summary'!$B$16,H$7:H159)-1</x:f>
        <x:v>-0.03843233892969644</x:v>
      </x:c>
      <x:c r="L159" s="11" t="n">
        <x:v>418</x:v>
      </x:c>
      <x:c r="M159" s="9" t="n">
        <x:v>2.581376032222124</x:v>
      </x:c>
    </x:row>
    <x:row r="160" ht="22" customHeight="1">
      <x:c r="A160" s="12" t="n">
        <x:v>45971</x:v>
      </x:c>
      <x:c r="B160" s="9" t="n">
        <x:f>H159</x:f>
        <x:v>107307.19990000004</x:v>
      </x:c>
      <x:c r="C160" s="9" t="n">
        <x:v>299.34500000002583</x:v>
      </x:c>
      <x:c r="D160" s="9" t="n">
        <x:v>3.059</x:v>
      </x:c>
      <x:c r="E160" s="9" t="n">
        <x:v>0.874</x:v>
      </x:c>
      <x:c r="F160" s="9" t="n">
        <x:f>D160+E160</x:f>
        <x:v>3.9330000000000003</x:v>
      </x:c>
      <x:c r="G160" s="9" t="n">
        <x:f>C160-F160</x:f>
        <x:v>295.41200000002584</x:v>
      </x:c>
      <x:c r="H160" s="9" t="n">
        <x:f>B160+G160</x:f>
        <x:v>107602.61190000006</x:v>
      </x:c>
      <x:c r="I160" s="10" t="n">
        <x:f>G160/B160</x:f>
        <x:v>0.0027529560017903864</x:v>
      </x:c>
      <x:c r="J160" s="9" t="n">
        <x:f>1+I160</x:f>
        <x:v>1.0027529560017905</x:v>
      </x:c>
      <x:c r="K160" s="10" t="n">
        <x:f>H160/MAX('Summary'!$B$16,H$7:H160)-1</x:f>
        <x:v>-0.03578518546602538</x:v>
      </x:c>
      <x:c r="L160" s="11" t="n">
        <x:v>437</x:v>
      </x:c>
      <x:c r="M160" s="9" t="n">
        <x:v>2.766759592583955</x:v>
      </x:c>
    </x:row>
    <x:row r="161" ht="22" customHeight="1">
      <x:c r="A161" s="12" t="n">
        <x:v>45972</x:v>
      </x:c>
      <x:c r="B161" s="9" t="n">
        <x:f>H160</x:f>
        <x:v>107602.61190000006</x:v>
      </x:c>
      <x:c r="C161" s="9" t="n">
        <x:v>-126.63000000001375</x:v>
      </x:c>
      <x:c r="D161" s="9" t="n">
        <x:v>2.646</x:v>
      </x:c>
      <x:c r="E161" s="9" t="n">
        <x:v>0.756</x:v>
      </x:c>
      <x:c r="F161" s="9" t="n">
        <x:f>D161+E161</x:f>
        <x:v>3.402</x:v>
      </x:c>
      <x:c r="G161" s="9" t="n">
        <x:f>C161-F161</x:f>
        <x:v>-130.03200000001374</x:v>
      </x:c>
      <x:c r="H161" s="9" t="n">
        <x:f>B161+G161</x:f>
        <x:v>107472.57990000006</x:v>
      </x:c>
      <x:c r="I161" s="10" t="n">
        <x:f>G161/B161</x:f>
        <x:v>-0.0012084465024032904</x:v>
      </x:c>
      <x:c r="J161" s="9" t="n">
        <x:f>1+I161</x:f>
        <x:v>0.9987915534975967</x:v>
      </x:c>
      <x:c r="K161" s="10" t="n">
        <x:f>H161/MAX('Summary'!$B$16,H$7:H161)-1</x:f>
        <x:v>-0.036950387486214264</x:v>
      </x:c>
      <x:c r="L161" s="11" t="n">
        <x:v>378</x:v>
      </x:c>
      <x:c r="M161" s="9" t="n">
        <x:v>2.396120273000237</x:v>
      </x:c>
    </x:row>
    <x:row r="162" ht="22" customHeight="1">
      <x:c r="A162" s="12" t="n">
        <x:v>45973</x:v>
      </x:c>
      <x:c r="B162" s="9" t="n">
        <x:f>H161</x:f>
        <x:v>107472.57990000006</x:v>
      </x:c>
      <x:c r="C162" s="9" t="n">
        <x:v>0</x:v>
      </x:c>
      <x:c r="D162" s="9" t="n">
        <x:v>0</x:v>
      </x:c>
      <x:c r="E162" s="9" t="n">
        <x:v>0</x:v>
      </x:c>
      <x:c r="F162" s="9" t="n">
        <x:f>D162+E162</x:f>
        <x:v>0</x:v>
      </x:c>
      <x:c r="G162" s="9" t="n">
        <x:f>C162-F162</x:f>
        <x:v>0</x:v>
      </x:c>
      <x:c r="H162" s="9" t="n">
        <x:f>B162+G162</x:f>
        <x:v>107472.57990000006</x:v>
      </x:c>
      <x:c r="I162" s="10" t="n">
        <x:f>G162/B162</x:f>
        <x:v>0</x:v>
      </x:c>
      <x:c r="J162" s="9" t="n">
        <x:f>1+I162</x:f>
        <x:v>1</x:v>
      </x:c>
      <x:c r="K162" s="10" t="n">
        <x:f>H162/MAX('Summary'!$B$16,H$7:H162)-1</x:f>
        <x:v>-0.036950387486214264</x:v>
      </x:c>
      <x:c r="L162" s="11" t="n">
        <x:v>385</x:v>
      </x:c>
      <x:c r="M162" s="9" t="n">
        <x:v>2.454170952720325</x:v>
      </x:c>
    </x:row>
    <x:row r="163" ht="22" customHeight="1">
      <x:c r="A163" s="12" t="n">
        <x:v>45974</x:v>
      </x:c>
      <x:c r="B163" s="9" t="n">
        <x:f>H162</x:f>
        <x:v>107472.57990000006</x:v>
      </x:c>
      <x:c r="C163" s="9" t="n">
        <x:v>1674.1799999999962</x:v>
      </x:c>
      <x:c r="D163" s="9" t="n">
        <x:v>2.751</x:v>
      </x:c>
      <x:c r="E163" s="9" t="n">
        <x:v>0.786</x:v>
      </x:c>
      <x:c r="F163" s="9" t="n">
        <x:f>D163+E163</x:f>
        <x:v>3.537</x:v>
      </x:c>
      <x:c r="G163" s="9" t="n">
        <x:f>C163-F163</x:f>
        <x:v>1670.6429999999962</x:v>
      </x:c>
      <x:c r="H163" s="9" t="n">
        <x:f>B163+G163</x:f>
        <x:v>109143.22290000005</x:v>
      </x:c>
      <x:c r="I163" s="10" t="n">
        <x:f>G163/B163</x:f>
        <x:v>0.015544830146949839</x:v>
      </x:c>
      <x:c r="J163" s="9" t="n">
        <x:f>1+I163</x:f>
        <x:v>1.0155448301469499</x:v>
      </x:c>
      <x:c r="K163" s="10" t="n">
        <x:f>H163/MAX('Summary'!$B$16,H$7:H163)-1</x:f>
        <x:v>-0.021979944836601595</x:v>
      </x:c>
      <x:c r="L163" s="11" t="n">
        <x:v>393</x:v>
      </x:c>
      <x:c r="M163" s="9" t="n">
        <x:v>2.48206265793003</x:v>
      </x:c>
    </x:row>
    <x:row r="164" ht="22" customHeight="1">
      <x:c r="A164" s="12" t="n">
        <x:v>45975</x:v>
      </x:c>
      <x:c r="B164" s="9" t="n">
        <x:f>H163</x:f>
        <x:v>109143.22290000005</x:v>
      </x:c>
      <x:c r="C164" s="9" t="n">
        <x:v>-1102.165900000009</x:v>
      </x:c>
      <x:c r="D164" s="9" t="n">
        <x:v>5.026</x:v>
      </x:c>
      <x:c r="E164" s="9" t="n">
        <x:v>1.436</x:v>
      </x:c>
      <x:c r="F164" s="9" t="n">
        <x:f>D164+E164</x:f>
        <x:v>6.462</x:v>
      </x:c>
      <x:c r="G164" s="9" t="n">
        <x:f>C164-F164</x:f>
        <x:v>-1108.627900000009</x:v>
      </x:c>
      <x:c r="H164" s="9" t="n">
        <x:f>B164+G164</x:f>
        <x:v>108034.59500000004</x:v>
      </x:c>
      <x:c r="I164" s="10" t="n">
        <x:f>G164/B164</x:f>
        <x:v>-0.010157551431441269</x:v>
      </x:c>
      <x:c r="J164" s="9" t="n">
        <x:f>1+I164</x:f>
        <x:v>0.9898424485685587</x:v>
      </x:c>
      <x:c r="K164" s="10" t="n">
        <x:f>H164/MAX('Summary'!$B$16,H$7:H164)-1</x:f>
        <x:v>-0.03191423384790493</x:v>
      </x:c>
      <x:c r="L164" s="11" t="n">
        <x:v>359</x:v>
      </x:c>
      <x:c r="M164" s="9" t="n">
        <x:v>2.203434472926022</x:v>
      </x:c>
    </x:row>
    <x:row r="165" ht="22" customHeight="1">
      <x:c r="A165" s="12" t="n">
        <x:v>45978</x:v>
      </x:c>
      <x:c r="B165" s="9" t="n">
        <x:f>H164</x:f>
        <x:v>108034.59500000004</x:v>
      </x:c>
      <x:c r="C165" s="9" t="n">
        <x:v>1364.6289999999958</x:v>
      </x:c>
      <x:c r="D165" s="9" t="n">
        <x:v>2.681</x:v>
      </x:c>
      <x:c r="E165" s="9" t="n">
        <x:v>0.766</x:v>
      </x:c>
      <x:c r="F165" s="9" t="n">
        <x:f>D165+E165</x:f>
        <x:v>3.447</x:v>
      </x:c>
      <x:c r="G165" s="9" t="n">
        <x:f>C165-F165</x:f>
        <x:v>1361.181999999996</x:v>
      </x:c>
      <x:c r="H165" s="9" t="n">
        <x:f>B165+G165</x:f>
        <x:v>109395.77700000005</x:v>
      </x:c>
      <x:c r="I165" s="10" t="n">
        <x:f>G165/B165</x:f>
        <x:v>0.012599501113509014</x:v>
      </x:c>
      <x:c r="J165" s="9" t="n">
        <x:f>1+I165</x:f>
        <x:v>1.012599501113509</x:v>
      </x:c>
      <x:c r="K165" s="10" t="n">
        <x:f>H165/MAX('Summary'!$B$16,H$7:H165)-1</x:f>
        <x:v>-0.01971683615929931</x:v>
      </x:c>
      <x:c r="L165" s="11" t="n">
        <x:v>383</x:v>
      </x:c>
      <x:c r="M165" s="9" t="n">
        <x:v>2.391273723691391</x:v>
      </x:c>
    </x:row>
    <x:row r="166" ht="22" customHeight="1">
      <x:c r="A166" s="12" t="n">
        <x:v>45979</x:v>
      </x:c>
      <x:c r="B166" s="9" t="n">
        <x:f>H165</x:f>
        <x:v>109395.77700000005</x:v>
      </x:c>
      <x:c r="C166" s="9" t="n">
        <x:v>0</x:v>
      </x:c>
      <x:c r="D166" s="9" t="n">
        <x:v>0</x:v>
      </x:c>
      <x:c r="E166" s="9" t="n">
        <x:v>0</x:v>
      </x:c>
      <x:c r="F166" s="9" t="n">
        <x:f>D166+E166</x:f>
        <x:v>0</x:v>
      </x:c>
      <x:c r="G166" s="9" t="n">
        <x:f>C166-F166</x:f>
        <x:v>0</x:v>
      </x:c>
      <x:c r="H166" s="9" t="n">
        <x:f>B166+G166</x:f>
        <x:v>109395.77700000005</x:v>
      </x:c>
      <x:c r="I166" s="10" t="n">
        <x:f>G166/B166</x:f>
        <x:v>0</x:v>
      </x:c>
      <x:c r="J166" s="9" t="n">
        <x:f>1+I166</x:f>
        <x:v>1</x:v>
      </x:c>
      <x:c r="K166" s="10" t="n">
        <x:f>H166/MAX('Summary'!$B$16,H$7:H166)-1</x:f>
        <x:v>-0.01971683615929931</x:v>
      </x:c>
      <x:c r="L166" s="11" t="n">
        <x:v>389</x:v>
      </x:c>
      <x:c r="M166" s="9" t="n">
        <x:v>2.344362655983582</x:v>
      </x:c>
    </x:row>
    <x:row r="167" ht="22" customHeight="1">
      <x:c r="A167" s="12" t="n">
        <x:v>45980</x:v>
      </x:c>
      <x:c r="B167" s="9" t="n">
        <x:f>H166</x:f>
        <x:v>109395.77700000005</x:v>
      </x:c>
      <x:c r="C167" s="9" t="n">
        <x:v>0</x:v>
      </x:c>
      <x:c r="D167" s="9" t="n">
        <x:v>0</x:v>
      </x:c>
      <x:c r="E167" s="9" t="n">
        <x:v>0</x:v>
      </x:c>
      <x:c r="F167" s="9" t="n">
        <x:f>D167+E167</x:f>
        <x:v>0</x:v>
      </x:c>
      <x:c r="G167" s="9" t="n">
        <x:f>C167-F167</x:f>
        <x:v>0</x:v>
      </x:c>
      <x:c r="H167" s="9" t="n">
        <x:f>B167+G167</x:f>
        <x:v>109395.77700000005</x:v>
      </x:c>
      <x:c r="I167" s="10" t="n">
        <x:f>G167/B167</x:f>
        <x:v>0</x:v>
      </x:c>
      <x:c r="J167" s="9" t="n">
        <x:f>1+I167</x:f>
        <x:v>1</x:v>
      </x:c>
      <x:c r="K167" s="10" t="n">
        <x:f>H167/MAX('Summary'!$B$16,H$7:H167)-1</x:f>
        <x:v>-0.01971683615929931</x:v>
      </x:c>
      <x:c r="L167" s="11" t="n">
        <x:v>380</x:v>
      </x:c>
      <x:c r="M167" s="9" t="n">
        <x:v>2.313760958778548</x:v>
      </x:c>
    </x:row>
    <x:row r="168" ht="22" customHeight="1">
      <x:c r="A168" s="12" t="n">
        <x:v>45981</x:v>
      </x:c>
      <x:c r="B168" s="9" t="n">
        <x:f>H167</x:f>
        <x:v>109395.77700000005</x:v>
      </x:c>
      <x:c r="C168" s="9" t="n">
        <x:v>2758.0400000000104</x:v>
      </x:c>
      <x:c r="D168" s="9" t="n">
        <x:v>2.674</x:v>
      </x:c>
      <x:c r="E168" s="9" t="n">
        <x:v>0.764</x:v>
      </x:c>
      <x:c r="F168" s="9" t="n">
        <x:f>D168+E168</x:f>
        <x:v>3.4379999999999997</x:v>
      </x:c>
      <x:c r="G168" s="9" t="n">
        <x:f>C168-F168</x:f>
        <x:v>2754.6020000000103</x:v>
      </x:c>
      <x:c r="H168" s="9" t="n">
        <x:f>B168+G168</x:f>
        <x:v>112150.37900000006</x:v>
      </x:c>
      <x:c r="I168" s="10" t="n">
        <x:f>G168/B168</x:f>
        <x:v>0.025180149321486232</x:v>
      </x:c>
      <x:c r="J168" s="9" t="n">
        <x:f>1+I168</x:f>
        <x:v>1.0251801493214863</x:v>
      </x:c>
      <x:c r="K168" s="10" t="n">
        <x:f>H168/MAX('Summary'!$B$16,H$7:H168)-1</x:f>
        <x:v>0</x:v>
      </x:c>
      <x:c r="L168" s="11" t="n">
        <x:v>382</x:v>
      </x:c>
      <x:c r="M168" s="9" t="n">
        <x:v>2.35899982713195</x:v>
      </x:c>
    </x:row>
    <x:row r="169" ht="22" customHeight="1">
      <x:c r="A169" s="12" t="n">
        <x:v>45982</x:v>
      </x:c>
      <x:c r="B169" s="9" t="n">
        <x:f>H168</x:f>
        <x:v>112150.37900000006</x:v>
      </x:c>
      <x:c r="C169" s="9" t="n">
        <x:v>-2249.100000000017</x:v>
      </x:c>
      <x:c r="D169" s="9" t="n">
        <x:v>5.292</x:v>
      </x:c>
      <x:c r="E169" s="9" t="n">
        <x:v>1.512</x:v>
      </x:c>
      <x:c r="F169" s="9" t="n">
        <x:f>D169+E169</x:f>
        <x:v>6.804</x:v>
      </x:c>
      <x:c r="G169" s="9" t="n">
        <x:f>C169-F169</x:f>
        <x:v>-2255.9040000000173</x:v>
      </x:c>
      <x:c r="H169" s="9" t="n">
        <x:f>B169+G169</x:f>
        <x:v>109894.47500000003</x:v>
      </x:c>
      <x:c r="I169" s="10" t="n">
        <x:f>G169/B169</x:f>
        <x:v>-0.020114992210592673</x:v>
      </x:c>
      <x:c r="J169" s="9" t="n">
        <x:f>1+I169</x:f>
        <x:v>0.9798850077894073</x:v>
      </x:c>
      <x:c r="K169" s="10" t="n">
        <x:f>H169/MAX('Summary'!$B$16,H$7:H169)-1</x:f>
        <x:v>-0.020114992210592764</x:v>
      </x:c>
      <x:c r="L169" s="11" t="n">
        <x:v>378</x:v>
      </x:c>
      <x:c r="M169" s="9" t="n">
        <x:v>2.209682442333581</x:v>
      </x:c>
    </x:row>
    <x:row r="170" ht="22" customHeight="1">
      <x:c r="A170" s="12" t="n">
        <x:v>45985</x:v>
      </x:c>
      <x:c r="B170" s="9" t="n">
        <x:f>H169</x:f>
        <x:v>109894.47500000003</x:v>
      </x:c>
      <x:c r="C170" s="9" t="n">
        <x:v>893.5150000000452</x:v>
      </x:c>
      <x:c r="D170" s="9" t="n">
        <x:v>7.203</x:v>
      </x:c>
      <x:c r="E170" s="9" t="n">
        <x:v>2.058</x:v>
      </x:c>
      <x:c r="F170" s="9" t="n">
        <x:f>D170+E170</x:f>
        <x:v>9.261</x:v>
      </x:c>
      <x:c r="G170" s="9" t="n">
        <x:f>C170-F170</x:f>
        <x:v>884.2540000000453</x:v>
      </x:c>
      <x:c r="H170" s="9" t="n">
        <x:f>B170+G170</x:f>
        <x:v>110778.72900000008</x:v>
      </x:c>
      <x:c r="I170" s="10" t="n">
        <x:f>G170/B170</x:f>
        <x:v>0.00804639177720304</x:v>
      </x:c>
      <x:c r="J170" s="9" t="n">
        <x:f>1+I170</x:f>
        <x:v>1.0080463917772031</x:v>
      </x:c>
      <x:c r="K170" s="10" t="n">
        <x:f>H170/MAX('Summary'!$B$16,H$7:H170)-1</x:f>
        <x:v>-0.01223045354131147</x:v>
      </x:c>
      <x:c r="L170" s="11" t="n">
        <x:v>343</x:v>
      </x:c>
      <x:c r="M170" s="9" t="n">
        <x:v>2.076100801934099</x:v>
      </x:c>
    </x:row>
    <x:row r="171" ht="22" customHeight="1">
      <x:c r="A171" s="12" t="n">
        <x:v>45986</x:v>
      </x:c>
      <x:c r="B171" s="9" t="n">
        <x:f>H170</x:f>
        <x:v>110778.72900000008</x:v>
      </x:c>
      <x:c r="C171" s="9" t="n">
        <x:v>164.72999999999706</x:v>
      </x:c>
      <x:c r="D171" s="9" t="n">
        <x:v>4.522</x:v>
      </x:c>
      <x:c r="E171" s="9" t="n">
        <x:v>1.292</x:v>
      </x:c>
      <x:c r="F171" s="9" t="n">
        <x:f>D171+E171</x:f>
        <x:v>5.814</x:v>
      </x:c>
      <x:c r="G171" s="9" t="n">
        <x:f>C171-F171</x:f>
        <x:v>158.91599999999707</x:v>
      </x:c>
      <x:c r="H171" s="9" t="n">
        <x:f>B171+G171</x:f>
        <x:v>110937.64500000008</x:v>
      </x:c>
      <x:c r="I171" s="10" t="n">
        <x:f>G171/B171</x:f>
        <x:v>0.0014345353249178095</x:v>
      </x:c>
      <x:c r="J171" s="9" t="n">
        <x:f>1+I171</x:f>
        <x:v>1.0014345353249179</x:v>
      </x:c>
      <x:c r="K171" s="10" t="n">
        <x:f>H171/MAX('Summary'!$B$16,H$7:H171)-1</x:f>
        <x:v>-0.010813463234038534</x:v>
      </x:c>
      <x:c r="L171" s="11" t="n">
        <x:v>323</x:v>
      </x:c>
      <x:c r="M171" s="9" t="n">
        <x:v>1.95024872950028</x:v>
      </x:c>
    </x:row>
    <x:row r="172" ht="22" customHeight="1">
      <x:c r="A172" s="12" t="n">
        <x:v>45987</x:v>
      </x:c>
      <x:c r="B172" s="9" t="n">
        <x:f>H171</x:f>
        <x:v>110937.64500000008</x:v>
      </x:c>
      <x:c r="C172" s="9" t="n">
        <x:v>858.6999999999944</x:v>
      </x:c>
      <x:c r="D172" s="9" t="n">
        <x:v>2.17</x:v>
      </x:c>
      <x:c r="E172" s="9" t="n">
        <x:v>0.62</x:v>
      </x:c>
      <x:c r="F172" s="9" t="n">
        <x:f>D172+E172</x:f>
        <x:v>2.79</x:v>
      </x:c>
      <x:c r="G172" s="9" t="n">
        <x:f>C172-F172</x:f>
        <x:v>855.9099999999944</x:v>
      </x:c>
      <x:c r="H172" s="9" t="n">
        <x:f>B172+G172</x:f>
        <x:v>111793.55500000007</x:v>
      </x:c>
      <x:c r="I172" s="10" t="n">
        <x:f>G172/B172</x:f>
        <x:v>0.007715234986284357</x:v>
      </x:c>
      <x:c r="J172" s="9" t="n">
        <x:f>1+I172</x:f>
        <x:v>1.0077152349862843</x:v>
      </x:c>
      <x:c r="K172" s="10" t="n">
        <x:f>H172/MAX('Summary'!$B$16,H$7:H172)-1</x:f>
        <x:v>-0.0031816566576203797</x:v>
      </x:c>
      <x:c r="L172" s="11" t="n">
        <x:v>310</x:v>
      </x:c>
      <x:c r="M172" s="9" t="n">
        <x:v>1.894544137909613</x:v>
      </x:c>
    </x:row>
    <x:row r="173" ht="22" customHeight="1">
      <x:c r="A173" s="12" t="n">
        <x:v>45989</x:v>
      </x:c>
      <x:c r="B173" s="9" t="n">
        <x:f>H172</x:f>
        <x:v>111793.55500000007</x:v>
      </x:c>
      <x:c r="C173" s="9" t="n">
        <x:v>0</x:v>
      </x:c>
      <x:c r="D173" s="9" t="n">
        <x:v>0</x:v>
      </x:c>
      <x:c r="E173" s="9" t="n">
        <x:v>0</x:v>
      </x:c>
      <x:c r="F173" s="9" t="n">
        <x:f>D173+E173</x:f>
        <x:v>0</x:v>
      </x:c>
      <x:c r="G173" s="9" t="n">
        <x:f>C173-F173</x:f>
        <x:v>0</x:v>
      </x:c>
      <x:c r="H173" s="9" t="n">
        <x:f>B173+G173</x:f>
        <x:v>111793.55500000007</x:v>
      </x:c>
      <x:c r="I173" s="10" t="n">
        <x:f>G173/B173</x:f>
        <x:v>0</x:v>
      </x:c>
      <x:c r="J173" s="9" t="n">
        <x:f>1+I173</x:f>
        <x:v>1</x:v>
      </x:c>
      <x:c r="K173" s="10" t="n">
        <x:f>H173/MAX('Summary'!$B$16,H$7:H173)-1</x:f>
        <x:v>-0.0031816566576203797</x:v>
      </x:c>
      <x:c r="L173" s="11" t="n">
        <x:v>320</x:v>
      </x:c>
      <x:c r="M173" s="9" t="n">
        <x:v>1.950521636905361</x:v>
      </x:c>
    </x:row>
    <x:row r="174" ht="22" customHeight="1">
      <x:c r="A174" s="12" t="n">
        <x:v>45992</x:v>
      </x:c>
      <x:c r="B174" s="9" t="n">
        <x:f>H173</x:f>
        <x:v>111793.55500000007</x:v>
      </x:c>
      <x:c r="C174" s="9" t="n">
        <x:v>-651.4350000000202</x:v>
      </x:c>
      <x:c r="D174" s="9" t="n">
        <x:v>2.219</x:v>
      </x:c>
      <x:c r="E174" s="9" t="n">
        <x:v>0.634</x:v>
      </x:c>
      <x:c r="F174" s="9" t="n">
        <x:f>D174+E174</x:f>
        <x:v>2.8529999999999998</x:v>
      </x:c>
      <x:c r="G174" s="9" t="n">
        <x:f>C174-F174</x:f>
        <x:v>-654.2880000000201</x:v>
      </x:c>
      <x:c r="H174" s="9" t="n">
        <x:f>B174+G174</x:f>
        <x:v>111139.26700000005</x:v>
      </x:c>
      <x:c r="I174" s="10" t="n">
        <x:f>G174/B174</x:f>
        <x:v>-0.005852645083162618</x:v>
      </x:c>
      <x:c r="J174" s="9" t="n">
        <x:f>1+I174</x:f>
        <x:v>0.9941473549168374</x:v>
      </x:c>
      <x:c r="K174" s="10" t="n">
        <x:f>H174/MAX('Summary'!$B$16,H$7:H174)-1</x:f>
        <x:v>-0.009015680633589374</x:v>
      </x:c>
      <x:c r="L174" s="11" t="n">
        <x:v>317</x:v>
      </x:c>
      <x:c r="M174" s="9" t="n">
        <x:v>1.93774621478084</x:v>
      </x:c>
    </x:row>
  </x:sheetData>
  <x:pageMargins left="0.7" right="0.7" top="0.75" bottom="0.75" header="0.3" footer="0.3"/>
</x:worksheet>
</file>