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https://d.docs.live.net/279bcb507d52f3f8/MacBook/curriculum/1 courses/sem-3 2026 fall/FINC9339 systematic investment strategies/homework/hw1/"/>
    </mc:Choice>
  </mc:AlternateContent>
  <xr:revisionPtr revIDLastSave="1" documentId="11_71BFB3CA8C0DC99F6CD3CB8CE6F61FB056B3CFFF" xr6:coauthVersionLast="47" xr6:coauthVersionMax="47" xr10:uidLastSave="{202E3C90-76C5-FB43-9844-FED89E4ED815}"/>
  <bookViews>
    <workbookView xWindow="0" yWindow="660" windowWidth="29400" windowHeight="16960" activeTab="7" xr2:uid="{00000000-000D-0000-FFFF-FFFF00000000}"/>
  </bookViews>
  <sheets>
    <sheet name="Overview" sheetId="1" r:id="rId1"/>
    <sheet name="Daily Results" sheetId="2" r:id="rId2"/>
    <sheet name="Trade Log" sheetId="3" r:id="rId3"/>
    <sheet name="Execution Log" sheetId="4" r:id="rId4"/>
    <sheet name="Signal Inputs" sheetId="5" r:id="rId5"/>
    <sheet name="April Noise" sheetId="6" r:id="rId6"/>
    <sheet name="April Volatility" sheetId="7" r:id="rId7"/>
    <sheet name="Sensitivity" sheetId="8" r:id="rId8"/>
    <sheet name="Concentration" sheetId="9" r:id="rId9"/>
    <sheet name="Source AV Clean" sheetId="10" r:id="rId10"/>
    <sheet name="Source BBRG Daily" sheetId="11" r:id="rId11"/>
    <sheet name="Source BBRG Intraday" sheetId="12" r:id="rId12"/>
    <sheet name="Method Note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7" l="1"/>
  <c r="E28" i="7"/>
  <c r="E27" i="7"/>
  <c r="E25" i="7"/>
  <c r="E24" i="7"/>
  <c r="F20" i="7"/>
  <c r="F19" i="7"/>
  <c r="F18" i="7"/>
  <c r="F17" i="7"/>
  <c r="F16" i="7"/>
  <c r="F15" i="7"/>
  <c r="F14" i="7"/>
  <c r="F13" i="7"/>
  <c r="F12" i="7"/>
  <c r="F11" i="7"/>
  <c r="F10" i="7"/>
  <c r="F9" i="7"/>
  <c r="E22" i="7" s="1"/>
  <c r="F8" i="7"/>
  <c r="F7" i="7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L371" i="3"/>
  <c r="K371" i="3"/>
  <c r="M371" i="3" s="1"/>
  <c r="J371" i="3"/>
  <c r="M370" i="3"/>
  <c r="N370" i="3" s="1"/>
  <c r="X172" i="2" s="1"/>
  <c r="AA172" i="2" s="1"/>
  <c r="L370" i="3"/>
  <c r="K370" i="3"/>
  <c r="J370" i="3"/>
  <c r="L369" i="3"/>
  <c r="K369" i="3"/>
  <c r="M369" i="3" s="1"/>
  <c r="J369" i="3"/>
  <c r="N369" i="3" s="1"/>
  <c r="L368" i="3"/>
  <c r="M368" i="3" s="1"/>
  <c r="N368" i="3" s="1"/>
  <c r="K368" i="3"/>
  <c r="J368" i="3"/>
  <c r="L367" i="3"/>
  <c r="K367" i="3"/>
  <c r="M367" i="3" s="1"/>
  <c r="J367" i="3"/>
  <c r="N367" i="3" s="1"/>
  <c r="L366" i="3"/>
  <c r="K366" i="3"/>
  <c r="M366" i="3" s="1"/>
  <c r="N366" i="3" s="1"/>
  <c r="J366" i="3"/>
  <c r="N365" i="3"/>
  <c r="L365" i="3"/>
  <c r="K365" i="3"/>
  <c r="M365" i="3" s="1"/>
  <c r="J365" i="3"/>
  <c r="L364" i="3"/>
  <c r="K364" i="3"/>
  <c r="M364" i="3" s="1"/>
  <c r="J364" i="3"/>
  <c r="L363" i="3"/>
  <c r="K363" i="3"/>
  <c r="J363" i="3"/>
  <c r="M362" i="3"/>
  <c r="L362" i="3"/>
  <c r="K362" i="3"/>
  <c r="J362" i="3"/>
  <c r="L361" i="3"/>
  <c r="K361" i="3"/>
  <c r="M361" i="3" s="1"/>
  <c r="N361" i="3" s="1"/>
  <c r="X165" i="2" s="1"/>
  <c r="AA165" i="2" s="1"/>
  <c r="J361" i="3"/>
  <c r="L360" i="3"/>
  <c r="K360" i="3"/>
  <c r="J360" i="3"/>
  <c r="L359" i="3"/>
  <c r="K359" i="3"/>
  <c r="J359" i="3"/>
  <c r="L358" i="3"/>
  <c r="K358" i="3"/>
  <c r="M358" i="3" s="1"/>
  <c r="J358" i="3"/>
  <c r="N358" i="3" s="1"/>
  <c r="N357" i="3"/>
  <c r="L357" i="3"/>
  <c r="K357" i="3"/>
  <c r="M357" i="3" s="1"/>
  <c r="J357" i="3"/>
  <c r="L356" i="3"/>
  <c r="K356" i="3"/>
  <c r="M356" i="3" s="1"/>
  <c r="J356" i="3"/>
  <c r="N356" i="3" s="1"/>
  <c r="X160" i="2" s="1"/>
  <c r="AA160" i="2" s="1"/>
  <c r="L355" i="3"/>
  <c r="K355" i="3"/>
  <c r="M355" i="3" s="1"/>
  <c r="N355" i="3" s="1"/>
  <c r="J355" i="3"/>
  <c r="M354" i="3"/>
  <c r="L354" i="3"/>
  <c r="K354" i="3"/>
  <c r="J354" i="3"/>
  <c r="L353" i="3"/>
  <c r="K353" i="3"/>
  <c r="M353" i="3" s="1"/>
  <c r="J353" i="3"/>
  <c r="N353" i="3" s="1"/>
  <c r="X157" i="2" s="1"/>
  <c r="AA157" i="2" s="1"/>
  <c r="N352" i="3"/>
  <c r="L352" i="3"/>
  <c r="M352" i="3" s="1"/>
  <c r="K352" i="3"/>
  <c r="J352" i="3"/>
  <c r="L351" i="3"/>
  <c r="K351" i="3"/>
  <c r="M351" i="3" s="1"/>
  <c r="J351" i="3"/>
  <c r="N351" i="3" s="1"/>
  <c r="L350" i="3"/>
  <c r="K350" i="3"/>
  <c r="M350" i="3" s="1"/>
  <c r="N350" i="3" s="1"/>
  <c r="X155" i="2" s="1"/>
  <c r="AA155" i="2" s="1"/>
  <c r="J350" i="3"/>
  <c r="L349" i="3"/>
  <c r="K349" i="3"/>
  <c r="M349" i="3" s="1"/>
  <c r="J349" i="3"/>
  <c r="N349" i="3" s="1"/>
  <c r="L348" i="3"/>
  <c r="M348" i="3" s="1"/>
  <c r="K348" i="3"/>
  <c r="J348" i="3"/>
  <c r="L347" i="3"/>
  <c r="K347" i="3"/>
  <c r="M347" i="3" s="1"/>
  <c r="J347" i="3"/>
  <c r="N347" i="3" s="1"/>
  <c r="L346" i="3"/>
  <c r="K346" i="3"/>
  <c r="M346" i="3" s="1"/>
  <c r="N346" i="3" s="1"/>
  <c r="J346" i="3"/>
  <c r="N345" i="3"/>
  <c r="L345" i="3"/>
  <c r="K345" i="3"/>
  <c r="M345" i="3" s="1"/>
  <c r="J345" i="3"/>
  <c r="L344" i="3"/>
  <c r="K344" i="3"/>
  <c r="M344" i="3" s="1"/>
  <c r="J344" i="3"/>
  <c r="N344" i="3" s="1"/>
  <c r="L343" i="3"/>
  <c r="K343" i="3"/>
  <c r="J343" i="3"/>
  <c r="M342" i="3"/>
  <c r="L342" i="3"/>
  <c r="K342" i="3"/>
  <c r="J342" i="3"/>
  <c r="L341" i="3"/>
  <c r="K341" i="3"/>
  <c r="M341" i="3" s="1"/>
  <c r="N341" i="3" s="1"/>
  <c r="J341" i="3"/>
  <c r="L340" i="3"/>
  <c r="K340" i="3"/>
  <c r="M340" i="3" s="1"/>
  <c r="J340" i="3"/>
  <c r="N340" i="3" s="1"/>
  <c r="L339" i="3"/>
  <c r="K339" i="3"/>
  <c r="J339" i="3"/>
  <c r="L338" i="3"/>
  <c r="K338" i="3"/>
  <c r="M338" i="3" s="1"/>
  <c r="J338" i="3"/>
  <c r="N338" i="3" s="1"/>
  <c r="L337" i="3"/>
  <c r="K337" i="3"/>
  <c r="M337" i="3" s="1"/>
  <c r="N337" i="3" s="1"/>
  <c r="J337" i="3"/>
  <c r="N336" i="3"/>
  <c r="L336" i="3"/>
  <c r="K336" i="3"/>
  <c r="M336" i="3" s="1"/>
  <c r="J336" i="3"/>
  <c r="L335" i="3"/>
  <c r="K335" i="3"/>
  <c r="M335" i="3" s="1"/>
  <c r="J335" i="3"/>
  <c r="N335" i="3" s="1"/>
  <c r="M334" i="3"/>
  <c r="L334" i="3"/>
  <c r="K334" i="3"/>
  <c r="J334" i="3"/>
  <c r="L333" i="3"/>
  <c r="K333" i="3"/>
  <c r="M333" i="3" s="1"/>
  <c r="J333" i="3"/>
  <c r="N333" i="3" s="1"/>
  <c r="X132" i="2" s="1"/>
  <c r="AA132" i="2" s="1"/>
  <c r="L332" i="3"/>
  <c r="M332" i="3" s="1"/>
  <c r="N332" i="3" s="1"/>
  <c r="K332" i="3"/>
  <c r="J332" i="3"/>
  <c r="L331" i="3"/>
  <c r="K331" i="3"/>
  <c r="J331" i="3"/>
  <c r="L330" i="3"/>
  <c r="K330" i="3"/>
  <c r="M330" i="3" s="1"/>
  <c r="N330" i="3" s="1"/>
  <c r="J330" i="3"/>
  <c r="L329" i="3"/>
  <c r="K329" i="3"/>
  <c r="M329" i="3" s="1"/>
  <c r="J329" i="3"/>
  <c r="N329" i="3" s="1"/>
  <c r="L328" i="3"/>
  <c r="M328" i="3" s="1"/>
  <c r="K328" i="3"/>
  <c r="J328" i="3"/>
  <c r="N328" i="3" s="1"/>
  <c r="L327" i="3"/>
  <c r="K327" i="3"/>
  <c r="M327" i="3" s="1"/>
  <c r="J327" i="3"/>
  <c r="N327" i="3" s="1"/>
  <c r="M326" i="3"/>
  <c r="N326" i="3" s="1"/>
  <c r="L326" i="3"/>
  <c r="K326" i="3"/>
  <c r="J326" i="3"/>
  <c r="L325" i="3"/>
  <c r="K325" i="3"/>
  <c r="J325" i="3"/>
  <c r="L324" i="3"/>
  <c r="M324" i="3" s="1"/>
  <c r="N324" i="3" s="1"/>
  <c r="K324" i="3"/>
  <c r="J324" i="3"/>
  <c r="L323" i="3"/>
  <c r="K323" i="3"/>
  <c r="J323" i="3"/>
  <c r="L322" i="3"/>
  <c r="K322" i="3"/>
  <c r="M322" i="3" s="1"/>
  <c r="J322" i="3"/>
  <c r="N321" i="3"/>
  <c r="L321" i="3"/>
  <c r="K321" i="3"/>
  <c r="M321" i="3" s="1"/>
  <c r="J321" i="3"/>
  <c r="L320" i="3"/>
  <c r="K320" i="3"/>
  <c r="M320" i="3" s="1"/>
  <c r="J320" i="3"/>
  <c r="N320" i="3" s="1"/>
  <c r="L319" i="3"/>
  <c r="K319" i="3"/>
  <c r="J319" i="3"/>
  <c r="L318" i="3"/>
  <c r="K318" i="3"/>
  <c r="M318" i="3" s="1"/>
  <c r="J318" i="3"/>
  <c r="N318" i="3" s="1"/>
  <c r="L317" i="3"/>
  <c r="K317" i="3"/>
  <c r="M317" i="3" s="1"/>
  <c r="N317" i="3" s="1"/>
  <c r="J317" i="3"/>
  <c r="N316" i="3"/>
  <c r="L316" i="3"/>
  <c r="K316" i="3"/>
  <c r="M316" i="3" s="1"/>
  <c r="J316" i="3"/>
  <c r="L315" i="3"/>
  <c r="K315" i="3"/>
  <c r="M315" i="3" s="1"/>
  <c r="J315" i="3"/>
  <c r="N315" i="3" s="1"/>
  <c r="M314" i="3"/>
  <c r="L314" i="3"/>
  <c r="K314" i="3"/>
  <c r="J314" i="3"/>
  <c r="N313" i="3"/>
  <c r="L313" i="3"/>
  <c r="K313" i="3"/>
  <c r="M313" i="3" s="1"/>
  <c r="J313" i="3"/>
  <c r="L312" i="3"/>
  <c r="M312" i="3" s="1"/>
  <c r="N312" i="3" s="1"/>
  <c r="K312" i="3"/>
  <c r="J312" i="3"/>
  <c r="N311" i="3"/>
  <c r="L311" i="3"/>
  <c r="K311" i="3"/>
  <c r="M311" i="3" s="1"/>
  <c r="J311" i="3"/>
  <c r="L310" i="3"/>
  <c r="K310" i="3"/>
  <c r="M310" i="3" s="1"/>
  <c r="N310" i="3" s="1"/>
  <c r="J310" i="3"/>
  <c r="L309" i="3"/>
  <c r="K309" i="3"/>
  <c r="J309" i="3"/>
  <c r="L308" i="3"/>
  <c r="M308" i="3" s="1"/>
  <c r="K308" i="3"/>
  <c r="J308" i="3"/>
  <c r="N308" i="3" s="1"/>
  <c r="L307" i="3"/>
  <c r="K307" i="3"/>
  <c r="M307" i="3" s="1"/>
  <c r="J307" i="3"/>
  <c r="N307" i="3" s="1"/>
  <c r="N306" i="3"/>
  <c r="L306" i="3"/>
  <c r="M306" i="3" s="1"/>
  <c r="K306" i="3"/>
  <c r="J306" i="3"/>
  <c r="L305" i="3"/>
  <c r="K305" i="3"/>
  <c r="M305" i="3" s="1"/>
  <c r="J305" i="3"/>
  <c r="N305" i="3" s="1"/>
  <c r="N304" i="3"/>
  <c r="M304" i="3"/>
  <c r="L304" i="3"/>
  <c r="K304" i="3"/>
  <c r="J304" i="3"/>
  <c r="L303" i="3"/>
  <c r="K303" i="3"/>
  <c r="J303" i="3"/>
  <c r="L302" i="3"/>
  <c r="K302" i="3"/>
  <c r="M302" i="3" s="1"/>
  <c r="N302" i="3" s="1"/>
  <c r="X93" i="2" s="1"/>
  <c r="AA93" i="2" s="1"/>
  <c r="J302" i="3"/>
  <c r="N301" i="3"/>
  <c r="L301" i="3"/>
  <c r="K301" i="3"/>
  <c r="M301" i="3" s="1"/>
  <c r="J301" i="3"/>
  <c r="L300" i="3"/>
  <c r="K300" i="3"/>
  <c r="M300" i="3" s="1"/>
  <c r="J300" i="3"/>
  <c r="N300" i="3" s="1"/>
  <c r="L299" i="3"/>
  <c r="K299" i="3"/>
  <c r="J299" i="3"/>
  <c r="L298" i="3"/>
  <c r="K298" i="3"/>
  <c r="M298" i="3" s="1"/>
  <c r="J298" i="3"/>
  <c r="N298" i="3" s="1"/>
  <c r="L297" i="3"/>
  <c r="K297" i="3"/>
  <c r="M297" i="3" s="1"/>
  <c r="N297" i="3" s="1"/>
  <c r="X87" i="2" s="1"/>
  <c r="AA87" i="2" s="1"/>
  <c r="J297" i="3"/>
  <c r="N296" i="3"/>
  <c r="L296" i="3"/>
  <c r="K296" i="3"/>
  <c r="M296" i="3" s="1"/>
  <c r="J296" i="3"/>
  <c r="L295" i="3"/>
  <c r="K295" i="3"/>
  <c r="M295" i="3" s="1"/>
  <c r="J295" i="3"/>
  <c r="M294" i="3"/>
  <c r="L294" i="3"/>
  <c r="K294" i="3"/>
  <c r="J294" i="3"/>
  <c r="L293" i="3"/>
  <c r="K293" i="3"/>
  <c r="M293" i="3" s="1"/>
  <c r="J293" i="3"/>
  <c r="N293" i="3" s="1"/>
  <c r="L292" i="3"/>
  <c r="M292" i="3" s="1"/>
  <c r="N292" i="3" s="1"/>
  <c r="X83" i="2" s="1"/>
  <c r="AA83" i="2" s="1"/>
  <c r="K292" i="3"/>
  <c r="J292" i="3"/>
  <c r="L291" i="3"/>
  <c r="K291" i="3"/>
  <c r="J291" i="3"/>
  <c r="L290" i="3"/>
  <c r="K290" i="3"/>
  <c r="M290" i="3" s="1"/>
  <c r="N290" i="3" s="1"/>
  <c r="J290" i="3"/>
  <c r="L289" i="3"/>
  <c r="K289" i="3"/>
  <c r="J289" i="3"/>
  <c r="L288" i="3"/>
  <c r="M288" i="3" s="1"/>
  <c r="K288" i="3"/>
  <c r="J288" i="3"/>
  <c r="N288" i="3" s="1"/>
  <c r="L287" i="3"/>
  <c r="K287" i="3"/>
  <c r="M287" i="3" s="1"/>
  <c r="J287" i="3"/>
  <c r="N287" i="3" s="1"/>
  <c r="M286" i="3"/>
  <c r="N286" i="3" s="1"/>
  <c r="L286" i="3"/>
  <c r="K286" i="3"/>
  <c r="J286" i="3"/>
  <c r="L285" i="3"/>
  <c r="K285" i="3"/>
  <c r="M285" i="3" s="1"/>
  <c r="J285" i="3"/>
  <c r="N285" i="3" s="1"/>
  <c r="L284" i="3"/>
  <c r="M284" i="3" s="1"/>
  <c r="N284" i="3" s="1"/>
  <c r="X71" i="2" s="1"/>
  <c r="AA71" i="2" s="1"/>
  <c r="K284" i="3"/>
  <c r="J284" i="3"/>
  <c r="L283" i="3"/>
  <c r="K283" i="3"/>
  <c r="J283" i="3"/>
  <c r="L282" i="3"/>
  <c r="M282" i="3" s="1"/>
  <c r="N282" i="3" s="1"/>
  <c r="X69" i="2" s="1"/>
  <c r="AA69" i="2" s="1"/>
  <c r="K282" i="3"/>
  <c r="J282" i="3"/>
  <c r="L281" i="3"/>
  <c r="K281" i="3"/>
  <c r="M281" i="3" s="1"/>
  <c r="N281" i="3" s="1"/>
  <c r="J281" i="3"/>
  <c r="M280" i="3"/>
  <c r="L280" i="3"/>
  <c r="K280" i="3"/>
  <c r="J280" i="3"/>
  <c r="L279" i="3"/>
  <c r="K279" i="3"/>
  <c r="J279" i="3"/>
  <c r="L278" i="3"/>
  <c r="K278" i="3"/>
  <c r="M278" i="3" s="1"/>
  <c r="J278" i="3"/>
  <c r="N278" i="3" s="1"/>
  <c r="N277" i="3"/>
  <c r="L277" i="3"/>
  <c r="K277" i="3"/>
  <c r="M277" i="3" s="1"/>
  <c r="J277" i="3"/>
  <c r="N276" i="3"/>
  <c r="L276" i="3"/>
  <c r="K276" i="3"/>
  <c r="M276" i="3" s="1"/>
  <c r="J276" i="3"/>
  <c r="L275" i="3"/>
  <c r="K275" i="3"/>
  <c r="J275" i="3"/>
  <c r="M274" i="3"/>
  <c r="L274" i="3"/>
  <c r="K274" i="3"/>
  <c r="J274" i="3"/>
  <c r="L273" i="3"/>
  <c r="K273" i="3"/>
  <c r="M273" i="3" s="1"/>
  <c r="J273" i="3"/>
  <c r="N273" i="3" s="1"/>
  <c r="N272" i="3"/>
  <c r="L272" i="3"/>
  <c r="M272" i="3" s="1"/>
  <c r="K272" i="3"/>
  <c r="J272" i="3"/>
  <c r="N271" i="3"/>
  <c r="L271" i="3"/>
  <c r="K271" i="3"/>
  <c r="M271" i="3" s="1"/>
  <c r="J271" i="3"/>
  <c r="L270" i="3"/>
  <c r="K270" i="3"/>
  <c r="M270" i="3" s="1"/>
  <c r="N270" i="3" s="1"/>
  <c r="X51" i="2" s="1"/>
  <c r="AA51" i="2" s="1"/>
  <c r="J270" i="3"/>
  <c r="L269" i="3"/>
  <c r="K269" i="3"/>
  <c r="M269" i="3" s="1"/>
  <c r="J269" i="3"/>
  <c r="L268" i="3"/>
  <c r="M268" i="3" s="1"/>
  <c r="K268" i="3"/>
  <c r="J268" i="3"/>
  <c r="N268" i="3" s="1"/>
  <c r="L267" i="3"/>
  <c r="K267" i="3"/>
  <c r="M267" i="3" s="1"/>
  <c r="J267" i="3"/>
  <c r="L266" i="3"/>
  <c r="K266" i="3"/>
  <c r="M266" i="3" s="1"/>
  <c r="N266" i="3" s="1"/>
  <c r="J266" i="3"/>
  <c r="L265" i="3"/>
  <c r="K265" i="3"/>
  <c r="J265" i="3"/>
  <c r="M264" i="3"/>
  <c r="L264" i="3"/>
  <c r="K264" i="3"/>
  <c r="J264" i="3"/>
  <c r="N264" i="3" s="1"/>
  <c r="L263" i="3"/>
  <c r="K263" i="3"/>
  <c r="J263" i="3"/>
  <c r="M262" i="3"/>
  <c r="N262" i="3" s="1"/>
  <c r="X38" i="2" s="1"/>
  <c r="AA38" i="2" s="1"/>
  <c r="L262" i="3"/>
  <c r="K262" i="3"/>
  <c r="J262" i="3"/>
  <c r="L261" i="3"/>
  <c r="K261" i="3"/>
  <c r="M261" i="3" s="1"/>
  <c r="N261" i="3" s="1"/>
  <c r="J261" i="3"/>
  <c r="L260" i="3"/>
  <c r="K260" i="3"/>
  <c r="M260" i="3" s="1"/>
  <c r="J260" i="3"/>
  <c r="L259" i="3"/>
  <c r="K259" i="3"/>
  <c r="J259" i="3"/>
  <c r="L258" i="3"/>
  <c r="K258" i="3"/>
  <c r="M258" i="3" s="1"/>
  <c r="J258" i="3"/>
  <c r="N258" i="3" s="1"/>
  <c r="X27" i="2" s="1"/>
  <c r="AA27" i="2" s="1"/>
  <c r="L257" i="3"/>
  <c r="K257" i="3"/>
  <c r="J257" i="3"/>
  <c r="L256" i="3"/>
  <c r="K256" i="3"/>
  <c r="M256" i="3" s="1"/>
  <c r="J256" i="3"/>
  <c r="N256" i="3" s="1"/>
  <c r="L255" i="3"/>
  <c r="K255" i="3"/>
  <c r="M255" i="3" s="1"/>
  <c r="N255" i="3" s="1"/>
  <c r="X20" i="2" s="1"/>
  <c r="AA20" i="2" s="1"/>
  <c r="J255" i="3"/>
  <c r="M254" i="3"/>
  <c r="L254" i="3"/>
  <c r="K254" i="3"/>
  <c r="J254" i="3"/>
  <c r="L253" i="3"/>
  <c r="K253" i="3"/>
  <c r="M253" i="3" s="1"/>
  <c r="J253" i="3"/>
  <c r="L252" i="3"/>
  <c r="M252" i="3" s="1"/>
  <c r="N252" i="3" s="1"/>
  <c r="K252" i="3"/>
  <c r="J252" i="3"/>
  <c r="L251" i="3"/>
  <c r="K251" i="3"/>
  <c r="M251" i="3" s="1"/>
  <c r="J251" i="3"/>
  <c r="N251" i="3" s="1"/>
  <c r="M250" i="3"/>
  <c r="N250" i="3" s="1"/>
  <c r="L250" i="3"/>
  <c r="K250" i="3"/>
  <c r="J250" i="3"/>
  <c r="L249" i="3"/>
  <c r="K249" i="3"/>
  <c r="J249" i="3"/>
  <c r="L248" i="3"/>
  <c r="M248" i="3" s="1"/>
  <c r="K248" i="3"/>
  <c r="J248" i="3"/>
  <c r="N248" i="3" s="1"/>
  <c r="L247" i="3"/>
  <c r="K247" i="3"/>
  <c r="M247" i="3" s="1"/>
  <c r="J247" i="3"/>
  <c r="N247" i="3" s="1"/>
  <c r="L246" i="3"/>
  <c r="K246" i="3"/>
  <c r="M246" i="3" s="1"/>
  <c r="N246" i="3" s="1"/>
  <c r="J246" i="3"/>
  <c r="N245" i="3"/>
  <c r="L245" i="3"/>
  <c r="K245" i="3"/>
  <c r="M245" i="3" s="1"/>
  <c r="J245" i="3"/>
  <c r="L244" i="3"/>
  <c r="K244" i="3"/>
  <c r="M244" i="3" s="1"/>
  <c r="J244" i="3"/>
  <c r="L243" i="3"/>
  <c r="K243" i="3"/>
  <c r="J243" i="3"/>
  <c r="L242" i="3"/>
  <c r="M242" i="3" s="1"/>
  <c r="N242" i="3" s="1"/>
  <c r="X9" i="2" s="1"/>
  <c r="AA9" i="2" s="1"/>
  <c r="K242" i="3"/>
  <c r="J242" i="3"/>
  <c r="L241" i="3"/>
  <c r="K241" i="3"/>
  <c r="M241" i="3" s="1"/>
  <c r="N241" i="3" s="1"/>
  <c r="J241" i="3"/>
  <c r="M240" i="3"/>
  <c r="L240" i="3"/>
  <c r="K240" i="3"/>
  <c r="J240" i="3"/>
  <c r="L239" i="3"/>
  <c r="K239" i="3"/>
  <c r="J239" i="3"/>
  <c r="L238" i="3"/>
  <c r="K238" i="3"/>
  <c r="J238" i="3"/>
  <c r="N237" i="3"/>
  <c r="L237" i="3"/>
  <c r="K237" i="3"/>
  <c r="M237" i="3" s="1"/>
  <c r="J237" i="3"/>
  <c r="L236" i="3"/>
  <c r="K236" i="3"/>
  <c r="M236" i="3" s="1"/>
  <c r="J236" i="3"/>
  <c r="N236" i="3" s="1"/>
  <c r="W174" i="2" s="1"/>
  <c r="Z174" i="2" s="1"/>
  <c r="L235" i="3"/>
  <c r="K235" i="3"/>
  <c r="J235" i="3"/>
  <c r="M234" i="3"/>
  <c r="L234" i="3"/>
  <c r="K234" i="3"/>
  <c r="J234" i="3"/>
  <c r="L233" i="3"/>
  <c r="K233" i="3"/>
  <c r="M233" i="3" s="1"/>
  <c r="J233" i="3"/>
  <c r="N233" i="3" s="1"/>
  <c r="N232" i="3"/>
  <c r="L232" i="3"/>
  <c r="M232" i="3" s="1"/>
  <c r="K232" i="3"/>
  <c r="J232" i="3"/>
  <c r="L231" i="3"/>
  <c r="K231" i="3"/>
  <c r="M231" i="3" s="1"/>
  <c r="J231" i="3"/>
  <c r="N231" i="3" s="1"/>
  <c r="M230" i="3"/>
  <c r="N230" i="3" s="1"/>
  <c r="W170" i="2" s="1"/>
  <c r="Z170" i="2" s="1"/>
  <c r="L230" i="3"/>
  <c r="K230" i="3"/>
  <c r="J230" i="3"/>
  <c r="L229" i="3"/>
  <c r="K229" i="3"/>
  <c r="M229" i="3" s="1"/>
  <c r="J229" i="3"/>
  <c r="N229" i="3" s="1"/>
  <c r="L228" i="3"/>
  <c r="M228" i="3" s="1"/>
  <c r="K228" i="3"/>
  <c r="J228" i="3"/>
  <c r="L227" i="3"/>
  <c r="K227" i="3"/>
  <c r="M227" i="3" s="1"/>
  <c r="J227" i="3"/>
  <c r="L226" i="3"/>
  <c r="K226" i="3"/>
  <c r="M226" i="3" s="1"/>
  <c r="N226" i="3" s="1"/>
  <c r="J226" i="3"/>
  <c r="N225" i="3"/>
  <c r="L225" i="3"/>
  <c r="K225" i="3"/>
  <c r="M225" i="3" s="1"/>
  <c r="J225" i="3"/>
  <c r="L224" i="3"/>
  <c r="K224" i="3"/>
  <c r="M224" i="3" s="1"/>
  <c r="J224" i="3"/>
  <c r="L223" i="3"/>
  <c r="K223" i="3"/>
  <c r="J223" i="3"/>
  <c r="M222" i="3"/>
  <c r="L222" i="3"/>
  <c r="K222" i="3"/>
  <c r="J222" i="3"/>
  <c r="N222" i="3" s="1"/>
  <c r="L221" i="3"/>
  <c r="K221" i="3"/>
  <c r="M221" i="3" s="1"/>
  <c r="N221" i="3" s="1"/>
  <c r="W160" i="2" s="1"/>
  <c r="Z160" i="2" s="1"/>
  <c r="J221" i="3"/>
  <c r="M220" i="3"/>
  <c r="L220" i="3"/>
  <c r="K220" i="3"/>
  <c r="J220" i="3"/>
  <c r="L219" i="3"/>
  <c r="K219" i="3"/>
  <c r="J219" i="3"/>
  <c r="L218" i="3"/>
  <c r="K218" i="3"/>
  <c r="J218" i="3"/>
  <c r="L217" i="3"/>
  <c r="K217" i="3"/>
  <c r="J217" i="3"/>
  <c r="L216" i="3"/>
  <c r="K216" i="3"/>
  <c r="M216" i="3" s="1"/>
  <c r="J216" i="3"/>
  <c r="L215" i="3"/>
  <c r="K215" i="3"/>
  <c r="J215" i="3"/>
  <c r="M214" i="3"/>
  <c r="L214" i="3"/>
  <c r="K214" i="3"/>
  <c r="J214" i="3"/>
  <c r="N214" i="3" s="1"/>
  <c r="L213" i="3"/>
  <c r="K213" i="3"/>
  <c r="M213" i="3" s="1"/>
  <c r="J213" i="3"/>
  <c r="N213" i="3" s="1"/>
  <c r="W147" i="2" s="1"/>
  <c r="Z147" i="2" s="1"/>
  <c r="L212" i="3"/>
  <c r="M212" i="3" s="1"/>
  <c r="N212" i="3" s="1"/>
  <c r="K212" i="3"/>
  <c r="J212" i="3"/>
  <c r="L211" i="3"/>
  <c r="K211" i="3"/>
  <c r="M211" i="3" s="1"/>
  <c r="J211" i="3"/>
  <c r="N211" i="3" s="1"/>
  <c r="N210" i="3"/>
  <c r="W145" i="2" s="1"/>
  <c r="Z145" i="2" s="1"/>
  <c r="M210" i="3"/>
  <c r="L210" i="3"/>
  <c r="K210" i="3"/>
  <c r="J210" i="3"/>
  <c r="L209" i="3"/>
  <c r="K209" i="3"/>
  <c r="M209" i="3" s="1"/>
  <c r="J209" i="3"/>
  <c r="N209" i="3" s="1"/>
  <c r="L208" i="3"/>
  <c r="M208" i="3" s="1"/>
  <c r="N208" i="3" s="1"/>
  <c r="W144" i="2" s="1"/>
  <c r="Z144" i="2" s="1"/>
  <c r="K208" i="3"/>
  <c r="J208" i="3"/>
  <c r="L207" i="3"/>
  <c r="K207" i="3"/>
  <c r="M207" i="3" s="1"/>
  <c r="J207" i="3"/>
  <c r="N207" i="3" s="1"/>
  <c r="L206" i="3"/>
  <c r="K206" i="3"/>
  <c r="J206" i="3"/>
  <c r="N205" i="3"/>
  <c r="L205" i="3"/>
  <c r="K205" i="3"/>
  <c r="M205" i="3" s="1"/>
  <c r="J205" i="3"/>
  <c r="L204" i="3"/>
  <c r="K204" i="3"/>
  <c r="M204" i="3" s="1"/>
  <c r="J204" i="3"/>
  <c r="L203" i="3"/>
  <c r="K203" i="3"/>
  <c r="J203" i="3"/>
  <c r="L202" i="3"/>
  <c r="K202" i="3"/>
  <c r="M202" i="3" s="1"/>
  <c r="J202" i="3"/>
  <c r="L201" i="3"/>
  <c r="M201" i="3" s="1"/>
  <c r="N201" i="3" s="1"/>
  <c r="W135" i="2" s="1"/>
  <c r="Z135" i="2" s="1"/>
  <c r="K201" i="3"/>
  <c r="J201" i="3"/>
  <c r="M200" i="3"/>
  <c r="L200" i="3"/>
  <c r="K200" i="3"/>
  <c r="J200" i="3"/>
  <c r="N200" i="3" s="1"/>
  <c r="L199" i="3"/>
  <c r="M199" i="3" s="1"/>
  <c r="N199" i="3" s="1"/>
  <c r="K199" i="3"/>
  <c r="J199" i="3"/>
  <c r="N198" i="3"/>
  <c r="L198" i="3"/>
  <c r="M198" i="3" s="1"/>
  <c r="K198" i="3"/>
  <c r="J198" i="3"/>
  <c r="L197" i="3"/>
  <c r="M197" i="3" s="1"/>
  <c r="N197" i="3" s="1"/>
  <c r="K197" i="3"/>
  <c r="J197" i="3"/>
  <c r="N196" i="3"/>
  <c r="M196" i="3"/>
  <c r="L196" i="3"/>
  <c r="K196" i="3"/>
  <c r="J196" i="3"/>
  <c r="L195" i="3"/>
  <c r="M195" i="3" s="1"/>
  <c r="N195" i="3" s="1"/>
  <c r="K195" i="3"/>
  <c r="J195" i="3"/>
  <c r="L194" i="3"/>
  <c r="M194" i="3" s="1"/>
  <c r="N194" i="3" s="1"/>
  <c r="W126" i="2" s="1"/>
  <c r="Z126" i="2" s="1"/>
  <c r="K194" i="3"/>
  <c r="J194" i="3"/>
  <c r="L193" i="3"/>
  <c r="M193" i="3" s="1"/>
  <c r="N193" i="3" s="1"/>
  <c r="K193" i="3"/>
  <c r="J193" i="3"/>
  <c r="L192" i="3"/>
  <c r="K192" i="3"/>
  <c r="M192" i="3" s="1"/>
  <c r="N192" i="3" s="1"/>
  <c r="W125" i="2" s="1"/>
  <c r="Z125" i="2" s="1"/>
  <c r="J192" i="3"/>
  <c r="N191" i="3"/>
  <c r="L191" i="3"/>
  <c r="M191" i="3" s="1"/>
  <c r="K191" i="3"/>
  <c r="J191" i="3"/>
  <c r="L190" i="3"/>
  <c r="M190" i="3" s="1"/>
  <c r="K190" i="3"/>
  <c r="J190" i="3"/>
  <c r="L189" i="3"/>
  <c r="M189" i="3" s="1"/>
  <c r="N189" i="3" s="1"/>
  <c r="K189" i="3"/>
  <c r="J189" i="3"/>
  <c r="L188" i="3"/>
  <c r="K188" i="3"/>
  <c r="M188" i="3" s="1"/>
  <c r="J188" i="3"/>
  <c r="N187" i="3"/>
  <c r="L187" i="3"/>
  <c r="M187" i="3" s="1"/>
  <c r="K187" i="3"/>
  <c r="J187" i="3"/>
  <c r="L186" i="3"/>
  <c r="K186" i="3"/>
  <c r="M186" i="3" s="1"/>
  <c r="J186" i="3"/>
  <c r="L185" i="3"/>
  <c r="M185" i="3" s="1"/>
  <c r="N185" i="3" s="1"/>
  <c r="K185" i="3"/>
  <c r="J185" i="3"/>
  <c r="L184" i="3"/>
  <c r="K184" i="3"/>
  <c r="M184" i="3" s="1"/>
  <c r="J184" i="3"/>
  <c r="L183" i="3"/>
  <c r="M183" i="3" s="1"/>
  <c r="N183" i="3" s="1"/>
  <c r="K183" i="3"/>
  <c r="J183" i="3"/>
  <c r="L182" i="3"/>
  <c r="K182" i="3"/>
  <c r="M182" i="3" s="1"/>
  <c r="J182" i="3"/>
  <c r="N181" i="3"/>
  <c r="L181" i="3"/>
  <c r="M181" i="3" s="1"/>
  <c r="K181" i="3"/>
  <c r="J181" i="3"/>
  <c r="M180" i="3"/>
  <c r="L180" i="3"/>
  <c r="K180" i="3"/>
  <c r="J180" i="3"/>
  <c r="N180" i="3" s="1"/>
  <c r="L179" i="3"/>
  <c r="M179" i="3" s="1"/>
  <c r="N179" i="3" s="1"/>
  <c r="K179" i="3"/>
  <c r="J179" i="3"/>
  <c r="N178" i="3"/>
  <c r="L178" i="3"/>
  <c r="M178" i="3" s="1"/>
  <c r="K178" i="3"/>
  <c r="J178" i="3"/>
  <c r="L177" i="3"/>
  <c r="M177" i="3" s="1"/>
  <c r="N177" i="3" s="1"/>
  <c r="K177" i="3"/>
  <c r="J177" i="3"/>
  <c r="N176" i="3"/>
  <c r="M176" i="3"/>
  <c r="L176" i="3"/>
  <c r="K176" i="3"/>
  <c r="J176" i="3"/>
  <c r="L175" i="3"/>
  <c r="M175" i="3" s="1"/>
  <c r="N175" i="3" s="1"/>
  <c r="K175" i="3"/>
  <c r="J175" i="3"/>
  <c r="M174" i="3"/>
  <c r="N174" i="3" s="1"/>
  <c r="W109" i="2" s="1"/>
  <c r="Z109" i="2" s="1"/>
  <c r="L174" i="3"/>
  <c r="K174" i="3"/>
  <c r="J174" i="3"/>
  <c r="L173" i="3"/>
  <c r="M173" i="3" s="1"/>
  <c r="N173" i="3" s="1"/>
  <c r="K173" i="3"/>
  <c r="J173" i="3"/>
  <c r="L172" i="3"/>
  <c r="K172" i="3"/>
  <c r="M172" i="3" s="1"/>
  <c r="N172" i="3" s="1"/>
  <c r="W103" i="2" s="1"/>
  <c r="Z103" i="2" s="1"/>
  <c r="J172" i="3"/>
  <c r="N171" i="3"/>
  <c r="L171" i="3"/>
  <c r="M171" i="3" s="1"/>
  <c r="K171" i="3"/>
  <c r="J171" i="3"/>
  <c r="L170" i="3"/>
  <c r="K170" i="3"/>
  <c r="M170" i="3" s="1"/>
  <c r="J170" i="3"/>
  <c r="L169" i="3"/>
  <c r="M169" i="3" s="1"/>
  <c r="N169" i="3" s="1"/>
  <c r="K169" i="3"/>
  <c r="J169" i="3"/>
  <c r="L168" i="3"/>
  <c r="K168" i="3"/>
  <c r="J168" i="3"/>
  <c r="N167" i="3"/>
  <c r="L167" i="3"/>
  <c r="M167" i="3" s="1"/>
  <c r="K167" i="3"/>
  <c r="J167" i="3"/>
  <c r="L166" i="3"/>
  <c r="K166" i="3"/>
  <c r="M166" i="3" s="1"/>
  <c r="J166" i="3"/>
  <c r="N165" i="3"/>
  <c r="L165" i="3"/>
  <c r="M165" i="3" s="1"/>
  <c r="K165" i="3"/>
  <c r="J165" i="3"/>
  <c r="L164" i="3"/>
  <c r="K164" i="3"/>
  <c r="M164" i="3" s="1"/>
  <c r="J164" i="3"/>
  <c r="N164" i="3" s="1"/>
  <c r="N163" i="3"/>
  <c r="L163" i="3"/>
  <c r="M163" i="3" s="1"/>
  <c r="K163" i="3"/>
  <c r="J163" i="3"/>
  <c r="L162" i="3"/>
  <c r="K162" i="3"/>
  <c r="M162" i="3" s="1"/>
  <c r="J162" i="3"/>
  <c r="N162" i="3" s="1"/>
  <c r="N161" i="3"/>
  <c r="L161" i="3"/>
  <c r="M161" i="3" s="1"/>
  <c r="K161" i="3"/>
  <c r="J161" i="3"/>
  <c r="M160" i="3"/>
  <c r="L160" i="3"/>
  <c r="K160" i="3"/>
  <c r="J160" i="3"/>
  <c r="N160" i="3" s="1"/>
  <c r="L159" i="3"/>
  <c r="M159" i="3" s="1"/>
  <c r="N159" i="3" s="1"/>
  <c r="K159" i="3"/>
  <c r="J159" i="3"/>
  <c r="L158" i="3"/>
  <c r="M158" i="3" s="1"/>
  <c r="N158" i="3" s="1"/>
  <c r="W83" i="2" s="1"/>
  <c r="Z83" i="2" s="1"/>
  <c r="K158" i="3"/>
  <c r="J158" i="3"/>
  <c r="L157" i="3"/>
  <c r="M157" i="3" s="1"/>
  <c r="N157" i="3" s="1"/>
  <c r="K157" i="3"/>
  <c r="J157" i="3"/>
  <c r="M156" i="3"/>
  <c r="N156" i="3" s="1"/>
  <c r="W80" i="2" s="1"/>
  <c r="Z80" i="2" s="1"/>
  <c r="L156" i="3"/>
  <c r="K156" i="3"/>
  <c r="J156" i="3"/>
  <c r="L155" i="3"/>
  <c r="M155" i="3" s="1"/>
  <c r="N155" i="3" s="1"/>
  <c r="K155" i="3"/>
  <c r="J155" i="3"/>
  <c r="N154" i="3"/>
  <c r="M154" i="3"/>
  <c r="L154" i="3"/>
  <c r="K154" i="3"/>
  <c r="J154" i="3"/>
  <c r="L153" i="3"/>
  <c r="M153" i="3" s="1"/>
  <c r="N153" i="3" s="1"/>
  <c r="K153" i="3"/>
  <c r="J153" i="3"/>
  <c r="L152" i="3"/>
  <c r="M152" i="3" s="1"/>
  <c r="N152" i="3" s="1"/>
  <c r="W77" i="2" s="1"/>
  <c r="Z77" i="2" s="1"/>
  <c r="K152" i="3"/>
  <c r="J152" i="3"/>
  <c r="N151" i="3"/>
  <c r="L151" i="3"/>
  <c r="M151" i="3" s="1"/>
  <c r="K151" i="3"/>
  <c r="J151" i="3"/>
  <c r="M150" i="3"/>
  <c r="L150" i="3"/>
  <c r="K150" i="3"/>
  <c r="J150" i="3"/>
  <c r="N150" i="3" s="1"/>
  <c r="L149" i="3"/>
  <c r="M149" i="3" s="1"/>
  <c r="N149" i="3" s="1"/>
  <c r="K149" i="3"/>
  <c r="J149" i="3"/>
  <c r="L148" i="3"/>
  <c r="K148" i="3"/>
  <c r="J148" i="3"/>
  <c r="N147" i="3"/>
  <c r="L147" i="3"/>
  <c r="M147" i="3" s="1"/>
  <c r="K147" i="3"/>
  <c r="J147" i="3"/>
  <c r="L146" i="3"/>
  <c r="K146" i="3"/>
  <c r="M146" i="3" s="1"/>
  <c r="J146" i="3"/>
  <c r="N146" i="3" s="1"/>
  <c r="N145" i="3"/>
  <c r="L145" i="3"/>
  <c r="M145" i="3" s="1"/>
  <c r="K145" i="3"/>
  <c r="J145" i="3"/>
  <c r="L144" i="3"/>
  <c r="K144" i="3"/>
  <c r="M144" i="3" s="1"/>
  <c r="J144" i="3"/>
  <c r="N144" i="3" s="1"/>
  <c r="N143" i="3"/>
  <c r="L143" i="3"/>
  <c r="M143" i="3" s="1"/>
  <c r="K143" i="3"/>
  <c r="J143" i="3"/>
  <c r="L142" i="3"/>
  <c r="K142" i="3"/>
  <c r="M142" i="3" s="1"/>
  <c r="J142" i="3"/>
  <c r="N142" i="3" s="1"/>
  <c r="N141" i="3"/>
  <c r="L141" i="3"/>
  <c r="M141" i="3" s="1"/>
  <c r="K141" i="3"/>
  <c r="J141" i="3"/>
  <c r="M140" i="3"/>
  <c r="L140" i="3"/>
  <c r="K140" i="3"/>
  <c r="J140" i="3"/>
  <c r="N140" i="3" s="1"/>
  <c r="L139" i="3"/>
  <c r="M139" i="3" s="1"/>
  <c r="N139" i="3" s="1"/>
  <c r="K139" i="3"/>
  <c r="J139" i="3"/>
  <c r="L138" i="3"/>
  <c r="M138" i="3" s="1"/>
  <c r="N138" i="3" s="1"/>
  <c r="W59" i="2" s="1"/>
  <c r="Z59" i="2" s="1"/>
  <c r="K138" i="3"/>
  <c r="J138" i="3"/>
  <c r="L137" i="3"/>
  <c r="M137" i="3" s="1"/>
  <c r="N137" i="3" s="1"/>
  <c r="K137" i="3"/>
  <c r="J137" i="3"/>
  <c r="M136" i="3"/>
  <c r="N136" i="3" s="1"/>
  <c r="W55" i="2" s="1"/>
  <c r="Z55" i="2" s="1"/>
  <c r="L136" i="3"/>
  <c r="K136" i="3"/>
  <c r="J136" i="3"/>
  <c r="L135" i="3"/>
  <c r="M135" i="3" s="1"/>
  <c r="N135" i="3" s="1"/>
  <c r="K135" i="3"/>
  <c r="J135" i="3"/>
  <c r="L134" i="3"/>
  <c r="M134" i="3" s="1"/>
  <c r="N134" i="3" s="1"/>
  <c r="W49" i="2" s="1"/>
  <c r="Z49" i="2" s="1"/>
  <c r="K134" i="3"/>
  <c r="J134" i="3"/>
  <c r="L133" i="3"/>
  <c r="M133" i="3" s="1"/>
  <c r="N133" i="3" s="1"/>
  <c r="K133" i="3"/>
  <c r="J133" i="3"/>
  <c r="L132" i="3"/>
  <c r="K132" i="3"/>
  <c r="M132" i="3" s="1"/>
  <c r="N132" i="3" s="1"/>
  <c r="W47" i="2" s="1"/>
  <c r="Z47" i="2" s="1"/>
  <c r="J132" i="3"/>
  <c r="N131" i="3"/>
  <c r="L131" i="3"/>
  <c r="M131" i="3" s="1"/>
  <c r="K131" i="3"/>
  <c r="J131" i="3"/>
  <c r="L130" i="3"/>
  <c r="K130" i="3"/>
  <c r="M130" i="3" s="1"/>
  <c r="J130" i="3"/>
  <c r="L129" i="3"/>
  <c r="M129" i="3" s="1"/>
  <c r="N129" i="3" s="1"/>
  <c r="K129" i="3"/>
  <c r="J129" i="3"/>
  <c r="L128" i="3"/>
  <c r="K128" i="3"/>
  <c r="J128" i="3"/>
  <c r="N127" i="3"/>
  <c r="L127" i="3"/>
  <c r="M127" i="3" s="1"/>
  <c r="K127" i="3"/>
  <c r="J127" i="3"/>
  <c r="L126" i="3"/>
  <c r="K126" i="3"/>
  <c r="M126" i="3" s="1"/>
  <c r="J126" i="3"/>
  <c r="N126" i="3" s="1"/>
  <c r="N125" i="3"/>
  <c r="L125" i="3"/>
  <c r="M125" i="3" s="1"/>
  <c r="K125" i="3"/>
  <c r="J125" i="3"/>
  <c r="L124" i="3"/>
  <c r="K124" i="3"/>
  <c r="M124" i="3" s="1"/>
  <c r="J124" i="3"/>
  <c r="N124" i="3" s="1"/>
  <c r="L123" i="3"/>
  <c r="M123" i="3" s="1"/>
  <c r="N123" i="3" s="1"/>
  <c r="W27" i="2" s="1"/>
  <c r="Z27" i="2" s="1"/>
  <c r="K123" i="3"/>
  <c r="J123" i="3"/>
  <c r="L122" i="3"/>
  <c r="K122" i="3"/>
  <c r="M122" i="3" s="1"/>
  <c r="J122" i="3"/>
  <c r="L121" i="3"/>
  <c r="M121" i="3" s="1"/>
  <c r="N121" i="3" s="1"/>
  <c r="K121" i="3"/>
  <c r="J121" i="3"/>
  <c r="M120" i="3"/>
  <c r="L120" i="3"/>
  <c r="K120" i="3"/>
  <c r="J120" i="3"/>
  <c r="N120" i="3" s="1"/>
  <c r="L119" i="3"/>
  <c r="M119" i="3" s="1"/>
  <c r="N119" i="3" s="1"/>
  <c r="K119" i="3"/>
  <c r="J119" i="3"/>
  <c r="L118" i="3"/>
  <c r="M118" i="3" s="1"/>
  <c r="N118" i="3" s="1"/>
  <c r="W19" i="2" s="1"/>
  <c r="Z19" i="2" s="1"/>
  <c r="K118" i="3"/>
  <c r="J118" i="3"/>
  <c r="L117" i="3"/>
  <c r="M117" i="3" s="1"/>
  <c r="N117" i="3" s="1"/>
  <c r="K117" i="3"/>
  <c r="J117" i="3"/>
  <c r="N116" i="3"/>
  <c r="M116" i="3"/>
  <c r="L116" i="3"/>
  <c r="K116" i="3"/>
  <c r="J116" i="3"/>
  <c r="L115" i="3"/>
  <c r="M115" i="3" s="1"/>
  <c r="N115" i="3" s="1"/>
  <c r="K115" i="3"/>
  <c r="J115" i="3"/>
  <c r="L114" i="3"/>
  <c r="M114" i="3" s="1"/>
  <c r="N114" i="3" s="1"/>
  <c r="W14" i="2" s="1"/>
  <c r="Z14" i="2" s="1"/>
  <c r="K114" i="3"/>
  <c r="J114" i="3"/>
  <c r="L113" i="3"/>
  <c r="M113" i="3" s="1"/>
  <c r="N113" i="3" s="1"/>
  <c r="K113" i="3"/>
  <c r="J113" i="3"/>
  <c r="M112" i="3"/>
  <c r="N112" i="3" s="1"/>
  <c r="W13" i="2" s="1"/>
  <c r="Z13" i="2" s="1"/>
  <c r="L112" i="3"/>
  <c r="K112" i="3"/>
  <c r="J112" i="3"/>
  <c r="N111" i="3"/>
  <c r="L111" i="3"/>
  <c r="M111" i="3" s="1"/>
  <c r="K111" i="3"/>
  <c r="J111" i="3"/>
  <c r="L110" i="3"/>
  <c r="K110" i="3"/>
  <c r="M110" i="3" s="1"/>
  <c r="J110" i="3"/>
  <c r="L109" i="3"/>
  <c r="M109" i="3" s="1"/>
  <c r="N109" i="3" s="1"/>
  <c r="K109" i="3"/>
  <c r="J109" i="3"/>
  <c r="L108" i="3"/>
  <c r="K108" i="3"/>
  <c r="M108" i="3" s="1"/>
  <c r="J108" i="3"/>
  <c r="N108" i="3" s="1"/>
  <c r="N107" i="3"/>
  <c r="L107" i="3"/>
  <c r="M107" i="3" s="1"/>
  <c r="K107" i="3"/>
  <c r="J107" i="3"/>
  <c r="L106" i="3"/>
  <c r="K106" i="3"/>
  <c r="M106" i="3" s="1"/>
  <c r="J106" i="3"/>
  <c r="L105" i="3"/>
  <c r="M105" i="3" s="1"/>
  <c r="N105" i="3" s="1"/>
  <c r="K105" i="3"/>
  <c r="J105" i="3"/>
  <c r="L104" i="3"/>
  <c r="K104" i="3"/>
  <c r="M104" i="3" s="1"/>
  <c r="J104" i="3"/>
  <c r="L103" i="3"/>
  <c r="M103" i="3" s="1"/>
  <c r="N103" i="3" s="1"/>
  <c r="K103" i="3"/>
  <c r="J103" i="3"/>
  <c r="L102" i="3"/>
  <c r="K102" i="3"/>
  <c r="M102" i="3" s="1"/>
  <c r="J102" i="3"/>
  <c r="L101" i="3"/>
  <c r="M101" i="3" s="1"/>
  <c r="N101" i="3" s="1"/>
  <c r="V174" i="2" s="1"/>
  <c r="Y174" i="2" s="1"/>
  <c r="K101" i="3"/>
  <c r="J101" i="3"/>
  <c r="M100" i="3"/>
  <c r="L100" i="3"/>
  <c r="K100" i="3"/>
  <c r="J100" i="3"/>
  <c r="N100" i="3" s="1"/>
  <c r="L99" i="3"/>
  <c r="M99" i="3" s="1"/>
  <c r="N99" i="3" s="1"/>
  <c r="V171" i="2" s="1"/>
  <c r="Y171" i="2" s="1"/>
  <c r="K99" i="3"/>
  <c r="J99" i="3"/>
  <c r="N98" i="3"/>
  <c r="V170" i="2" s="1"/>
  <c r="Y170" i="2" s="1"/>
  <c r="L98" i="3"/>
  <c r="M98" i="3" s="1"/>
  <c r="K98" i="3"/>
  <c r="J98" i="3"/>
  <c r="L97" i="3"/>
  <c r="M97" i="3" s="1"/>
  <c r="N97" i="3" s="1"/>
  <c r="K97" i="3"/>
  <c r="J97" i="3"/>
  <c r="N96" i="3"/>
  <c r="L96" i="3"/>
  <c r="M96" i="3" s="1"/>
  <c r="K96" i="3"/>
  <c r="J96" i="3"/>
  <c r="L95" i="3"/>
  <c r="M95" i="3" s="1"/>
  <c r="N95" i="3" s="1"/>
  <c r="K95" i="3"/>
  <c r="J95" i="3"/>
  <c r="N94" i="3"/>
  <c r="L94" i="3"/>
  <c r="M94" i="3" s="1"/>
  <c r="K94" i="3"/>
  <c r="J94" i="3"/>
  <c r="L93" i="3"/>
  <c r="M93" i="3" s="1"/>
  <c r="N93" i="3" s="1"/>
  <c r="K93" i="3"/>
  <c r="J93" i="3"/>
  <c r="N92" i="3"/>
  <c r="L92" i="3"/>
  <c r="M92" i="3" s="1"/>
  <c r="K92" i="3"/>
  <c r="J92" i="3"/>
  <c r="L91" i="3"/>
  <c r="M91" i="3" s="1"/>
  <c r="N91" i="3" s="1"/>
  <c r="K91" i="3"/>
  <c r="J91" i="3"/>
  <c r="L90" i="3"/>
  <c r="M90" i="3" s="1"/>
  <c r="N90" i="3" s="1"/>
  <c r="V159" i="2" s="1"/>
  <c r="Y159" i="2" s="1"/>
  <c r="K90" i="3"/>
  <c r="J90" i="3"/>
  <c r="L89" i="3"/>
  <c r="M89" i="3" s="1"/>
  <c r="N89" i="3" s="1"/>
  <c r="K89" i="3"/>
  <c r="J89" i="3"/>
  <c r="L88" i="3"/>
  <c r="M88" i="3" s="1"/>
  <c r="N88" i="3" s="1"/>
  <c r="V157" i="2" s="1"/>
  <c r="Y157" i="2" s="1"/>
  <c r="K88" i="3"/>
  <c r="J88" i="3"/>
  <c r="L87" i="3"/>
  <c r="M87" i="3" s="1"/>
  <c r="N87" i="3" s="1"/>
  <c r="K87" i="3"/>
  <c r="J87" i="3"/>
  <c r="L86" i="3"/>
  <c r="M86" i="3" s="1"/>
  <c r="N86" i="3" s="1"/>
  <c r="V155" i="2" s="1"/>
  <c r="Y155" i="2" s="1"/>
  <c r="K86" i="3"/>
  <c r="J86" i="3"/>
  <c r="L85" i="3"/>
  <c r="M85" i="3" s="1"/>
  <c r="K85" i="3"/>
  <c r="J85" i="3"/>
  <c r="N85" i="3" s="1"/>
  <c r="L84" i="3"/>
  <c r="M84" i="3" s="1"/>
  <c r="N84" i="3" s="1"/>
  <c r="V147" i="2" s="1"/>
  <c r="Y147" i="2" s="1"/>
  <c r="K84" i="3"/>
  <c r="J84" i="3"/>
  <c r="L83" i="3"/>
  <c r="K83" i="3"/>
  <c r="J83" i="3"/>
  <c r="L82" i="3"/>
  <c r="M82" i="3" s="1"/>
  <c r="N82" i="3" s="1"/>
  <c r="V144" i="2" s="1"/>
  <c r="Y144" i="2" s="1"/>
  <c r="K82" i="3"/>
  <c r="J82" i="3"/>
  <c r="L81" i="3"/>
  <c r="K81" i="3"/>
  <c r="J81" i="3"/>
  <c r="N80" i="3"/>
  <c r="V139" i="2" s="1"/>
  <c r="Y139" i="2" s="1"/>
  <c r="L80" i="3"/>
  <c r="M80" i="3" s="1"/>
  <c r="K80" i="3"/>
  <c r="J80" i="3"/>
  <c r="L79" i="3"/>
  <c r="K79" i="3"/>
  <c r="J79" i="3"/>
  <c r="N78" i="3"/>
  <c r="V137" i="2" s="1"/>
  <c r="Y137" i="2" s="1"/>
  <c r="L78" i="3"/>
  <c r="M78" i="3" s="1"/>
  <c r="K78" i="3"/>
  <c r="J78" i="3"/>
  <c r="L77" i="3"/>
  <c r="K77" i="3"/>
  <c r="J77" i="3"/>
  <c r="N76" i="3"/>
  <c r="L76" i="3"/>
  <c r="M76" i="3" s="1"/>
  <c r="K76" i="3"/>
  <c r="J76" i="3"/>
  <c r="L75" i="3"/>
  <c r="K75" i="3"/>
  <c r="J75" i="3"/>
  <c r="N74" i="3"/>
  <c r="L74" i="3"/>
  <c r="M74" i="3" s="1"/>
  <c r="K74" i="3"/>
  <c r="J74" i="3"/>
  <c r="L73" i="3"/>
  <c r="K73" i="3"/>
  <c r="M73" i="3" s="1"/>
  <c r="J73" i="3"/>
  <c r="N73" i="3" s="1"/>
  <c r="N72" i="3"/>
  <c r="L72" i="3"/>
  <c r="M72" i="3" s="1"/>
  <c r="K72" i="3"/>
  <c r="J72" i="3"/>
  <c r="L71" i="3"/>
  <c r="K71" i="3"/>
  <c r="M71" i="3" s="1"/>
  <c r="J71" i="3"/>
  <c r="N71" i="3" s="1"/>
  <c r="L70" i="3"/>
  <c r="M70" i="3" s="1"/>
  <c r="N70" i="3" s="1"/>
  <c r="V125" i="2" s="1"/>
  <c r="Y125" i="2" s="1"/>
  <c r="K70" i="3"/>
  <c r="J70" i="3"/>
  <c r="L69" i="3"/>
  <c r="K69" i="3"/>
  <c r="M69" i="3" s="1"/>
  <c r="J69" i="3"/>
  <c r="L68" i="3"/>
  <c r="M68" i="3" s="1"/>
  <c r="N68" i="3" s="1"/>
  <c r="V123" i="2" s="1"/>
  <c r="Y123" i="2" s="1"/>
  <c r="K68" i="3"/>
  <c r="J68" i="3"/>
  <c r="L67" i="3"/>
  <c r="K67" i="3"/>
  <c r="M67" i="3" s="1"/>
  <c r="J67" i="3"/>
  <c r="L66" i="3"/>
  <c r="M66" i="3" s="1"/>
  <c r="N66" i="3" s="1"/>
  <c r="V118" i="2" s="1"/>
  <c r="Y118" i="2" s="1"/>
  <c r="K66" i="3"/>
  <c r="J66" i="3"/>
  <c r="L65" i="3"/>
  <c r="K65" i="3"/>
  <c r="M65" i="3" s="1"/>
  <c r="J65" i="3"/>
  <c r="L64" i="3"/>
  <c r="M64" i="3" s="1"/>
  <c r="N64" i="3" s="1"/>
  <c r="V113" i="2" s="1"/>
  <c r="Y113" i="2" s="1"/>
  <c r="K64" i="3"/>
  <c r="J64" i="3"/>
  <c r="L63" i="3"/>
  <c r="K63" i="3"/>
  <c r="J63" i="3"/>
  <c r="L62" i="3"/>
  <c r="M62" i="3" s="1"/>
  <c r="N62" i="3" s="1"/>
  <c r="V111" i="2" s="1"/>
  <c r="Y111" i="2" s="1"/>
  <c r="K62" i="3"/>
  <c r="J62" i="3"/>
  <c r="L61" i="3"/>
  <c r="K61" i="3"/>
  <c r="J61" i="3"/>
  <c r="N60" i="3"/>
  <c r="V109" i="2" s="1"/>
  <c r="Y109" i="2" s="1"/>
  <c r="L60" i="3"/>
  <c r="M60" i="3" s="1"/>
  <c r="K60" i="3"/>
  <c r="J60" i="3"/>
  <c r="L59" i="3"/>
  <c r="K59" i="3"/>
  <c r="J59" i="3"/>
  <c r="N58" i="3"/>
  <c r="L58" i="3"/>
  <c r="M58" i="3" s="1"/>
  <c r="K58" i="3"/>
  <c r="J58" i="3"/>
  <c r="L57" i="3"/>
  <c r="K57" i="3"/>
  <c r="J57" i="3"/>
  <c r="N56" i="3"/>
  <c r="L56" i="3"/>
  <c r="M56" i="3" s="1"/>
  <c r="K56" i="3"/>
  <c r="J56" i="3"/>
  <c r="L55" i="3"/>
  <c r="K55" i="3"/>
  <c r="J55" i="3"/>
  <c r="N54" i="3"/>
  <c r="L54" i="3"/>
  <c r="M54" i="3" s="1"/>
  <c r="K54" i="3"/>
  <c r="J54" i="3"/>
  <c r="L53" i="3"/>
  <c r="K53" i="3"/>
  <c r="M53" i="3" s="1"/>
  <c r="J53" i="3"/>
  <c r="N53" i="3" s="1"/>
  <c r="N52" i="3"/>
  <c r="L52" i="3"/>
  <c r="M52" i="3" s="1"/>
  <c r="K52" i="3"/>
  <c r="J52" i="3"/>
  <c r="L51" i="3"/>
  <c r="K51" i="3"/>
  <c r="M51" i="3" s="1"/>
  <c r="J51" i="3"/>
  <c r="N51" i="3" s="1"/>
  <c r="L50" i="3"/>
  <c r="M50" i="3" s="1"/>
  <c r="N50" i="3" s="1"/>
  <c r="V87" i="2" s="1"/>
  <c r="Y87" i="2" s="1"/>
  <c r="K50" i="3"/>
  <c r="J50" i="3"/>
  <c r="L49" i="3"/>
  <c r="K49" i="3"/>
  <c r="M49" i="3" s="1"/>
  <c r="J49" i="3"/>
  <c r="L48" i="3"/>
  <c r="M48" i="3" s="1"/>
  <c r="N48" i="3" s="1"/>
  <c r="V83" i="2" s="1"/>
  <c r="Y83" i="2" s="1"/>
  <c r="K48" i="3"/>
  <c r="J48" i="3"/>
  <c r="L47" i="3"/>
  <c r="K47" i="3"/>
  <c r="M47" i="3" s="1"/>
  <c r="J47" i="3"/>
  <c r="L46" i="3"/>
  <c r="M46" i="3" s="1"/>
  <c r="N46" i="3" s="1"/>
  <c r="V79" i="2" s="1"/>
  <c r="Y79" i="2" s="1"/>
  <c r="K46" i="3"/>
  <c r="J46" i="3"/>
  <c r="L45" i="3"/>
  <c r="K45" i="3"/>
  <c r="M45" i="3" s="1"/>
  <c r="J45" i="3"/>
  <c r="L44" i="3"/>
  <c r="M44" i="3" s="1"/>
  <c r="N44" i="3" s="1"/>
  <c r="V77" i="2" s="1"/>
  <c r="Y77" i="2" s="1"/>
  <c r="K44" i="3"/>
  <c r="J44" i="3"/>
  <c r="L43" i="3"/>
  <c r="K43" i="3"/>
  <c r="J43" i="3"/>
  <c r="L42" i="3"/>
  <c r="M42" i="3" s="1"/>
  <c r="N42" i="3" s="1"/>
  <c r="V71" i="2" s="1"/>
  <c r="Y71" i="2" s="1"/>
  <c r="K42" i="3"/>
  <c r="J42" i="3"/>
  <c r="L41" i="3"/>
  <c r="K41" i="3"/>
  <c r="J41" i="3"/>
  <c r="N40" i="3"/>
  <c r="V69" i="2" s="1"/>
  <c r="Y69" i="2" s="1"/>
  <c r="L40" i="3"/>
  <c r="M40" i="3" s="1"/>
  <c r="K40" i="3"/>
  <c r="J40" i="3"/>
  <c r="L39" i="3"/>
  <c r="K39" i="3"/>
  <c r="J39" i="3"/>
  <c r="N38" i="3"/>
  <c r="L38" i="3"/>
  <c r="M38" i="3" s="1"/>
  <c r="K38" i="3"/>
  <c r="J38" i="3"/>
  <c r="L37" i="3"/>
  <c r="K37" i="3"/>
  <c r="J37" i="3"/>
  <c r="N36" i="3"/>
  <c r="L36" i="3"/>
  <c r="M36" i="3" s="1"/>
  <c r="K36" i="3"/>
  <c r="J36" i="3"/>
  <c r="L35" i="3"/>
  <c r="K35" i="3"/>
  <c r="J35" i="3"/>
  <c r="N34" i="3"/>
  <c r="L34" i="3"/>
  <c r="M34" i="3" s="1"/>
  <c r="K34" i="3"/>
  <c r="J34" i="3"/>
  <c r="L33" i="3"/>
  <c r="K33" i="3"/>
  <c r="M33" i="3" s="1"/>
  <c r="J33" i="3"/>
  <c r="N33" i="3" s="1"/>
  <c r="N32" i="3"/>
  <c r="L32" i="3"/>
  <c r="M32" i="3" s="1"/>
  <c r="K32" i="3"/>
  <c r="J32" i="3"/>
  <c r="L31" i="3"/>
  <c r="K31" i="3"/>
  <c r="M31" i="3" s="1"/>
  <c r="J31" i="3"/>
  <c r="N31" i="3" s="1"/>
  <c r="L30" i="3"/>
  <c r="M30" i="3" s="1"/>
  <c r="N30" i="3" s="1"/>
  <c r="V51" i="2" s="1"/>
  <c r="Y51" i="2" s="1"/>
  <c r="K30" i="3"/>
  <c r="J30" i="3"/>
  <c r="L29" i="3"/>
  <c r="K29" i="3"/>
  <c r="M29" i="3" s="1"/>
  <c r="J29" i="3"/>
  <c r="L28" i="3"/>
  <c r="M28" i="3" s="1"/>
  <c r="N28" i="3" s="1"/>
  <c r="V48" i="2" s="1"/>
  <c r="Y48" i="2" s="1"/>
  <c r="K28" i="3"/>
  <c r="J28" i="3"/>
  <c r="L27" i="3"/>
  <c r="K27" i="3"/>
  <c r="M27" i="3" s="1"/>
  <c r="J27" i="3"/>
  <c r="L26" i="3"/>
  <c r="M26" i="3" s="1"/>
  <c r="N26" i="3" s="1"/>
  <c r="V45" i="2" s="1"/>
  <c r="Y45" i="2" s="1"/>
  <c r="K26" i="3"/>
  <c r="J26" i="3"/>
  <c r="L25" i="3"/>
  <c r="K25" i="3"/>
  <c r="M25" i="3" s="1"/>
  <c r="J25" i="3"/>
  <c r="L24" i="3"/>
  <c r="M24" i="3" s="1"/>
  <c r="N24" i="3" s="1"/>
  <c r="V41" i="2" s="1"/>
  <c r="Y41" i="2" s="1"/>
  <c r="K24" i="3"/>
  <c r="J24" i="3"/>
  <c r="L23" i="3"/>
  <c r="K23" i="3"/>
  <c r="J23" i="3"/>
  <c r="L22" i="3"/>
  <c r="M22" i="3" s="1"/>
  <c r="N22" i="3" s="1"/>
  <c r="V32" i="2" s="1"/>
  <c r="Y32" i="2" s="1"/>
  <c r="K22" i="3"/>
  <c r="J22" i="3"/>
  <c r="L21" i="3"/>
  <c r="K21" i="3"/>
  <c r="J21" i="3"/>
  <c r="N20" i="3"/>
  <c r="L20" i="3"/>
  <c r="M20" i="3" s="1"/>
  <c r="K20" i="3"/>
  <c r="J20" i="3"/>
  <c r="L19" i="3"/>
  <c r="K19" i="3"/>
  <c r="J19" i="3"/>
  <c r="N18" i="3"/>
  <c r="L18" i="3"/>
  <c r="M18" i="3" s="1"/>
  <c r="K18" i="3"/>
  <c r="J18" i="3"/>
  <c r="L17" i="3"/>
  <c r="K17" i="3"/>
  <c r="J17" i="3"/>
  <c r="N16" i="3"/>
  <c r="L16" i="3"/>
  <c r="M16" i="3" s="1"/>
  <c r="K16" i="3"/>
  <c r="J16" i="3"/>
  <c r="L15" i="3"/>
  <c r="K15" i="3"/>
  <c r="J15" i="3"/>
  <c r="N14" i="3"/>
  <c r="L14" i="3"/>
  <c r="M14" i="3" s="1"/>
  <c r="K14" i="3"/>
  <c r="J14" i="3"/>
  <c r="L13" i="3"/>
  <c r="K13" i="3"/>
  <c r="M13" i="3" s="1"/>
  <c r="J13" i="3"/>
  <c r="N13" i="3" s="1"/>
  <c r="N12" i="3"/>
  <c r="L12" i="3"/>
  <c r="M12" i="3" s="1"/>
  <c r="K12" i="3"/>
  <c r="J12" i="3"/>
  <c r="L11" i="3"/>
  <c r="K11" i="3"/>
  <c r="M11" i="3" s="1"/>
  <c r="J11" i="3"/>
  <c r="N11" i="3" s="1"/>
  <c r="L10" i="3"/>
  <c r="M10" i="3" s="1"/>
  <c r="N10" i="3" s="1"/>
  <c r="V10" i="2" s="1"/>
  <c r="Y10" i="2" s="1"/>
  <c r="K10" i="3"/>
  <c r="J10" i="3"/>
  <c r="L9" i="3"/>
  <c r="K9" i="3"/>
  <c r="M9" i="3" s="1"/>
  <c r="J9" i="3"/>
  <c r="L8" i="3"/>
  <c r="M8" i="3" s="1"/>
  <c r="N8" i="3" s="1"/>
  <c r="V8" i="2" s="1"/>
  <c r="Y8" i="2" s="1"/>
  <c r="K8" i="3"/>
  <c r="J8" i="3"/>
  <c r="L7" i="3"/>
  <c r="K7" i="3"/>
  <c r="M7" i="3" s="1"/>
  <c r="J7" i="3"/>
  <c r="Z173" i="2"/>
  <c r="Y173" i="2"/>
  <c r="X173" i="2"/>
  <c r="AA173" i="2" s="1"/>
  <c r="W173" i="2"/>
  <c r="V173" i="2"/>
  <c r="V172" i="2"/>
  <c r="Y172" i="2" s="1"/>
  <c r="X171" i="2"/>
  <c r="AA171" i="2" s="1"/>
  <c r="X170" i="2"/>
  <c r="AA170" i="2" s="1"/>
  <c r="V169" i="2"/>
  <c r="Y169" i="2" s="1"/>
  <c r="V168" i="2"/>
  <c r="Y168" i="2" s="1"/>
  <c r="AA167" i="2"/>
  <c r="Y167" i="2"/>
  <c r="X167" i="2"/>
  <c r="W167" i="2"/>
  <c r="Z167" i="2" s="1"/>
  <c r="V167" i="2"/>
  <c r="X166" i="2"/>
  <c r="AA166" i="2" s="1"/>
  <c r="W166" i="2"/>
  <c r="Z166" i="2" s="1"/>
  <c r="V166" i="2"/>
  <c r="Y166" i="2" s="1"/>
  <c r="Z165" i="2"/>
  <c r="Y165" i="2"/>
  <c r="W165" i="2"/>
  <c r="V165" i="2"/>
  <c r="Y164" i="2"/>
  <c r="V164" i="2"/>
  <c r="AA163" i="2"/>
  <c r="X163" i="2"/>
  <c r="V163" i="2"/>
  <c r="Y163" i="2" s="1"/>
  <c r="AA162" i="2"/>
  <c r="Y162" i="2"/>
  <c r="X162" i="2"/>
  <c r="W162" i="2"/>
  <c r="Z162" i="2" s="1"/>
  <c r="V162" i="2"/>
  <c r="X161" i="2"/>
  <c r="AA161" i="2" s="1"/>
  <c r="W161" i="2"/>
  <c r="Z161" i="2" s="1"/>
  <c r="V161" i="2"/>
  <c r="Y161" i="2" s="1"/>
  <c r="Y160" i="2"/>
  <c r="V160" i="2"/>
  <c r="X159" i="2"/>
  <c r="AA159" i="2" s="1"/>
  <c r="V158" i="2"/>
  <c r="Y158" i="2" s="1"/>
  <c r="X156" i="2"/>
  <c r="AA156" i="2" s="1"/>
  <c r="V156" i="2"/>
  <c r="Y156" i="2" s="1"/>
  <c r="Z154" i="2"/>
  <c r="Y154" i="2"/>
  <c r="X154" i="2"/>
  <c r="AA154" i="2" s="1"/>
  <c r="W154" i="2"/>
  <c r="V154" i="2"/>
  <c r="AA153" i="2"/>
  <c r="X153" i="2"/>
  <c r="W153" i="2"/>
  <c r="Z153" i="2" s="1"/>
  <c r="V153" i="2"/>
  <c r="Y153" i="2" s="1"/>
  <c r="AA152" i="2"/>
  <c r="Y152" i="2"/>
  <c r="X152" i="2"/>
  <c r="W152" i="2"/>
  <c r="Z152" i="2" s="1"/>
  <c r="V152" i="2"/>
  <c r="X151" i="2"/>
  <c r="AA151" i="2" s="1"/>
  <c r="W151" i="2"/>
  <c r="Z151" i="2" s="1"/>
  <c r="V151" i="2"/>
  <c r="Y151" i="2" s="1"/>
  <c r="AA150" i="2"/>
  <c r="Z150" i="2"/>
  <c r="Y150" i="2"/>
  <c r="X150" i="2"/>
  <c r="W150" i="2"/>
  <c r="V150" i="2"/>
  <c r="Z149" i="2"/>
  <c r="Y149" i="2"/>
  <c r="X149" i="2"/>
  <c r="AA149" i="2" s="1"/>
  <c r="W149" i="2"/>
  <c r="V149" i="2"/>
  <c r="AA148" i="2"/>
  <c r="X148" i="2"/>
  <c r="W148" i="2"/>
  <c r="Z148" i="2" s="1"/>
  <c r="V148" i="2"/>
  <c r="Y148" i="2" s="1"/>
  <c r="Z146" i="2"/>
  <c r="X146" i="2"/>
  <c r="AA146" i="2" s="1"/>
  <c r="W146" i="2"/>
  <c r="V146" i="2"/>
  <c r="Y146" i="2" s="1"/>
  <c r="AA145" i="2"/>
  <c r="X145" i="2"/>
  <c r="W143" i="2"/>
  <c r="Z143" i="2" s="1"/>
  <c r="AA142" i="2"/>
  <c r="Y142" i="2"/>
  <c r="X142" i="2"/>
  <c r="W142" i="2"/>
  <c r="Z142" i="2" s="1"/>
  <c r="V142" i="2"/>
  <c r="Z141" i="2"/>
  <c r="X141" i="2"/>
  <c r="AA141" i="2" s="1"/>
  <c r="W141" i="2"/>
  <c r="V141" i="2"/>
  <c r="Y141" i="2" s="1"/>
  <c r="AA140" i="2"/>
  <c r="Z140" i="2"/>
  <c r="Y140" i="2"/>
  <c r="X140" i="2"/>
  <c r="W140" i="2"/>
  <c r="V140" i="2"/>
  <c r="X139" i="2"/>
  <c r="AA139" i="2" s="1"/>
  <c r="AA138" i="2"/>
  <c r="X138" i="2"/>
  <c r="W138" i="2"/>
  <c r="Z138" i="2" s="1"/>
  <c r="X136" i="2"/>
  <c r="AA136" i="2" s="1"/>
  <c r="AA135" i="2"/>
  <c r="Y135" i="2"/>
  <c r="X135" i="2"/>
  <c r="V135" i="2"/>
  <c r="Z134" i="2"/>
  <c r="W134" i="2"/>
  <c r="AA133" i="2"/>
  <c r="X133" i="2"/>
  <c r="W133" i="2"/>
  <c r="Z133" i="2" s="1"/>
  <c r="V133" i="2"/>
  <c r="Y133" i="2" s="1"/>
  <c r="Y132" i="2"/>
  <c r="W132" i="2"/>
  <c r="Z132" i="2" s="1"/>
  <c r="V132" i="2"/>
  <c r="X131" i="2"/>
  <c r="AA131" i="2" s="1"/>
  <c r="W131" i="2"/>
  <c r="Z131" i="2" s="1"/>
  <c r="V131" i="2"/>
  <c r="Y131" i="2" s="1"/>
  <c r="AA130" i="2"/>
  <c r="Z130" i="2"/>
  <c r="Y130" i="2"/>
  <c r="X130" i="2"/>
  <c r="W130" i="2"/>
  <c r="V130" i="2"/>
  <c r="Z129" i="2"/>
  <c r="Y129" i="2"/>
  <c r="X129" i="2"/>
  <c r="AA129" i="2" s="1"/>
  <c r="W129" i="2"/>
  <c r="V129" i="2"/>
  <c r="AA128" i="2"/>
  <c r="X128" i="2"/>
  <c r="W128" i="2"/>
  <c r="Z128" i="2" s="1"/>
  <c r="V128" i="2"/>
  <c r="Y128" i="2" s="1"/>
  <c r="Y127" i="2"/>
  <c r="W127" i="2"/>
  <c r="Z127" i="2" s="1"/>
  <c r="V127" i="2"/>
  <c r="X126" i="2"/>
  <c r="AA126" i="2" s="1"/>
  <c r="V126" i="2"/>
  <c r="Y126" i="2" s="1"/>
  <c r="AA125" i="2"/>
  <c r="X125" i="2"/>
  <c r="Z124" i="2"/>
  <c r="X124" i="2"/>
  <c r="AA124" i="2" s="1"/>
  <c r="W124" i="2"/>
  <c r="X121" i="2"/>
  <c r="AA121" i="2" s="1"/>
  <c r="W121" i="2"/>
  <c r="Z121" i="2" s="1"/>
  <c r="V121" i="2"/>
  <c r="Y121" i="2" s="1"/>
  <c r="AA120" i="2"/>
  <c r="Z120" i="2"/>
  <c r="Y120" i="2"/>
  <c r="X120" i="2"/>
  <c r="W120" i="2"/>
  <c r="V120" i="2"/>
  <c r="Z119" i="2"/>
  <c r="Y119" i="2"/>
  <c r="X119" i="2"/>
  <c r="AA119" i="2" s="1"/>
  <c r="W119" i="2"/>
  <c r="V119" i="2"/>
  <c r="AA117" i="2"/>
  <c r="Y117" i="2"/>
  <c r="X117" i="2"/>
  <c r="W117" i="2"/>
  <c r="Z117" i="2" s="1"/>
  <c r="V117" i="2"/>
  <c r="X116" i="2"/>
  <c r="AA116" i="2" s="1"/>
  <c r="W116" i="2"/>
  <c r="Z116" i="2" s="1"/>
  <c r="V116" i="2"/>
  <c r="Y116" i="2" s="1"/>
  <c r="AA115" i="2"/>
  <c r="Z115" i="2"/>
  <c r="Y115" i="2"/>
  <c r="X115" i="2"/>
  <c r="W115" i="2"/>
  <c r="V115" i="2"/>
  <c r="Z114" i="2"/>
  <c r="X114" i="2"/>
  <c r="AA114" i="2" s="1"/>
  <c r="W114" i="2"/>
  <c r="W113" i="2"/>
  <c r="Z113" i="2" s="1"/>
  <c r="AA112" i="2"/>
  <c r="X112" i="2"/>
  <c r="W112" i="2"/>
  <c r="Z112" i="2" s="1"/>
  <c r="X111" i="2"/>
  <c r="AA111" i="2" s="1"/>
  <c r="W111" i="2"/>
  <c r="Z111" i="2" s="1"/>
  <c r="Z110" i="2"/>
  <c r="X110" i="2"/>
  <c r="AA110" i="2" s="1"/>
  <c r="W110" i="2"/>
  <c r="AA108" i="2"/>
  <c r="Z108" i="2"/>
  <c r="X108" i="2"/>
  <c r="W108" i="2"/>
  <c r="V108" i="2"/>
  <c r="Y108" i="2" s="1"/>
  <c r="AA107" i="2"/>
  <c r="Z107" i="2"/>
  <c r="X107" i="2"/>
  <c r="W107" i="2"/>
  <c r="V107" i="2"/>
  <c r="Y107" i="2" s="1"/>
  <c r="X106" i="2"/>
  <c r="AA106" i="2" s="1"/>
  <c r="W106" i="2"/>
  <c r="Z106" i="2" s="1"/>
  <c r="V106" i="2"/>
  <c r="Y106" i="2" s="1"/>
  <c r="Z105" i="2"/>
  <c r="X105" i="2"/>
  <c r="AA105" i="2" s="1"/>
  <c r="W105" i="2"/>
  <c r="Z104" i="2"/>
  <c r="Y104" i="2"/>
  <c r="X104" i="2"/>
  <c r="AA104" i="2" s="1"/>
  <c r="W104" i="2"/>
  <c r="V104" i="2"/>
  <c r="AA103" i="2"/>
  <c r="X103" i="2"/>
  <c r="V103" i="2"/>
  <c r="Y103" i="2" s="1"/>
  <c r="AA102" i="2"/>
  <c r="X102" i="2"/>
  <c r="X101" i="2"/>
  <c r="AA101" i="2" s="1"/>
  <c r="W101" i="2"/>
  <c r="Z101" i="2" s="1"/>
  <c r="V101" i="2"/>
  <c r="Y101" i="2" s="1"/>
  <c r="Z100" i="2"/>
  <c r="Y100" i="2"/>
  <c r="X100" i="2"/>
  <c r="AA100" i="2" s="1"/>
  <c r="W100" i="2"/>
  <c r="V100" i="2"/>
  <c r="Z99" i="2"/>
  <c r="Y99" i="2"/>
  <c r="X99" i="2"/>
  <c r="AA99" i="2" s="1"/>
  <c r="W99" i="2"/>
  <c r="V99" i="2"/>
  <c r="AA98" i="2"/>
  <c r="Z98" i="2"/>
  <c r="X98" i="2"/>
  <c r="W98" i="2"/>
  <c r="V98" i="2"/>
  <c r="Y98" i="2" s="1"/>
  <c r="AA97" i="2"/>
  <c r="Z97" i="2"/>
  <c r="X97" i="2"/>
  <c r="W97" i="2"/>
  <c r="V97" i="2"/>
  <c r="Y97" i="2" s="1"/>
  <c r="X96" i="2"/>
  <c r="AA96" i="2" s="1"/>
  <c r="W96" i="2"/>
  <c r="Z96" i="2" s="1"/>
  <c r="V96" i="2"/>
  <c r="Y96" i="2" s="1"/>
  <c r="Z95" i="2"/>
  <c r="Y95" i="2"/>
  <c r="X95" i="2"/>
  <c r="AA95" i="2" s="1"/>
  <c r="W95" i="2"/>
  <c r="V95" i="2"/>
  <c r="Z93" i="2"/>
  <c r="W93" i="2"/>
  <c r="V93" i="2"/>
  <c r="Y93" i="2" s="1"/>
  <c r="AA92" i="2"/>
  <c r="X92" i="2"/>
  <c r="V92" i="2"/>
  <c r="Y92" i="2" s="1"/>
  <c r="X91" i="2"/>
  <c r="AA91" i="2" s="1"/>
  <c r="W91" i="2"/>
  <c r="Z91" i="2" s="1"/>
  <c r="V91" i="2"/>
  <c r="Y91" i="2" s="1"/>
  <c r="Z90" i="2"/>
  <c r="Y90" i="2"/>
  <c r="X90" i="2"/>
  <c r="AA90" i="2" s="1"/>
  <c r="W90" i="2"/>
  <c r="V90" i="2"/>
  <c r="Z89" i="2"/>
  <c r="Y89" i="2"/>
  <c r="X89" i="2"/>
  <c r="AA89" i="2" s="1"/>
  <c r="W89" i="2"/>
  <c r="V89" i="2"/>
  <c r="Z88" i="2"/>
  <c r="W88" i="2"/>
  <c r="V88" i="2"/>
  <c r="Y88" i="2" s="1"/>
  <c r="Z87" i="2"/>
  <c r="W87" i="2"/>
  <c r="X86" i="2"/>
  <c r="AA86" i="2" s="1"/>
  <c r="W86" i="2"/>
  <c r="Z86" i="2" s="1"/>
  <c r="V86" i="2"/>
  <c r="Y86" i="2" s="1"/>
  <c r="Z85" i="2"/>
  <c r="W85" i="2"/>
  <c r="Z84" i="2"/>
  <c r="Y84" i="2"/>
  <c r="X84" i="2"/>
  <c r="AA84" i="2" s="1"/>
  <c r="W84" i="2"/>
  <c r="V84" i="2"/>
  <c r="AA82" i="2"/>
  <c r="Z82" i="2"/>
  <c r="X82" i="2"/>
  <c r="W82" i="2"/>
  <c r="V82" i="2"/>
  <c r="Y82" i="2" s="1"/>
  <c r="X81" i="2"/>
  <c r="AA81" i="2" s="1"/>
  <c r="W81" i="2"/>
  <c r="Z81" i="2" s="1"/>
  <c r="V81" i="2"/>
  <c r="Y81" i="2" s="1"/>
  <c r="Z79" i="2"/>
  <c r="W79" i="2"/>
  <c r="AA78" i="2"/>
  <c r="Z78" i="2"/>
  <c r="X78" i="2"/>
  <c r="W78" i="2"/>
  <c r="AA77" i="2"/>
  <c r="X77" i="2"/>
  <c r="X76" i="2"/>
  <c r="AA76" i="2" s="1"/>
  <c r="W76" i="2"/>
  <c r="Z76" i="2" s="1"/>
  <c r="V76" i="2"/>
  <c r="Y76" i="2" s="1"/>
  <c r="Z75" i="2"/>
  <c r="Y75" i="2"/>
  <c r="X75" i="2"/>
  <c r="AA75" i="2" s="1"/>
  <c r="W75" i="2"/>
  <c r="V75" i="2"/>
  <c r="Z74" i="2"/>
  <c r="X74" i="2"/>
  <c r="AA74" i="2" s="1"/>
  <c r="W74" i="2"/>
  <c r="AA73" i="2"/>
  <c r="Z73" i="2"/>
  <c r="X73" i="2"/>
  <c r="W73" i="2"/>
  <c r="V73" i="2"/>
  <c r="Y73" i="2" s="1"/>
  <c r="AA72" i="2"/>
  <c r="Z72" i="2"/>
  <c r="X72" i="2"/>
  <c r="W72" i="2"/>
  <c r="V72" i="2"/>
  <c r="Y72" i="2" s="1"/>
  <c r="W71" i="2"/>
  <c r="Z71" i="2" s="1"/>
  <c r="Z69" i="2"/>
  <c r="W69" i="2"/>
  <c r="AA68" i="2"/>
  <c r="Z68" i="2"/>
  <c r="X68" i="2"/>
  <c r="W68" i="2"/>
  <c r="V68" i="2"/>
  <c r="Y68" i="2" s="1"/>
  <c r="AA67" i="2"/>
  <c r="Z67" i="2"/>
  <c r="X67" i="2"/>
  <c r="W67" i="2"/>
  <c r="V67" i="2"/>
  <c r="Y67" i="2" s="1"/>
  <c r="X66" i="2"/>
  <c r="AA66" i="2" s="1"/>
  <c r="W66" i="2"/>
  <c r="Z66" i="2" s="1"/>
  <c r="Z65" i="2"/>
  <c r="Y65" i="2"/>
  <c r="W65" i="2"/>
  <c r="V65" i="2"/>
  <c r="Z64" i="2"/>
  <c r="Y64" i="2"/>
  <c r="X64" i="2"/>
  <c r="AA64" i="2" s="1"/>
  <c r="W64" i="2"/>
  <c r="V64" i="2"/>
  <c r="Z63" i="2"/>
  <c r="W63" i="2"/>
  <c r="AA62" i="2"/>
  <c r="Z62" i="2"/>
  <c r="X62" i="2"/>
  <c r="W62" i="2"/>
  <c r="V62" i="2"/>
  <c r="Y62" i="2" s="1"/>
  <c r="W61" i="2"/>
  <c r="Z61" i="2" s="1"/>
  <c r="Z60" i="2"/>
  <c r="Y60" i="2"/>
  <c r="W60" i="2"/>
  <c r="V60" i="2"/>
  <c r="Y59" i="2"/>
  <c r="X59" i="2"/>
  <c r="AA59" i="2" s="1"/>
  <c r="V59" i="2"/>
  <c r="AA58" i="2"/>
  <c r="Z58" i="2"/>
  <c r="X58" i="2"/>
  <c r="W58" i="2"/>
  <c r="V58" i="2"/>
  <c r="Y58" i="2" s="1"/>
  <c r="AA57" i="2"/>
  <c r="Z57" i="2"/>
  <c r="X57" i="2"/>
  <c r="W57" i="2"/>
  <c r="V57" i="2"/>
  <c r="Y57" i="2" s="1"/>
  <c r="X56" i="2"/>
  <c r="AA56" i="2" s="1"/>
  <c r="W56" i="2"/>
  <c r="Z56" i="2" s="1"/>
  <c r="V56" i="2"/>
  <c r="Y56" i="2" s="1"/>
  <c r="Y55" i="2"/>
  <c r="X55" i="2"/>
  <c r="AA55" i="2" s="1"/>
  <c r="V55" i="2"/>
  <c r="Z54" i="2"/>
  <c r="Y54" i="2"/>
  <c r="X54" i="2"/>
  <c r="AA54" i="2" s="1"/>
  <c r="W54" i="2"/>
  <c r="V54" i="2"/>
  <c r="AA53" i="2"/>
  <c r="Z53" i="2"/>
  <c r="X53" i="2"/>
  <c r="W53" i="2"/>
  <c r="V53" i="2"/>
  <c r="Y53" i="2" s="1"/>
  <c r="AA52" i="2"/>
  <c r="Z52" i="2"/>
  <c r="X52" i="2"/>
  <c r="W52" i="2"/>
  <c r="V52" i="2"/>
  <c r="Y52" i="2" s="1"/>
  <c r="W51" i="2"/>
  <c r="Z51" i="2" s="1"/>
  <c r="Z50" i="2"/>
  <c r="Y50" i="2"/>
  <c r="X50" i="2"/>
  <c r="AA50" i="2" s="1"/>
  <c r="W50" i="2"/>
  <c r="V50" i="2"/>
  <c r="AA48" i="2"/>
  <c r="Z48" i="2"/>
  <c r="X48" i="2"/>
  <c r="W48" i="2"/>
  <c r="X46" i="2"/>
  <c r="AA46" i="2" s="1"/>
  <c r="W46" i="2"/>
  <c r="Z46" i="2" s="1"/>
  <c r="V46" i="2"/>
  <c r="Y46" i="2" s="1"/>
  <c r="Z44" i="2"/>
  <c r="X44" i="2"/>
  <c r="AA44" i="2" s="1"/>
  <c r="W44" i="2"/>
  <c r="AA43" i="2"/>
  <c r="Z43" i="2"/>
  <c r="X43" i="2"/>
  <c r="W43" i="2"/>
  <c r="V43" i="2"/>
  <c r="Y43" i="2" s="1"/>
  <c r="AA42" i="2"/>
  <c r="Z42" i="2"/>
  <c r="X42" i="2"/>
  <c r="W42" i="2"/>
  <c r="V42" i="2"/>
  <c r="Y42" i="2" s="1"/>
  <c r="Z40" i="2"/>
  <c r="Y40" i="2"/>
  <c r="X40" i="2"/>
  <c r="AA40" i="2" s="1"/>
  <c r="W40" i="2"/>
  <c r="V40" i="2"/>
  <c r="Z39" i="2"/>
  <c r="Y39" i="2"/>
  <c r="X39" i="2"/>
  <c r="AA39" i="2" s="1"/>
  <c r="W39" i="2"/>
  <c r="V39" i="2"/>
  <c r="Z38" i="2"/>
  <c r="W38" i="2"/>
  <c r="AA37" i="2"/>
  <c r="Z37" i="2"/>
  <c r="X37" i="2"/>
  <c r="W37" i="2"/>
  <c r="V37" i="2"/>
  <c r="Y37" i="2" s="1"/>
  <c r="X36" i="2"/>
  <c r="AA36" i="2" s="1"/>
  <c r="W36" i="2"/>
  <c r="Z36" i="2" s="1"/>
  <c r="V36" i="2"/>
  <c r="Y36" i="2" s="1"/>
  <c r="Z35" i="2"/>
  <c r="Y35" i="2"/>
  <c r="X35" i="2"/>
  <c r="AA35" i="2" s="1"/>
  <c r="W35" i="2"/>
  <c r="V35" i="2"/>
  <c r="Z34" i="2"/>
  <c r="Y34" i="2"/>
  <c r="X34" i="2"/>
  <c r="AA34" i="2" s="1"/>
  <c r="W34" i="2"/>
  <c r="V34" i="2"/>
  <c r="AA33" i="2"/>
  <c r="Z33" i="2"/>
  <c r="X33" i="2"/>
  <c r="W33" i="2"/>
  <c r="V33" i="2"/>
  <c r="Y33" i="2" s="1"/>
  <c r="Z32" i="2"/>
  <c r="W32" i="2"/>
  <c r="X31" i="2"/>
  <c r="AA31" i="2" s="1"/>
  <c r="W31" i="2"/>
  <c r="Z31" i="2" s="1"/>
  <c r="V31" i="2"/>
  <c r="Y31" i="2" s="1"/>
  <c r="Z30" i="2"/>
  <c r="Y30" i="2"/>
  <c r="X30" i="2"/>
  <c r="AA30" i="2" s="1"/>
  <c r="W30" i="2"/>
  <c r="V30" i="2"/>
  <c r="Y29" i="2"/>
  <c r="X29" i="2"/>
  <c r="AA29" i="2" s="1"/>
  <c r="W29" i="2"/>
  <c r="Z29" i="2" s="1"/>
  <c r="V29" i="2"/>
  <c r="Z28" i="2"/>
  <c r="W28" i="2"/>
  <c r="V27" i="2"/>
  <c r="Y27" i="2" s="1"/>
  <c r="X26" i="2"/>
  <c r="AA26" i="2" s="1"/>
  <c r="W26" i="2"/>
  <c r="Z26" i="2" s="1"/>
  <c r="V26" i="2"/>
  <c r="Y26" i="2" s="1"/>
  <c r="Z25" i="2"/>
  <c r="Y25" i="2"/>
  <c r="X25" i="2"/>
  <c r="AA25" i="2" s="1"/>
  <c r="W25" i="2"/>
  <c r="V25" i="2"/>
  <c r="Y24" i="2"/>
  <c r="X24" i="2"/>
  <c r="AA24" i="2" s="1"/>
  <c r="W24" i="2"/>
  <c r="Z24" i="2" s="1"/>
  <c r="V24" i="2"/>
  <c r="AA23" i="2"/>
  <c r="Z23" i="2"/>
  <c r="X23" i="2"/>
  <c r="W23" i="2"/>
  <c r="V23" i="2"/>
  <c r="Y23" i="2" s="1"/>
  <c r="X21" i="2"/>
  <c r="AA21" i="2" s="1"/>
  <c r="W21" i="2"/>
  <c r="Z21" i="2" s="1"/>
  <c r="V21" i="2"/>
  <c r="Y21" i="2" s="1"/>
  <c r="Z20" i="2"/>
  <c r="Y20" i="2"/>
  <c r="W20" i="2"/>
  <c r="V20" i="2"/>
  <c r="AA18" i="2"/>
  <c r="Z18" i="2"/>
  <c r="X18" i="2"/>
  <c r="W18" i="2"/>
  <c r="V18" i="2"/>
  <c r="Y18" i="2" s="1"/>
  <c r="AA17" i="2"/>
  <c r="Z17" i="2"/>
  <c r="X17" i="2"/>
  <c r="W17" i="2"/>
  <c r="V17" i="2"/>
  <c r="Y17" i="2" s="1"/>
  <c r="X16" i="2"/>
  <c r="AA16" i="2" s="1"/>
  <c r="W16" i="2"/>
  <c r="Z16" i="2" s="1"/>
  <c r="V16" i="2"/>
  <c r="Y16" i="2" s="1"/>
  <c r="Z15" i="2"/>
  <c r="Y15" i="2"/>
  <c r="X15" i="2"/>
  <c r="AA15" i="2" s="1"/>
  <c r="W15" i="2"/>
  <c r="V15" i="2"/>
  <c r="AA13" i="2"/>
  <c r="X13" i="2"/>
  <c r="V13" i="2"/>
  <c r="Y13" i="2" s="1"/>
  <c r="AA12" i="2"/>
  <c r="X12" i="2"/>
  <c r="V12" i="2"/>
  <c r="Y12" i="2" s="1"/>
  <c r="W11" i="2"/>
  <c r="Z11" i="2" s="1"/>
  <c r="V11" i="2"/>
  <c r="Y11" i="2" s="1"/>
  <c r="Z10" i="2"/>
  <c r="W10" i="2"/>
  <c r="W9" i="2"/>
  <c r="Z9" i="2" s="1"/>
  <c r="E26" i="7" l="1"/>
  <c r="N15" i="3"/>
  <c r="V14" i="2" s="1"/>
  <c r="Y14" i="2" s="1"/>
  <c r="N35" i="3"/>
  <c r="V61" i="2" s="1"/>
  <c r="Y61" i="2" s="1"/>
  <c r="N75" i="3"/>
  <c r="V134" i="2" s="1"/>
  <c r="Y134" i="2" s="1"/>
  <c r="M15" i="3"/>
  <c r="M35" i="3"/>
  <c r="M55" i="3"/>
  <c r="N55" i="3" s="1"/>
  <c r="V94" i="2" s="1"/>
  <c r="Y94" i="2" s="1"/>
  <c r="M75" i="3"/>
  <c r="M128" i="3"/>
  <c r="N128" i="3" s="1"/>
  <c r="W41" i="2" s="1"/>
  <c r="Z41" i="2" s="1"/>
  <c r="N166" i="3"/>
  <c r="W92" i="2" s="1"/>
  <c r="Z92" i="2" s="1"/>
  <c r="N182" i="3"/>
  <c r="W118" i="2" s="1"/>
  <c r="Z118" i="2" s="1"/>
  <c r="N204" i="3"/>
  <c r="N218" i="3"/>
  <c r="W157" i="2" s="1"/>
  <c r="Z157" i="2" s="1"/>
  <c r="N224" i="3"/>
  <c r="W164" i="2" s="1"/>
  <c r="Z164" i="2" s="1"/>
  <c r="M235" i="3"/>
  <c r="N235" i="3" s="1"/>
  <c r="W172" i="2" s="1"/>
  <c r="Z172" i="2" s="1"/>
  <c r="N238" i="3"/>
  <c r="X7" i="2" s="1"/>
  <c r="AA7" i="2" s="1"/>
  <c r="N244" i="3"/>
  <c r="X11" i="2" s="1"/>
  <c r="AA11" i="2" s="1"/>
  <c r="M275" i="3"/>
  <c r="N275" i="3" s="1"/>
  <c r="X61" i="2" s="1"/>
  <c r="AA61" i="2" s="1"/>
  <c r="M309" i="3"/>
  <c r="N364" i="3"/>
  <c r="N7" i="3"/>
  <c r="V7" i="2" s="1"/>
  <c r="Y7" i="2" s="1"/>
  <c r="M21" i="3"/>
  <c r="N21" i="3" s="1"/>
  <c r="V28" i="2" s="1"/>
  <c r="Y28" i="2" s="1"/>
  <c r="N27" i="3"/>
  <c r="V47" i="2" s="1"/>
  <c r="Y47" i="2" s="1"/>
  <c r="M41" i="3"/>
  <c r="N41" i="3" s="1"/>
  <c r="V70" i="2" s="1"/>
  <c r="Y70" i="2" s="1"/>
  <c r="N47" i="3"/>
  <c r="V80" i="2" s="1"/>
  <c r="Y80" i="2" s="1"/>
  <c r="M61" i="3"/>
  <c r="N61" i="3" s="1"/>
  <c r="V110" i="2" s="1"/>
  <c r="Y110" i="2" s="1"/>
  <c r="N67" i="3"/>
  <c r="V122" i="2" s="1"/>
  <c r="Y122" i="2" s="1"/>
  <c r="M81" i="3"/>
  <c r="N81" i="3" s="1"/>
  <c r="V143" i="2" s="1"/>
  <c r="Y143" i="2" s="1"/>
  <c r="N104" i="3"/>
  <c r="N110" i="3"/>
  <c r="W12" i="2" s="1"/>
  <c r="Z12" i="2" s="1"/>
  <c r="N188" i="3"/>
  <c r="M218" i="3"/>
  <c r="M238" i="3"/>
  <c r="N253" i="3"/>
  <c r="X19" i="2" s="1"/>
  <c r="AA19" i="2" s="1"/>
  <c r="W171" i="2"/>
  <c r="Z171" i="2" s="1"/>
  <c r="N59" i="3"/>
  <c r="V105" i="2" s="1"/>
  <c r="Y105" i="2" s="1"/>
  <c r="N170" i="3"/>
  <c r="W102" i="2" s="1"/>
  <c r="Z102" i="2" s="1"/>
  <c r="N228" i="3"/>
  <c r="W169" i="2" s="1"/>
  <c r="Z169" i="2" s="1"/>
  <c r="N239" i="3"/>
  <c r="X8" i="2" s="1"/>
  <c r="AA8" i="2" s="1"/>
  <c r="M19" i="3"/>
  <c r="N19" i="3" s="1"/>
  <c r="V22" i="2" s="1"/>
  <c r="Y22" i="2" s="1"/>
  <c r="N25" i="3"/>
  <c r="V44" i="2" s="1"/>
  <c r="Y44" i="2" s="1"/>
  <c r="M39" i="3"/>
  <c r="N39" i="3" s="1"/>
  <c r="V66" i="2" s="1"/>
  <c r="Y66" i="2" s="1"/>
  <c r="N45" i="3"/>
  <c r="V78" i="2" s="1"/>
  <c r="Y78" i="2" s="1"/>
  <c r="M59" i="3"/>
  <c r="N65" i="3"/>
  <c r="V114" i="2" s="1"/>
  <c r="Y114" i="2" s="1"/>
  <c r="M79" i="3"/>
  <c r="N79" i="3" s="1"/>
  <c r="V138" i="2" s="1"/>
  <c r="Y138" i="2" s="1"/>
  <c r="N102" i="3"/>
  <c r="W7" i="2" s="1"/>
  <c r="Z7" i="2" s="1"/>
  <c r="M148" i="3"/>
  <c r="N148" i="3" s="1"/>
  <c r="W70" i="2" s="1"/>
  <c r="Z70" i="2" s="1"/>
  <c r="N186" i="3"/>
  <c r="W122" i="2" s="1"/>
  <c r="Z122" i="2" s="1"/>
  <c r="N202" i="3"/>
  <c r="W136" i="2" s="1"/>
  <c r="Z136" i="2" s="1"/>
  <c r="N216" i="3"/>
  <c r="W156" i="2" s="1"/>
  <c r="Z156" i="2" s="1"/>
  <c r="N130" i="3"/>
  <c r="W45" i="2" s="1"/>
  <c r="Z45" i="2" s="1"/>
  <c r="N77" i="3"/>
  <c r="V136" i="2" s="1"/>
  <c r="Y136" i="2" s="1"/>
  <c r="N280" i="3"/>
  <c r="X65" i="2" s="1"/>
  <c r="AA65" i="2" s="1"/>
  <c r="M17" i="3"/>
  <c r="N17" i="3" s="1"/>
  <c r="V19" i="2" s="1"/>
  <c r="Y19" i="2" s="1"/>
  <c r="M37" i="3"/>
  <c r="N37" i="3" s="1"/>
  <c r="V63" i="2" s="1"/>
  <c r="Y63" i="2" s="1"/>
  <c r="M57" i="3"/>
  <c r="N57" i="3" s="1"/>
  <c r="V102" i="2" s="1"/>
  <c r="Y102" i="2" s="1"/>
  <c r="M77" i="3"/>
  <c r="N184" i="3"/>
  <c r="N190" i="3"/>
  <c r="N9" i="3"/>
  <c r="V9" i="2" s="1"/>
  <c r="Y9" i="2" s="1"/>
  <c r="M23" i="3"/>
  <c r="N23" i="3" s="1"/>
  <c r="V38" i="2" s="1"/>
  <c r="Y38" i="2" s="1"/>
  <c r="N29" i="3"/>
  <c r="V49" i="2" s="1"/>
  <c r="Y49" i="2" s="1"/>
  <c r="M43" i="3"/>
  <c r="N43" i="3" s="1"/>
  <c r="V74" i="2" s="1"/>
  <c r="Y74" i="2" s="1"/>
  <c r="N49" i="3"/>
  <c r="V85" i="2" s="1"/>
  <c r="Y85" i="2" s="1"/>
  <c r="M63" i="3"/>
  <c r="N63" i="3" s="1"/>
  <c r="V112" i="2" s="1"/>
  <c r="Y112" i="2" s="1"/>
  <c r="N69" i="3"/>
  <c r="V124" i="2" s="1"/>
  <c r="Y124" i="2" s="1"/>
  <c r="M83" i="3"/>
  <c r="N83" i="3" s="1"/>
  <c r="V145" i="2" s="1"/>
  <c r="Y145" i="2" s="1"/>
  <c r="N106" i="3"/>
  <c r="N122" i="3"/>
  <c r="W22" i="2" s="1"/>
  <c r="Z22" i="2" s="1"/>
  <c r="M168" i="3"/>
  <c r="N168" i="3" s="1"/>
  <c r="W94" i="2" s="1"/>
  <c r="Z94" i="2" s="1"/>
  <c r="M206" i="3"/>
  <c r="N206" i="3" s="1"/>
  <c r="W139" i="2" s="1"/>
  <c r="Z139" i="2" s="1"/>
  <c r="N295" i="3"/>
  <c r="N348" i="3"/>
  <c r="X147" i="2" s="1"/>
  <c r="AA147" i="2" s="1"/>
  <c r="N240" i="3"/>
  <c r="N294" i="3"/>
  <c r="X85" i="2" s="1"/>
  <c r="AA85" i="2" s="1"/>
  <c r="N360" i="3"/>
  <c r="M215" i="3"/>
  <c r="N215" i="3" s="1"/>
  <c r="W155" i="2" s="1"/>
  <c r="Z155" i="2" s="1"/>
  <c r="M257" i="3"/>
  <c r="N257" i="3" s="1"/>
  <c r="X22" i="2" s="1"/>
  <c r="AA22" i="2" s="1"/>
  <c r="N260" i="3"/>
  <c r="X32" i="2" s="1"/>
  <c r="AA32" i="2" s="1"/>
  <c r="N267" i="3"/>
  <c r="X47" i="2" s="1"/>
  <c r="AA47" i="2" s="1"/>
  <c r="M289" i="3"/>
  <c r="N289" i="3" s="1"/>
  <c r="X79" i="2" s="1"/>
  <c r="AA79" i="2" s="1"/>
  <c r="N309" i="3"/>
  <c r="X109" i="2" s="1"/>
  <c r="AA109" i="2" s="1"/>
  <c r="N314" i="3"/>
  <c r="X113" i="2" s="1"/>
  <c r="AA113" i="2" s="1"/>
  <c r="N322" i="3"/>
  <c r="X122" i="2" s="1"/>
  <c r="AA122" i="2" s="1"/>
  <c r="M360" i="3"/>
  <c r="N371" i="3"/>
  <c r="X174" i="2" s="1"/>
  <c r="AA174" i="2" s="1"/>
  <c r="N234" i="3"/>
  <c r="N354" i="3"/>
  <c r="X158" i="2" s="1"/>
  <c r="AA158" i="2" s="1"/>
  <c r="N362" i="3"/>
  <c r="X168" i="2" s="1"/>
  <c r="AA168" i="2" s="1"/>
  <c r="N249" i="3"/>
  <c r="X14" i="2" s="1"/>
  <c r="AA14" i="2" s="1"/>
  <c r="N254" i="3"/>
  <c r="M217" i="3"/>
  <c r="N217" i="3" s="1"/>
  <c r="N220" i="3"/>
  <c r="W159" i="2" s="1"/>
  <c r="Z159" i="2" s="1"/>
  <c r="N227" i="3"/>
  <c r="W168" i="2" s="1"/>
  <c r="Z168" i="2" s="1"/>
  <c r="M249" i="3"/>
  <c r="N269" i="3"/>
  <c r="X49" i="2" s="1"/>
  <c r="AA49" i="2" s="1"/>
  <c r="N274" i="3"/>
  <c r="X60" i="2" s="1"/>
  <c r="AA60" i="2" s="1"/>
  <c r="M291" i="3"/>
  <c r="N291" i="3" s="1"/>
  <c r="X80" i="2" s="1"/>
  <c r="AA80" i="2" s="1"/>
  <c r="M331" i="3"/>
  <c r="N331" i="3" s="1"/>
  <c r="X127" i="2" s="1"/>
  <c r="AA127" i="2" s="1"/>
  <c r="N334" i="3"/>
  <c r="X134" i="2" s="1"/>
  <c r="AA134" i="2" s="1"/>
  <c r="N342" i="3"/>
  <c r="X143" i="2" s="1"/>
  <c r="AA143" i="2" s="1"/>
  <c r="M219" i="3"/>
  <c r="N219" i="3" s="1"/>
  <c r="W158" i="2" s="1"/>
  <c r="Z158" i="2" s="1"/>
  <c r="M239" i="3"/>
  <c r="M259" i="3"/>
  <c r="N259" i="3" s="1"/>
  <c r="X28" i="2" s="1"/>
  <c r="AA28" i="2" s="1"/>
  <c r="M279" i="3"/>
  <c r="N279" i="3" s="1"/>
  <c r="X63" i="2" s="1"/>
  <c r="AA63" i="2" s="1"/>
  <c r="M299" i="3"/>
  <c r="N299" i="3" s="1"/>
  <c r="X88" i="2" s="1"/>
  <c r="AA88" i="2" s="1"/>
  <c r="M319" i="3"/>
  <c r="N319" i="3" s="1"/>
  <c r="X118" i="2" s="1"/>
  <c r="AA118" i="2" s="1"/>
  <c r="M339" i="3"/>
  <c r="N339" i="3" s="1"/>
  <c r="X137" i="2" s="1"/>
  <c r="AA137" i="2" s="1"/>
  <c r="M359" i="3"/>
  <c r="N359" i="3" s="1"/>
  <c r="X164" i="2" s="1"/>
  <c r="AA164" i="2" s="1"/>
  <c r="E22" i="6"/>
  <c r="M265" i="3"/>
  <c r="N265" i="3" s="1"/>
  <c r="X45" i="2" s="1"/>
  <c r="AA45" i="2" s="1"/>
  <c r="M325" i="3"/>
  <c r="N325" i="3" s="1"/>
  <c r="E29" i="7"/>
  <c r="M203" i="3"/>
  <c r="N203" i="3" s="1"/>
  <c r="W137" i="2" s="1"/>
  <c r="Z137" i="2" s="1"/>
  <c r="M223" i="3"/>
  <c r="N223" i="3" s="1"/>
  <c r="W163" i="2" s="1"/>
  <c r="Z163" i="2" s="1"/>
  <c r="M243" i="3"/>
  <c r="N243" i="3" s="1"/>
  <c r="X10" i="2" s="1"/>
  <c r="AA10" i="2" s="1"/>
  <c r="M263" i="3"/>
  <c r="N263" i="3" s="1"/>
  <c r="X41" i="2" s="1"/>
  <c r="AA41" i="2" s="1"/>
  <c r="M283" i="3"/>
  <c r="N283" i="3" s="1"/>
  <c r="X70" i="2" s="1"/>
  <c r="AA70" i="2" s="1"/>
  <c r="M303" i="3"/>
  <c r="N303" i="3" s="1"/>
  <c r="X94" i="2" s="1"/>
  <c r="AA94" i="2" s="1"/>
  <c r="M323" i="3"/>
  <c r="N323" i="3" s="1"/>
  <c r="X123" i="2" s="1"/>
  <c r="AA123" i="2" s="1"/>
  <c r="M343" i="3"/>
  <c r="N343" i="3" s="1"/>
  <c r="X144" i="2" s="1"/>
  <c r="AA144" i="2" s="1"/>
  <c r="M363" i="3"/>
  <c r="N363" i="3" s="1"/>
  <c r="X169" i="2" s="1"/>
  <c r="AA169" i="2" s="1"/>
  <c r="E26" i="6" l="1"/>
  <c r="E25" i="6"/>
  <c r="E28" i="6" s="1"/>
  <c r="W123" i="2"/>
  <c r="Z123" i="2" s="1"/>
  <c r="W8" i="2"/>
  <c r="Z8" i="2" s="1"/>
</calcChain>
</file>

<file path=xl/sharedStrings.xml><?xml version="1.0" encoding="utf-8"?>
<sst xmlns="http://schemas.openxmlformats.org/spreadsheetml/2006/main" count="4043" uniqueCount="292">
  <si>
    <t>FINCB9339 Homework 1 | Strategy replication</t>
  </si>
  <si>
    <t>Submission workbook | scored 2025-04-02 to 2025-12-01 | 168 sessions | initial capital $100,000</t>
  </si>
  <si>
    <t>Performance measure</t>
  </si>
  <si>
    <t>Model A</t>
  </si>
  <si>
    <t>Model B</t>
  </si>
  <si>
    <t>Model C</t>
  </si>
  <si>
    <t>SPY gross</t>
  </si>
  <si>
    <t>Cumulative return</t>
  </si>
  <si>
    <t>Annualized geometric return</t>
  </si>
  <si>
    <t>Annualized volatility</t>
  </si>
  <si>
    <t>Sharpe, zero risk-free</t>
  </si>
  <si>
    <t>Maximum drawdown</t>
  </si>
  <si>
    <t>Final equity ($)</t>
  </si>
  <si>
    <t>Completed round trips</t>
  </si>
  <si>
    <t>Total transaction costs ($)</t>
  </si>
  <si>
    <t>Trade hit ratio</t>
  </si>
  <si>
    <t>Average trade net P&amp;L ($)</t>
  </si>
  <si>
    <t>Best day return</t>
  </si>
  <si>
    <t>Worst day return</t>
  </si>
  <si>
    <t>Annualized alpha vs SPY</t>
  </si>
  <si>
    <t>Beta vs SPY</t>
  </si>
  <si>
    <t>HAC alpha p-value</t>
  </si>
  <si>
    <t>Method and source</t>
  </si>
  <si>
    <t>Model A — 14 prior sessions; gap-adjusted Noise Area; opposite boundary exit.</t>
  </si>
  <si>
    <t>Model B — Model A entry; long stop max(upper,VWAP proxy), short stop min(lower,VWAP proxy).</t>
  </si>
  <si>
    <t>Model C — Model B plus min(4,2% / prior-14-day daily SPY volatility) sizing.</t>
  </si>
  <si>
    <t>Execution — 30-minute grid, observed price reference, daily close liquidation.</t>
  </si>
  <si>
    <t>Costs — $0.0035/share commission + $0.001/share slippage on each execution leg.</t>
  </si>
  <si>
    <t>Data limits — first interval open proxy; endpoint price-volume VWAP proxy.</t>
  </si>
  <si>
    <t>Half days — July 3 and November 28 liquidated at 13:00; stale prints excluded.</t>
  </si>
  <si>
    <t>Audit — Daily Results → Trade Log → Execution Log / Signal Inputs → source tabs.</t>
  </si>
  <si>
    <t>Validation — April Noise/Volatility show live formulas; sensitivities are fixed independent runs.</t>
  </si>
  <si>
    <t>Source SHA-256 — 102acfdcca2c4c23e82c78fabbdf0f9703281009704e156b5f9f508dc424ba88</t>
  </si>
  <si>
    <t>Baseline daily results | common scored dates</t>
  </si>
  <si>
    <t>Frozen Python backtest values. Three Excel SUMIFS columns reconcile each day to completed trade net P&amp;L.</t>
  </si>
  <si>
    <t>Date</t>
  </si>
  <si>
    <t>A start $</t>
  </si>
  <si>
    <t>A gross $</t>
  </si>
  <si>
    <t>A costs $</t>
  </si>
  <si>
    <t>A net $</t>
  </si>
  <si>
    <t>A end $</t>
  </si>
  <si>
    <t>A return</t>
  </si>
  <si>
    <t>B start $</t>
  </si>
  <si>
    <t>B gross $</t>
  </si>
  <si>
    <t>B costs $</t>
  </si>
  <si>
    <t>B net $</t>
  </si>
  <si>
    <t>B end $</t>
  </si>
  <si>
    <t>B return</t>
  </si>
  <si>
    <t>C start $</t>
  </si>
  <si>
    <t>C gross $</t>
  </si>
  <si>
    <t>C costs $</t>
  </si>
  <si>
    <t>C net $</t>
  </si>
  <si>
    <t>C end $</t>
  </si>
  <si>
    <t>C return</t>
  </si>
  <si>
    <t>SPY return</t>
  </si>
  <si>
    <t>SPY equity $</t>
  </si>
  <si>
    <t>A trade net $</t>
  </si>
  <si>
    <t>B trade net $</t>
  </si>
  <si>
    <t>C trade net $</t>
  </si>
  <si>
    <t>A Δ $</t>
  </si>
  <si>
    <t>B Δ $</t>
  </si>
  <si>
    <t>C Δ $</t>
  </si>
  <si>
    <t>Completed trade ledger | Models A, B, C</t>
  </si>
  <si>
    <t>Entry/exit prices and signal levels are frozen inputs; Excel formulas independently recalculate gross, cost, and net P&amp;L.</t>
  </si>
  <si>
    <t>Model</t>
  </si>
  <si>
    <t>Trade ID</t>
  </si>
  <si>
    <t>Entry time</t>
  </si>
  <si>
    <t>Exit time</t>
  </si>
  <si>
    <t>Direction</t>
  </si>
  <si>
    <t>Shares</t>
  </si>
  <si>
    <t>Entry price $</t>
  </si>
  <si>
    <t>Exit price $</t>
  </si>
  <si>
    <t>Gross P&amp;L $</t>
  </si>
  <si>
    <t>Commission $</t>
  </si>
  <si>
    <t>Slippage $</t>
  </si>
  <si>
    <t>Total costs $</t>
  </si>
  <si>
    <t>Net P&amp;L $</t>
  </si>
  <si>
    <t>Entry upper $</t>
  </si>
  <si>
    <t>Entry lower $</t>
  </si>
  <si>
    <t>Entry VWAP $</t>
  </si>
  <si>
    <t>Exit upper $</t>
  </si>
  <si>
    <t>Exit lower $</t>
  </si>
  <si>
    <t>Exit VWAP $</t>
  </si>
  <si>
    <t>Exit reason</t>
  </si>
  <si>
    <t>A</t>
  </si>
  <si>
    <t>session_close</t>
  </si>
  <si>
    <t>breakout_or_reverse</t>
  </si>
  <si>
    <t>B</t>
  </si>
  <si>
    <t>stop_or_reverse</t>
  </si>
  <si>
    <t>C</t>
  </si>
  <si>
    <t>Every execution leg | Models A, B, C</t>
  </si>
  <si>
    <t>A same-timestamp reversal appears as separate exit and entry legs. Event P&amp;L and costs are frozen baseline values.</t>
  </si>
  <si>
    <t>Execution time</t>
  </si>
  <si>
    <t>Signal time</t>
  </si>
  <si>
    <t>Action</t>
  </si>
  <si>
    <t>Side</t>
  </si>
  <si>
    <t>Price $</t>
  </si>
  <si>
    <t>Upper $</t>
  </si>
  <si>
    <t>Lower $</t>
  </si>
  <si>
    <t>Noise σ</t>
  </si>
  <si>
    <t>VWAP proxy $</t>
  </si>
  <si>
    <t>Long stop $</t>
  </si>
  <si>
    <t>Short stop $</t>
  </si>
  <si>
    <t>Leverage</t>
  </si>
  <si>
    <t>Reason</t>
  </si>
  <si>
    <t>Source timestamp</t>
  </si>
  <si>
    <t>ENTRY</t>
  </si>
  <si>
    <t>BUY</t>
  </si>
  <si>
    <t>EXIT</t>
  </si>
  <si>
    <t>SELL</t>
  </si>
  <si>
    <t>entry</t>
  </si>
  <si>
    <t>Intraday signal and VWAP build | all sessions</t>
  </si>
  <si>
    <t>Prepared rows from the unchanged baseline. Time = inferred availability, source label = original workbook timestamp.</t>
  </si>
  <si>
    <t>Source label</t>
  </si>
  <si>
    <t>Available at</t>
  </si>
  <si>
    <t>Observed price $</t>
  </si>
  <si>
    <t>Source volume</t>
  </si>
  <si>
    <t>Interval volume</t>
  </si>
  <si>
    <t>Cumulative volume</t>
  </si>
  <si>
    <t>Open proxy $</t>
  </si>
  <si>
    <t>Prior close $</t>
  </si>
  <si>
    <t>Noise count</t>
  </si>
  <si>
    <t>Eligible</t>
  </si>
  <si>
    <t>At close</t>
  </si>
  <si>
    <t>Scheduled close</t>
  </si>
  <si>
    <t>Source AV row</t>
  </si>
  <si>
    <t>April 2 at 11:30 | 14 prior time-of-day observations</t>
  </si>
  <si>
    <t>Source cell addresses refer to the original AV.Clean sheet; source rows are copied into Source AV Clean.</t>
  </si>
  <si>
    <t>Target day</t>
  </si>
  <si>
    <t>Slot</t>
  </si>
  <si>
    <t>Historical day</t>
  </si>
  <si>
    <t>Slot price $</t>
  </si>
  <si>
    <t>Absolute move</t>
  </si>
  <si>
    <t>Open source cell</t>
  </si>
  <si>
    <t>Price source cell</t>
  </si>
  <si>
    <t>11:30</t>
  </si>
  <si>
    <t>AV.Clean!B2545</t>
  </si>
  <si>
    <t>AV.Clean!B2542</t>
  </si>
  <si>
    <t>AV.Clean!B2531</t>
  </si>
  <si>
    <t>AV.Clean!B2528</t>
  </si>
  <si>
    <t>AV.Clean!B2517</t>
  </si>
  <si>
    <t>AV.Clean!B2514</t>
  </si>
  <si>
    <t>AV.Clean!B2503</t>
  </si>
  <si>
    <t>AV.Clean!B2500</t>
  </si>
  <si>
    <t>AV.Clean!B2489</t>
  </si>
  <si>
    <t>AV.Clean!B2486</t>
  </si>
  <si>
    <t>AV.Clean!B2475</t>
  </si>
  <si>
    <t>AV.Clean!B2472</t>
  </si>
  <si>
    <t>AV.Clean!B2461</t>
  </si>
  <si>
    <t>AV.Clean!B2458</t>
  </si>
  <si>
    <t>AV.Clean!B2447</t>
  </si>
  <si>
    <t>AV.Clean!B2444</t>
  </si>
  <si>
    <t>AV.Clean!B2433</t>
  </si>
  <si>
    <t>AV.Clean!B2430</t>
  </si>
  <si>
    <t>AV.Clean!B2419</t>
  </si>
  <si>
    <t>AV.Clean!B2416</t>
  </si>
  <si>
    <t>AV.Clean!B2405</t>
  </si>
  <si>
    <t>AV.Clean!B2402</t>
  </si>
  <si>
    <t>AV.Clean!B2391</t>
  </si>
  <si>
    <t>AV.Clean!B2388</t>
  </si>
  <si>
    <t>AV.Clean!B2377</t>
  </si>
  <si>
    <t>AV.Clean!B2374</t>
  </si>
  <si>
    <t>AV.Clean!B2363</t>
  </si>
  <si>
    <t>AV.Clean!B2360</t>
  </si>
  <si>
    <t>Mean Noise σ</t>
  </si>
  <si>
    <t>April 2 open proxy</t>
  </si>
  <si>
    <t>Prior close</t>
  </si>
  <si>
    <t>Upper boundary</t>
  </si>
  <si>
    <t>Lower boundary</t>
  </si>
  <si>
    <t>Observed 11:30 price</t>
  </si>
  <si>
    <t>Long signal (1=yes)</t>
  </si>
  <si>
    <t>April 2 | 14 lagged daily SPY returns and sizing</t>
  </si>
  <si>
    <t>Sample standard deviation uses denominator 13. Input close cells refer to the original BBRG.Daily sheet.</t>
  </si>
  <si>
    <t>Return day</t>
  </si>
  <si>
    <t>Prior day</t>
  </si>
  <si>
    <t>Close $</t>
  </si>
  <si>
    <t>Daily return</t>
  </si>
  <si>
    <t>Prior source cell</t>
  </si>
  <si>
    <t>Close source cell</t>
  </si>
  <si>
    <t>BBRG.Daily!C184</t>
  </si>
  <si>
    <t>BBRG.Daily!C183</t>
  </si>
  <si>
    <t>BBRG.Daily!C182</t>
  </si>
  <si>
    <t>BBRG.Daily!C181</t>
  </si>
  <si>
    <t>BBRG.Daily!C180</t>
  </si>
  <si>
    <t>BBRG.Daily!C179</t>
  </si>
  <si>
    <t>BBRG.Daily!C178</t>
  </si>
  <si>
    <t>BBRG.Daily!C177</t>
  </si>
  <si>
    <t>BBRG.Daily!C176</t>
  </si>
  <si>
    <t>BBRG.Daily!C175</t>
  </si>
  <si>
    <t>BBRG.Daily!C174</t>
  </si>
  <si>
    <t>BBRG.Daily!C173</t>
  </si>
  <si>
    <t>BBRG.Daily!C172</t>
  </si>
  <si>
    <t>BBRG.Daily!C171</t>
  </si>
  <si>
    <t>BBRG.Daily!C170</t>
  </si>
  <si>
    <t>Mean return</t>
  </si>
  <si>
    <t>Daily SPY volatility</t>
  </si>
  <si>
    <t>Target volatility</t>
  </si>
  <si>
    <t>Leverage cap</t>
  </si>
  <si>
    <t>Model C leverage</t>
  </si>
  <si>
    <t>Start equity $</t>
  </si>
  <si>
    <t>Implementation ambiguity | one change at a time</t>
  </si>
  <si>
    <t>Fixed independent-run outputs. Baseline cases preserve original assumptions; changed trade count excludes quantity-only changes.</t>
  </si>
  <si>
    <t>Case</t>
  </si>
  <si>
    <t>Annual volatility</t>
  </si>
  <si>
    <t>Sharpe</t>
  </si>
  <si>
    <t>Max drawdown</t>
  </si>
  <si>
    <t>Round trips</t>
  </si>
  <si>
    <t>Baseline trades changed</t>
  </si>
  <si>
    <t>Quantity-only changes</t>
  </si>
  <si>
    <t>baseline_replay</t>
  </si>
  <si>
    <t>midpoint_vwap</t>
  </si>
  <si>
    <t>delay_30m</t>
  </si>
  <si>
    <t>vwap_entry_gate</t>
  </si>
  <si>
    <t>exclude_incomplete_slots</t>
  </si>
  <si>
    <t>higher_costs</t>
  </si>
  <si>
    <t>Model C | best/worst day dependence</t>
  </si>
  <si>
    <t>Removal sets selected daily net returns to zero without rerunning the strategy; rankings are hindsight diagnostics.</t>
  </si>
  <si>
    <t>Tail</t>
  </si>
  <si>
    <t>Days removed</t>
  </si>
  <si>
    <t>Selected dates</t>
  </si>
  <si>
    <t>Selected net P&amp;L $</t>
  </si>
  <si>
    <t>Share of total profit</t>
  </si>
  <si>
    <t>Return without</t>
  </si>
  <si>
    <t>Change vs baseline</t>
  </si>
  <si>
    <t>Selected compounded return</t>
  </si>
  <si>
    <t>best</t>
  </si>
  <si>
    <t>2025-10-10</t>
  </si>
  <si>
    <t>2025-10-10; 2025-04-09; 2025-11-20</t>
  </si>
  <si>
    <t>2025-10-10; 2025-04-09; 2025-11-20; 2025-04-04; 2025-11-13</t>
  </si>
  <si>
    <t>worst</t>
  </si>
  <si>
    <t>2025-11-21</t>
  </si>
  <si>
    <t>2025-11-21; 2025-09-17; 2025-09-18</t>
  </si>
  <si>
    <t>2025-11-21; 2025-09-17; 2025-09-18; 2025-10-03; 2025-04-02</t>
  </si>
  <si>
    <t>Selected day ranking</t>
  </si>
  <si>
    <t>Rank</t>
  </si>
  <si>
    <t>Supplied workbook | AV.Clean</t>
  </si>
  <si>
    <t>Unmodified values and original Excel row numbers. Descending date order matches the source sheet.</t>
  </si>
  <si>
    <t>Original row</t>
  </si>
  <si>
    <t>Time Stamp</t>
  </si>
  <si>
    <t>Last Price $</t>
  </si>
  <si>
    <t>Volume, AV</t>
  </si>
  <si>
    <t>Supplied workbook | BBRG.Daily</t>
  </si>
  <si>
    <t>Unmodified daily close and volume values. Original Excel row numbers allow direct comparison with attached dataset.</t>
  </si>
  <si>
    <t>Volume</t>
  </si>
  <si>
    <t>SMAVG (15)</t>
  </si>
  <si>
    <t>Supplied workbook | BBRG.Intraday</t>
  </si>
  <si>
    <t>Original intraday values kept for source comparison; AV.Clean is the baseline source after volume cleaning.</t>
  </si>
  <si>
    <t>Method, fixed inputs, and workbook scope</t>
  </si>
  <si>
    <t>This workbook packages the finished Python backtest; editing source data does not rerun the full trade-state machine.</t>
  </si>
  <si>
    <t>Live formula parameters</t>
  </si>
  <si>
    <t>Initial equity $</t>
  </si>
  <si>
    <t>Target daily volatility</t>
  </si>
  <si>
    <t>Commission/share $</t>
  </si>
  <si>
    <t>Slippage/share $</t>
  </si>
  <si>
    <t>Parameter / issue</t>
  </si>
  <si>
    <t>Value or interpretation</t>
  </si>
  <si>
    <t>Noise lookback sessions</t>
  </si>
  <si>
    <t>Commission per share per execution</t>
  </si>
  <si>
    <t>Slippage per share per execution</t>
  </si>
  <si>
    <t>Trading days per year</t>
  </si>
  <si>
    <t>First scored date</t>
  </si>
  <si>
    <t>2025-04-02</t>
  </si>
  <si>
    <t>Last scored date</t>
  </si>
  <si>
    <t>2025-12-01</t>
  </si>
  <si>
    <t>Open proxy</t>
  </si>
  <si>
    <t>First available half-hour observation; true 9:30 opening transaction unavailable.</t>
  </si>
  <si>
    <t>VWAP proxy</t>
  </si>
  <si>
    <t>Cumulative sum of observed interval-end price × interval volume / cumulative observed interval volume.</t>
  </si>
  <si>
    <t>Timestamp convention</t>
  </si>
  <si>
    <t>Inferred start-labeled source intervals. First interval becomes available at 10:00.</t>
  </si>
  <si>
    <t>Noise Area</t>
  </si>
  <si>
    <t>Mean of |historical time-slot price / historical open proxy - 1| over available prior 14 sessions.</t>
  </si>
  <si>
    <t>Upper / lower</t>
  </si>
  <si>
    <t>max(open proxy, previous close) × (1 + noise); min(open proxy, previous close) × (1 - noise).</t>
  </si>
  <si>
    <t>Model C shares</t>
  </si>
  <si>
    <t>floor(starting equity × min(4, 0.02 / prior-14-day sample SPY volatility) / open proxy).</t>
  </si>
  <si>
    <t>Early closes</t>
  </si>
  <si>
    <t>2025-07-03 and 2025-11-28 force 13:00 close; later stale prints remain in raw source only.</t>
  </si>
  <si>
    <t>Trade costs</t>
  </si>
  <si>
    <t>2 × shares × (commission + slippage) for a completed round trip.</t>
  </si>
  <si>
    <t>Annualization</t>
  </si>
  <si>
    <t>252 sessions/year; zero risk-free rate.</t>
  </si>
  <si>
    <t>VWAP is approximate</t>
  </si>
  <si>
    <t>No transaction-level prices or complete interval dollar turnover are supplied.</t>
  </si>
  <si>
    <t>Observed volume</t>
  </si>
  <si>
    <t>The AV.Clean source contains cleaned cumulative/interval conventions; baseline Signal Inputs stores observed increments.</t>
  </si>
  <si>
    <t>Scored sample</t>
  </si>
  <si>
    <t>182 sessions in source, first 14 used as Noise Area warm-up, 168 scored sessions.</t>
  </si>
  <si>
    <t>Sensitivity</t>
  </si>
  <si>
    <t>Alternative implementations are independent fixed outputs, not selectable live Excel cases.</t>
  </si>
  <si>
    <t>Concentration</t>
  </si>
  <si>
    <t>Removing days is an attribution stress, not a modified executable trading strategy.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</si>
</sst>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%;[Red]\(0.00000%\);0.00000%"/>
    <numFmt numFmtId="165" formatCode="#,##0.00000;[Red]\(#,##0.00000\);0.00000"/>
    <numFmt numFmtId="166" formatCode="yyyy\-mm\-dd"/>
    <numFmt numFmtId="167" formatCode="yyyy\-mm\-dd\ hh:mm"/>
    <numFmt numFmtId="168" formatCode="0.000000000000"/>
  </numFmts>
  <fonts count="7">
    <font>
      <sz val="11"/>
      <name val="Carlito"/>
    </font>
    <font>
      <sz val="10"/>
      <color rgb="FF172B4D"/>
      <name val="Arial"/>
    </font>
    <font>
      <b/>
      <sz val="15"/>
      <color rgb="FF17365D"/>
      <name val="Arial"/>
    </font>
    <font>
      <i/>
      <sz val="10"/>
      <color rgb="FF52606D"/>
      <name val="Arial"/>
    </font>
    <font>
      <b/>
      <sz val="10"/>
      <color rgb="FFFFFFFF"/>
      <name val="Arial"/>
    </font>
    <font>
      <b/>
      <sz val="11"/>
      <color rgb="FF17365D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5" fillId="3" borderId="0" xfId="0" applyFont="1" applyFill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6" fillId="2" borderId="0" xfId="0" applyFont="1" applyFill="1"/>
    <xf numFmtId="165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showGridLines="0" zoomScale="141" workbookViewId="0">
      <pane ySplit="6" topLeftCell="A15" activePane="bottomLeft" state="frozen"/>
      <selection pane="bottomLeft" activeCell="D11" sqref="B11:D12"/>
    </sheetView>
  </sheetViews>
  <sheetFormatPr baseColWidth="10" defaultColWidth="8.83203125" defaultRowHeight="14"/>
  <cols>
    <col min="1" max="1" width="38" customWidth="1"/>
    <col min="2" max="5" width="22" customWidth="1"/>
  </cols>
  <sheetData>
    <row r="1" spans="1:22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2" customHeight="1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38" customHeight="1">
      <c r="A6" s="5" t="s">
        <v>2</v>
      </c>
      <c r="B6" s="5" t="s">
        <v>3</v>
      </c>
      <c r="C6" s="5" t="s">
        <v>4</v>
      </c>
      <c r="D6" s="5" t="s">
        <v>5</v>
      </c>
      <c r="E6" s="5" t="s">
        <v>6</v>
      </c>
    </row>
    <row r="7" spans="1:22">
      <c r="A7" t="s">
        <v>7</v>
      </c>
      <c r="B7" s="6">
        <v>3.5942127999999997E-2</v>
      </c>
      <c r="C7" s="6">
        <v>4.4740410000000001E-2</v>
      </c>
      <c r="D7" s="6">
        <v>0.11139267</v>
      </c>
      <c r="E7" s="6">
        <v>0.21962501379999999</v>
      </c>
    </row>
    <row r="8" spans="1:22">
      <c r="A8" t="s">
        <v>8</v>
      </c>
      <c r="B8" s="6">
        <v>5.4394767199999999E-2</v>
      </c>
      <c r="C8" s="6">
        <v>6.7855748699999996E-2</v>
      </c>
      <c r="D8" s="6">
        <v>0.17165916010000001</v>
      </c>
      <c r="E8" s="6">
        <v>0.34691281309999999</v>
      </c>
    </row>
    <row r="9" spans="1:22">
      <c r="A9" t="s">
        <v>9</v>
      </c>
      <c r="B9" s="6">
        <v>6.6493850300000004E-2</v>
      </c>
      <c r="C9" s="6">
        <v>7.2406091399999997E-2</v>
      </c>
      <c r="D9" s="6">
        <v>0.15499541380000001</v>
      </c>
      <c r="E9" s="6">
        <v>0.21444632259999999</v>
      </c>
    </row>
    <row r="10" spans="1:22">
      <c r="A10" t="s">
        <v>10</v>
      </c>
      <c r="B10" s="7">
        <v>0.82962628869999999</v>
      </c>
      <c r="C10" s="7">
        <v>0.94237323549999996</v>
      </c>
      <c r="D10" s="7">
        <v>1.0968859633000001</v>
      </c>
      <c r="E10" s="7">
        <v>1.4946744302999999</v>
      </c>
    </row>
    <row r="11" spans="1:22">
      <c r="A11" t="s">
        <v>11</v>
      </c>
      <c r="B11" s="6">
        <v>-5.0594849999999997E-2</v>
      </c>
      <c r="C11" s="6">
        <v>-2.83612442E-2</v>
      </c>
      <c r="D11" s="6">
        <v>-4.8169849600000002E-2</v>
      </c>
      <c r="E11" s="6">
        <v>-0.12052727639999999</v>
      </c>
    </row>
    <row r="12" spans="1:22">
      <c r="A12" t="s">
        <v>12</v>
      </c>
      <c r="B12" s="7">
        <v>103594.21279999999</v>
      </c>
      <c r="C12" s="7">
        <v>104474.0410000001</v>
      </c>
      <c r="D12" s="7">
        <v>111139.26700000009</v>
      </c>
      <c r="E12" s="7">
        <v>121962.5013760157</v>
      </c>
    </row>
    <row r="13" spans="1:22">
      <c r="A13" t="s">
        <v>13</v>
      </c>
      <c r="B13" s="8">
        <v>95</v>
      </c>
      <c r="C13" s="8">
        <v>135</v>
      </c>
      <c r="D13" s="8">
        <v>135</v>
      </c>
      <c r="E13" s="8"/>
    </row>
    <row r="14" spans="1:22">
      <c r="A14" t="s">
        <v>14</v>
      </c>
      <c r="B14" s="7">
        <v>138.33000000000001</v>
      </c>
      <c r="C14" s="7">
        <v>201.42</v>
      </c>
      <c r="D14" s="7">
        <v>534.91499999999996</v>
      </c>
      <c r="E14" s="7"/>
    </row>
    <row r="15" spans="1:22">
      <c r="A15" t="s">
        <v>15</v>
      </c>
      <c r="B15" s="6">
        <v>0.58947368420000001</v>
      </c>
      <c r="C15" s="6">
        <v>0.42962962960000001</v>
      </c>
      <c r="D15" s="6">
        <v>0.42962962960000001</v>
      </c>
      <c r="E15" s="6"/>
    </row>
    <row r="16" spans="1:22">
      <c r="A16" t="s">
        <v>16</v>
      </c>
      <c r="B16" s="7">
        <v>37.833818947399998</v>
      </c>
      <c r="C16" s="7">
        <v>33.141044444400002</v>
      </c>
      <c r="D16" s="7">
        <v>82.5130888889</v>
      </c>
      <c r="E16" s="7"/>
    </row>
    <row r="17" spans="1:5">
      <c r="A17" t="s">
        <v>17</v>
      </c>
      <c r="B17" s="6">
        <v>2.3247709599999999E-2</v>
      </c>
      <c r="C17" s="6">
        <v>3.7399471199999999E-2</v>
      </c>
      <c r="D17" s="6">
        <v>9.3220108699999998E-2</v>
      </c>
      <c r="E17" s="6">
        <v>0.10501945109999999</v>
      </c>
    </row>
    <row r="18" spans="1:5">
      <c r="A18" t="s">
        <v>18</v>
      </c>
      <c r="B18" s="6">
        <v>-1.7482629400000001E-2</v>
      </c>
      <c r="C18" s="6">
        <v>-1.4319607099999999E-2</v>
      </c>
      <c r="D18" s="6">
        <v>-2.0114992200000001E-2</v>
      </c>
      <c r="E18" s="6">
        <v>-5.85428479E-2</v>
      </c>
    </row>
    <row r="19" spans="1:5">
      <c r="A19" t="s">
        <v>19</v>
      </c>
      <c r="B19" s="6">
        <v>9.8285538300000003E-2</v>
      </c>
      <c r="C19" s="6">
        <v>5.2262771100000001E-2</v>
      </c>
      <c r="D19" s="6">
        <v>0.17687590310000001</v>
      </c>
      <c r="E19" s="6"/>
    </row>
    <row r="20" spans="1:5">
      <c r="A20" t="s">
        <v>20</v>
      </c>
      <c r="B20" s="7">
        <v>-0.13452980110000001</v>
      </c>
      <c r="C20" s="7">
        <v>4.98265975E-2</v>
      </c>
      <c r="D20" s="7">
        <v>-2.14134848E-2</v>
      </c>
      <c r="E20" s="7"/>
    </row>
    <row r="21" spans="1:5">
      <c r="A21" t="s">
        <v>21</v>
      </c>
      <c r="B21" s="7">
        <v>0.20912091129999999</v>
      </c>
      <c r="C21" s="7">
        <v>0.47744231050000002</v>
      </c>
      <c r="D21" s="7">
        <v>0.35271422429999999</v>
      </c>
      <c r="E21" s="7"/>
    </row>
    <row r="24" spans="1:5">
      <c r="A24" s="9" t="s">
        <v>22</v>
      </c>
      <c r="B24" s="9"/>
      <c r="C24" s="9"/>
      <c r="D24" s="9"/>
      <c r="E24" s="9"/>
    </row>
    <row r="25" spans="1:5">
      <c r="A25" t="s">
        <v>23</v>
      </c>
    </row>
    <row r="26" spans="1:5">
      <c r="A26" t="s">
        <v>24</v>
      </c>
    </row>
    <row r="27" spans="1:5">
      <c r="A27" t="s">
        <v>25</v>
      </c>
    </row>
    <row r="28" spans="1:5">
      <c r="A28" t="s">
        <v>26</v>
      </c>
    </row>
    <row r="29" spans="1:5">
      <c r="A29" t="s">
        <v>27</v>
      </c>
    </row>
    <row r="30" spans="1:5">
      <c r="A30" t="s">
        <v>28</v>
      </c>
    </row>
    <row r="31" spans="1:5">
      <c r="A31" t="s">
        <v>29</v>
      </c>
    </row>
    <row r="32" spans="1:5">
      <c r="A32" t="s">
        <v>30</v>
      </c>
    </row>
    <row r="33" spans="1:1">
      <c r="A33" t="s">
        <v>31</v>
      </c>
    </row>
    <row r="34" spans="1:1">
      <c r="A3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74"/>
  <sheetViews>
    <sheetView showGridLines="0" workbookViewId="0">
      <pane ySplit="6" topLeftCell="A7" activePane="bottomLeft" state="frozen"/>
      <selection pane="bottomLeft" activeCell="M181" sqref="M181"/>
    </sheetView>
  </sheetViews>
  <sheetFormatPr baseColWidth="10" defaultColWidth="8.83203125" defaultRowHeight="14"/>
  <cols>
    <col min="1" max="1" width="14" customWidth="1"/>
    <col min="2" max="3" width="16" customWidth="1"/>
    <col min="4" max="5" width="14" customWidth="1"/>
    <col min="6" max="7" width="16" customWidth="1"/>
    <col min="8" max="9" width="14" customWidth="1"/>
    <col min="10" max="11" width="16" customWidth="1"/>
    <col min="12" max="13" width="14" customWidth="1"/>
    <col min="14" max="15" width="16" customWidth="1"/>
    <col min="16" max="17" width="14" customWidth="1"/>
    <col min="18" max="19" width="16" customWidth="1"/>
    <col min="20" max="21" width="14" customWidth="1"/>
    <col min="22" max="26" width="16" customWidth="1"/>
    <col min="27" max="29" width="15" customWidth="1"/>
  </cols>
  <sheetData>
    <row r="1" spans="1:27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7" ht="22" customHeight="1">
      <c r="A2" s="2" t="s">
        <v>33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7" ht="22" customHeight="1">
      <c r="A3" s="3" t="s">
        <v>34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7" ht="2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7" ht="2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7" ht="38" customHeight="1">
      <c r="A6" s="5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5" t="s">
        <v>44</v>
      </c>
      <c r="K6" s="5" t="s">
        <v>45</v>
      </c>
      <c r="L6" s="5" t="s">
        <v>46</v>
      </c>
      <c r="M6" s="5" t="s">
        <v>47</v>
      </c>
      <c r="N6" s="5" t="s">
        <v>48</v>
      </c>
      <c r="O6" s="5" t="s">
        <v>49</v>
      </c>
      <c r="P6" s="5" t="s">
        <v>50</v>
      </c>
      <c r="Q6" s="5" t="s">
        <v>51</v>
      </c>
      <c r="R6" s="5" t="s">
        <v>52</v>
      </c>
      <c r="S6" s="5" t="s">
        <v>53</v>
      </c>
      <c r="T6" s="5" t="s">
        <v>54</v>
      </c>
      <c r="U6" s="5" t="s">
        <v>55</v>
      </c>
      <c r="V6" s="5" t="s">
        <v>56</v>
      </c>
      <c r="W6" s="5" t="s">
        <v>57</v>
      </c>
      <c r="X6" s="5" t="s">
        <v>58</v>
      </c>
      <c r="Y6" s="5" t="s">
        <v>59</v>
      </c>
      <c r="Z6" s="5" t="s">
        <v>60</v>
      </c>
      <c r="AA6" s="5" t="s">
        <v>61</v>
      </c>
    </row>
    <row r="7" spans="1:27">
      <c r="A7" s="10">
        <v>45749</v>
      </c>
      <c r="B7" s="7">
        <v>100000</v>
      </c>
      <c r="C7" s="7">
        <v>218.34</v>
      </c>
      <c r="D7" s="7">
        <v>1.62</v>
      </c>
      <c r="E7" s="7">
        <v>216.72</v>
      </c>
      <c r="F7" s="7">
        <v>100216.72</v>
      </c>
      <c r="G7" s="6">
        <v>2.1672000000000002E-3</v>
      </c>
      <c r="H7" s="7">
        <v>100000</v>
      </c>
      <c r="I7" s="7">
        <v>-766.00800000000004</v>
      </c>
      <c r="J7" s="7">
        <v>3.24</v>
      </c>
      <c r="K7" s="7">
        <v>-769.24800000000005</v>
      </c>
      <c r="L7" s="7">
        <v>99230.751999999993</v>
      </c>
      <c r="M7" s="6">
        <v>-7.6924799999999998E-3</v>
      </c>
      <c r="N7" s="7">
        <v>100000</v>
      </c>
      <c r="O7" s="7">
        <v>-1285.1912</v>
      </c>
      <c r="P7" s="7">
        <v>5.4359999999999999</v>
      </c>
      <c r="Q7" s="7">
        <v>-1290.6271999999999</v>
      </c>
      <c r="R7" s="7">
        <v>98709.372799999997</v>
      </c>
      <c r="S7" s="6">
        <v>-1.2906272E-2</v>
      </c>
      <c r="T7" s="6">
        <v>6.3282379000000003E-3</v>
      </c>
      <c r="U7" s="7">
        <v>100632.82379218091</v>
      </c>
      <c r="V7" s="7">
        <f>SUMIFS('Trade Log'!$N$7:$N$371,'Trade Log'!$A$7:$A$371,"A",'Trade Log'!$C$7:$C$371,A7)</f>
        <v>216.72000000001424</v>
      </c>
      <c r="W7" s="7">
        <f>SUMIFS('Trade Log'!$N$7:$N$371,'Trade Log'!$A$7:$A$371,"B",'Trade Log'!$C$7:$C$371,A7)</f>
        <v>-769.24799999999254</v>
      </c>
      <c r="X7" s="7">
        <f>SUMIFS('Trade Log'!$N$7:$N$371,'Trade Log'!$A$7:$A$371,"C",'Trade Log'!$C$7:$C$371,A7)</f>
        <v>-1290.6271999999874</v>
      </c>
      <c r="Y7" s="7">
        <f t="shared" ref="Y7:Y38" si="0">V7-E7</f>
        <v>1.4239276424632408E-11</v>
      </c>
      <c r="Z7" s="7">
        <f t="shared" ref="Z7:Z38" si="1">W7-K7</f>
        <v>7.503331289626658E-12</v>
      </c>
      <c r="AA7" s="7">
        <f t="shared" ref="AA7:AA38" si="2">X7-Q7</f>
        <v>1.2505552149377763E-11</v>
      </c>
    </row>
    <row r="8" spans="1:27">
      <c r="A8" s="10">
        <v>45750</v>
      </c>
      <c r="B8" s="7">
        <v>100216.72</v>
      </c>
      <c r="C8" s="7">
        <v>1153.327</v>
      </c>
      <c r="D8" s="7">
        <v>1.665</v>
      </c>
      <c r="E8" s="7">
        <v>1151.662</v>
      </c>
      <c r="F8" s="7">
        <v>101368.382</v>
      </c>
      <c r="G8" s="6">
        <v>1.1491715200000001E-2</v>
      </c>
      <c r="H8" s="7">
        <v>99230.751999999993</v>
      </c>
      <c r="I8" s="7">
        <v>146.47319999999999</v>
      </c>
      <c r="J8" s="7">
        <v>4.9409999999999998</v>
      </c>
      <c r="K8" s="7">
        <v>141.53219999999999</v>
      </c>
      <c r="L8" s="7">
        <v>99372.284199999995</v>
      </c>
      <c r="M8" s="6">
        <v>1.4262936999999999E-3</v>
      </c>
      <c r="N8" s="7">
        <v>98709.372799999997</v>
      </c>
      <c r="O8" s="7">
        <v>258.5292</v>
      </c>
      <c r="P8" s="7">
        <v>8.7210000000000001</v>
      </c>
      <c r="Q8" s="7">
        <v>249.8082</v>
      </c>
      <c r="R8" s="7">
        <v>98959.180999999997</v>
      </c>
      <c r="S8" s="6">
        <v>2.5307444999999999E-3</v>
      </c>
      <c r="T8" s="6">
        <v>-4.9280820699999998E-2</v>
      </c>
      <c r="U8" s="7">
        <v>95673.555649660499</v>
      </c>
      <c r="V8" s="7">
        <f>SUMIFS('Trade Log'!$N$7:$N$371,'Trade Log'!$A$7:$A$371,"A",'Trade Log'!$C$7:$C$371,A8)</f>
        <v>1151.6619999999975</v>
      </c>
      <c r="W8" s="7">
        <f>SUMIFS('Trade Log'!$N$7:$N$371,'Trade Log'!$A$7:$A$371,"B",'Trade Log'!$C$7:$C$371,A8)</f>
        <v>141.53219999999413</v>
      </c>
      <c r="X8" s="7">
        <f>SUMIFS('Trade Log'!$N$7:$N$371,'Trade Log'!$A$7:$A$371,"C",'Trade Log'!$C$7:$C$371,A8)</f>
        <v>249.8081999999896</v>
      </c>
      <c r="Y8" s="7">
        <f t="shared" si="0"/>
        <v>-2.5011104298755527E-12</v>
      </c>
      <c r="Z8" s="7">
        <f t="shared" si="1"/>
        <v>-5.8548721426632255E-12</v>
      </c>
      <c r="AA8" s="7">
        <f t="shared" si="2"/>
        <v>-1.0402345651527867E-11</v>
      </c>
    </row>
    <row r="9" spans="1:27">
      <c r="A9" s="10">
        <v>45751</v>
      </c>
      <c r="B9" s="7">
        <v>101368.382</v>
      </c>
      <c r="C9" s="7">
        <v>2095.8013999999998</v>
      </c>
      <c r="D9" s="7">
        <v>1.746</v>
      </c>
      <c r="E9" s="7">
        <v>2094.0554000000002</v>
      </c>
      <c r="F9" s="7">
        <v>103462.4374</v>
      </c>
      <c r="G9" s="6">
        <v>2.0657875400000001E-2</v>
      </c>
      <c r="H9" s="7">
        <v>99372.284199999995</v>
      </c>
      <c r="I9" s="7">
        <v>2063.3921</v>
      </c>
      <c r="J9" s="7">
        <v>1.7190000000000001</v>
      </c>
      <c r="K9" s="7">
        <v>2061.6731</v>
      </c>
      <c r="L9" s="7">
        <v>101433.95729999999</v>
      </c>
      <c r="M9" s="6">
        <v>2.0746963E-2</v>
      </c>
      <c r="N9" s="7">
        <v>98959.180999999997</v>
      </c>
      <c r="O9" s="7">
        <v>2473.9099000000001</v>
      </c>
      <c r="P9" s="7">
        <v>2.0609999999999999</v>
      </c>
      <c r="Q9" s="7">
        <v>2471.8489</v>
      </c>
      <c r="R9" s="7">
        <v>101431.02989999999</v>
      </c>
      <c r="S9" s="6">
        <v>2.4978469699999999E-2</v>
      </c>
      <c r="T9" s="6">
        <v>-5.85428479E-2</v>
      </c>
      <c r="U9" s="7">
        <v>90072.5532289486</v>
      </c>
      <c r="V9" s="7">
        <f>SUMIFS('Trade Log'!$N$7:$N$371,'Trade Log'!$A$7:$A$371,"A",'Trade Log'!$C$7:$C$371,A9)</f>
        <v>2094.0553999999947</v>
      </c>
      <c r="W9" s="7">
        <f>SUMIFS('Trade Log'!$N$7:$N$371,'Trade Log'!$A$7:$A$371,"B",'Trade Log'!$C$7:$C$371,A9)</f>
        <v>2061.6730999999945</v>
      </c>
      <c r="X9" s="7">
        <f>SUMIFS('Trade Log'!$N$7:$N$371,'Trade Log'!$A$7:$A$371,"C",'Trade Log'!$C$7:$C$371,A9)</f>
        <v>2471.8488999999936</v>
      </c>
      <c r="Y9" s="7">
        <f t="shared" si="0"/>
        <v>-5.4569682106375694E-12</v>
      </c>
      <c r="Z9" s="7">
        <f t="shared" si="1"/>
        <v>-5.4569682106375694E-12</v>
      </c>
      <c r="AA9" s="7">
        <f t="shared" si="2"/>
        <v>-6.3664629124104977E-12</v>
      </c>
    </row>
    <row r="10" spans="1:27">
      <c r="A10" s="10">
        <v>45754</v>
      </c>
      <c r="B10" s="7">
        <v>103462.4374</v>
      </c>
      <c r="C10" s="7">
        <v>-1008.504</v>
      </c>
      <c r="D10" s="7">
        <v>1.89</v>
      </c>
      <c r="E10" s="7">
        <v>-1010.394</v>
      </c>
      <c r="F10" s="7">
        <v>102452.0434</v>
      </c>
      <c r="G10" s="6">
        <v>-9.7658051000000003E-3</v>
      </c>
      <c r="H10" s="7">
        <v>101433.95729999999</v>
      </c>
      <c r="I10" s="7">
        <v>-823.46450000000004</v>
      </c>
      <c r="J10" s="7">
        <v>1.845</v>
      </c>
      <c r="K10" s="7">
        <v>-825.30949999999996</v>
      </c>
      <c r="L10" s="7">
        <v>100608.64780000001</v>
      </c>
      <c r="M10" s="6">
        <v>-8.1364222E-3</v>
      </c>
      <c r="N10" s="7">
        <v>101431.02989999999</v>
      </c>
      <c r="O10" s="7">
        <v>-755.17719999999997</v>
      </c>
      <c r="P10" s="7">
        <v>1.6919999999999999</v>
      </c>
      <c r="Q10" s="7">
        <v>-756.86919999999998</v>
      </c>
      <c r="R10" s="7">
        <v>100674.16069999999</v>
      </c>
      <c r="S10" s="6">
        <v>-7.4619098000000003E-3</v>
      </c>
      <c r="T10" s="6">
        <v>-1.7812589000000001E-3</v>
      </c>
      <c r="U10" s="7">
        <v>89912.1106951291</v>
      </c>
      <c r="V10" s="7">
        <f>SUMIFS('Trade Log'!$N$7:$N$371,'Trade Log'!$A$7:$A$371,"A",'Trade Log'!$C$7:$C$371,A10)</f>
        <v>-1010.3940000000072</v>
      </c>
      <c r="W10" s="7">
        <f>SUMIFS('Trade Log'!$N$7:$N$371,'Trade Log'!$A$7:$A$371,"B",'Trade Log'!$C$7:$C$371,A10)</f>
        <v>-825.30950000000439</v>
      </c>
      <c r="X10" s="7">
        <f>SUMIFS('Trade Log'!$N$7:$N$371,'Trade Log'!$A$7:$A$371,"C",'Trade Log'!$C$7:$C$371,A10)</f>
        <v>-756.86920000000396</v>
      </c>
      <c r="Y10" s="7">
        <f t="shared" si="0"/>
        <v>-7.1622707764618099E-12</v>
      </c>
      <c r="Z10" s="7">
        <f t="shared" si="1"/>
        <v>-4.4337866711430252E-12</v>
      </c>
      <c r="AA10" s="7">
        <f t="shared" si="2"/>
        <v>-3.979039320256561E-12</v>
      </c>
    </row>
    <row r="11" spans="1:27">
      <c r="A11" s="10">
        <v>45755</v>
      </c>
      <c r="B11" s="7">
        <v>102452.0434</v>
      </c>
      <c r="C11" s="7">
        <v>153.50239999999999</v>
      </c>
      <c r="D11" s="7">
        <v>1.7729999999999999</v>
      </c>
      <c r="E11" s="7">
        <v>151.7294</v>
      </c>
      <c r="F11" s="7">
        <v>102603.77280000001</v>
      </c>
      <c r="G11" s="6">
        <v>1.4809796999999999E-3</v>
      </c>
      <c r="H11" s="7">
        <v>100608.64780000001</v>
      </c>
      <c r="I11" s="7">
        <v>150.38560000000001</v>
      </c>
      <c r="J11" s="7">
        <v>1.7370000000000001</v>
      </c>
      <c r="K11" s="7">
        <v>148.64859999999999</v>
      </c>
      <c r="L11" s="7">
        <v>100757.29640000001</v>
      </c>
      <c r="M11" s="6">
        <v>1.4774933E-3</v>
      </c>
      <c r="N11" s="7">
        <v>100674.16069999999</v>
      </c>
      <c r="O11" s="7">
        <v>137.13919999999999</v>
      </c>
      <c r="P11" s="7">
        <v>1.5840000000000001</v>
      </c>
      <c r="Q11" s="7">
        <v>135.55520000000001</v>
      </c>
      <c r="R11" s="7">
        <v>100809.7159</v>
      </c>
      <c r="S11" s="6">
        <v>1.3464746000000001E-3</v>
      </c>
      <c r="T11" s="6">
        <v>-1.5662929799999999E-2</v>
      </c>
      <c r="U11" s="7">
        <v>88503.823620425494</v>
      </c>
      <c r="V11" s="7">
        <f>SUMIFS('Trade Log'!$N$7:$N$371,'Trade Log'!$A$7:$A$371,"A",'Trade Log'!$C$7:$C$371,A11)</f>
        <v>151.7294000000006</v>
      </c>
      <c r="W11" s="7">
        <f>SUMIFS('Trade Log'!$N$7:$N$371,'Trade Log'!$A$7:$A$371,"B",'Trade Log'!$C$7:$C$371,A11)</f>
        <v>148.64860000000058</v>
      </c>
      <c r="X11" s="7">
        <f>SUMIFS('Trade Log'!$N$7:$N$371,'Trade Log'!$A$7:$A$371,"C",'Trade Log'!$C$7:$C$371,A11)</f>
        <v>135.55520000000053</v>
      </c>
      <c r="Y11" s="7">
        <f t="shared" si="0"/>
        <v>5.9685589803848416E-13</v>
      </c>
      <c r="Z11" s="7">
        <f t="shared" si="1"/>
        <v>5.9685589803848416E-13</v>
      </c>
      <c r="AA11" s="7">
        <f t="shared" si="2"/>
        <v>5.1159076974727213E-13</v>
      </c>
    </row>
    <row r="12" spans="1:27">
      <c r="A12" s="10">
        <v>45756</v>
      </c>
      <c r="B12" s="7">
        <v>102603.77280000001</v>
      </c>
      <c r="C12" s="7">
        <v>-1595.5935999999999</v>
      </c>
      <c r="D12" s="7">
        <v>3.7080000000000002</v>
      </c>
      <c r="E12" s="7">
        <v>-1599.3016</v>
      </c>
      <c r="F12" s="7">
        <v>101004.4712</v>
      </c>
      <c r="G12" s="6">
        <v>-1.5587161699999999E-2</v>
      </c>
      <c r="H12" s="7">
        <v>100757.29640000001</v>
      </c>
      <c r="I12" s="7">
        <v>3771.9056</v>
      </c>
      <c r="J12" s="7">
        <v>3.6360000000000001</v>
      </c>
      <c r="K12" s="7">
        <v>3768.2696000000001</v>
      </c>
      <c r="L12" s="7">
        <v>104525.56600000001</v>
      </c>
      <c r="M12" s="6">
        <v>3.7399471199999999E-2</v>
      </c>
      <c r="N12" s="7">
        <v>100809.7159</v>
      </c>
      <c r="O12" s="7">
        <v>3529.1592000000001</v>
      </c>
      <c r="P12" s="7">
        <v>3.4020000000000001</v>
      </c>
      <c r="Q12" s="7">
        <v>3525.7572</v>
      </c>
      <c r="R12" s="7">
        <v>104335.4731</v>
      </c>
      <c r="S12" s="6">
        <v>3.4974378899999999E-2</v>
      </c>
      <c r="T12" s="6">
        <v>0.10501945109999999</v>
      </c>
      <c r="U12" s="7">
        <v>97798.446599296003</v>
      </c>
      <c r="V12" s="7">
        <f>SUMIFS('Trade Log'!$N$7:$N$371,'Trade Log'!$A$7:$A$371,"A",'Trade Log'!$C$7:$C$371,A12)</f>
        <v>-1599.3016000000171</v>
      </c>
      <c r="W12" s="7">
        <f>SUMIFS('Trade Log'!$N$7:$N$371,'Trade Log'!$A$7:$A$371,"B",'Trade Log'!$C$7:$C$371,A12)</f>
        <v>3768.2695999999983</v>
      </c>
      <c r="X12" s="7">
        <f>SUMIFS('Trade Log'!$N$7:$N$371,'Trade Log'!$A$7:$A$371,"C",'Trade Log'!$C$7:$C$371,A12)</f>
        <v>3525.7571999999991</v>
      </c>
      <c r="Y12" s="7">
        <f t="shared" si="0"/>
        <v>-1.7053025658242404E-11</v>
      </c>
      <c r="Z12" s="7">
        <f t="shared" si="1"/>
        <v>0</v>
      </c>
      <c r="AA12" s="7">
        <f t="shared" si="2"/>
        <v>0</v>
      </c>
    </row>
    <row r="13" spans="1:27">
      <c r="A13" s="10">
        <v>45757</v>
      </c>
      <c r="B13" s="7">
        <v>101004.4712</v>
      </c>
      <c r="C13" s="7">
        <v>-148.9152</v>
      </c>
      <c r="D13" s="7">
        <v>1.728</v>
      </c>
      <c r="E13" s="7">
        <v>-150.64320000000001</v>
      </c>
      <c r="F13" s="7">
        <v>100853.82799999999</v>
      </c>
      <c r="G13" s="6">
        <v>-1.4914507999999999E-3</v>
      </c>
      <c r="H13" s="7">
        <v>104525.56600000001</v>
      </c>
      <c r="I13" s="7">
        <v>-76.784400000000005</v>
      </c>
      <c r="J13" s="7">
        <v>1.782</v>
      </c>
      <c r="K13" s="7">
        <v>-78.566400000000002</v>
      </c>
      <c r="L13" s="7">
        <v>104446.9996</v>
      </c>
      <c r="M13" s="6">
        <v>-7.5164769999999995E-4</v>
      </c>
      <c r="N13" s="7">
        <v>104335.4731</v>
      </c>
      <c r="O13" s="7">
        <v>-41.1068</v>
      </c>
      <c r="P13" s="7">
        <v>0.95399999999999996</v>
      </c>
      <c r="Q13" s="7">
        <v>-42.0608</v>
      </c>
      <c r="R13" s="7">
        <v>104293.4123</v>
      </c>
      <c r="S13" s="6">
        <v>-4.031304E-4</v>
      </c>
      <c r="T13" s="6">
        <v>-4.3819118999999997E-2</v>
      </c>
      <c r="U13" s="7">
        <v>93513.004827439596</v>
      </c>
      <c r="V13" s="7">
        <f>SUMIFS('Trade Log'!$N$7:$N$371,'Trade Log'!$A$7:$A$371,"A",'Trade Log'!$C$7:$C$371,A13)</f>
        <v>-150.64319999998855</v>
      </c>
      <c r="W13" s="7">
        <f>SUMIFS('Trade Log'!$N$7:$N$371,'Trade Log'!$A$7:$A$371,"B",'Trade Log'!$C$7:$C$371,A13)</f>
        <v>-78.56639999999409</v>
      </c>
      <c r="X13" s="7">
        <f>SUMIFS('Trade Log'!$N$7:$N$371,'Trade Log'!$A$7:$A$371,"C",'Trade Log'!$C$7:$C$371,A13)</f>
        <v>-42.060799999996838</v>
      </c>
      <c r="Y13" s="7">
        <f t="shared" si="0"/>
        <v>1.1453948900452815E-11</v>
      </c>
      <c r="Z13" s="7">
        <f t="shared" si="1"/>
        <v>5.9117155615240335E-12</v>
      </c>
      <c r="AA13" s="7">
        <f t="shared" si="2"/>
        <v>3.1619151741324458E-12</v>
      </c>
    </row>
    <row r="14" spans="1:27">
      <c r="A14" s="10">
        <v>45758</v>
      </c>
      <c r="B14" s="7">
        <v>100853.82799999999</v>
      </c>
      <c r="C14" s="7">
        <v>-1759.7161000000001</v>
      </c>
      <c r="D14" s="7">
        <v>3.4740000000000002</v>
      </c>
      <c r="E14" s="7">
        <v>-1763.1901</v>
      </c>
      <c r="F14" s="7">
        <v>99090.637900000002</v>
      </c>
      <c r="G14" s="6">
        <v>-1.7482629400000001E-2</v>
      </c>
      <c r="H14" s="7">
        <v>104446.9996</v>
      </c>
      <c r="I14" s="7">
        <v>-1488.44</v>
      </c>
      <c r="J14" s="7">
        <v>7.2</v>
      </c>
      <c r="K14" s="7">
        <v>-1495.64</v>
      </c>
      <c r="L14" s="7">
        <v>102951.3596</v>
      </c>
      <c r="M14" s="6">
        <v>-1.4319607099999999E-2</v>
      </c>
      <c r="N14" s="7">
        <v>104293.4123</v>
      </c>
      <c r="O14" s="7">
        <v>-759.10440000000006</v>
      </c>
      <c r="P14" s="7">
        <v>3.6720000000000002</v>
      </c>
      <c r="Q14" s="7">
        <v>-762.77639999999997</v>
      </c>
      <c r="R14" s="7">
        <v>103530.63589999999</v>
      </c>
      <c r="S14" s="6">
        <v>-7.3137543999999997E-3</v>
      </c>
      <c r="T14" s="6">
        <v>1.7843034099999999E-2</v>
      </c>
      <c r="U14" s="7">
        <v>95181.560564949905</v>
      </c>
      <c r="V14" s="7">
        <f>SUMIFS('Trade Log'!$N$7:$N$371,'Trade Log'!$A$7:$A$371,"A",'Trade Log'!$C$7:$C$371,A14)</f>
        <v>-1763.1901000000025</v>
      </c>
      <c r="W14" s="7">
        <f>SUMIFS('Trade Log'!$N$7:$N$371,'Trade Log'!$A$7:$A$371,"B",'Trade Log'!$C$7:$C$371,A14)</f>
        <v>-1495.6400000000369</v>
      </c>
      <c r="X14" s="7">
        <f>SUMIFS('Trade Log'!$N$7:$N$371,'Trade Log'!$A$7:$A$371,"C",'Trade Log'!$C$7:$C$371,A14)</f>
        <v>-762.77640000001884</v>
      </c>
      <c r="Y14" s="7">
        <f t="shared" si="0"/>
        <v>-2.5011104298755527E-12</v>
      </c>
      <c r="Z14" s="7">
        <f t="shared" si="1"/>
        <v>-3.6834535421803594E-11</v>
      </c>
      <c r="AA14" s="7">
        <f t="shared" si="2"/>
        <v>-1.8872015061788261E-11</v>
      </c>
    </row>
    <row r="15" spans="1:27">
      <c r="A15" s="10">
        <v>45761</v>
      </c>
      <c r="B15" s="7">
        <v>99090.637900000002</v>
      </c>
      <c r="C15" s="7">
        <v>0</v>
      </c>
      <c r="D15" s="7">
        <v>0</v>
      </c>
      <c r="E15" s="7">
        <v>0</v>
      </c>
      <c r="F15" s="7">
        <v>99090.637900000002</v>
      </c>
      <c r="G15" s="6">
        <v>0</v>
      </c>
      <c r="H15" s="7">
        <v>102951.3596</v>
      </c>
      <c r="I15" s="7">
        <v>0</v>
      </c>
      <c r="J15" s="7">
        <v>0</v>
      </c>
      <c r="K15" s="7">
        <v>0</v>
      </c>
      <c r="L15" s="7">
        <v>102951.3596</v>
      </c>
      <c r="M15" s="6">
        <v>0</v>
      </c>
      <c r="N15" s="7">
        <v>103530.63589999999</v>
      </c>
      <c r="O15" s="7">
        <v>0</v>
      </c>
      <c r="P15" s="7">
        <v>0</v>
      </c>
      <c r="Q15" s="7">
        <v>0</v>
      </c>
      <c r="R15" s="7">
        <v>103530.63589999999</v>
      </c>
      <c r="S15" s="6">
        <v>0</v>
      </c>
      <c r="T15" s="6">
        <v>9.7013715999999996E-3</v>
      </c>
      <c r="U15" s="7">
        <v>96104.952258082107</v>
      </c>
      <c r="V15" s="7">
        <f>SUMIFS('Trade Log'!$N$7:$N$371,'Trade Log'!$A$7:$A$371,"A",'Trade Log'!$C$7:$C$371,A15)</f>
        <v>0</v>
      </c>
      <c r="W15" s="7">
        <f>SUMIFS('Trade Log'!$N$7:$N$371,'Trade Log'!$A$7:$A$371,"B",'Trade Log'!$C$7:$C$371,A15)</f>
        <v>0</v>
      </c>
      <c r="X15" s="7">
        <f>SUMIFS('Trade Log'!$N$7:$N$371,'Trade Log'!$A$7:$A$371,"C",'Trade Log'!$C$7:$C$371,A15)</f>
        <v>0</v>
      </c>
      <c r="Y15" s="7">
        <f t="shared" si="0"/>
        <v>0</v>
      </c>
      <c r="Z15" s="7">
        <f t="shared" si="1"/>
        <v>0</v>
      </c>
      <c r="AA15" s="7">
        <f t="shared" si="2"/>
        <v>0</v>
      </c>
    </row>
    <row r="16" spans="1:27">
      <c r="A16" s="10">
        <v>45762</v>
      </c>
      <c r="B16" s="7">
        <v>99090.637900000002</v>
      </c>
      <c r="C16" s="7">
        <v>0</v>
      </c>
      <c r="D16" s="7">
        <v>0</v>
      </c>
      <c r="E16" s="7">
        <v>0</v>
      </c>
      <c r="F16" s="7">
        <v>99090.637900000002</v>
      </c>
      <c r="G16" s="6">
        <v>0</v>
      </c>
      <c r="H16" s="7">
        <v>102951.3596</v>
      </c>
      <c r="I16" s="7">
        <v>0</v>
      </c>
      <c r="J16" s="7">
        <v>0</v>
      </c>
      <c r="K16" s="7">
        <v>0</v>
      </c>
      <c r="L16" s="7">
        <v>102951.3596</v>
      </c>
      <c r="M16" s="6">
        <v>0</v>
      </c>
      <c r="N16" s="7">
        <v>103530.63589999999</v>
      </c>
      <c r="O16" s="7">
        <v>0</v>
      </c>
      <c r="P16" s="7">
        <v>0</v>
      </c>
      <c r="Q16" s="7">
        <v>0</v>
      </c>
      <c r="R16" s="7">
        <v>103530.63589999999</v>
      </c>
      <c r="S16" s="6">
        <v>0</v>
      </c>
      <c r="T16" s="6">
        <v>-2.8008873999999999E-3</v>
      </c>
      <c r="U16" s="7">
        <v>95835.773109264803</v>
      </c>
      <c r="V16" s="7">
        <f>SUMIFS('Trade Log'!$N$7:$N$371,'Trade Log'!$A$7:$A$371,"A",'Trade Log'!$C$7:$C$371,A16)</f>
        <v>0</v>
      </c>
      <c r="W16" s="7">
        <f>SUMIFS('Trade Log'!$N$7:$N$371,'Trade Log'!$A$7:$A$371,"B",'Trade Log'!$C$7:$C$371,A16)</f>
        <v>0</v>
      </c>
      <c r="X16" s="7">
        <f>SUMIFS('Trade Log'!$N$7:$N$371,'Trade Log'!$A$7:$A$371,"C",'Trade Log'!$C$7:$C$371,A16)</f>
        <v>0</v>
      </c>
      <c r="Y16" s="7">
        <f t="shared" si="0"/>
        <v>0</v>
      </c>
      <c r="Z16" s="7">
        <f t="shared" si="1"/>
        <v>0</v>
      </c>
      <c r="AA16" s="7">
        <f t="shared" si="2"/>
        <v>0</v>
      </c>
    </row>
    <row r="17" spans="1:27">
      <c r="A17" s="10">
        <v>45763</v>
      </c>
      <c r="B17" s="7">
        <v>99090.637900000002</v>
      </c>
      <c r="C17" s="7">
        <v>0</v>
      </c>
      <c r="D17" s="7">
        <v>0</v>
      </c>
      <c r="E17" s="7">
        <v>0</v>
      </c>
      <c r="F17" s="7">
        <v>99090.637900000002</v>
      </c>
      <c r="G17" s="6">
        <v>0</v>
      </c>
      <c r="H17" s="7">
        <v>102951.3596</v>
      </c>
      <c r="I17" s="7">
        <v>0</v>
      </c>
      <c r="J17" s="7">
        <v>0</v>
      </c>
      <c r="K17" s="7">
        <v>0</v>
      </c>
      <c r="L17" s="7">
        <v>102951.3596</v>
      </c>
      <c r="M17" s="6">
        <v>0</v>
      </c>
      <c r="N17" s="7">
        <v>103530.63589999999</v>
      </c>
      <c r="O17" s="7">
        <v>0</v>
      </c>
      <c r="P17" s="7">
        <v>0</v>
      </c>
      <c r="Q17" s="7">
        <v>0</v>
      </c>
      <c r="R17" s="7">
        <v>103530.63589999999</v>
      </c>
      <c r="S17" s="6">
        <v>0</v>
      </c>
      <c r="T17" s="6">
        <v>-2.2227959200000001E-2</v>
      </c>
      <c r="U17" s="7">
        <v>93705.539453731602</v>
      </c>
      <c r="V17" s="7">
        <f>SUMIFS('Trade Log'!$N$7:$N$371,'Trade Log'!$A$7:$A$371,"A",'Trade Log'!$C$7:$C$371,A17)</f>
        <v>0</v>
      </c>
      <c r="W17" s="7">
        <f>SUMIFS('Trade Log'!$N$7:$N$371,'Trade Log'!$A$7:$A$371,"B",'Trade Log'!$C$7:$C$371,A17)</f>
        <v>0</v>
      </c>
      <c r="X17" s="7">
        <f>SUMIFS('Trade Log'!$N$7:$N$371,'Trade Log'!$A$7:$A$371,"C",'Trade Log'!$C$7:$C$371,A17)</f>
        <v>0</v>
      </c>
      <c r="Y17" s="7">
        <f t="shared" si="0"/>
        <v>0</v>
      </c>
      <c r="Z17" s="7">
        <f t="shared" si="1"/>
        <v>0</v>
      </c>
      <c r="AA17" s="7">
        <f t="shared" si="2"/>
        <v>0</v>
      </c>
    </row>
    <row r="18" spans="1:27">
      <c r="A18" s="10">
        <v>45764</v>
      </c>
      <c r="B18" s="7">
        <v>99090.637900000002</v>
      </c>
      <c r="C18" s="7">
        <v>0</v>
      </c>
      <c r="D18" s="7">
        <v>0</v>
      </c>
      <c r="E18" s="7">
        <v>0</v>
      </c>
      <c r="F18" s="7">
        <v>99090.637900000002</v>
      </c>
      <c r="G18" s="6">
        <v>0</v>
      </c>
      <c r="H18" s="7">
        <v>102951.3596</v>
      </c>
      <c r="I18" s="7">
        <v>0</v>
      </c>
      <c r="J18" s="7">
        <v>0</v>
      </c>
      <c r="K18" s="7">
        <v>0</v>
      </c>
      <c r="L18" s="7">
        <v>102951.3596</v>
      </c>
      <c r="M18" s="6">
        <v>0</v>
      </c>
      <c r="N18" s="7">
        <v>103530.63589999999</v>
      </c>
      <c r="O18" s="7">
        <v>0</v>
      </c>
      <c r="P18" s="7">
        <v>0</v>
      </c>
      <c r="Q18" s="7">
        <v>0</v>
      </c>
      <c r="R18" s="7">
        <v>103530.63589999999</v>
      </c>
      <c r="S18" s="6">
        <v>0</v>
      </c>
      <c r="T18" s="6">
        <v>1.4267368999999999E-3</v>
      </c>
      <c r="U18" s="7">
        <v>93839.232600976204</v>
      </c>
      <c r="V18" s="7">
        <f>SUMIFS('Trade Log'!$N$7:$N$371,'Trade Log'!$A$7:$A$371,"A",'Trade Log'!$C$7:$C$371,A18)</f>
        <v>0</v>
      </c>
      <c r="W18" s="7">
        <f>SUMIFS('Trade Log'!$N$7:$N$371,'Trade Log'!$A$7:$A$371,"B",'Trade Log'!$C$7:$C$371,A18)</f>
        <v>0</v>
      </c>
      <c r="X18" s="7">
        <f>SUMIFS('Trade Log'!$N$7:$N$371,'Trade Log'!$A$7:$A$371,"C",'Trade Log'!$C$7:$C$371,A18)</f>
        <v>0</v>
      </c>
      <c r="Y18" s="7">
        <f t="shared" si="0"/>
        <v>0</v>
      </c>
      <c r="Z18" s="7">
        <f t="shared" si="1"/>
        <v>0</v>
      </c>
      <c r="AA18" s="7">
        <f t="shared" si="2"/>
        <v>0</v>
      </c>
    </row>
    <row r="19" spans="1:27">
      <c r="A19" s="10">
        <v>45768</v>
      </c>
      <c r="B19" s="7">
        <v>99090.637900000002</v>
      </c>
      <c r="C19" s="7">
        <v>-154.63679999999999</v>
      </c>
      <c r="D19" s="7">
        <v>1.728</v>
      </c>
      <c r="E19" s="7">
        <v>-156.3648</v>
      </c>
      <c r="F19" s="7">
        <v>98934.273100000006</v>
      </c>
      <c r="G19" s="6">
        <v>-1.5779977000000001E-3</v>
      </c>
      <c r="H19" s="7">
        <v>102951.3596</v>
      </c>
      <c r="I19" s="7">
        <v>112.76</v>
      </c>
      <c r="J19" s="7">
        <v>5.4</v>
      </c>
      <c r="K19" s="7">
        <v>107.36</v>
      </c>
      <c r="L19" s="7">
        <v>103058.7196</v>
      </c>
      <c r="M19" s="6">
        <v>1.0428226000000001E-3</v>
      </c>
      <c r="N19" s="7">
        <v>103530.63589999999</v>
      </c>
      <c r="O19" s="7">
        <v>57.507599999999996</v>
      </c>
      <c r="P19" s="7">
        <v>2.754</v>
      </c>
      <c r="Q19" s="7">
        <v>54.753599999999999</v>
      </c>
      <c r="R19" s="7">
        <v>103585.3895</v>
      </c>
      <c r="S19" s="6">
        <v>5.2886369999999999E-4</v>
      </c>
      <c r="T19" s="6">
        <v>-2.3802704899999999E-2</v>
      </c>
      <c r="U19" s="7">
        <v>91605.605036342895</v>
      </c>
      <c r="V19" s="7">
        <f>SUMIFS('Trade Log'!$N$7:$N$371,'Trade Log'!$A$7:$A$371,"A",'Trade Log'!$C$7:$C$371,A19)</f>
        <v>-156.36480000000387</v>
      </c>
      <c r="W19" s="7">
        <f>SUMIFS('Trade Log'!$N$7:$N$371,'Trade Log'!$A$7:$A$371,"B",'Trade Log'!$C$7:$C$371,A19)</f>
        <v>107.3599999999916</v>
      </c>
      <c r="X19" s="7">
        <f>SUMIFS('Trade Log'!$N$7:$N$371,'Trade Log'!$A$7:$A$371,"C",'Trade Log'!$C$7:$C$371,A19)</f>
        <v>54.753599999995686</v>
      </c>
      <c r="Y19" s="7">
        <f t="shared" si="0"/>
        <v>-3.865352482534945E-12</v>
      </c>
      <c r="Z19" s="7">
        <f t="shared" si="1"/>
        <v>-8.3986151366843842E-12</v>
      </c>
      <c r="AA19" s="7">
        <f t="shared" si="2"/>
        <v>-4.3129944060638081E-12</v>
      </c>
    </row>
    <row r="20" spans="1:27">
      <c r="A20" s="10">
        <v>45769</v>
      </c>
      <c r="B20" s="7">
        <v>98934.273100000006</v>
      </c>
      <c r="C20" s="7">
        <v>196.46</v>
      </c>
      <c r="D20" s="7">
        <v>1.71</v>
      </c>
      <c r="E20" s="7">
        <v>194.75</v>
      </c>
      <c r="F20" s="7">
        <v>99129.023100000006</v>
      </c>
      <c r="G20" s="6">
        <v>1.9684785999999998E-3</v>
      </c>
      <c r="H20" s="7">
        <v>103058.7196</v>
      </c>
      <c r="I20" s="7">
        <v>-713.6712</v>
      </c>
      <c r="J20" s="7">
        <v>1.782</v>
      </c>
      <c r="K20" s="7">
        <v>-715.45320000000004</v>
      </c>
      <c r="L20" s="7">
        <v>102343.26639999999</v>
      </c>
      <c r="M20" s="6">
        <v>-6.9421899000000004E-3</v>
      </c>
      <c r="N20" s="7">
        <v>103585.3895</v>
      </c>
      <c r="O20" s="7">
        <v>-364.0444</v>
      </c>
      <c r="P20" s="7">
        <v>0.90900000000000003</v>
      </c>
      <c r="Q20" s="7">
        <v>-364.95339999999999</v>
      </c>
      <c r="R20" s="7">
        <v>103220.4360999999</v>
      </c>
      <c r="S20" s="6">
        <v>-3.5232130999999999E-3</v>
      </c>
      <c r="T20" s="6">
        <v>2.6017695699999999E-2</v>
      </c>
      <c r="U20" s="7">
        <v>93988.971794457204</v>
      </c>
      <c r="V20" s="7">
        <f>SUMIFS('Trade Log'!$N$7:$N$371,'Trade Log'!$A$7:$A$371,"A",'Trade Log'!$C$7:$C$371,A20)</f>
        <v>194.74999999999844</v>
      </c>
      <c r="W20" s="7">
        <f>SUMIFS('Trade Log'!$N$7:$N$371,'Trade Log'!$A$7:$A$371,"B",'Trade Log'!$C$7:$C$371,A20)</f>
        <v>-715.45320000001095</v>
      </c>
      <c r="X20" s="7">
        <f>SUMIFS('Trade Log'!$N$7:$N$371,'Trade Log'!$A$7:$A$371,"C",'Trade Log'!$C$7:$C$371,A20)</f>
        <v>-364.95340000000556</v>
      </c>
      <c r="Y20" s="7">
        <f t="shared" si="0"/>
        <v>-1.5631940186722204E-12</v>
      </c>
      <c r="Z20" s="7">
        <f t="shared" si="1"/>
        <v>-1.0913936421275139E-11</v>
      </c>
      <c r="AA20" s="7">
        <f t="shared" si="2"/>
        <v>-5.5706550483591855E-12</v>
      </c>
    </row>
    <row r="21" spans="1:27">
      <c r="A21" s="10">
        <v>45770</v>
      </c>
      <c r="B21" s="7">
        <v>99129.023100000006</v>
      </c>
      <c r="C21" s="7">
        <v>0</v>
      </c>
      <c r="D21" s="7">
        <v>0</v>
      </c>
      <c r="E21" s="7">
        <v>0</v>
      </c>
      <c r="F21" s="7">
        <v>99129.023100000006</v>
      </c>
      <c r="G21" s="6">
        <v>0</v>
      </c>
      <c r="H21" s="7">
        <v>102343.26639999999</v>
      </c>
      <c r="I21" s="7">
        <v>0</v>
      </c>
      <c r="J21" s="7">
        <v>0</v>
      </c>
      <c r="K21" s="7">
        <v>0</v>
      </c>
      <c r="L21" s="7">
        <v>102343.26639999999</v>
      </c>
      <c r="M21" s="6">
        <v>0</v>
      </c>
      <c r="N21" s="7">
        <v>103220.4360999999</v>
      </c>
      <c r="O21" s="7">
        <v>0</v>
      </c>
      <c r="P21" s="7">
        <v>0</v>
      </c>
      <c r="Q21" s="7">
        <v>0</v>
      </c>
      <c r="R21" s="7">
        <v>103220.4360999999</v>
      </c>
      <c r="S21" s="6">
        <v>0</v>
      </c>
      <c r="T21" s="6">
        <v>1.5495512499999999E-2</v>
      </c>
      <c r="U21" s="7">
        <v>95445.379079326303</v>
      </c>
      <c r="V21" s="7">
        <f>SUMIFS('Trade Log'!$N$7:$N$371,'Trade Log'!$A$7:$A$371,"A",'Trade Log'!$C$7:$C$371,A21)</f>
        <v>0</v>
      </c>
      <c r="W21" s="7">
        <f>SUMIFS('Trade Log'!$N$7:$N$371,'Trade Log'!$A$7:$A$371,"B",'Trade Log'!$C$7:$C$371,A21)</f>
        <v>0</v>
      </c>
      <c r="X21" s="7">
        <f>SUMIFS('Trade Log'!$N$7:$N$371,'Trade Log'!$A$7:$A$371,"C",'Trade Log'!$C$7:$C$371,A21)</f>
        <v>0</v>
      </c>
      <c r="Y21" s="7">
        <f t="shared" si="0"/>
        <v>0</v>
      </c>
      <c r="Z21" s="7">
        <f t="shared" si="1"/>
        <v>0</v>
      </c>
      <c r="AA21" s="7">
        <f t="shared" si="2"/>
        <v>0</v>
      </c>
    </row>
    <row r="22" spans="1:27">
      <c r="A22" s="10">
        <v>45771</v>
      </c>
      <c r="B22" s="7">
        <v>99129.023100000006</v>
      </c>
      <c r="C22" s="7">
        <v>833.99839999999995</v>
      </c>
      <c r="D22" s="7">
        <v>1.6559999999999999</v>
      </c>
      <c r="E22" s="7">
        <v>832.3424</v>
      </c>
      <c r="F22" s="7">
        <v>99961.3655</v>
      </c>
      <c r="G22" s="6">
        <v>8.3965561000000008E-3</v>
      </c>
      <c r="H22" s="7">
        <v>102343.26639999999</v>
      </c>
      <c r="I22" s="7">
        <v>-22.553000000000001</v>
      </c>
      <c r="J22" s="7">
        <v>3.42</v>
      </c>
      <c r="K22" s="7">
        <v>-25.972999999999999</v>
      </c>
      <c r="L22" s="7">
        <v>102317.2934</v>
      </c>
      <c r="M22" s="6">
        <v>-2.5378320000000001E-4</v>
      </c>
      <c r="N22" s="7">
        <v>103220.4360999999</v>
      </c>
      <c r="O22" s="7">
        <v>-11.2765</v>
      </c>
      <c r="P22" s="7">
        <v>1.71</v>
      </c>
      <c r="Q22" s="7">
        <v>-12.986499999999999</v>
      </c>
      <c r="R22" s="7">
        <v>103207.44959999991</v>
      </c>
      <c r="S22" s="6">
        <v>-1.258133E-4</v>
      </c>
      <c r="T22" s="6">
        <v>2.1048884600000001E-2</v>
      </c>
      <c r="U22" s="7">
        <v>97454.397853738206</v>
      </c>
      <c r="V22" s="7">
        <f>SUMIFS('Trade Log'!$N$7:$N$371,'Trade Log'!$A$7:$A$371,"A",'Trade Log'!$C$7:$C$371,A22)</f>
        <v>832.34240000000045</v>
      </c>
      <c r="W22" s="7">
        <f>SUMIFS('Trade Log'!$N$7:$N$371,'Trade Log'!$A$7:$A$371,"B",'Trade Log'!$C$7:$C$371,A22)</f>
        <v>-25.972999999998052</v>
      </c>
      <c r="X22" s="7">
        <f>SUMIFS('Trade Log'!$N$7:$N$371,'Trade Log'!$A$7:$A$371,"C",'Trade Log'!$C$7:$C$371,A22)</f>
        <v>-12.986499999999026</v>
      </c>
      <c r="Y22" s="7">
        <f t="shared" si="0"/>
        <v>0</v>
      </c>
      <c r="Z22" s="7">
        <f t="shared" si="1"/>
        <v>1.9468870959826745E-12</v>
      </c>
      <c r="AA22" s="7">
        <f t="shared" si="2"/>
        <v>9.7344354799133725E-13</v>
      </c>
    </row>
    <row r="23" spans="1:27">
      <c r="A23" s="10">
        <v>45772</v>
      </c>
      <c r="B23" s="7">
        <v>99961.3655</v>
      </c>
      <c r="C23" s="7">
        <v>0</v>
      </c>
      <c r="D23" s="7">
        <v>0</v>
      </c>
      <c r="E23" s="7">
        <v>0</v>
      </c>
      <c r="F23" s="7">
        <v>99961.3655</v>
      </c>
      <c r="G23" s="6">
        <v>0</v>
      </c>
      <c r="H23" s="7">
        <v>102317.2934</v>
      </c>
      <c r="I23" s="7">
        <v>0</v>
      </c>
      <c r="J23" s="7">
        <v>0</v>
      </c>
      <c r="K23" s="7">
        <v>0</v>
      </c>
      <c r="L23" s="7">
        <v>102317.2934</v>
      </c>
      <c r="M23" s="6">
        <v>0</v>
      </c>
      <c r="N23" s="7">
        <v>103207.44959999991</v>
      </c>
      <c r="O23" s="7">
        <v>0</v>
      </c>
      <c r="P23" s="7">
        <v>0</v>
      </c>
      <c r="Q23" s="7">
        <v>0</v>
      </c>
      <c r="R23" s="7">
        <v>103207.44959999991</v>
      </c>
      <c r="S23" s="6">
        <v>0</v>
      </c>
      <c r="T23" s="6">
        <v>7.2253643999999999E-3</v>
      </c>
      <c r="U23" s="7">
        <v>98158.541391089995</v>
      </c>
      <c r="V23" s="7">
        <f>SUMIFS('Trade Log'!$N$7:$N$371,'Trade Log'!$A$7:$A$371,"A",'Trade Log'!$C$7:$C$371,A23)</f>
        <v>0</v>
      </c>
      <c r="W23" s="7">
        <f>SUMIFS('Trade Log'!$N$7:$N$371,'Trade Log'!$A$7:$A$371,"B",'Trade Log'!$C$7:$C$371,A23)</f>
        <v>0</v>
      </c>
      <c r="X23" s="7">
        <f>SUMIFS('Trade Log'!$N$7:$N$371,'Trade Log'!$A$7:$A$371,"C",'Trade Log'!$C$7:$C$371,A23)</f>
        <v>0</v>
      </c>
      <c r="Y23" s="7">
        <f t="shared" si="0"/>
        <v>0</v>
      </c>
      <c r="Z23" s="7">
        <f t="shared" si="1"/>
        <v>0</v>
      </c>
      <c r="AA23" s="7">
        <f t="shared" si="2"/>
        <v>0</v>
      </c>
    </row>
    <row r="24" spans="1:27">
      <c r="A24" s="10">
        <v>45775</v>
      </c>
      <c r="B24" s="7">
        <v>99961.3655</v>
      </c>
      <c r="C24" s="7">
        <v>0</v>
      </c>
      <c r="D24" s="7">
        <v>0</v>
      </c>
      <c r="E24" s="7">
        <v>0</v>
      </c>
      <c r="F24" s="7">
        <v>99961.3655</v>
      </c>
      <c r="G24" s="6">
        <v>0</v>
      </c>
      <c r="H24" s="7">
        <v>102317.2934</v>
      </c>
      <c r="I24" s="7">
        <v>0</v>
      </c>
      <c r="J24" s="7">
        <v>0</v>
      </c>
      <c r="K24" s="7">
        <v>0</v>
      </c>
      <c r="L24" s="7">
        <v>102317.2934</v>
      </c>
      <c r="M24" s="6">
        <v>0</v>
      </c>
      <c r="N24" s="7">
        <v>103207.44959999991</v>
      </c>
      <c r="O24" s="7">
        <v>0</v>
      </c>
      <c r="P24" s="7">
        <v>0</v>
      </c>
      <c r="Q24" s="7">
        <v>0</v>
      </c>
      <c r="R24" s="7">
        <v>103207.44959999991</v>
      </c>
      <c r="S24" s="6">
        <v>0</v>
      </c>
      <c r="T24" s="6">
        <v>3.8137080000000002E-4</v>
      </c>
      <c r="U24" s="7">
        <v>98195.976189460198</v>
      </c>
      <c r="V24" s="7">
        <f>SUMIFS('Trade Log'!$N$7:$N$371,'Trade Log'!$A$7:$A$371,"A",'Trade Log'!$C$7:$C$371,A24)</f>
        <v>0</v>
      </c>
      <c r="W24" s="7">
        <f>SUMIFS('Trade Log'!$N$7:$N$371,'Trade Log'!$A$7:$A$371,"B",'Trade Log'!$C$7:$C$371,A24)</f>
        <v>0</v>
      </c>
      <c r="X24" s="7">
        <f>SUMIFS('Trade Log'!$N$7:$N$371,'Trade Log'!$A$7:$A$371,"C",'Trade Log'!$C$7:$C$371,A24)</f>
        <v>0</v>
      </c>
      <c r="Y24" s="7">
        <f t="shared" si="0"/>
        <v>0</v>
      </c>
      <c r="Z24" s="7">
        <f t="shared" si="1"/>
        <v>0</v>
      </c>
      <c r="AA24" s="7">
        <f t="shared" si="2"/>
        <v>0</v>
      </c>
    </row>
    <row r="25" spans="1:27">
      <c r="A25" s="10">
        <v>45776</v>
      </c>
      <c r="B25" s="7">
        <v>99961.3655</v>
      </c>
      <c r="C25" s="7">
        <v>0</v>
      </c>
      <c r="D25" s="7">
        <v>0</v>
      </c>
      <c r="E25" s="7">
        <v>0</v>
      </c>
      <c r="F25" s="7">
        <v>99961.3655</v>
      </c>
      <c r="G25" s="6">
        <v>0</v>
      </c>
      <c r="H25" s="7">
        <v>102317.2934</v>
      </c>
      <c r="I25" s="7">
        <v>0</v>
      </c>
      <c r="J25" s="7">
        <v>0</v>
      </c>
      <c r="K25" s="7">
        <v>0</v>
      </c>
      <c r="L25" s="7">
        <v>102317.2934</v>
      </c>
      <c r="M25" s="6">
        <v>0</v>
      </c>
      <c r="N25" s="7">
        <v>103207.44959999991</v>
      </c>
      <c r="O25" s="7">
        <v>0</v>
      </c>
      <c r="P25" s="7">
        <v>0</v>
      </c>
      <c r="Q25" s="7">
        <v>0</v>
      </c>
      <c r="R25" s="7">
        <v>103207.44959999991</v>
      </c>
      <c r="S25" s="6">
        <v>0</v>
      </c>
      <c r="T25" s="6">
        <v>6.2993477000000001E-3</v>
      </c>
      <c r="U25" s="7">
        <v>98814.546789732995</v>
      </c>
      <c r="V25" s="7">
        <f>SUMIFS('Trade Log'!$N$7:$N$371,'Trade Log'!$A$7:$A$371,"A",'Trade Log'!$C$7:$C$371,A25)</f>
        <v>0</v>
      </c>
      <c r="W25" s="7">
        <f>SUMIFS('Trade Log'!$N$7:$N$371,'Trade Log'!$A$7:$A$371,"B",'Trade Log'!$C$7:$C$371,A25)</f>
        <v>0</v>
      </c>
      <c r="X25" s="7">
        <f>SUMIFS('Trade Log'!$N$7:$N$371,'Trade Log'!$A$7:$A$371,"C",'Trade Log'!$C$7:$C$371,A25)</f>
        <v>0</v>
      </c>
      <c r="Y25" s="7">
        <f t="shared" si="0"/>
        <v>0</v>
      </c>
      <c r="Z25" s="7">
        <f t="shared" si="1"/>
        <v>0</v>
      </c>
      <c r="AA25" s="7">
        <f t="shared" si="2"/>
        <v>0</v>
      </c>
    </row>
    <row r="26" spans="1:27">
      <c r="A26" s="10">
        <v>45777</v>
      </c>
      <c r="B26" s="7">
        <v>99961.3655</v>
      </c>
      <c r="C26" s="7">
        <v>0</v>
      </c>
      <c r="D26" s="7">
        <v>0</v>
      </c>
      <c r="E26" s="7">
        <v>0</v>
      </c>
      <c r="F26" s="7">
        <v>99961.3655</v>
      </c>
      <c r="G26" s="6">
        <v>0</v>
      </c>
      <c r="H26" s="7">
        <v>102317.2934</v>
      </c>
      <c r="I26" s="7">
        <v>0</v>
      </c>
      <c r="J26" s="7">
        <v>0</v>
      </c>
      <c r="K26" s="7">
        <v>0</v>
      </c>
      <c r="L26" s="7">
        <v>102317.2934</v>
      </c>
      <c r="M26" s="6">
        <v>0</v>
      </c>
      <c r="N26" s="7">
        <v>103207.44959999991</v>
      </c>
      <c r="O26" s="7">
        <v>0</v>
      </c>
      <c r="P26" s="7">
        <v>0</v>
      </c>
      <c r="Q26" s="7">
        <v>0</v>
      </c>
      <c r="R26" s="7">
        <v>103207.44959999991</v>
      </c>
      <c r="S26" s="6">
        <v>0</v>
      </c>
      <c r="T26" s="6">
        <v>3.9680109999999999E-4</v>
      </c>
      <c r="U26" s="7">
        <v>98853.756513888002</v>
      </c>
      <c r="V26" s="7">
        <f>SUMIFS('Trade Log'!$N$7:$N$371,'Trade Log'!$A$7:$A$371,"A",'Trade Log'!$C$7:$C$371,A26)</f>
        <v>0</v>
      </c>
      <c r="W26" s="7">
        <f>SUMIFS('Trade Log'!$N$7:$N$371,'Trade Log'!$A$7:$A$371,"B",'Trade Log'!$C$7:$C$371,A26)</f>
        <v>0</v>
      </c>
      <c r="X26" s="7">
        <f>SUMIFS('Trade Log'!$N$7:$N$371,'Trade Log'!$A$7:$A$371,"C",'Trade Log'!$C$7:$C$371,A26)</f>
        <v>0</v>
      </c>
      <c r="Y26" s="7">
        <f t="shared" si="0"/>
        <v>0</v>
      </c>
      <c r="Z26" s="7">
        <f t="shared" si="1"/>
        <v>0</v>
      </c>
      <c r="AA26" s="7">
        <f t="shared" si="2"/>
        <v>0</v>
      </c>
    </row>
    <row r="27" spans="1:27">
      <c r="A27" s="10">
        <v>45778</v>
      </c>
      <c r="B27" s="7">
        <v>99961.3655</v>
      </c>
      <c r="C27" s="7">
        <v>-875.65009999999995</v>
      </c>
      <c r="D27" s="7">
        <v>1.611</v>
      </c>
      <c r="E27" s="7">
        <v>-877.26110000000006</v>
      </c>
      <c r="F27" s="7">
        <v>99084.104399999997</v>
      </c>
      <c r="G27" s="6">
        <v>-8.7760015999999996E-3</v>
      </c>
      <c r="H27" s="7">
        <v>102317.2934</v>
      </c>
      <c r="I27" s="7">
        <v>-3.6417000000000002</v>
      </c>
      <c r="J27" s="7">
        <v>1.647</v>
      </c>
      <c r="K27" s="7">
        <v>-5.2887000000000004</v>
      </c>
      <c r="L27" s="7">
        <v>102312.0047</v>
      </c>
      <c r="M27" s="6">
        <v>-5.16892E-5</v>
      </c>
      <c r="N27" s="7">
        <v>103207.44959999991</v>
      </c>
      <c r="O27" s="7">
        <v>-3.8008999999999999</v>
      </c>
      <c r="P27" s="7">
        <v>1.7190000000000001</v>
      </c>
      <c r="Q27" s="7">
        <v>-5.5198999999999998</v>
      </c>
      <c r="R27" s="7">
        <v>103201.92969999991</v>
      </c>
      <c r="S27" s="6">
        <v>-5.3483499999999997E-5</v>
      </c>
      <c r="T27" s="6">
        <v>7.0869918000000002E-3</v>
      </c>
      <c r="U27" s="7">
        <v>99554.332271126899</v>
      </c>
      <c r="V27" s="7">
        <f>SUMIFS('Trade Log'!$N$7:$N$371,'Trade Log'!$A$7:$A$371,"A",'Trade Log'!$C$7:$C$371,A27)</f>
        <v>-877.26109999999358</v>
      </c>
      <c r="W27" s="7">
        <f>SUMIFS('Trade Log'!$N$7:$N$371,'Trade Log'!$A$7:$A$371,"B",'Trade Log'!$C$7:$C$371,A27)</f>
        <v>-5.2887000000012652</v>
      </c>
      <c r="X27" s="7">
        <f>SUMIFS('Trade Log'!$N$7:$N$371,'Trade Log'!$A$7:$A$371,"C",'Trade Log'!$C$7:$C$371,A27)</f>
        <v>-5.5199000000013196</v>
      </c>
      <c r="Y27" s="7">
        <f t="shared" si="0"/>
        <v>6.4801497501321137E-12</v>
      </c>
      <c r="Z27" s="7">
        <f t="shared" si="1"/>
        <v>-1.2647660696529783E-12</v>
      </c>
      <c r="AA27" s="7">
        <f t="shared" si="2"/>
        <v>-1.3198331316743861E-12</v>
      </c>
    </row>
    <row r="28" spans="1:27">
      <c r="A28" s="10">
        <v>45779</v>
      </c>
      <c r="B28" s="7">
        <v>99084.104399999997</v>
      </c>
      <c r="C28" s="7">
        <v>81.822400000000002</v>
      </c>
      <c r="D28" s="7">
        <v>1.5840000000000001</v>
      </c>
      <c r="E28" s="7">
        <v>80.238399999999999</v>
      </c>
      <c r="F28" s="7">
        <v>99164.342799999999</v>
      </c>
      <c r="G28" s="6">
        <v>8.0980090000000004E-4</v>
      </c>
      <c r="H28" s="7">
        <v>102312.0047</v>
      </c>
      <c r="I28" s="7">
        <v>-96.350800000000007</v>
      </c>
      <c r="J28" s="7">
        <v>1.6379999999999999</v>
      </c>
      <c r="K28" s="7">
        <v>-97.988799999999998</v>
      </c>
      <c r="L28" s="7">
        <v>102214.0159</v>
      </c>
      <c r="M28" s="6">
        <v>-9.5774490000000005E-4</v>
      </c>
      <c r="N28" s="7">
        <v>103201.92969999991</v>
      </c>
      <c r="O28" s="7">
        <v>-135.5264</v>
      </c>
      <c r="P28" s="7">
        <v>2.3039999999999998</v>
      </c>
      <c r="Q28" s="7">
        <v>-137.8304</v>
      </c>
      <c r="R28" s="7">
        <v>103064.0992999999</v>
      </c>
      <c r="S28" s="6">
        <v>-1.3355409E-3</v>
      </c>
      <c r="T28" s="6">
        <v>1.48441158E-2</v>
      </c>
      <c r="U28" s="7">
        <v>101032.12830813001</v>
      </c>
      <c r="V28" s="7">
        <f>SUMIFS('Trade Log'!$N$7:$N$371,'Trade Log'!$A$7:$A$371,"A",'Trade Log'!$C$7:$C$371,A28)</f>
        <v>80.238400000010017</v>
      </c>
      <c r="W28" s="7">
        <f>SUMIFS('Trade Log'!$N$7:$N$371,'Trade Log'!$A$7:$A$371,"B",'Trade Log'!$C$7:$C$371,A28)</f>
        <v>-97.98880000000176</v>
      </c>
      <c r="X28" s="7">
        <f>SUMIFS('Trade Log'!$N$7:$N$371,'Trade Log'!$A$7:$A$371,"C",'Trade Log'!$C$7:$C$371,A28)</f>
        <v>-137.83040000000247</v>
      </c>
      <c r="Y28" s="7">
        <f t="shared" si="0"/>
        <v>1.0018652574217413E-11</v>
      </c>
      <c r="Z28" s="7">
        <f t="shared" si="1"/>
        <v>-1.7621459846850485E-12</v>
      </c>
      <c r="AA28" s="7">
        <f t="shared" si="2"/>
        <v>-2.4726887204451486E-12</v>
      </c>
    </row>
    <row r="29" spans="1:27">
      <c r="A29" s="10">
        <v>45782</v>
      </c>
      <c r="B29" s="7">
        <v>99164.342799999999</v>
      </c>
      <c r="C29" s="7">
        <v>0</v>
      </c>
      <c r="D29" s="7">
        <v>0</v>
      </c>
      <c r="E29" s="7">
        <v>0</v>
      </c>
      <c r="F29" s="7">
        <v>99164.342799999999</v>
      </c>
      <c r="G29" s="6">
        <v>0</v>
      </c>
      <c r="H29" s="7">
        <v>102214.0159</v>
      </c>
      <c r="I29" s="7">
        <v>0</v>
      </c>
      <c r="J29" s="7">
        <v>0</v>
      </c>
      <c r="K29" s="7">
        <v>0</v>
      </c>
      <c r="L29" s="7">
        <v>102214.0159</v>
      </c>
      <c r="M29" s="6">
        <v>0</v>
      </c>
      <c r="N29" s="7">
        <v>103064.0992999999</v>
      </c>
      <c r="O29" s="7">
        <v>0</v>
      </c>
      <c r="P29" s="7">
        <v>0</v>
      </c>
      <c r="Q29" s="7">
        <v>0</v>
      </c>
      <c r="R29" s="7">
        <v>103064.0992999999</v>
      </c>
      <c r="S29" s="6">
        <v>0</v>
      </c>
      <c r="T29" s="6">
        <v>-5.7342447000000001E-3</v>
      </c>
      <c r="U29" s="7">
        <v>100452.7853605555</v>
      </c>
      <c r="V29" s="7">
        <f>SUMIFS('Trade Log'!$N$7:$N$371,'Trade Log'!$A$7:$A$371,"A",'Trade Log'!$C$7:$C$371,A29)</f>
        <v>0</v>
      </c>
      <c r="W29" s="7">
        <f>SUMIFS('Trade Log'!$N$7:$N$371,'Trade Log'!$A$7:$A$371,"B",'Trade Log'!$C$7:$C$371,A29)</f>
        <v>0</v>
      </c>
      <c r="X29" s="7">
        <f>SUMIFS('Trade Log'!$N$7:$N$371,'Trade Log'!$A$7:$A$371,"C",'Trade Log'!$C$7:$C$371,A29)</f>
        <v>0</v>
      </c>
      <c r="Y29" s="7">
        <f t="shared" si="0"/>
        <v>0</v>
      </c>
      <c r="Z29" s="7">
        <f t="shared" si="1"/>
        <v>0</v>
      </c>
      <c r="AA29" s="7">
        <f t="shared" si="2"/>
        <v>0</v>
      </c>
    </row>
    <row r="30" spans="1:27">
      <c r="A30" s="10">
        <v>45783</v>
      </c>
      <c r="B30" s="7">
        <v>99164.342799999999</v>
      </c>
      <c r="C30" s="7">
        <v>0</v>
      </c>
      <c r="D30" s="7">
        <v>0</v>
      </c>
      <c r="E30" s="7">
        <v>0</v>
      </c>
      <c r="F30" s="7">
        <v>99164.342799999999</v>
      </c>
      <c r="G30" s="6">
        <v>0</v>
      </c>
      <c r="H30" s="7">
        <v>102214.0159</v>
      </c>
      <c r="I30" s="7">
        <v>0</v>
      </c>
      <c r="J30" s="7">
        <v>0</v>
      </c>
      <c r="K30" s="7">
        <v>0</v>
      </c>
      <c r="L30" s="7">
        <v>102214.0159</v>
      </c>
      <c r="M30" s="6">
        <v>0</v>
      </c>
      <c r="N30" s="7">
        <v>103064.0992999999</v>
      </c>
      <c r="O30" s="7">
        <v>0</v>
      </c>
      <c r="P30" s="7">
        <v>0</v>
      </c>
      <c r="Q30" s="7">
        <v>0</v>
      </c>
      <c r="R30" s="7">
        <v>103064.0992999999</v>
      </c>
      <c r="S30" s="6">
        <v>0</v>
      </c>
      <c r="T30" s="6">
        <v>-8.3584495999999998E-3</v>
      </c>
      <c r="U30" s="7">
        <v>99613.155821631095</v>
      </c>
      <c r="V30" s="7">
        <f>SUMIFS('Trade Log'!$N$7:$N$371,'Trade Log'!$A$7:$A$371,"A",'Trade Log'!$C$7:$C$371,A30)</f>
        <v>0</v>
      </c>
      <c r="W30" s="7">
        <f>SUMIFS('Trade Log'!$N$7:$N$371,'Trade Log'!$A$7:$A$371,"B",'Trade Log'!$C$7:$C$371,A30)</f>
        <v>0</v>
      </c>
      <c r="X30" s="7">
        <f>SUMIFS('Trade Log'!$N$7:$N$371,'Trade Log'!$A$7:$A$371,"C",'Trade Log'!$C$7:$C$371,A30)</f>
        <v>0</v>
      </c>
      <c r="Y30" s="7">
        <f t="shared" si="0"/>
        <v>0</v>
      </c>
      <c r="Z30" s="7">
        <f t="shared" si="1"/>
        <v>0</v>
      </c>
      <c r="AA30" s="7">
        <f t="shared" si="2"/>
        <v>0</v>
      </c>
    </row>
    <row r="31" spans="1:27">
      <c r="A31" s="10">
        <v>45784</v>
      </c>
      <c r="B31" s="7">
        <v>99164.342799999999</v>
      </c>
      <c r="C31" s="7">
        <v>0</v>
      </c>
      <c r="D31" s="7">
        <v>0</v>
      </c>
      <c r="E31" s="7">
        <v>0</v>
      </c>
      <c r="F31" s="7">
        <v>99164.342799999999</v>
      </c>
      <c r="G31" s="6">
        <v>0</v>
      </c>
      <c r="H31" s="7">
        <v>102214.0159</v>
      </c>
      <c r="I31" s="7">
        <v>0</v>
      </c>
      <c r="J31" s="7">
        <v>0</v>
      </c>
      <c r="K31" s="7">
        <v>0</v>
      </c>
      <c r="L31" s="7">
        <v>102214.0159</v>
      </c>
      <c r="M31" s="6">
        <v>0</v>
      </c>
      <c r="N31" s="7">
        <v>103064.0992999999</v>
      </c>
      <c r="O31" s="7">
        <v>0</v>
      </c>
      <c r="P31" s="7">
        <v>0</v>
      </c>
      <c r="Q31" s="7">
        <v>0</v>
      </c>
      <c r="R31" s="7">
        <v>103064.0992999999</v>
      </c>
      <c r="S31" s="6">
        <v>0</v>
      </c>
      <c r="T31" s="6">
        <v>4.2054520000000001E-3</v>
      </c>
      <c r="U31" s="7">
        <v>100032.0741639293</v>
      </c>
      <c r="V31" s="7">
        <f>SUMIFS('Trade Log'!$N$7:$N$371,'Trade Log'!$A$7:$A$371,"A",'Trade Log'!$C$7:$C$371,A31)</f>
        <v>0</v>
      </c>
      <c r="W31" s="7">
        <f>SUMIFS('Trade Log'!$N$7:$N$371,'Trade Log'!$A$7:$A$371,"B",'Trade Log'!$C$7:$C$371,A31)</f>
        <v>0</v>
      </c>
      <c r="X31" s="7">
        <f>SUMIFS('Trade Log'!$N$7:$N$371,'Trade Log'!$A$7:$A$371,"C",'Trade Log'!$C$7:$C$371,A31)</f>
        <v>0</v>
      </c>
      <c r="Y31" s="7">
        <f t="shared" si="0"/>
        <v>0</v>
      </c>
      <c r="Z31" s="7">
        <f t="shared" si="1"/>
        <v>0</v>
      </c>
      <c r="AA31" s="7">
        <f t="shared" si="2"/>
        <v>0</v>
      </c>
    </row>
    <row r="32" spans="1:27">
      <c r="A32" s="10">
        <v>45785</v>
      </c>
      <c r="B32" s="7">
        <v>99164.342799999999</v>
      </c>
      <c r="C32" s="7">
        <v>-579.23360000000002</v>
      </c>
      <c r="D32" s="7">
        <v>1.5840000000000001</v>
      </c>
      <c r="E32" s="7">
        <v>-580.81759999999997</v>
      </c>
      <c r="F32" s="7">
        <v>98583.525200000004</v>
      </c>
      <c r="G32" s="6">
        <v>-5.8571214999999996E-3</v>
      </c>
      <c r="H32" s="7">
        <v>102214.0159</v>
      </c>
      <c r="I32" s="7">
        <v>-649.649</v>
      </c>
      <c r="J32" s="7">
        <v>3.2759999999999998</v>
      </c>
      <c r="K32" s="7">
        <v>-652.92499999999995</v>
      </c>
      <c r="L32" s="7">
        <v>101561.0909</v>
      </c>
      <c r="M32" s="6">
        <v>-6.3878225999999998E-3</v>
      </c>
      <c r="N32" s="7">
        <v>103064.0992999999</v>
      </c>
      <c r="O32" s="7">
        <v>-1031.5854999999999</v>
      </c>
      <c r="P32" s="7">
        <v>5.202</v>
      </c>
      <c r="Q32" s="7">
        <v>-1036.7874999999999</v>
      </c>
      <c r="R32" s="7">
        <v>102027.31179999989</v>
      </c>
      <c r="S32" s="6">
        <v>-1.00596377E-2</v>
      </c>
      <c r="T32" s="6">
        <v>6.9678448999999998E-3</v>
      </c>
      <c r="U32" s="7">
        <v>100729.0821410553</v>
      </c>
      <c r="V32" s="7">
        <f>SUMIFS('Trade Log'!$N$7:$N$371,'Trade Log'!$A$7:$A$371,"A",'Trade Log'!$C$7:$C$371,A32)</f>
        <v>-580.81760000000497</v>
      </c>
      <c r="W32" s="7">
        <f>SUMIFS('Trade Log'!$N$7:$N$371,'Trade Log'!$A$7:$A$371,"B",'Trade Log'!$C$7:$C$371,A32)</f>
        <v>-652.92499999999063</v>
      </c>
      <c r="X32" s="7">
        <f>SUMIFS('Trade Log'!$N$7:$N$371,'Trade Log'!$A$7:$A$371,"C",'Trade Log'!$C$7:$C$371,A32)</f>
        <v>-1036.7874999999849</v>
      </c>
      <c r="Y32" s="7">
        <f t="shared" si="0"/>
        <v>-5.0022208597511053E-12</v>
      </c>
      <c r="Z32" s="7">
        <f t="shared" si="1"/>
        <v>9.3223206931725144E-12</v>
      </c>
      <c r="AA32" s="7">
        <f t="shared" si="2"/>
        <v>1.5006662579253316E-11</v>
      </c>
    </row>
    <row r="33" spans="1:27">
      <c r="A33" s="10">
        <v>45786</v>
      </c>
      <c r="B33" s="7">
        <v>98583.525200000004</v>
      </c>
      <c r="C33" s="7">
        <v>0</v>
      </c>
      <c r="D33" s="7">
        <v>0</v>
      </c>
      <c r="E33" s="7">
        <v>0</v>
      </c>
      <c r="F33" s="7">
        <v>98583.525200000004</v>
      </c>
      <c r="G33" s="6">
        <v>0</v>
      </c>
      <c r="H33" s="7">
        <v>101561.0909</v>
      </c>
      <c r="I33" s="7">
        <v>0</v>
      </c>
      <c r="J33" s="7">
        <v>0</v>
      </c>
      <c r="K33" s="7">
        <v>0</v>
      </c>
      <c r="L33" s="7">
        <v>101561.0909</v>
      </c>
      <c r="M33" s="6">
        <v>0</v>
      </c>
      <c r="N33" s="7">
        <v>102027.31179999989</v>
      </c>
      <c r="O33" s="7">
        <v>0</v>
      </c>
      <c r="P33" s="7">
        <v>0</v>
      </c>
      <c r="Q33" s="7">
        <v>0</v>
      </c>
      <c r="R33" s="7">
        <v>102027.31179999989</v>
      </c>
      <c r="S33" s="6">
        <v>0</v>
      </c>
      <c r="T33" s="6">
        <v>-1.2742143E-3</v>
      </c>
      <c r="U33" s="7">
        <v>100600.7316997084</v>
      </c>
      <c r="V33" s="7">
        <f>SUMIFS('Trade Log'!$N$7:$N$371,'Trade Log'!$A$7:$A$371,"A",'Trade Log'!$C$7:$C$371,A33)</f>
        <v>0</v>
      </c>
      <c r="W33" s="7">
        <f>SUMIFS('Trade Log'!$N$7:$N$371,'Trade Log'!$A$7:$A$371,"B",'Trade Log'!$C$7:$C$371,A33)</f>
        <v>0</v>
      </c>
      <c r="X33" s="7">
        <f>SUMIFS('Trade Log'!$N$7:$N$371,'Trade Log'!$A$7:$A$371,"C",'Trade Log'!$C$7:$C$371,A33)</f>
        <v>0</v>
      </c>
      <c r="Y33" s="7">
        <f t="shared" si="0"/>
        <v>0</v>
      </c>
      <c r="Z33" s="7">
        <f t="shared" si="1"/>
        <v>0</v>
      </c>
      <c r="AA33" s="7">
        <f t="shared" si="2"/>
        <v>0</v>
      </c>
    </row>
    <row r="34" spans="1:27">
      <c r="A34" s="10">
        <v>45789</v>
      </c>
      <c r="B34" s="7">
        <v>98583.525200000004</v>
      </c>
      <c r="C34" s="7">
        <v>0</v>
      </c>
      <c r="D34" s="7">
        <v>0</v>
      </c>
      <c r="E34" s="7">
        <v>0</v>
      </c>
      <c r="F34" s="7">
        <v>98583.525200000004</v>
      </c>
      <c r="G34" s="6">
        <v>0</v>
      </c>
      <c r="H34" s="7">
        <v>101561.0909</v>
      </c>
      <c r="I34" s="7">
        <v>0</v>
      </c>
      <c r="J34" s="7">
        <v>0</v>
      </c>
      <c r="K34" s="7">
        <v>0</v>
      </c>
      <c r="L34" s="7">
        <v>101561.0909</v>
      </c>
      <c r="M34" s="6">
        <v>0</v>
      </c>
      <c r="N34" s="7">
        <v>102027.31179999989</v>
      </c>
      <c r="O34" s="7">
        <v>0</v>
      </c>
      <c r="P34" s="7">
        <v>0</v>
      </c>
      <c r="Q34" s="7">
        <v>0</v>
      </c>
      <c r="R34" s="7">
        <v>102027.31179999989</v>
      </c>
      <c r="S34" s="6">
        <v>0</v>
      </c>
      <c r="T34" s="6">
        <v>3.3047447000000001E-2</v>
      </c>
      <c r="U34" s="7">
        <v>103925.3290515191</v>
      </c>
      <c r="V34" s="7">
        <f>SUMIFS('Trade Log'!$N$7:$N$371,'Trade Log'!$A$7:$A$371,"A",'Trade Log'!$C$7:$C$371,A34)</f>
        <v>0</v>
      </c>
      <c r="W34" s="7">
        <f>SUMIFS('Trade Log'!$N$7:$N$371,'Trade Log'!$A$7:$A$371,"B",'Trade Log'!$C$7:$C$371,A34)</f>
        <v>0</v>
      </c>
      <c r="X34" s="7">
        <f>SUMIFS('Trade Log'!$N$7:$N$371,'Trade Log'!$A$7:$A$371,"C",'Trade Log'!$C$7:$C$371,A34)</f>
        <v>0</v>
      </c>
      <c r="Y34" s="7">
        <f t="shared" si="0"/>
        <v>0</v>
      </c>
      <c r="Z34" s="7">
        <f t="shared" si="1"/>
        <v>0</v>
      </c>
      <c r="AA34" s="7">
        <f t="shared" si="2"/>
        <v>0</v>
      </c>
    </row>
    <row r="35" spans="1:27">
      <c r="A35" s="10">
        <v>45790</v>
      </c>
      <c r="B35" s="7">
        <v>98583.525200000004</v>
      </c>
      <c r="C35" s="7">
        <v>0</v>
      </c>
      <c r="D35" s="7">
        <v>0</v>
      </c>
      <c r="E35" s="7">
        <v>0</v>
      </c>
      <c r="F35" s="7">
        <v>98583.525200000004</v>
      </c>
      <c r="G35" s="6">
        <v>0</v>
      </c>
      <c r="H35" s="7">
        <v>101561.0909</v>
      </c>
      <c r="I35" s="7">
        <v>0</v>
      </c>
      <c r="J35" s="7">
        <v>0</v>
      </c>
      <c r="K35" s="7">
        <v>0</v>
      </c>
      <c r="L35" s="7">
        <v>101561.0909</v>
      </c>
      <c r="M35" s="6">
        <v>0</v>
      </c>
      <c r="N35" s="7">
        <v>102027.31179999989</v>
      </c>
      <c r="O35" s="7">
        <v>0</v>
      </c>
      <c r="P35" s="7">
        <v>0</v>
      </c>
      <c r="Q35" s="7">
        <v>0</v>
      </c>
      <c r="R35" s="7">
        <v>102027.31179999989</v>
      </c>
      <c r="S35" s="6">
        <v>0</v>
      </c>
      <c r="T35" s="6">
        <v>6.6039970000000003E-3</v>
      </c>
      <c r="U35" s="7">
        <v>104611.65161684981</v>
      </c>
      <c r="V35" s="7">
        <f>SUMIFS('Trade Log'!$N$7:$N$371,'Trade Log'!$A$7:$A$371,"A",'Trade Log'!$C$7:$C$371,A35)</f>
        <v>0</v>
      </c>
      <c r="W35" s="7">
        <f>SUMIFS('Trade Log'!$N$7:$N$371,'Trade Log'!$A$7:$A$371,"B",'Trade Log'!$C$7:$C$371,A35)</f>
        <v>0</v>
      </c>
      <c r="X35" s="7">
        <f>SUMIFS('Trade Log'!$N$7:$N$371,'Trade Log'!$A$7:$A$371,"C",'Trade Log'!$C$7:$C$371,A35)</f>
        <v>0</v>
      </c>
      <c r="Y35" s="7">
        <f t="shared" si="0"/>
        <v>0</v>
      </c>
      <c r="Z35" s="7">
        <f t="shared" si="1"/>
        <v>0</v>
      </c>
      <c r="AA35" s="7">
        <f t="shared" si="2"/>
        <v>0</v>
      </c>
    </row>
    <row r="36" spans="1:27">
      <c r="A36" s="10">
        <v>45791</v>
      </c>
      <c r="B36" s="7">
        <v>98583.525200000004</v>
      </c>
      <c r="C36" s="7">
        <v>0</v>
      </c>
      <c r="D36" s="7">
        <v>0</v>
      </c>
      <c r="E36" s="7">
        <v>0</v>
      </c>
      <c r="F36" s="7">
        <v>98583.525200000004</v>
      </c>
      <c r="G36" s="6">
        <v>0</v>
      </c>
      <c r="H36" s="7">
        <v>101561.0909</v>
      </c>
      <c r="I36" s="7">
        <v>0</v>
      </c>
      <c r="J36" s="7">
        <v>0</v>
      </c>
      <c r="K36" s="7">
        <v>0</v>
      </c>
      <c r="L36" s="7">
        <v>101561.0909</v>
      </c>
      <c r="M36" s="6">
        <v>0</v>
      </c>
      <c r="N36" s="7">
        <v>102027.31179999989</v>
      </c>
      <c r="O36" s="7">
        <v>0</v>
      </c>
      <c r="P36" s="7">
        <v>0</v>
      </c>
      <c r="Q36" s="7">
        <v>0</v>
      </c>
      <c r="R36" s="7">
        <v>102027.31179999989</v>
      </c>
      <c r="S36" s="6">
        <v>0</v>
      </c>
      <c r="T36" s="6">
        <v>1.2779948E-3</v>
      </c>
      <c r="U36" s="7">
        <v>104745.34476409441</v>
      </c>
      <c r="V36" s="7">
        <f>SUMIFS('Trade Log'!$N$7:$N$371,'Trade Log'!$A$7:$A$371,"A",'Trade Log'!$C$7:$C$371,A36)</f>
        <v>0</v>
      </c>
      <c r="W36" s="7">
        <f>SUMIFS('Trade Log'!$N$7:$N$371,'Trade Log'!$A$7:$A$371,"B",'Trade Log'!$C$7:$C$371,A36)</f>
        <v>0</v>
      </c>
      <c r="X36" s="7">
        <f>SUMIFS('Trade Log'!$N$7:$N$371,'Trade Log'!$A$7:$A$371,"C",'Trade Log'!$C$7:$C$371,A36)</f>
        <v>0</v>
      </c>
      <c r="Y36" s="7">
        <f t="shared" si="0"/>
        <v>0</v>
      </c>
      <c r="Z36" s="7">
        <f t="shared" si="1"/>
        <v>0</v>
      </c>
      <c r="AA36" s="7">
        <f t="shared" si="2"/>
        <v>0</v>
      </c>
    </row>
    <row r="37" spans="1:27">
      <c r="A37" s="10">
        <v>45792</v>
      </c>
      <c r="B37" s="7">
        <v>98583.525200000004</v>
      </c>
      <c r="C37" s="7">
        <v>0</v>
      </c>
      <c r="D37" s="7">
        <v>0</v>
      </c>
      <c r="E37" s="7">
        <v>0</v>
      </c>
      <c r="F37" s="7">
        <v>98583.525200000004</v>
      </c>
      <c r="G37" s="6">
        <v>0</v>
      </c>
      <c r="H37" s="7">
        <v>101561.0909</v>
      </c>
      <c r="I37" s="7">
        <v>0</v>
      </c>
      <c r="J37" s="7">
        <v>0</v>
      </c>
      <c r="K37" s="7">
        <v>0</v>
      </c>
      <c r="L37" s="7">
        <v>101561.0909</v>
      </c>
      <c r="M37" s="6">
        <v>0</v>
      </c>
      <c r="N37" s="7">
        <v>102027.31179999989</v>
      </c>
      <c r="O37" s="7">
        <v>0</v>
      </c>
      <c r="P37" s="7">
        <v>0</v>
      </c>
      <c r="Q37" s="7">
        <v>0</v>
      </c>
      <c r="R37" s="7">
        <v>102027.31179999989</v>
      </c>
      <c r="S37" s="6">
        <v>0</v>
      </c>
      <c r="T37" s="6">
        <v>4.8843117000000004E-3</v>
      </c>
      <c r="U37" s="7">
        <v>105256.9536751542</v>
      </c>
      <c r="V37" s="7">
        <f>SUMIFS('Trade Log'!$N$7:$N$371,'Trade Log'!$A$7:$A$371,"A",'Trade Log'!$C$7:$C$371,A37)</f>
        <v>0</v>
      </c>
      <c r="W37" s="7">
        <f>SUMIFS('Trade Log'!$N$7:$N$371,'Trade Log'!$A$7:$A$371,"B",'Trade Log'!$C$7:$C$371,A37)</f>
        <v>0</v>
      </c>
      <c r="X37" s="7">
        <f>SUMIFS('Trade Log'!$N$7:$N$371,'Trade Log'!$A$7:$A$371,"C",'Trade Log'!$C$7:$C$371,A37)</f>
        <v>0</v>
      </c>
      <c r="Y37" s="7">
        <f t="shared" si="0"/>
        <v>0</v>
      </c>
      <c r="Z37" s="7">
        <f t="shared" si="1"/>
        <v>0</v>
      </c>
      <c r="AA37" s="7">
        <f t="shared" si="2"/>
        <v>0</v>
      </c>
    </row>
    <row r="38" spans="1:27">
      <c r="A38" s="10">
        <v>45793</v>
      </c>
      <c r="B38" s="7">
        <v>98583.525200000004</v>
      </c>
      <c r="C38" s="7">
        <v>68.085899999999995</v>
      </c>
      <c r="D38" s="7">
        <v>1.5029999999999999</v>
      </c>
      <c r="E38" s="7">
        <v>66.582899999999995</v>
      </c>
      <c r="F38" s="7">
        <v>98650.108099999998</v>
      </c>
      <c r="G38" s="6">
        <v>6.7539580000000002E-4</v>
      </c>
      <c r="H38" s="7">
        <v>101561.0909</v>
      </c>
      <c r="I38" s="7">
        <v>70.124399999999994</v>
      </c>
      <c r="J38" s="7">
        <v>1.548</v>
      </c>
      <c r="K38" s="7">
        <v>68.576400000000007</v>
      </c>
      <c r="L38" s="7">
        <v>101629.6673</v>
      </c>
      <c r="M38" s="6">
        <v>6.7522320000000004E-4</v>
      </c>
      <c r="N38" s="7">
        <v>102027.31179999989</v>
      </c>
      <c r="O38" s="7">
        <v>142.28729999999999</v>
      </c>
      <c r="P38" s="7">
        <v>3.141</v>
      </c>
      <c r="Q38" s="7">
        <v>139.1463</v>
      </c>
      <c r="R38" s="7">
        <v>102166.4580999999</v>
      </c>
      <c r="S38" s="6">
        <v>1.3638141999999999E-3</v>
      </c>
      <c r="T38" s="6">
        <v>6.3341064000000001E-3</v>
      </c>
      <c r="U38" s="7">
        <v>105923.6624141357</v>
      </c>
      <c r="V38" s="7">
        <f>SUMIFS('Trade Log'!$N$7:$N$371,'Trade Log'!$A$7:$A$371,"A",'Trade Log'!$C$7:$C$371,A38)</f>
        <v>66.582899999996172</v>
      </c>
      <c r="W38" s="7">
        <f>SUMIFS('Trade Log'!$N$7:$N$371,'Trade Log'!$A$7:$A$371,"B",'Trade Log'!$C$7:$C$371,A38)</f>
        <v>68.576399999996056</v>
      </c>
      <c r="X38" s="7">
        <f>SUMIFS('Trade Log'!$N$7:$N$371,'Trade Log'!$A$7:$A$371,"C",'Trade Log'!$C$7:$C$371,A38)</f>
        <v>139.14629999999201</v>
      </c>
      <c r="Y38" s="7">
        <f t="shared" si="0"/>
        <v>-3.822719918389339E-12</v>
      </c>
      <c r="Z38" s="7">
        <f t="shared" si="1"/>
        <v>-3.950617610826157E-12</v>
      </c>
      <c r="AA38" s="7">
        <f t="shared" si="2"/>
        <v>-7.9865003499435261E-12</v>
      </c>
    </row>
    <row r="39" spans="1:27">
      <c r="A39" s="10">
        <v>45796</v>
      </c>
      <c r="B39" s="7">
        <v>98650.108099999998</v>
      </c>
      <c r="C39" s="7">
        <v>0</v>
      </c>
      <c r="D39" s="7">
        <v>0</v>
      </c>
      <c r="E39" s="7">
        <v>0</v>
      </c>
      <c r="F39" s="7">
        <v>98650.108099999998</v>
      </c>
      <c r="G39" s="6">
        <v>0</v>
      </c>
      <c r="H39" s="7">
        <v>101629.6673</v>
      </c>
      <c r="I39" s="7">
        <v>0</v>
      </c>
      <c r="J39" s="7">
        <v>0</v>
      </c>
      <c r="K39" s="7">
        <v>0</v>
      </c>
      <c r="L39" s="7">
        <v>101629.6673</v>
      </c>
      <c r="M39" s="6">
        <v>0</v>
      </c>
      <c r="N39" s="7">
        <v>102166.4580999999</v>
      </c>
      <c r="O39" s="7">
        <v>0</v>
      </c>
      <c r="P39" s="7">
        <v>0</v>
      </c>
      <c r="Q39" s="7">
        <v>0</v>
      </c>
      <c r="R39" s="7">
        <v>102166.4580999999</v>
      </c>
      <c r="S39" s="6">
        <v>0</v>
      </c>
      <c r="T39" s="6">
        <v>1.0939215E-3</v>
      </c>
      <c r="U39" s="7">
        <v>106039.5345893593</v>
      </c>
      <c r="V39" s="7">
        <f>SUMIFS('Trade Log'!$N$7:$N$371,'Trade Log'!$A$7:$A$371,"A",'Trade Log'!$C$7:$C$371,A39)</f>
        <v>0</v>
      </c>
      <c r="W39" s="7">
        <f>SUMIFS('Trade Log'!$N$7:$N$371,'Trade Log'!$A$7:$A$371,"B",'Trade Log'!$C$7:$C$371,A39)</f>
        <v>0</v>
      </c>
      <c r="X39" s="7">
        <f>SUMIFS('Trade Log'!$N$7:$N$371,'Trade Log'!$A$7:$A$371,"C",'Trade Log'!$C$7:$C$371,A39)</f>
        <v>0</v>
      </c>
      <c r="Y39" s="7">
        <f t="shared" ref="Y39:Y70" si="3">V39-E39</f>
        <v>0</v>
      </c>
      <c r="Z39" s="7">
        <f t="shared" ref="Z39:Z70" si="4">W39-K39</f>
        <v>0</v>
      </c>
      <c r="AA39" s="7">
        <f t="shared" ref="AA39:AA70" si="5">X39-Q39</f>
        <v>0</v>
      </c>
    </row>
    <row r="40" spans="1:27">
      <c r="A40" s="10">
        <v>45797</v>
      </c>
      <c r="B40" s="7">
        <v>98650.108099999998</v>
      </c>
      <c r="C40" s="7">
        <v>0</v>
      </c>
      <c r="D40" s="7">
        <v>0</v>
      </c>
      <c r="E40" s="7">
        <v>0</v>
      </c>
      <c r="F40" s="7">
        <v>98650.108099999998</v>
      </c>
      <c r="G40" s="6">
        <v>0</v>
      </c>
      <c r="H40" s="7">
        <v>101629.6673</v>
      </c>
      <c r="I40" s="7">
        <v>0</v>
      </c>
      <c r="J40" s="7">
        <v>0</v>
      </c>
      <c r="K40" s="7">
        <v>0</v>
      </c>
      <c r="L40" s="7">
        <v>101629.6673</v>
      </c>
      <c r="M40" s="6">
        <v>0</v>
      </c>
      <c r="N40" s="7">
        <v>102166.4580999999</v>
      </c>
      <c r="O40" s="7">
        <v>0</v>
      </c>
      <c r="P40" s="7">
        <v>0</v>
      </c>
      <c r="Q40" s="7">
        <v>0</v>
      </c>
      <c r="R40" s="7">
        <v>102166.4580999999</v>
      </c>
      <c r="S40" s="6">
        <v>0</v>
      </c>
      <c r="T40" s="6">
        <v>-3.3622083999999999E-3</v>
      </c>
      <c r="U40" s="7">
        <v>105683.0075776781</v>
      </c>
      <c r="V40" s="7">
        <f>SUMIFS('Trade Log'!$N$7:$N$371,'Trade Log'!$A$7:$A$371,"A",'Trade Log'!$C$7:$C$371,A40)</f>
        <v>0</v>
      </c>
      <c r="W40" s="7">
        <f>SUMIFS('Trade Log'!$N$7:$N$371,'Trade Log'!$A$7:$A$371,"B",'Trade Log'!$C$7:$C$371,A40)</f>
        <v>0</v>
      </c>
      <c r="X40" s="7">
        <f>SUMIFS('Trade Log'!$N$7:$N$371,'Trade Log'!$A$7:$A$371,"C",'Trade Log'!$C$7:$C$371,A40)</f>
        <v>0</v>
      </c>
      <c r="Y40" s="7">
        <f t="shared" si="3"/>
        <v>0</v>
      </c>
      <c r="Z40" s="7">
        <f t="shared" si="4"/>
        <v>0</v>
      </c>
      <c r="AA40" s="7">
        <f t="shared" si="5"/>
        <v>0</v>
      </c>
    </row>
    <row r="41" spans="1:27">
      <c r="A41" s="10">
        <v>45798</v>
      </c>
      <c r="B41" s="7">
        <v>98650.108099999998</v>
      </c>
      <c r="C41" s="7">
        <v>268.93439999999998</v>
      </c>
      <c r="D41" s="7">
        <v>1.512</v>
      </c>
      <c r="E41" s="7">
        <v>267.42239999999998</v>
      </c>
      <c r="F41" s="7">
        <v>98917.530499999993</v>
      </c>
      <c r="G41" s="6">
        <v>2.7108170999999999E-3</v>
      </c>
      <c r="H41" s="7">
        <v>101629.6673</v>
      </c>
      <c r="I41" s="7">
        <v>276.9384</v>
      </c>
      <c r="J41" s="7">
        <v>1.5569999999999999</v>
      </c>
      <c r="K41" s="7">
        <v>275.38139999999999</v>
      </c>
      <c r="L41" s="7">
        <v>101905.0486999999</v>
      </c>
      <c r="M41" s="6">
        <v>2.7096555999999998E-3</v>
      </c>
      <c r="N41" s="7">
        <v>102166.4580999999</v>
      </c>
      <c r="O41" s="7">
        <v>550.67520000000002</v>
      </c>
      <c r="P41" s="7">
        <v>3.0960000000000001</v>
      </c>
      <c r="Q41" s="7">
        <v>547.57920000000001</v>
      </c>
      <c r="R41" s="7">
        <v>102714.03729999989</v>
      </c>
      <c r="S41" s="6">
        <v>5.3596768000000001E-3</v>
      </c>
      <c r="T41" s="6">
        <v>-1.6850790300000001E-2</v>
      </c>
      <c r="U41" s="7">
        <v>103902.16537360039</v>
      </c>
      <c r="V41" s="7">
        <f>SUMIFS('Trade Log'!$N$7:$N$371,'Trade Log'!$A$7:$A$371,"A",'Trade Log'!$C$7:$C$371,A41)</f>
        <v>267.42239999998918</v>
      </c>
      <c r="W41" s="7">
        <f>SUMIFS('Trade Log'!$N$7:$N$371,'Trade Log'!$A$7:$A$371,"B",'Trade Log'!$C$7:$C$371,A41)</f>
        <v>275.38139999998884</v>
      </c>
      <c r="X41" s="7">
        <f>SUMIFS('Trade Log'!$N$7:$N$371,'Trade Log'!$A$7:$A$371,"C",'Trade Log'!$C$7:$C$371,A41)</f>
        <v>547.57919999997785</v>
      </c>
      <c r="Y41" s="7">
        <f t="shared" si="3"/>
        <v>-1.0800249583553523E-11</v>
      </c>
      <c r="Z41" s="7">
        <f t="shared" si="4"/>
        <v>-1.1141310096718371E-11</v>
      </c>
      <c r="AA41" s="7">
        <f t="shared" si="5"/>
        <v>-2.2168933355715126E-11</v>
      </c>
    </row>
    <row r="42" spans="1:27">
      <c r="A42" s="10">
        <v>45799</v>
      </c>
      <c r="B42" s="7">
        <v>98917.530499999993</v>
      </c>
      <c r="C42" s="7">
        <v>0</v>
      </c>
      <c r="D42" s="7">
        <v>0</v>
      </c>
      <c r="E42" s="7">
        <v>0</v>
      </c>
      <c r="F42" s="7">
        <v>98917.530499999993</v>
      </c>
      <c r="G42" s="6">
        <v>0</v>
      </c>
      <c r="H42" s="7">
        <v>101905.0486999999</v>
      </c>
      <c r="I42" s="7">
        <v>0</v>
      </c>
      <c r="J42" s="7">
        <v>0</v>
      </c>
      <c r="K42" s="7">
        <v>0</v>
      </c>
      <c r="L42" s="7">
        <v>101905.0486999999</v>
      </c>
      <c r="M42" s="6">
        <v>0</v>
      </c>
      <c r="N42" s="7">
        <v>102714.03729999989</v>
      </c>
      <c r="O42" s="7">
        <v>0</v>
      </c>
      <c r="P42" s="7">
        <v>0</v>
      </c>
      <c r="Q42" s="7">
        <v>0</v>
      </c>
      <c r="R42" s="7">
        <v>102714.03729999989</v>
      </c>
      <c r="S42" s="6">
        <v>0</v>
      </c>
      <c r="T42" s="6">
        <v>3.9445419999999999E-4</v>
      </c>
      <c r="U42" s="7">
        <v>103943.15002354021</v>
      </c>
      <c r="V42" s="7">
        <f>SUMIFS('Trade Log'!$N$7:$N$371,'Trade Log'!$A$7:$A$371,"A",'Trade Log'!$C$7:$C$371,A42)</f>
        <v>0</v>
      </c>
      <c r="W42" s="7">
        <f>SUMIFS('Trade Log'!$N$7:$N$371,'Trade Log'!$A$7:$A$371,"B",'Trade Log'!$C$7:$C$371,A42)</f>
        <v>0</v>
      </c>
      <c r="X42" s="7">
        <f>SUMIFS('Trade Log'!$N$7:$N$371,'Trade Log'!$A$7:$A$371,"C",'Trade Log'!$C$7:$C$371,A42)</f>
        <v>0</v>
      </c>
      <c r="Y42" s="7">
        <f t="shared" si="3"/>
        <v>0</v>
      </c>
      <c r="Z42" s="7">
        <f t="shared" si="4"/>
        <v>0</v>
      </c>
      <c r="AA42" s="7">
        <f t="shared" si="5"/>
        <v>0</v>
      </c>
    </row>
    <row r="43" spans="1:27">
      <c r="A43" s="10">
        <v>45800</v>
      </c>
      <c r="B43" s="7">
        <v>98917.530499999993</v>
      </c>
      <c r="C43" s="7">
        <v>0</v>
      </c>
      <c r="D43" s="7">
        <v>0</v>
      </c>
      <c r="E43" s="7">
        <v>0</v>
      </c>
      <c r="F43" s="7">
        <v>98917.530499999993</v>
      </c>
      <c r="G43" s="6">
        <v>0</v>
      </c>
      <c r="H43" s="7">
        <v>101905.0486999999</v>
      </c>
      <c r="I43" s="7">
        <v>0</v>
      </c>
      <c r="J43" s="7">
        <v>0</v>
      </c>
      <c r="K43" s="7">
        <v>0</v>
      </c>
      <c r="L43" s="7">
        <v>101905.0486999999</v>
      </c>
      <c r="M43" s="6">
        <v>0</v>
      </c>
      <c r="N43" s="7">
        <v>102714.03729999989</v>
      </c>
      <c r="O43" s="7">
        <v>0</v>
      </c>
      <c r="P43" s="7">
        <v>0</v>
      </c>
      <c r="Q43" s="7">
        <v>0</v>
      </c>
      <c r="R43" s="7">
        <v>102714.03729999989</v>
      </c>
      <c r="S43" s="6">
        <v>0</v>
      </c>
      <c r="T43" s="6">
        <v>-6.8255418000000003E-3</v>
      </c>
      <c r="U43" s="7">
        <v>103233.681708834</v>
      </c>
      <c r="V43" s="7">
        <f>SUMIFS('Trade Log'!$N$7:$N$371,'Trade Log'!$A$7:$A$371,"A",'Trade Log'!$C$7:$C$371,A43)</f>
        <v>0</v>
      </c>
      <c r="W43" s="7">
        <f>SUMIFS('Trade Log'!$N$7:$N$371,'Trade Log'!$A$7:$A$371,"B",'Trade Log'!$C$7:$C$371,A43)</f>
        <v>0</v>
      </c>
      <c r="X43" s="7">
        <f>SUMIFS('Trade Log'!$N$7:$N$371,'Trade Log'!$A$7:$A$371,"C",'Trade Log'!$C$7:$C$371,A43)</f>
        <v>0</v>
      </c>
      <c r="Y43" s="7">
        <f t="shared" si="3"/>
        <v>0</v>
      </c>
      <c r="Z43" s="7">
        <f t="shared" si="4"/>
        <v>0</v>
      </c>
      <c r="AA43" s="7">
        <f t="shared" si="5"/>
        <v>0</v>
      </c>
    </row>
    <row r="44" spans="1:27">
      <c r="A44" s="10">
        <v>45804</v>
      </c>
      <c r="B44" s="7">
        <v>98917.530499999993</v>
      </c>
      <c r="C44" s="7">
        <v>549.62180000000001</v>
      </c>
      <c r="D44" s="7">
        <v>1.5209999999999999</v>
      </c>
      <c r="E44" s="7">
        <v>548.10080000000005</v>
      </c>
      <c r="F44" s="7">
        <v>99465.631299999994</v>
      </c>
      <c r="G44" s="6">
        <v>5.5409875000000004E-3</v>
      </c>
      <c r="H44" s="7">
        <v>101905.0486999999</v>
      </c>
      <c r="I44" s="7">
        <v>565.88279999999997</v>
      </c>
      <c r="J44" s="7">
        <v>1.5660000000000001</v>
      </c>
      <c r="K44" s="7">
        <v>564.31679999999994</v>
      </c>
      <c r="L44" s="7">
        <v>102469.3654999999</v>
      </c>
      <c r="M44" s="6">
        <v>5.5376725999999998E-3</v>
      </c>
      <c r="N44" s="7">
        <v>102714.03729999989</v>
      </c>
      <c r="O44" s="7">
        <v>1024.443</v>
      </c>
      <c r="P44" s="7">
        <v>2.835</v>
      </c>
      <c r="Q44" s="7">
        <v>1021.6079999999999</v>
      </c>
      <c r="R44" s="7">
        <v>103735.6452999999</v>
      </c>
      <c r="S44" s="6">
        <v>9.9461380999999998E-3</v>
      </c>
      <c r="T44" s="6">
        <v>2.0790498500000001E-2</v>
      </c>
      <c r="U44" s="7">
        <v>105379.9614106034</v>
      </c>
      <c r="V44" s="7">
        <f>SUMIFS('Trade Log'!$N$7:$N$371,'Trade Log'!$A$7:$A$371,"A",'Trade Log'!$C$7:$C$371,A44)</f>
        <v>548.10079999998356</v>
      </c>
      <c r="W44" s="7">
        <f>SUMIFS('Trade Log'!$N$7:$N$371,'Trade Log'!$A$7:$A$371,"B",'Trade Log'!$C$7:$C$371,A44)</f>
        <v>564.316799999983</v>
      </c>
      <c r="X44" s="7">
        <f>SUMIFS('Trade Log'!$N$7:$N$371,'Trade Log'!$A$7:$A$371,"C",'Trade Log'!$C$7:$C$371,A44)</f>
        <v>1021.6079999999693</v>
      </c>
      <c r="Y44" s="7">
        <f t="shared" si="3"/>
        <v>-1.6484591469634324E-11</v>
      </c>
      <c r="Z44" s="7">
        <f t="shared" si="4"/>
        <v>-1.6939338820520788E-11</v>
      </c>
      <c r="AA44" s="7">
        <f t="shared" si="5"/>
        <v>-3.0695446184836328E-11</v>
      </c>
    </row>
    <row r="45" spans="1:27">
      <c r="A45" s="10">
        <v>45805</v>
      </c>
      <c r="B45" s="7">
        <v>99465.631299999994</v>
      </c>
      <c r="C45" s="7">
        <v>271.3802</v>
      </c>
      <c r="D45" s="7">
        <v>1.5209999999999999</v>
      </c>
      <c r="E45" s="7">
        <v>269.85919999999999</v>
      </c>
      <c r="F45" s="7">
        <v>99735.4905</v>
      </c>
      <c r="G45" s="6">
        <v>2.7130899E-3</v>
      </c>
      <c r="H45" s="7">
        <v>102469.3654999999</v>
      </c>
      <c r="I45" s="7">
        <v>-128.86439999999999</v>
      </c>
      <c r="J45" s="7">
        <v>3.1320000000000001</v>
      </c>
      <c r="K45" s="7">
        <v>-131.99639999999999</v>
      </c>
      <c r="L45" s="7">
        <v>102337.36909999989</v>
      </c>
      <c r="M45" s="6">
        <v>-1.2881548E-3</v>
      </c>
      <c r="N45" s="7">
        <v>103735.6452999999</v>
      </c>
      <c r="O45" s="7">
        <v>-221.43940000000001</v>
      </c>
      <c r="P45" s="7">
        <v>5.3819999999999997</v>
      </c>
      <c r="Q45" s="7">
        <v>-226.82140000000001</v>
      </c>
      <c r="R45" s="7">
        <v>103508.8238999999</v>
      </c>
      <c r="S45" s="6">
        <v>-2.1865329E-3</v>
      </c>
      <c r="T45" s="6">
        <v>-5.7853514999999999E-3</v>
      </c>
      <c r="U45" s="7">
        <v>104770.30129634131</v>
      </c>
      <c r="V45" s="7">
        <f>SUMIFS('Trade Log'!$N$7:$N$371,'Trade Log'!$A$7:$A$371,"A",'Trade Log'!$C$7:$C$371,A45)</f>
        <v>269.85920000000755</v>
      </c>
      <c r="W45" s="7">
        <f>SUMIFS('Trade Log'!$N$7:$N$371,'Trade Log'!$A$7:$A$371,"B",'Trade Log'!$C$7:$C$371,A45)</f>
        <v>-131.99639999999516</v>
      </c>
      <c r="X45" s="7">
        <f>SUMIFS('Trade Log'!$N$7:$N$371,'Trade Log'!$A$7:$A$371,"C",'Trade Log'!$C$7:$C$371,A45)</f>
        <v>-226.82139999999168</v>
      </c>
      <c r="Y45" s="7">
        <f t="shared" si="3"/>
        <v>7.560174708487466E-12</v>
      </c>
      <c r="Z45" s="7">
        <f t="shared" si="4"/>
        <v>4.8316906031686813E-12</v>
      </c>
      <c r="AA45" s="7">
        <f t="shared" si="5"/>
        <v>8.3275608631083742E-12</v>
      </c>
    </row>
    <row r="46" spans="1:27">
      <c r="A46" s="10">
        <v>45806</v>
      </c>
      <c r="B46" s="7">
        <v>99735.4905</v>
      </c>
      <c r="C46" s="7">
        <v>0</v>
      </c>
      <c r="D46" s="7">
        <v>0</v>
      </c>
      <c r="E46" s="7">
        <v>0</v>
      </c>
      <c r="F46" s="7">
        <v>99735.4905</v>
      </c>
      <c r="G46" s="6">
        <v>0</v>
      </c>
      <c r="H46" s="7">
        <v>102337.36909999989</v>
      </c>
      <c r="I46" s="7">
        <v>0</v>
      </c>
      <c r="J46" s="7">
        <v>0</v>
      </c>
      <c r="K46" s="7">
        <v>0</v>
      </c>
      <c r="L46" s="7">
        <v>102337.36909999989</v>
      </c>
      <c r="M46" s="6">
        <v>0</v>
      </c>
      <c r="N46" s="7">
        <v>103508.8238999999</v>
      </c>
      <c r="O46" s="7">
        <v>0</v>
      </c>
      <c r="P46" s="7">
        <v>0</v>
      </c>
      <c r="Q46" s="7">
        <v>0</v>
      </c>
      <c r="R46" s="7">
        <v>103508.8238999999</v>
      </c>
      <c r="S46" s="6">
        <v>0</v>
      </c>
      <c r="T46" s="6">
        <v>3.9472798999999996E-3</v>
      </c>
      <c r="U46" s="7">
        <v>105183.8590041985</v>
      </c>
      <c r="V46" s="7">
        <f>SUMIFS('Trade Log'!$N$7:$N$371,'Trade Log'!$A$7:$A$371,"A",'Trade Log'!$C$7:$C$371,A46)</f>
        <v>0</v>
      </c>
      <c r="W46" s="7">
        <f>SUMIFS('Trade Log'!$N$7:$N$371,'Trade Log'!$A$7:$A$371,"B",'Trade Log'!$C$7:$C$371,A46)</f>
        <v>0</v>
      </c>
      <c r="X46" s="7">
        <f>SUMIFS('Trade Log'!$N$7:$N$371,'Trade Log'!$A$7:$A$371,"C",'Trade Log'!$C$7:$C$371,A46)</f>
        <v>0</v>
      </c>
      <c r="Y46" s="7">
        <f t="shared" si="3"/>
        <v>0</v>
      </c>
      <c r="Z46" s="7">
        <f t="shared" si="4"/>
        <v>0</v>
      </c>
      <c r="AA46" s="7">
        <f t="shared" si="5"/>
        <v>0</v>
      </c>
    </row>
    <row r="47" spans="1:27">
      <c r="A47" s="10">
        <v>45807</v>
      </c>
      <c r="B47" s="7">
        <v>99735.4905</v>
      </c>
      <c r="C47" s="7">
        <v>-726.81799999999998</v>
      </c>
      <c r="D47" s="7">
        <v>1.53</v>
      </c>
      <c r="E47" s="7">
        <v>-728.34799999999996</v>
      </c>
      <c r="F47" s="7">
        <v>99007.142500000002</v>
      </c>
      <c r="G47" s="6">
        <v>-7.3027965999999996E-3</v>
      </c>
      <c r="H47" s="7">
        <v>102337.36909999989</v>
      </c>
      <c r="I47" s="7">
        <v>-139.21250000000001</v>
      </c>
      <c r="J47" s="7">
        <v>1.575</v>
      </c>
      <c r="K47" s="7">
        <v>-140.78749999999999</v>
      </c>
      <c r="L47" s="7">
        <v>102196.5815999999</v>
      </c>
      <c r="M47" s="6">
        <v>-1.3757194E-3</v>
      </c>
      <c r="N47" s="7">
        <v>103508.8238999999</v>
      </c>
      <c r="O47" s="7">
        <v>-233.87700000000001</v>
      </c>
      <c r="P47" s="7">
        <v>2.6459999999999999</v>
      </c>
      <c r="Q47" s="7">
        <v>-236.523</v>
      </c>
      <c r="R47" s="7">
        <v>103272.3008999999</v>
      </c>
      <c r="S47" s="6">
        <v>-2.2850516E-3</v>
      </c>
      <c r="T47" s="6">
        <v>-1.1184901E-3</v>
      </c>
      <c r="U47" s="7">
        <v>105066.2119031902</v>
      </c>
      <c r="V47" s="7">
        <f>SUMIFS('Trade Log'!$N$7:$N$371,'Trade Log'!$A$7:$A$371,"A",'Trade Log'!$C$7:$C$371,A47)</f>
        <v>-728.34799999999836</v>
      </c>
      <c r="W47" s="7">
        <f>SUMIFS('Trade Log'!$N$7:$N$371,'Trade Log'!$A$7:$A$371,"B",'Trade Log'!$C$7:$C$371,A47)</f>
        <v>-140.78750000001065</v>
      </c>
      <c r="X47" s="7">
        <f>SUMIFS('Trade Log'!$N$7:$N$371,'Trade Log'!$A$7:$A$371,"C",'Trade Log'!$C$7:$C$371,A47)</f>
        <v>-236.5230000000179</v>
      </c>
      <c r="Y47" s="7">
        <f t="shared" si="3"/>
        <v>1.5916157281026244E-12</v>
      </c>
      <c r="Z47" s="7">
        <f t="shared" si="4"/>
        <v>-1.0658141036401503E-11</v>
      </c>
      <c r="AA47" s="7">
        <f t="shared" si="5"/>
        <v>-1.7905676941154525E-11</v>
      </c>
    </row>
    <row r="48" spans="1:27">
      <c r="A48" s="10">
        <v>45810</v>
      </c>
      <c r="B48" s="7">
        <v>99007.142500000002</v>
      </c>
      <c r="C48" s="7">
        <v>67.211299999999994</v>
      </c>
      <c r="D48" s="7">
        <v>1.5209999999999999</v>
      </c>
      <c r="E48" s="7">
        <v>65.690299999999993</v>
      </c>
      <c r="F48" s="7">
        <v>99072.832800000004</v>
      </c>
      <c r="G48" s="6">
        <v>6.6349050000000004E-4</v>
      </c>
      <c r="H48" s="7">
        <v>102196.5815999999</v>
      </c>
      <c r="I48" s="7">
        <v>69.597499999999997</v>
      </c>
      <c r="J48" s="7">
        <v>1.575</v>
      </c>
      <c r="K48" s="7">
        <v>68.022499999999994</v>
      </c>
      <c r="L48" s="7">
        <v>102264.60409999989</v>
      </c>
      <c r="M48" s="6">
        <v>6.6560450000000004E-4</v>
      </c>
      <c r="N48" s="7">
        <v>103272.3008999999</v>
      </c>
      <c r="O48" s="7">
        <v>116.9238</v>
      </c>
      <c r="P48" s="7">
        <v>2.6459999999999999</v>
      </c>
      <c r="Q48" s="7">
        <v>114.2778</v>
      </c>
      <c r="R48" s="7">
        <v>103386.5786999999</v>
      </c>
      <c r="S48" s="6">
        <v>1.1065678E-3</v>
      </c>
      <c r="T48" s="6">
        <v>5.6330110999999999E-3</v>
      </c>
      <c r="U48" s="7">
        <v>105658.0510454313</v>
      </c>
      <c r="V48" s="7">
        <f>SUMIFS('Trade Log'!$N$7:$N$371,'Trade Log'!$A$7:$A$371,"A",'Trade Log'!$C$7:$C$371,A48)</f>
        <v>65.690299999997663</v>
      </c>
      <c r="W48" s="7">
        <f>SUMIFS('Trade Log'!$N$7:$N$371,'Trade Log'!$A$7:$A$371,"B",'Trade Log'!$C$7:$C$371,A48)</f>
        <v>68.022499999997578</v>
      </c>
      <c r="X48" s="7">
        <f>SUMIFS('Trade Log'!$N$7:$N$371,'Trade Log'!$A$7:$A$371,"C",'Trade Log'!$C$7:$C$371,A48)</f>
        <v>114.27779999999593</v>
      </c>
      <c r="Y48" s="7">
        <f t="shared" si="3"/>
        <v>-2.3305801732931286E-12</v>
      </c>
      <c r="Z48" s="7">
        <f t="shared" si="4"/>
        <v>-2.4158453015843406E-12</v>
      </c>
      <c r="AA48" s="7">
        <f t="shared" si="5"/>
        <v>-4.0643044485477731E-12</v>
      </c>
    </row>
    <row r="49" spans="1:27">
      <c r="A49" s="10">
        <v>45811</v>
      </c>
      <c r="B49" s="7">
        <v>99072.832800000004</v>
      </c>
      <c r="C49" s="7">
        <v>376.6728</v>
      </c>
      <c r="D49" s="7">
        <v>1.512</v>
      </c>
      <c r="E49" s="7">
        <v>375.16079999999999</v>
      </c>
      <c r="F49" s="7">
        <v>99447.993600000002</v>
      </c>
      <c r="G49" s="6">
        <v>3.7867171999999998E-3</v>
      </c>
      <c r="H49" s="7">
        <v>102264.60409999989</v>
      </c>
      <c r="I49" s="7">
        <v>387.88330000000002</v>
      </c>
      <c r="J49" s="7">
        <v>1.5569999999999999</v>
      </c>
      <c r="K49" s="7">
        <v>386.3263</v>
      </c>
      <c r="L49" s="7">
        <v>102650.9303999999</v>
      </c>
      <c r="M49" s="6">
        <v>3.7777128000000002E-3</v>
      </c>
      <c r="N49" s="7">
        <v>103386.5786999999</v>
      </c>
      <c r="O49" s="7">
        <v>921.50310000000002</v>
      </c>
      <c r="P49" s="7">
        <v>3.6989999999999998</v>
      </c>
      <c r="Q49" s="7">
        <v>917.80409999999995</v>
      </c>
      <c r="R49" s="7">
        <v>104304.3827999999</v>
      </c>
      <c r="S49" s="6">
        <v>8.8774008000000008E-3</v>
      </c>
      <c r="T49" s="6">
        <v>5.7025901E-3</v>
      </c>
      <c r="U49" s="7">
        <v>106260.5755994677</v>
      </c>
      <c r="V49" s="7">
        <f>SUMIFS('Trade Log'!$N$7:$N$371,'Trade Log'!$A$7:$A$371,"A",'Trade Log'!$C$7:$C$371,A49)</f>
        <v>375.16080000000846</v>
      </c>
      <c r="W49" s="7">
        <f>SUMIFS('Trade Log'!$N$7:$N$371,'Trade Log'!$A$7:$A$371,"B",'Trade Log'!$C$7:$C$371,A49)</f>
        <v>386.3263000000087</v>
      </c>
      <c r="X49" s="7">
        <f>SUMIFS('Trade Log'!$N$7:$N$371,'Trade Log'!$A$7:$A$371,"C",'Trade Log'!$C$7:$C$371,A49)</f>
        <v>917.80410000002075</v>
      </c>
      <c r="Y49" s="7">
        <f t="shared" si="3"/>
        <v>8.4696694102603942E-12</v>
      </c>
      <c r="Z49" s="7">
        <f t="shared" si="4"/>
        <v>8.6970430857036263E-12</v>
      </c>
      <c r="AA49" s="7">
        <f t="shared" si="5"/>
        <v>2.0804691303055733E-11</v>
      </c>
    </row>
    <row r="50" spans="1:27">
      <c r="A50" s="10">
        <v>45812</v>
      </c>
      <c r="B50" s="7">
        <v>99447.993600000002</v>
      </c>
      <c r="C50" s="7">
        <v>0</v>
      </c>
      <c r="D50" s="7">
        <v>0</v>
      </c>
      <c r="E50" s="7">
        <v>0</v>
      </c>
      <c r="F50" s="7">
        <v>99447.993600000002</v>
      </c>
      <c r="G50" s="6">
        <v>0</v>
      </c>
      <c r="H50" s="7">
        <v>102650.9303999999</v>
      </c>
      <c r="I50" s="7">
        <v>0</v>
      </c>
      <c r="J50" s="7">
        <v>0</v>
      </c>
      <c r="K50" s="7">
        <v>0</v>
      </c>
      <c r="L50" s="7">
        <v>102650.9303999999</v>
      </c>
      <c r="M50" s="6">
        <v>0</v>
      </c>
      <c r="N50" s="7">
        <v>104304.3827999999</v>
      </c>
      <c r="O50" s="7">
        <v>0</v>
      </c>
      <c r="P50" s="7">
        <v>0</v>
      </c>
      <c r="Q50" s="7">
        <v>0</v>
      </c>
      <c r="R50" s="7">
        <v>104304.3827999999</v>
      </c>
      <c r="S50" s="6">
        <v>0</v>
      </c>
      <c r="T50" s="6">
        <v>-2.6843739999999998E-4</v>
      </c>
      <c r="U50" s="7">
        <v>106232.051287108</v>
      </c>
      <c r="V50" s="7">
        <f>SUMIFS('Trade Log'!$N$7:$N$371,'Trade Log'!$A$7:$A$371,"A",'Trade Log'!$C$7:$C$371,A50)</f>
        <v>0</v>
      </c>
      <c r="W50" s="7">
        <f>SUMIFS('Trade Log'!$N$7:$N$371,'Trade Log'!$A$7:$A$371,"B",'Trade Log'!$C$7:$C$371,A50)</f>
        <v>0</v>
      </c>
      <c r="X50" s="7">
        <f>SUMIFS('Trade Log'!$N$7:$N$371,'Trade Log'!$A$7:$A$371,"C",'Trade Log'!$C$7:$C$371,A50)</f>
        <v>0</v>
      </c>
      <c r="Y50" s="7">
        <f t="shared" si="3"/>
        <v>0</v>
      </c>
      <c r="Z50" s="7">
        <f t="shared" si="4"/>
        <v>0</v>
      </c>
      <c r="AA50" s="7">
        <f t="shared" si="5"/>
        <v>0</v>
      </c>
    </row>
    <row r="51" spans="1:27">
      <c r="A51" s="10">
        <v>45813</v>
      </c>
      <c r="B51" s="7">
        <v>99447.993600000002</v>
      </c>
      <c r="C51" s="7">
        <v>-719.96400000000006</v>
      </c>
      <c r="D51" s="7">
        <v>1.512</v>
      </c>
      <c r="E51" s="7">
        <v>-721.476</v>
      </c>
      <c r="F51" s="7">
        <v>98726.517600000006</v>
      </c>
      <c r="G51" s="6">
        <v>-7.2548070000000003E-3</v>
      </c>
      <c r="H51" s="7">
        <v>102650.9303999999</v>
      </c>
      <c r="I51" s="7">
        <v>-460.99310000000003</v>
      </c>
      <c r="J51" s="7">
        <v>1.5569999999999999</v>
      </c>
      <c r="K51" s="7">
        <v>-462.55009999999999</v>
      </c>
      <c r="L51" s="7">
        <v>102188.3802999999</v>
      </c>
      <c r="M51" s="6">
        <v>-4.5060487999999998E-3</v>
      </c>
      <c r="N51" s="7">
        <v>104304.3827999999</v>
      </c>
      <c r="O51" s="7">
        <v>-1105.8505</v>
      </c>
      <c r="P51" s="7">
        <v>3.7349999999999999</v>
      </c>
      <c r="Q51" s="7">
        <v>-1109.5854999999999</v>
      </c>
      <c r="R51" s="7">
        <v>103194.7972999999</v>
      </c>
      <c r="S51" s="6">
        <v>-1.06379566E-2</v>
      </c>
      <c r="T51" s="6">
        <v>-4.8328329999999999E-3</v>
      </c>
      <c r="U51" s="7">
        <v>105718.6495217202</v>
      </c>
      <c r="V51" s="7">
        <f>SUMIFS('Trade Log'!$N$7:$N$371,'Trade Log'!$A$7:$A$371,"A",'Trade Log'!$C$7:$C$371,A51)</f>
        <v>-721.47599999999261</v>
      </c>
      <c r="W51" s="7">
        <f>SUMIFS('Trade Log'!$N$7:$N$371,'Trade Log'!$A$7:$A$371,"B",'Trade Log'!$C$7:$C$371,A51)</f>
        <v>-462.55010000000675</v>
      </c>
      <c r="X51" s="7">
        <f>SUMIFS('Trade Log'!$N$7:$N$371,'Trade Log'!$A$7:$A$371,"C",'Trade Log'!$C$7:$C$371,A51)</f>
        <v>-1109.5855000000161</v>
      </c>
      <c r="Y51" s="7">
        <f t="shared" si="3"/>
        <v>7.3896444519050419E-12</v>
      </c>
      <c r="Z51" s="7">
        <f t="shared" si="4"/>
        <v>-6.7643668444361538E-12</v>
      </c>
      <c r="AA51" s="7">
        <f t="shared" si="5"/>
        <v>-1.6143530956469476E-11</v>
      </c>
    </row>
    <row r="52" spans="1:27">
      <c r="A52" s="10">
        <v>45814</v>
      </c>
      <c r="B52" s="7">
        <v>98726.517600000006</v>
      </c>
      <c r="C52" s="7">
        <v>0</v>
      </c>
      <c r="D52" s="7">
        <v>0</v>
      </c>
      <c r="E52" s="7">
        <v>0</v>
      </c>
      <c r="F52" s="7">
        <v>98726.517600000006</v>
      </c>
      <c r="G52" s="6">
        <v>0</v>
      </c>
      <c r="H52" s="7">
        <v>102188.3802999999</v>
      </c>
      <c r="I52" s="7">
        <v>0</v>
      </c>
      <c r="J52" s="7">
        <v>0</v>
      </c>
      <c r="K52" s="7">
        <v>0</v>
      </c>
      <c r="L52" s="7">
        <v>102188.3802999999</v>
      </c>
      <c r="M52" s="6">
        <v>0</v>
      </c>
      <c r="N52" s="7">
        <v>103194.7972999999</v>
      </c>
      <c r="O52" s="7">
        <v>0</v>
      </c>
      <c r="P52" s="7">
        <v>0</v>
      </c>
      <c r="Q52" s="7">
        <v>0</v>
      </c>
      <c r="R52" s="7">
        <v>103194.7972999999</v>
      </c>
      <c r="S52" s="6">
        <v>0</v>
      </c>
      <c r="T52" s="6">
        <v>1.0269021499999999E-2</v>
      </c>
      <c r="U52" s="7">
        <v>106804.27660300001</v>
      </c>
      <c r="V52" s="7">
        <f>SUMIFS('Trade Log'!$N$7:$N$371,'Trade Log'!$A$7:$A$371,"A",'Trade Log'!$C$7:$C$371,A52)</f>
        <v>0</v>
      </c>
      <c r="W52" s="7">
        <f>SUMIFS('Trade Log'!$N$7:$N$371,'Trade Log'!$A$7:$A$371,"B",'Trade Log'!$C$7:$C$371,A52)</f>
        <v>0</v>
      </c>
      <c r="X52" s="7">
        <f>SUMIFS('Trade Log'!$N$7:$N$371,'Trade Log'!$A$7:$A$371,"C",'Trade Log'!$C$7:$C$371,A52)</f>
        <v>0</v>
      </c>
      <c r="Y52" s="7">
        <f t="shared" si="3"/>
        <v>0</v>
      </c>
      <c r="Z52" s="7">
        <f t="shared" si="4"/>
        <v>0</v>
      </c>
      <c r="AA52" s="7">
        <f t="shared" si="5"/>
        <v>0</v>
      </c>
    </row>
    <row r="53" spans="1:27">
      <c r="A53" s="10">
        <v>45817</v>
      </c>
      <c r="B53" s="7">
        <v>98726.517600000006</v>
      </c>
      <c r="C53" s="7">
        <v>0</v>
      </c>
      <c r="D53" s="7">
        <v>0</v>
      </c>
      <c r="E53" s="7">
        <v>0</v>
      </c>
      <c r="F53" s="7">
        <v>98726.517600000006</v>
      </c>
      <c r="G53" s="6">
        <v>0</v>
      </c>
      <c r="H53" s="7">
        <v>102188.3802999999</v>
      </c>
      <c r="I53" s="7">
        <v>0</v>
      </c>
      <c r="J53" s="7">
        <v>0</v>
      </c>
      <c r="K53" s="7">
        <v>0</v>
      </c>
      <c r="L53" s="7">
        <v>102188.3802999999</v>
      </c>
      <c r="M53" s="6">
        <v>0</v>
      </c>
      <c r="N53" s="7">
        <v>103194.7972999999</v>
      </c>
      <c r="O53" s="7">
        <v>0</v>
      </c>
      <c r="P53" s="7">
        <v>0</v>
      </c>
      <c r="Q53" s="7">
        <v>0</v>
      </c>
      <c r="R53" s="7">
        <v>103194.7972999999</v>
      </c>
      <c r="S53" s="6">
        <v>0</v>
      </c>
      <c r="T53" s="6">
        <v>9.0125929999999995E-4</v>
      </c>
      <c r="U53" s="7">
        <v>106900.5349518744</v>
      </c>
      <c r="V53" s="7">
        <f>SUMIFS('Trade Log'!$N$7:$N$371,'Trade Log'!$A$7:$A$371,"A",'Trade Log'!$C$7:$C$371,A53)</f>
        <v>0</v>
      </c>
      <c r="W53" s="7">
        <f>SUMIFS('Trade Log'!$N$7:$N$371,'Trade Log'!$A$7:$A$371,"B",'Trade Log'!$C$7:$C$371,A53)</f>
        <v>0</v>
      </c>
      <c r="X53" s="7">
        <f>SUMIFS('Trade Log'!$N$7:$N$371,'Trade Log'!$A$7:$A$371,"C",'Trade Log'!$C$7:$C$371,A53)</f>
        <v>0</v>
      </c>
      <c r="Y53" s="7">
        <f t="shared" si="3"/>
        <v>0</v>
      </c>
      <c r="Z53" s="7">
        <f t="shared" si="4"/>
        <v>0</v>
      </c>
      <c r="AA53" s="7">
        <f t="shared" si="5"/>
        <v>0</v>
      </c>
    </row>
    <row r="54" spans="1:27">
      <c r="A54" s="10">
        <v>45818</v>
      </c>
      <c r="B54" s="7">
        <v>98726.517600000006</v>
      </c>
      <c r="C54" s="7">
        <v>0</v>
      </c>
      <c r="D54" s="7">
        <v>0</v>
      </c>
      <c r="E54" s="7">
        <v>0</v>
      </c>
      <c r="F54" s="7">
        <v>98726.517600000006</v>
      </c>
      <c r="G54" s="6">
        <v>0</v>
      </c>
      <c r="H54" s="7">
        <v>102188.3802999999</v>
      </c>
      <c r="I54" s="7">
        <v>0</v>
      </c>
      <c r="J54" s="7">
        <v>0</v>
      </c>
      <c r="K54" s="7">
        <v>0</v>
      </c>
      <c r="L54" s="7">
        <v>102188.3802999999</v>
      </c>
      <c r="M54" s="6">
        <v>0</v>
      </c>
      <c r="N54" s="7">
        <v>103194.7972999999</v>
      </c>
      <c r="O54" s="7">
        <v>0</v>
      </c>
      <c r="P54" s="7">
        <v>0</v>
      </c>
      <c r="Q54" s="7">
        <v>0</v>
      </c>
      <c r="R54" s="7">
        <v>103194.7972999999</v>
      </c>
      <c r="S54" s="6">
        <v>0</v>
      </c>
      <c r="T54" s="6">
        <v>5.6696847999999998E-3</v>
      </c>
      <c r="U54" s="7">
        <v>107506.62728602369</v>
      </c>
      <c r="V54" s="7">
        <f>SUMIFS('Trade Log'!$N$7:$N$371,'Trade Log'!$A$7:$A$371,"A",'Trade Log'!$C$7:$C$371,A54)</f>
        <v>0</v>
      </c>
      <c r="W54" s="7">
        <f>SUMIFS('Trade Log'!$N$7:$N$371,'Trade Log'!$A$7:$A$371,"B",'Trade Log'!$C$7:$C$371,A54)</f>
        <v>0</v>
      </c>
      <c r="X54" s="7">
        <f>SUMIFS('Trade Log'!$N$7:$N$371,'Trade Log'!$A$7:$A$371,"C",'Trade Log'!$C$7:$C$371,A54)</f>
        <v>0</v>
      </c>
      <c r="Y54" s="7">
        <f t="shared" si="3"/>
        <v>0</v>
      </c>
      <c r="Z54" s="7">
        <f t="shared" si="4"/>
        <v>0</v>
      </c>
      <c r="AA54" s="7">
        <f t="shared" si="5"/>
        <v>0</v>
      </c>
    </row>
    <row r="55" spans="1:27">
      <c r="A55" s="10">
        <v>45819</v>
      </c>
      <c r="B55" s="7">
        <v>98726.517600000006</v>
      </c>
      <c r="C55" s="7">
        <v>-127.182</v>
      </c>
      <c r="D55" s="7">
        <v>1.476</v>
      </c>
      <c r="E55" s="7">
        <v>-128.65799999999999</v>
      </c>
      <c r="F55" s="7">
        <v>98597.859599999996</v>
      </c>
      <c r="G55" s="6">
        <v>-1.3031757E-3</v>
      </c>
      <c r="H55" s="7">
        <v>102188.3802999999</v>
      </c>
      <c r="I55" s="7">
        <v>-27.03</v>
      </c>
      <c r="J55" s="7">
        <v>1.53</v>
      </c>
      <c r="K55" s="7">
        <v>-28.56</v>
      </c>
      <c r="L55" s="7">
        <v>102159.8202999999</v>
      </c>
      <c r="M55" s="6">
        <v>-2.7948380000000002E-4</v>
      </c>
      <c r="N55" s="7">
        <v>103194.7972999999</v>
      </c>
      <c r="O55" s="7">
        <v>-61.692</v>
      </c>
      <c r="P55" s="7">
        <v>3.492</v>
      </c>
      <c r="Q55" s="7">
        <v>-65.183999999999997</v>
      </c>
      <c r="R55" s="7">
        <v>103129.6132999999</v>
      </c>
      <c r="S55" s="6">
        <v>-6.3165979999999997E-4</v>
      </c>
      <c r="T55" s="6">
        <v>-2.8520468999999999E-3</v>
      </c>
      <c r="U55" s="7">
        <v>107200.0133388362</v>
      </c>
      <c r="V55" s="7">
        <f>SUMIFS('Trade Log'!$N$7:$N$371,'Trade Log'!$A$7:$A$371,"A",'Trade Log'!$C$7:$C$371,A55)</f>
        <v>-128.65800000001298</v>
      </c>
      <c r="W55" s="7">
        <f>SUMIFS('Trade Log'!$N$7:$N$371,'Trade Log'!$A$7:$A$371,"B",'Trade Log'!$C$7:$C$371,A55)</f>
        <v>-28.55999999999861</v>
      </c>
      <c r="X55" s="7">
        <f>SUMIFS('Trade Log'!$N$7:$N$371,'Trade Log'!$A$7:$A$371,"C",'Trade Log'!$C$7:$C$371,A55)</f>
        <v>-65.183999999996828</v>
      </c>
      <c r="Y55" s="7">
        <f t="shared" si="3"/>
        <v>-1.2988721209694631E-11</v>
      </c>
      <c r="Z55" s="7">
        <f t="shared" si="4"/>
        <v>1.3891110484109959E-12</v>
      </c>
      <c r="AA55" s="7">
        <f t="shared" si="5"/>
        <v>3.1690206014900468E-12</v>
      </c>
    </row>
    <row r="56" spans="1:27">
      <c r="A56" s="10">
        <v>45820</v>
      </c>
      <c r="B56" s="7">
        <v>98597.859599999996</v>
      </c>
      <c r="C56" s="7">
        <v>0</v>
      </c>
      <c r="D56" s="7">
        <v>0</v>
      </c>
      <c r="E56" s="7">
        <v>0</v>
      </c>
      <c r="F56" s="7">
        <v>98597.859599999996</v>
      </c>
      <c r="G56" s="6">
        <v>0</v>
      </c>
      <c r="H56" s="7">
        <v>102159.8202999999</v>
      </c>
      <c r="I56" s="7">
        <v>0</v>
      </c>
      <c r="J56" s="7">
        <v>0</v>
      </c>
      <c r="K56" s="7">
        <v>0</v>
      </c>
      <c r="L56" s="7">
        <v>102159.8202999999</v>
      </c>
      <c r="M56" s="6">
        <v>0</v>
      </c>
      <c r="N56" s="7">
        <v>103129.6132999999</v>
      </c>
      <c r="O56" s="7">
        <v>0</v>
      </c>
      <c r="P56" s="7">
        <v>0</v>
      </c>
      <c r="Q56" s="7">
        <v>0</v>
      </c>
      <c r="R56" s="7">
        <v>103129.6132999999</v>
      </c>
      <c r="S56" s="6">
        <v>0</v>
      </c>
      <c r="T56" s="6">
        <v>3.9743829000000001E-3</v>
      </c>
      <c r="U56" s="7">
        <v>107626.0672413601</v>
      </c>
      <c r="V56" s="7">
        <f>SUMIFS('Trade Log'!$N$7:$N$371,'Trade Log'!$A$7:$A$371,"A",'Trade Log'!$C$7:$C$371,A56)</f>
        <v>0</v>
      </c>
      <c r="W56" s="7">
        <f>SUMIFS('Trade Log'!$N$7:$N$371,'Trade Log'!$A$7:$A$371,"B",'Trade Log'!$C$7:$C$371,A56)</f>
        <v>0</v>
      </c>
      <c r="X56" s="7">
        <f>SUMIFS('Trade Log'!$N$7:$N$371,'Trade Log'!$A$7:$A$371,"C",'Trade Log'!$C$7:$C$371,A56)</f>
        <v>0</v>
      </c>
      <c r="Y56" s="7">
        <f t="shared" si="3"/>
        <v>0</v>
      </c>
      <c r="Z56" s="7">
        <f t="shared" si="4"/>
        <v>0</v>
      </c>
      <c r="AA56" s="7">
        <f t="shared" si="5"/>
        <v>0</v>
      </c>
    </row>
    <row r="57" spans="1:27">
      <c r="A57" s="10">
        <v>45821</v>
      </c>
      <c r="B57" s="7">
        <v>98597.859599999996</v>
      </c>
      <c r="C57" s="7">
        <v>-24.601500000000001</v>
      </c>
      <c r="D57" s="7">
        <v>1.4850000000000001</v>
      </c>
      <c r="E57" s="7">
        <v>-26.086500000000001</v>
      </c>
      <c r="F57" s="7">
        <v>98571.773100000006</v>
      </c>
      <c r="G57" s="6">
        <v>-2.6457470000000003E-4</v>
      </c>
      <c r="H57" s="7">
        <v>102159.8202999999</v>
      </c>
      <c r="I57" s="7">
        <v>-400.41359999999997</v>
      </c>
      <c r="J57" s="7">
        <v>1.5389999999999999</v>
      </c>
      <c r="K57" s="7">
        <v>-401.95260000000002</v>
      </c>
      <c r="L57" s="7">
        <v>101757.8676999999</v>
      </c>
      <c r="M57" s="6">
        <v>-3.9345468999999996E-3</v>
      </c>
      <c r="N57" s="7">
        <v>103129.6132999999</v>
      </c>
      <c r="O57" s="7">
        <v>-1112.26</v>
      </c>
      <c r="P57" s="7">
        <v>4.2750000000000004</v>
      </c>
      <c r="Q57" s="7">
        <v>-1116.5350000000001</v>
      </c>
      <c r="R57" s="7">
        <v>102013.07829999991</v>
      </c>
      <c r="S57" s="6">
        <v>-1.0826521699999999E-2</v>
      </c>
      <c r="T57" s="6">
        <v>-1.1180137099999999E-2</v>
      </c>
      <c r="U57" s="7">
        <v>106422.79305907201</v>
      </c>
      <c r="V57" s="7">
        <f>SUMIFS('Trade Log'!$N$7:$N$371,'Trade Log'!$A$7:$A$371,"A",'Trade Log'!$C$7:$C$371,A57)</f>
        <v>-26.086499999996008</v>
      </c>
      <c r="W57" s="7">
        <f>SUMIFS('Trade Log'!$N$7:$N$371,'Trade Log'!$A$7:$A$371,"B",'Trade Log'!$C$7:$C$371,A57)</f>
        <v>-401.95259999999507</v>
      </c>
      <c r="X57" s="7">
        <f>SUMIFS('Trade Log'!$N$7:$N$371,'Trade Log'!$A$7:$A$371,"C",'Trade Log'!$C$7:$C$371,A57)</f>
        <v>-1116.5349999999864</v>
      </c>
      <c r="Y57" s="7">
        <f t="shared" si="3"/>
        <v>3.993250174971763E-12</v>
      </c>
      <c r="Z57" s="7">
        <f t="shared" si="4"/>
        <v>4.9453774408902973E-12</v>
      </c>
      <c r="AA57" s="7">
        <f t="shared" si="5"/>
        <v>1.3642420526593924E-11</v>
      </c>
    </row>
    <row r="58" spans="1:27">
      <c r="A58" s="10">
        <v>45824</v>
      </c>
      <c r="B58" s="7">
        <v>98571.773100000006</v>
      </c>
      <c r="C58" s="7">
        <v>0</v>
      </c>
      <c r="D58" s="7">
        <v>0</v>
      </c>
      <c r="E58" s="7">
        <v>0</v>
      </c>
      <c r="F58" s="7">
        <v>98571.773100000006</v>
      </c>
      <c r="G58" s="6">
        <v>0</v>
      </c>
      <c r="H58" s="7">
        <v>101757.8676999999</v>
      </c>
      <c r="I58" s="7">
        <v>0</v>
      </c>
      <c r="J58" s="7">
        <v>0</v>
      </c>
      <c r="K58" s="7">
        <v>0</v>
      </c>
      <c r="L58" s="7">
        <v>101757.8676999999</v>
      </c>
      <c r="M58" s="6">
        <v>0</v>
      </c>
      <c r="N58" s="7">
        <v>102013.07829999991</v>
      </c>
      <c r="O58" s="7">
        <v>0</v>
      </c>
      <c r="P58" s="7">
        <v>0</v>
      </c>
      <c r="Q58" s="7">
        <v>0</v>
      </c>
      <c r="R58" s="7">
        <v>102013.07829999991</v>
      </c>
      <c r="S58" s="6">
        <v>0</v>
      </c>
      <c r="T58" s="6">
        <v>9.5142439000000002E-3</v>
      </c>
      <c r="U58" s="7">
        <v>107435.32546939619</v>
      </c>
      <c r="V58" s="7">
        <f>SUMIFS('Trade Log'!$N$7:$N$371,'Trade Log'!$A$7:$A$371,"A",'Trade Log'!$C$7:$C$371,A58)</f>
        <v>0</v>
      </c>
      <c r="W58" s="7">
        <f>SUMIFS('Trade Log'!$N$7:$N$371,'Trade Log'!$A$7:$A$371,"B",'Trade Log'!$C$7:$C$371,A58)</f>
        <v>0</v>
      </c>
      <c r="X58" s="7">
        <f>SUMIFS('Trade Log'!$N$7:$N$371,'Trade Log'!$A$7:$A$371,"C",'Trade Log'!$C$7:$C$371,A58)</f>
        <v>0</v>
      </c>
      <c r="Y58" s="7">
        <f t="shared" si="3"/>
        <v>0</v>
      </c>
      <c r="Z58" s="7">
        <f t="shared" si="4"/>
        <v>0</v>
      </c>
      <c r="AA58" s="7">
        <f t="shared" si="5"/>
        <v>0</v>
      </c>
    </row>
    <row r="59" spans="1:27">
      <c r="A59" s="10">
        <v>45825</v>
      </c>
      <c r="B59" s="7">
        <v>98571.773100000006</v>
      </c>
      <c r="C59" s="7">
        <v>208.7064</v>
      </c>
      <c r="D59" s="7">
        <v>1.476</v>
      </c>
      <c r="E59" s="7">
        <v>207.2304</v>
      </c>
      <c r="F59" s="7">
        <v>98779.003500000006</v>
      </c>
      <c r="G59" s="6">
        <v>2.1023299999999999E-3</v>
      </c>
      <c r="H59" s="7">
        <v>101757.8676999999</v>
      </c>
      <c r="I59" s="7">
        <v>216.34200000000001</v>
      </c>
      <c r="J59" s="7">
        <v>1.53</v>
      </c>
      <c r="K59" s="7">
        <v>214.81200000000001</v>
      </c>
      <c r="L59" s="7">
        <v>101972.67969999991</v>
      </c>
      <c r="M59" s="6">
        <v>2.1110111999999999E-3</v>
      </c>
      <c r="N59" s="7">
        <v>102013.07829999991</v>
      </c>
      <c r="O59" s="7">
        <v>708.83820000000003</v>
      </c>
      <c r="P59" s="7">
        <v>5.0129999999999999</v>
      </c>
      <c r="Q59" s="7">
        <v>703.8252</v>
      </c>
      <c r="R59" s="7">
        <v>102716.9034999999</v>
      </c>
      <c r="S59" s="6">
        <v>6.8993624000000002E-3</v>
      </c>
      <c r="T59" s="6">
        <v>-8.5451315000000007E-3</v>
      </c>
      <c r="U59" s="7">
        <v>106517.2764821616</v>
      </c>
      <c r="V59" s="7">
        <f>SUMIFS('Trade Log'!$N$7:$N$371,'Trade Log'!$A$7:$A$371,"A",'Trade Log'!$C$7:$C$371,A59)</f>
        <v>207.23040000000185</v>
      </c>
      <c r="W59" s="7">
        <f>SUMIFS('Trade Log'!$N$7:$N$371,'Trade Log'!$A$7:$A$371,"B",'Trade Log'!$C$7:$C$371,A59)</f>
        <v>214.81200000000192</v>
      </c>
      <c r="X59" s="7">
        <f>SUMIFS('Trade Log'!$N$7:$N$371,'Trade Log'!$A$7:$A$371,"C",'Trade Log'!$C$7:$C$371,A59)</f>
        <v>703.82520000000625</v>
      </c>
      <c r="Y59" s="7">
        <f t="shared" si="3"/>
        <v>1.8474111129762605E-12</v>
      </c>
      <c r="Z59" s="7">
        <f t="shared" si="4"/>
        <v>1.9042545318370685E-12</v>
      </c>
      <c r="AA59" s="7">
        <f t="shared" si="5"/>
        <v>6.2527760746888816E-12</v>
      </c>
    </row>
    <row r="60" spans="1:27">
      <c r="A60" s="10">
        <v>45826</v>
      </c>
      <c r="B60" s="7">
        <v>98779.003500000006</v>
      </c>
      <c r="C60" s="7">
        <v>-541.72799999999995</v>
      </c>
      <c r="D60" s="7">
        <v>1.4850000000000001</v>
      </c>
      <c r="E60" s="7">
        <v>-543.21299999999997</v>
      </c>
      <c r="F60" s="7">
        <v>98235.790500000003</v>
      </c>
      <c r="G60" s="6">
        <v>-5.499276E-3</v>
      </c>
      <c r="H60" s="7">
        <v>101972.67969999991</v>
      </c>
      <c r="I60" s="7">
        <v>-102.34350000000001</v>
      </c>
      <c r="J60" s="7">
        <v>1.5389999999999999</v>
      </c>
      <c r="K60" s="7">
        <v>-103.88249999999999</v>
      </c>
      <c r="L60" s="7">
        <v>101868.7971999999</v>
      </c>
      <c r="M60" s="6">
        <v>-1.0187287E-3</v>
      </c>
      <c r="N60" s="7">
        <v>102716.9034999999</v>
      </c>
      <c r="O60" s="7">
        <v>-321.39449999999999</v>
      </c>
      <c r="P60" s="7">
        <v>4.8330000000000002</v>
      </c>
      <c r="Q60" s="7">
        <v>-326.22750000000002</v>
      </c>
      <c r="R60" s="7">
        <v>102390.6759999999</v>
      </c>
      <c r="S60" s="6">
        <v>-3.1759865000000002E-3</v>
      </c>
      <c r="T60" s="6">
        <v>-1.5064270000000001E-4</v>
      </c>
      <c r="U60" s="7">
        <v>106501.2304359254</v>
      </c>
      <c r="V60" s="7">
        <f>SUMIFS('Trade Log'!$N$7:$N$371,'Trade Log'!$A$7:$A$371,"A",'Trade Log'!$C$7:$C$371,A60)</f>
        <v>-543.21300000001304</v>
      </c>
      <c r="W60" s="7">
        <f>SUMIFS('Trade Log'!$N$7:$N$371,'Trade Log'!$A$7:$A$371,"B",'Trade Log'!$C$7:$C$371,A60)</f>
        <v>-103.88250000000995</v>
      </c>
      <c r="X60" s="7">
        <f>SUMIFS('Trade Log'!$N$7:$N$371,'Trade Log'!$A$7:$A$371,"C",'Trade Log'!$C$7:$C$371,A60)</f>
        <v>-326.22750000003128</v>
      </c>
      <c r="Y60" s="7">
        <f t="shared" si="3"/>
        <v>-1.3073986337985843E-11</v>
      </c>
      <c r="Z60" s="7">
        <f t="shared" si="4"/>
        <v>-9.9618091553566046E-12</v>
      </c>
      <c r="AA60" s="7">
        <f t="shared" si="5"/>
        <v>-3.1263880373444408E-11</v>
      </c>
    </row>
    <row r="61" spans="1:27">
      <c r="A61" s="10">
        <v>45828</v>
      </c>
      <c r="B61" s="7">
        <v>98235.790500000003</v>
      </c>
      <c r="C61" s="7">
        <v>-6.5435999999999996</v>
      </c>
      <c r="D61" s="7">
        <v>1.476</v>
      </c>
      <c r="E61" s="7">
        <v>-8.0196000000000005</v>
      </c>
      <c r="F61" s="7">
        <v>98227.770900000003</v>
      </c>
      <c r="G61" s="6">
        <v>-8.1636200000000003E-5</v>
      </c>
      <c r="H61" s="7">
        <v>101868.7971999999</v>
      </c>
      <c r="I61" s="7">
        <v>-251.5239</v>
      </c>
      <c r="J61" s="7">
        <v>4.617</v>
      </c>
      <c r="K61" s="7">
        <v>-256.14089999999999</v>
      </c>
      <c r="L61" s="7">
        <v>101612.6562999999</v>
      </c>
      <c r="M61" s="6">
        <v>-2.5144196000000001E-3</v>
      </c>
      <c r="N61" s="7">
        <v>102390.6759999999</v>
      </c>
      <c r="O61" s="7">
        <v>-792.81510000009996</v>
      </c>
      <c r="P61" s="7">
        <v>14.553000000000001</v>
      </c>
      <c r="Q61" s="7">
        <v>-807.36810000009996</v>
      </c>
      <c r="R61" s="7">
        <v>101583.3078999998</v>
      </c>
      <c r="S61" s="6">
        <v>-7.8851721000000007E-3</v>
      </c>
      <c r="T61" s="6">
        <v>-2.3481912E-3</v>
      </c>
      <c r="U61" s="7">
        <v>106251.1451857021</v>
      </c>
      <c r="V61" s="7">
        <f>SUMIFS('Trade Log'!$N$7:$N$371,'Trade Log'!$A$7:$A$371,"A",'Trade Log'!$C$7:$C$371,A61)</f>
        <v>-8.0195999999981513</v>
      </c>
      <c r="W61" s="7">
        <f>SUMIFS('Trade Log'!$N$7:$N$371,'Trade Log'!$A$7:$A$371,"B",'Trade Log'!$C$7:$C$371,A61)</f>
        <v>-256.14090000002432</v>
      </c>
      <c r="X61" s="7">
        <f>SUMIFS('Trade Log'!$N$7:$N$371,'Trade Log'!$A$7:$A$371,"C",'Trade Log'!$C$7:$C$371,A61)</f>
        <v>-807.36810000007677</v>
      </c>
      <c r="Y61" s="7">
        <f t="shared" si="3"/>
        <v>1.8491874698156607E-12</v>
      </c>
      <c r="Z61" s="7">
        <f t="shared" si="4"/>
        <v>-2.432898327242583E-11</v>
      </c>
      <c r="AA61" s="7">
        <f t="shared" si="5"/>
        <v>2.319211489520967E-11</v>
      </c>
    </row>
    <row r="62" spans="1:27">
      <c r="A62" s="10">
        <v>45831</v>
      </c>
      <c r="B62" s="7">
        <v>98227.770900000003</v>
      </c>
      <c r="C62" s="7">
        <v>153.03749999999999</v>
      </c>
      <c r="D62" s="7">
        <v>1.4850000000000001</v>
      </c>
      <c r="E62" s="7">
        <v>151.55250000000001</v>
      </c>
      <c r="F62" s="7">
        <v>98379.323399999994</v>
      </c>
      <c r="G62" s="6">
        <v>1.5428682E-3</v>
      </c>
      <c r="H62" s="7">
        <v>101612.6562999999</v>
      </c>
      <c r="I62" s="7">
        <v>157.67500000000001</v>
      </c>
      <c r="J62" s="7">
        <v>1.53</v>
      </c>
      <c r="K62" s="7">
        <v>156.14500000000001</v>
      </c>
      <c r="L62" s="7">
        <v>101768.8012999999</v>
      </c>
      <c r="M62" s="6">
        <v>1.5366688E-3</v>
      </c>
      <c r="N62" s="7">
        <v>101583.3078999998</v>
      </c>
      <c r="O62" s="7">
        <v>493.42999999990002</v>
      </c>
      <c r="P62" s="7">
        <v>4.7880000000000003</v>
      </c>
      <c r="Q62" s="7">
        <v>488.64199999990001</v>
      </c>
      <c r="R62" s="7">
        <v>102071.9498999998</v>
      </c>
      <c r="S62" s="6">
        <v>4.8102587999999998E-3</v>
      </c>
      <c r="T62" s="6">
        <v>9.8775505999999999E-3</v>
      </c>
      <c r="U62" s="7">
        <v>107300.64625227109</v>
      </c>
      <c r="V62" s="7">
        <f>SUMIFS('Trade Log'!$N$7:$N$371,'Trade Log'!$A$7:$A$371,"A",'Trade Log'!$C$7:$C$371,A62)</f>
        <v>151.55249999998273</v>
      </c>
      <c r="W62" s="7">
        <f>SUMIFS('Trade Log'!$N$7:$N$371,'Trade Log'!$A$7:$A$371,"B",'Trade Log'!$C$7:$C$371,A62)</f>
        <v>156.14499999998222</v>
      </c>
      <c r="X62" s="7">
        <f>SUMIFS('Trade Log'!$N$7:$N$371,'Trade Log'!$A$7:$A$371,"C",'Trade Log'!$C$7:$C$371,A62)</f>
        <v>488.64199999994435</v>
      </c>
      <c r="Y62" s="7">
        <f t="shared" si="3"/>
        <v>-1.7280399333685637E-11</v>
      </c>
      <c r="Z62" s="7">
        <f t="shared" si="4"/>
        <v>-1.7791990103432909E-11</v>
      </c>
      <c r="AA62" s="7">
        <f t="shared" si="5"/>
        <v>4.4337866711430252E-11</v>
      </c>
    </row>
    <row r="63" spans="1:27">
      <c r="A63" s="10">
        <v>45832</v>
      </c>
      <c r="B63" s="7">
        <v>98379.323399999994</v>
      </c>
      <c r="C63" s="7">
        <v>162.5599</v>
      </c>
      <c r="D63" s="7">
        <v>1.4670000000000001</v>
      </c>
      <c r="E63" s="7">
        <v>161.09289999999999</v>
      </c>
      <c r="F63" s="7">
        <v>98540.416299999997</v>
      </c>
      <c r="G63" s="6">
        <v>1.6374670000000001E-3</v>
      </c>
      <c r="H63" s="7">
        <v>101768.8012999999</v>
      </c>
      <c r="I63" s="7">
        <v>167.54640000000001</v>
      </c>
      <c r="J63" s="7">
        <v>1.512</v>
      </c>
      <c r="K63" s="7">
        <v>166.03440000000001</v>
      </c>
      <c r="L63" s="7">
        <v>101934.83569999989</v>
      </c>
      <c r="M63" s="6">
        <v>1.6314863E-3</v>
      </c>
      <c r="N63" s="7">
        <v>102071.9498999998</v>
      </c>
      <c r="O63" s="7">
        <v>500.64460000000003</v>
      </c>
      <c r="P63" s="7">
        <v>4.5179999999999998</v>
      </c>
      <c r="Q63" s="7">
        <v>496.1266</v>
      </c>
      <c r="R63" s="7">
        <v>102568.07649999981</v>
      </c>
      <c r="S63" s="6">
        <v>4.8605577000000004E-3</v>
      </c>
      <c r="T63" s="6">
        <v>1.1047124199999999E-2</v>
      </c>
      <c r="U63" s="7">
        <v>108486.0098198217</v>
      </c>
      <c r="V63" s="7">
        <f>SUMIFS('Trade Log'!$N$7:$N$371,'Trade Log'!$A$7:$A$371,"A",'Trade Log'!$C$7:$C$371,A63)</f>
        <v>161.09289999999928</v>
      </c>
      <c r="W63" s="7">
        <f>SUMIFS('Trade Log'!$N$7:$N$371,'Trade Log'!$A$7:$A$371,"B",'Trade Log'!$C$7:$C$371,A63)</f>
        <v>166.03439999999927</v>
      </c>
      <c r="X63" s="7">
        <f>SUMIFS('Trade Log'!$N$7:$N$371,'Trade Log'!$A$7:$A$371,"C",'Trade Log'!$C$7:$C$371,A63)</f>
        <v>496.12659999999778</v>
      </c>
      <c r="Y63" s="7">
        <f t="shared" si="3"/>
        <v>-7.1054273576010019E-13</v>
      </c>
      <c r="Z63" s="7">
        <f t="shared" si="4"/>
        <v>-7.3896444519050419E-13</v>
      </c>
      <c r="AA63" s="7">
        <f t="shared" si="5"/>
        <v>-2.2168933355715126E-12</v>
      </c>
    </row>
    <row r="64" spans="1:27">
      <c r="A64" s="10">
        <v>45833</v>
      </c>
      <c r="B64" s="7">
        <v>98540.416299999997</v>
      </c>
      <c r="C64" s="7">
        <v>0</v>
      </c>
      <c r="D64" s="7">
        <v>0</v>
      </c>
      <c r="E64" s="7">
        <v>0</v>
      </c>
      <c r="F64" s="7">
        <v>98540.416299999997</v>
      </c>
      <c r="G64" s="6">
        <v>0</v>
      </c>
      <c r="H64" s="7">
        <v>101934.83569999989</v>
      </c>
      <c r="I64" s="7">
        <v>0</v>
      </c>
      <c r="J64" s="7">
        <v>0</v>
      </c>
      <c r="K64" s="7">
        <v>0</v>
      </c>
      <c r="L64" s="7">
        <v>101934.83569999989</v>
      </c>
      <c r="M64" s="6">
        <v>0</v>
      </c>
      <c r="N64" s="7">
        <v>102568.07649999981</v>
      </c>
      <c r="O64" s="7">
        <v>0</v>
      </c>
      <c r="P64" s="7">
        <v>0</v>
      </c>
      <c r="Q64" s="7">
        <v>0</v>
      </c>
      <c r="R64" s="7">
        <v>102568.07649999981</v>
      </c>
      <c r="S64" s="6">
        <v>0</v>
      </c>
      <c r="T64" s="6">
        <v>5.6040120000000004E-4</v>
      </c>
      <c r="U64" s="7">
        <v>108546.80551008679</v>
      </c>
      <c r="V64" s="7">
        <f>SUMIFS('Trade Log'!$N$7:$N$371,'Trade Log'!$A$7:$A$371,"A",'Trade Log'!$C$7:$C$371,A64)</f>
        <v>0</v>
      </c>
      <c r="W64" s="7">
        <f>SUMIFS('Trade Log'!$N$7:$N$371,'Trade Log'!$A$7:$A$371,"B",'Trade Log'!$C$7:$C$371,A64)</f>
        <v>0</v>
      </c>
      <c r="X64" s="7">
        <f>SUMIFS('Trade Log'!$N$7:$N$371,'Trade Log'!$A$7:$A$371,"C",'Trade Log'!$C$7:$C$371,A64)</f>
        <v>0</v>
      </c>
      <c r="Y64" s="7">
        <f t="shared" si="3"/>
        <v>0</v>
      </c>
      <c r="Z64" s="7">
        <f t="shared" si="4"/>
        <v>0</v>
      </c>
      <c r="AA64" s="7">
        <f t="shared" si="5"/>
        <v>0</v>
      </c>
    </row>
    <row r="65" spans="1:27">
      <c r="A65" s="10">
        <v>45834</v>
      </c>
      <c r="B65" s="7">
        <v>98540.416299999997</v>
      </c>
      <c r="C65" s="7">
        <v>158.3064</v>
      </c>
      <c r="D65" s="7">
        <v>1.458</v>
      </c>
      <c r="E65" s="7">
        <v>156.8484</v>
      </c>
      <c r="F65" s="7">
        <v>98697.2647</v>
      </c>
      <c r="G65" s="6">
        <v>1.5917164000000001E-3</v>
      </c>
      <c r="H65" s="7">
        <v>101934.83569999989</v>
      </c>
      <c r="I65" s="7">
        <v>163.19239999999999</v>
      </c>
      <c r="J65" s="7">
        <v>1.5029999999999999</v>
      </c>
      <c r="K65" s="7">
        <v>161.68940000000001</v>
      </c>
      <c r="L65" s="7">
        <v>102096.5250999999</v>
      </c>
      <c r="M65" s="6">
        <v>1.5862036E-3</v>
      </c>
      <c r="N65" s="7">
        <v>102568.07649999981</v>
      </c>
      <c r="O65" s="7">
        <v>460.26119999999997</v>
      </c>
      <c r="P65" s="7">
        <v>4.2389999999999999</v>
      </c>
      <c r="Q65" s="7">
        <v>456.0222</v>
      </c>
      <c r="R65" s="7">
        <v>103024.0986999997</v>
      </c>
      <c r="S65" s="6">
        <v>4.4460441999999998E-3</v>
      </c>
      <c r="T65" s="6">
        <v>7.8238799000000005E-3</v>
      </c>
      <c r="U65" s="7">
        <v>109396.062676753</v>
      </c>
      <c r="V65" s="7">
        <f>SUMIFS('Trade Log'!$N$7:$N$371,'Trade Log'!$A$7:$A$371,"A",'Trade Log'!$C$7:$C$371,A65)</f>
        <v>156.84839999998789</v>
      </c>
      <c r="W65" s="7">
        <f>SUMIFS('Trade Log'!$N$7:$N$371,'Trade Log'!$A$7:$A$371,"B",'Trade Log'!$C$7:$C$371,A65)</f>
        <v>161.68939999998753</v>
      </c>
      <c r="X65" s="7">
        <f>SUMIFS('Trade Log'!$N$7:$N$371,'Trade Log'!$A$7:$A$371,"C",'Trade Log'!$C$7:$C$371,A65)</f>
        <v>456.02219999996481</v>
      </c>
      <c r="Y65" s="7">
        <f t="shared" si="3"/>
        <v>-1.2107648217352107E-11</v>
      </c>
      <c r="Z65" s="7">
        <f t="shared" si="4"/>
        <v>-1.2477130439947359E-11</v>
      </c>
      <c r="AA65" s="7">
        <f t="shared" si="5"/>
        <v>-3.5186076274840161E-11</v>
      </c>
    </row>
    <row r="66" spans="1:27">
      <c r="A66" s="10">
        <v>45835</v>
      </c>
      <c r="B66" s="7">
        <v>98697.2647</v>
      </c>
      <c r="C66" s="7">
        <v>-158.95529999999999</v>
      </c>
      <c r="D66" s="7">
        <v>1.4490000000000001</v>
      </c>
      <c r="E66" s="7">
        <v>-160.40430000000001</v>
      </c>
      <c r="F66" s="7">
        <v>98536.860400000005</v>
      </c>
      <c r="G66" s="6">
        <v>-1.6252153000000001E-3</v>
      </c>
      <c r="H66" s="7">
        <v>102096.5250999999</v>
      </c>
      <c r="I66" s="7">
        <v>7.4534000000000002</v>
      </c>
      <c r="J66" s="7">
        <v>1.494</v>
      </c>
      <c r="K66" s="7">
        <v>5.9593999999999996</v>
      </c>
      <c r="L66" s="7">
        <v>102102.4844999999</v>
      </c>
      <c r="M66" s="6">
        <v>5.8370299999999999E-5</v>
      </c>
      <c r="N66" s="7">
        <v>103024.0986999997</v>
      </c>
      <c r="O66" s="7">
        <v>21.282599999999999</v>
      </c>
      <c r="P66" s="7">
        <v>4.266</v>
      </c>
      <c r="Q66" s="7">
        <v>17.0166</v>
      </c>
      <c r="R66" s="7">
        <v>103041.1152999997</v>
      </c>
      <c r="S66" s="6">
        <v>1.6517109999999999E-4</v>
      </c>
      <c r="T66" s="6">
        <v>4.9683846000000004E-3</v>
      </c>
      <c r="U66" s="7">
        <v>109939.5843948525</v>
      </c>
      <c r="V66" s="7">
        <f>SUMIFS('Trade Log'!$N$7:$N$371,'Trade Log'!$A$7:$A$371,"A",'Trade Log'!$C$7:$C$371,A66)</f>
        <v>-160.40430000000077</v>
      </c>
      <c r="W66" s="7">
        <f>SUMIFS('Trade Log'!$N$7:$N$371,'Trade Log'!$A$7:$A$371,"B",'Trade Log'!$C$7:$C$371,A66)</f>
        <v>5.9593999999973732</v>
      </c>
      <c r="X66" s="7">
        <f>SUMIFS('Trade Log'!$N$7:$N$371,'Trade Log'!$A$7:$A$371,"C",'Trade Log'!$C$7:$C$371,A66)</f>
        <v>17.016599999992501</v>
      </c>
      <c r="Y66" s="7">
        <f t="shared" si="3"/>
        <v>-7.673861546209082E-13</v>
      </c>
      <c r="Z66" s="7">
        <f t="shared" si="4"/>
        <v>-2.6263435870532703E-12</v>
      </c>
      <c r="AA66" s="7">
        <f t="shared" si="5"/>
        <v>-7.4997785759478575E-12</v>
      </c>
    </row>
    <row r="67" spans="1:27">
      <c r="A67" s="10">
        <v>45838</v>
      </c>
      <c r="B67" s="7">
        <v>98536.860400000005</v>
      </c>
      <c r="C67" s="7">
        <v>0</v>
      </c>
      <c r="D67" s="7">
        <v>0</v>
      </c>
      <c r="E67" s="7">
        <v>0</v>
      </c>
      <c r="F67" s="7">
        <v>98536.860400000005</v>
      </c>
      <c r="G67" s="6">
        <v>0</v>
      </c>
      <c r="H67" s="7">
        <v>102102.4844999999</v>
      </c>
      <c r="I67" s="7">
        <v>0</v>
      </c>
      <c r="J67" s="7">
        <v>0</v>
      </c>
      <c r="K67" s="7">
        <v>0</v>
      </c>
      <c r="L67" s="7">
        <v>102102.4844999999</v>
      </c>
      <c r="M67" s="6">
        <v>0</v>
      </c>
      <c r="N67" s="7">
        <v>103041.1152999997</v>
      </c>
      <c r="O67" s="7">
        <v>0</v>
      </c>
      <c r="P67" s="7">
        <v>0</v>
      </c>
      <c r="Q67" s="7">
        <v>0</v>
      </c>
      <c r="R67" s="7">
        <v>103041.1152999997</v>
      </c>
      <c r="S67" s="6">
        <v>0</v>
      </c>
      <c r="T67" s="6">
        <v>4.7812347000000003E-3</v>
      </c>
      <c r="U67" s="7">
        <v>110465.231355301</v>
      </c>
      <c r="V67" s="7">
        <f>SUMIFS('Trade Log'!$N$7:$N$371,'Trade Log'!$A$7:$A$371,"A",'Trade Log'!$C$7:$C$371,A67)</f>
        <v>0</v>
      </c>
      <c r="W67" s="7">
        <f>SUMIFS('Trade Log'!$N$7:$N$371,'Trade Log'!$A$7:$A$371,"B",'Trade Log'!$C$7:$C$371,A67)</f>
        <v>0</v>
      </c>
      <c r="X67" s="7">
        <f>SUMIFS('Trade Log'!$N$7:$N$371,'Trade Log'!$A$7:$A$371,"C",'Trade Log'!$C$7:$C$371,A67)</f>
        <v>0</v>
      </c>
      <c r="Y67" s="7">
        <f t="shared" si="3"/>
        <v>0</v>
      </c>
      <c r="Z67" s="7">
        <f t="shared" si="4"/>
        <v>0</v>
      </c>
      <c r="AA67" s="7">
        <f t="shared" si="5"/>
        <v>0</v>
      </c>
    </row>
    <row r="68" spans="1:27">
      <c r="A68" s="10">
        <v>45839</v>
      </c>
      <c r="B68" s="7">
        <v>98536.860400000005</v>
      </c>
      <c r="C68" s="7">
        <v>0</v>
      </c>
      <c r="D68" s="7">
        <v>0</v>
      </c>
      <c r="E68" s="7">
        <v>0</v>
      </c>
      <c r="F68" s="7">
        <v>98536.860400000005</v>
      </c>
      <c r="G68" s="6">
        <v>0</v>
      </c>
      <c r="H68" s="7">
        <v>102102.4844999999</v>
      </c>
      <c r="I68" s="7">
        <v>0</v>
      </c>
      <c r="J68" s="7">
        <v>0</v>
      </c>
      <c r="K68" s="7">
        <v>0</v>
      </c>
      <c r="L68" s="7">
        <v>102102.4844999999</v>
      </c>
      <c r="M68" s="6">
        <v>0</v>
      </c>
      <c r="N68" s="7">
        <v>103041.1152999997</v>
      </c>
      <c r="O68" s="7">
        <v>0</v>
      </c>
      <c r="P68" s="7">
        <v>0</v>
      </c>
      <c r="Q68" s="7">
        <v>0</v>
      </c>
      <c r="R68" s="7">
        <v>103041.1152999997</v>
      </c>
      <c r="S68" s="6">
        <v>0</v>
      </c>
      <c r="T68" s="6">
        <v>-3.2378920000000001E-4</v>
      </c>
      <c r="U68" s="7">
        <v>110429.4639114559</v>
      </c>
      <c r="V68" s="7">
        <f>SUMIFS('Trade Log'!$N$7:$N$371,'Trade Log'!$A$7:$A$371,"A",'Trade Log'!$C$7:$C$371,A68)</f>
        <v>0</v>
      </c>
      <c r="W68" s="7">
        <f>SUMIFS('Trade Log'!$N$7:$N$371,'Trade Log'!$A$7:$A$371,"B",'Trade Log'!$C$7:$C$371,A68)</f>
        <v>0</v>
      </c>
      <c r="X68" s="7">
        <f>SUMIFS('Trade Log'!$N$7:$N$371,'Trade Log'!$A$7:$A$371,"C",'Trade Log'!$C$7:$C$371,A68)</f>
        <v>0</v>
      </c>
      <c r="Y68" s="7">
        <f t="shared" si="3"/>
        <v>0</v>
      </c>
      <c r="Z68" s="7">
        <f t="shared" si="4"/>
        <v>0</v>
      </c>
      <c r="AA68" s="7">
        <f t="shared" si="5"/>
        <v>0</v>
      </c>
    </row>
    <row r="69" spans="1:27">
      <c r="A69" s="10">
        <v>45840</v>
      </c>
      <c r="B69" s="7">
        <v>98536.860400000005</v>
      </c>
      <c r="C69" s="7">
        <v>287.21600000000001</v>
      </c>
      <c r="D69" s="7">
        <v>1.44</v>
      </c>
      <c r="E69" s="7">
        <v>285.77600000000001</v>
      </c>
      <c r="F69" s="7">
        <v>98822.636400000003</v>
      </c>
      <c r="G69" s="6">
        <v>2.9001939E-3</v>
      </c>
      <c r="H69" s="7">
        <v>102102.4844999999</v>
      </c>
      <c r="I69" s="7">
        <v>197.0925</v>
      </c>
      <c r="J69" s="7">
        <v>1.4850000000000001</v>
      </c>
      <c r="K69" s="7">
        <v>195.60749999999999</v>
      </c>
      <c r="L69" s="7">
        <v>102298.0919999999</v>
      </c>
      <c r="M69" s="6">
        <v>1.9157957000000001E-3</v>
      </c>
      <c r="N69" s="7">
        <v>103041.1152999997</v>
      </c>
      <c r="O69" s="7">
        <v>591.27750000000003</v>
      </c>
      <c r="P69" s="7">
        <v>4.4550000000000001</v>
      </c>
      <c r="Q69" s="7">
        <v>586.82249999999999</v>
      </c>
      <c r="R69" s="7">
        <v>103627.93779999969</v>
      </c>
      <c r="S69" s="6">
        <v>5.6950324999999998E-3</v>
      </c>
      <c r="T69" s="6">
        <v>4.5332176000000002E-3</v>
      </c>
      <c r="U69" s="7">
        <v>110930.06469694131</v>
      </c>
      <c r="V69" s="7">
        <f>SUMIFS('Trade Log'!$N$7:$N$371,'Trade Log'!$A$7:$A$371,"A",'Trade Log'!$C$7:$C$371,A69)</f>
        <v>285.77600000000763</v>
      </c>
      <c r="W69" s="7">
        <f>SUMIFS('Trade Log'!$N$7:$N$371,'Trade Log'!$A$7:$A$371,"B",'Trade Log'!$C$7:$C$371,A69)</f>
        <v>195.60750000001019</v>
      </c>
      <c r="X69" s="7">
        <f>SUMIFS('Trade Log'!$N$7:$N$371,'Trade Log'!$A$7:$A$371,"C",'Trade Log'!$C$7:$C$371,A69)</f>
        <v>586.82250000003057</v>
      </c>
      <c r="Y69" s="7">
        <f t="shared" si="3"/>
        <v>7.617018127348274E-12</v>
      </c>
      <c r="Z69" s="7">
        <f t="shared" si="4"/>
        <v>1.0203393685515039E-11</v>
      </c>
      <c r="AA69" s="7">
        <f t="shared" si="5"/>
        <v>3.0581759347114712E-11</v>
      </c>
    </row>
    <row r="70" spans="1:27">
      <c r="A70" s="10">
        <v>45841</v>
      </c>
      <c r="B70" s="7">
        <v>98822.636400000003</v>
      </c>
      <c r="C70" s="7">
        <v>6.3041999999999998</v>
      </c>
      <c r="D70" s="7">
        <v>1.4219999999999999</v>
      </c>
      <c r="E70" s="7">
        <v>4.8822000000000001</v>
      </c>
      <c r="F70" s="7">
        <v>98827.518599999996</v>
      </c>
      <c r="G70" s="6">
        <v>4.9403700000000003E-5</v>
      </c>
      <c r="H70" s="7">
        <v>102298.0919999999</v>
      </c>
      <c r="I70" s="7">
        <v>6.5435999999999996</v>
      </c>
      <c r="J70" s="7">
        <v>1.476</v>
      </c>
      <c r="K70" s="7">
        <v>5.0675999999999997</v>
      </c>
      <c r="L70" s="7">
        <v>102303.1595999999</v>
      </c>
      <c r="M70" s="6">
        <v>4.9537599999999998E-5</v>
      </c>
      <c r="N70" s="7">
        <v>103627.93779999969</v>
      </c>
      <c r="O70" s="7">
        <v>19.989899999999999</v>
      </c>
      <c r="P70" s="7">
        <v>4.5090000000000003</v>
      </c>
      <c r="Q70" s="7">
        <v>15.4809</v>
      </c>
      <c r="R70" s="7">
        <v>103643.4186999997</v>
      </c>
      <c r="S70" s="6">
        <v>1.4938930000000001E-4</v>
      </c>
      <c r="T70" s="6">
        <v>7.8815724E-3</v>
      </c>
      <c r="U70" s="7">
        <v>111804.3680385707</v>
      </c>
      <c r="V70" s="7">
        <f>SUMIFS('Trade Log'!$N$7:$N$371,'Trade Log'!$A$7:$A$371,"A",'Trade Log'!$C$7:$C$371,A70)</f>
        <v>4.8821999999982175</v>
      </c>
      <c r="W70" s="7">
        <f>SUMIFS('Trade Log'!$N$7:$N$371,'Trade Log'!$A$7:$A$371,"B",'Trade Log'!$C$7:$C$371,A70)</f>
        <v>5.0675999999981505</v>
      </c>
      <c r="X70" s="7">
        <f>SUMIFS('Trade Log'!$N$7:$N$371,'Trade Log'!$A$7:$A$371,"C",'Trade Log'!$C$7:$C$371,A70)</f>
        <v>15.48089999999435</v>
      </c>
      <c r="Y70" s="7">
        <f t="shared" si="3"/>
        <v>-1.7825740883381513E-12</v>
      </c>
      <c r="Z70" s="7">
        <f t="shared" si="4"/>
        <v>-1.8491874698156607E-12</v>
      </c>
      <c r="AA70" s="7">
        <f t="shared" si="5"/>
        <v>-5.6505911061321967E-12</v>
      </c>
    </row>
    <row r="71" spans="1:27">
      <c r="A71" s="10">
        <v>45845</v>
      </c>
      <c r="B71" s="7">
        <v>98827.518599999996</v>
      </c>
      <c r="C71" s="7">
        <v>223.72800000000001</v>
      </c>
      <c r="D71" s="7">
        <v>1.4219999999999999</v>
      </c>
      <c r="E71" s="7">
        <v>222.30600000000001</v>
      </c>
      <c r="F71" s="7">
        <v>99049.824600000007</v>
      </c>
      <c r="G71" s="6">
        <v>2.2494341999999999E-3</v>
      </c>
      <c r="H71" s="7">
        <v>102303.1595999999</v>
      </c>
      <c r="I71" s="7">
        <v>232.22399999999999</v>
      </c>
      <c r="J71" s="7">
        <v>1.476</v>
      </c>
      <c r="K71" s="7">
        <v>230.74799999999999</v>
      </c>
      <c r="L71" s="7">
        <v>102533.9075999999</v>
      </c>
      <c r="M71" s="6">
        <v>2.2555315E-3</v>
      </c>
      <c r="N71" s="7">
        <v>103643.4186999997</v>
      </c>
      <c r="O71" s="7">
        <v>693.84</v>
      </c>
      <c r="P71" s="7">
        <v>4.41</v>
      </c>
      <c r="Q71" s="7">
        <v>689.43</v>
      </c>
      <c r="R71" s="7">
        <v>104332.8486999998</v>
      </c>
      <c r="S71" s="6">
        <v>6.6519418999999996E-3</v>
      </c>
      <c r="T71" s="6">
        <v>-7.4520814999999999E-3</v>
      </c>
      <c r="U71" s="7">
        <v>110971.1927752273</v>
      </c>
      <c r="V71" s="7">
        <f>SUMIFS('Trade Log'!$N$7:$N$371,'Trade Log'!$A$7:$A$371,"A",'Trade Log'!$C$7:$C$371,A71)</f>
        <v>222.30600000000848</v>
      </c>
      <c r="W71" s="7">
        <f>SUMIFS('Trade Log'!$N$7:$N$371,'Trade Log'!$A$7:$A$371,"B",'Trade Log'!$C$7:$C$371,A71)</f>
        <v>230.7480000000088</v>
      </c>
      <c r="X71" s="7">
        <f>SUMIFS('Trade Log'!$N$7:$N$371,'Trade Log'!$A$7:$A$371,"C",'Trade Log'!$C$7:$C$371,A71)</f>
        <v>689.43000000002633</v>
      </c>
      <c r="Y71" s="7">
        <f t="shared" ref="Y71:Y102" si="6">V71-E71</f>
        <v>8.4696694102603942E-12</v>
      </c>
      <c r="Z71" s="7">
        <f t="shared" ref="Z71:Z102" si="7">W71-K71</f>
        <v>8.8107299234252423E-12</v>
      </c>
      <c r="AA71" s="7">
        <f t="shared" ref="AA71:AA102" si="8">X71-Q71</f>
        <v>2.6375346351414919E-11</v>
      </c>
    </row>
    <row r="72" spans="1:27">
      <c r="A72" s="10">
        <v>45846</v>
      </c>
      <c r="B72" s="7">
        <v>99049.824600000007</v>
      </c>
      <c r="C72" s="7">
        <v>0</v>
      </c>
      <c r="D72" s="7">
        <v>0</v>
      </c>
      <c r="E72" s="7">
        <v>0</v>
      </c>
      <c r="F72" s="7">
        <v>99049.824600000007</v>
      </c>
      <c r="G72" s="6">
        <v>0</v>
      </c>
      <c r="H72" s="7">
        <v>102533.9075999999</v>
      </c>
      <c r="I72" s="7">
        <v>0</v>
      </c>
      <c r="J72" s="7">
        <v>0</v>
      </c>
      <c r="K72" s="7">
        <v>0</v>
      </c>
      <c r="L72" s="7">
        <v>102533.9075999999</v>
      </c>
      <c r="M72" s="6">
        <v>0</v>
      </c>
      <c r="N72" s="7">
        <v>104332.8486999998</v>
      </c>
      <c r="O72" s="7">
        <v>0</v>
      </c>
      <c r="P72" s="7">
        <v>0</v>
      </c>
      <c r="Q72" s="7">
        <v>0</v>
      </c>
      <c r="R72" s="7">
        <v>104332.8486999998</v>
      </c>
      <c r="S72" s="6">
        <v>0</v>
      </c>
      <c r="T72" s="6">
        <v>-5.4768950000000003E-4</v>
      </c>
      <c r="U72" s="7">
        <v>110910.4150135056</v>
      </c>
      <c r="V72" s="7">
        <f>SUMIFS('Trade Log'!$N$7:$N$371,'Trade Log'!$A$7:$A$371,"A",'Trade Log'!$C$7:$C$371,A72)</f>
        <v>0</v>
      </c>
      <c r="W72" s="7">
        <f>SUMIFS('Trade Log'!$N$7:$N$371,'Trade Log'!$A$7:$A$371,"B",'Trade Log'!$C$7:$C$371,A72)</f>
        <v>0</v>
      </c>
      <c r="X72" s="7">
        <f>SUMIFS('Trade Log'!$N$7:$N$371,'Trade Log'!$A$7:$A$371,"C",'Trade Log'!$C$7:$C$371,A72)</f>
        <v>0</v>
      </c>
      <c r="Y72" s="7">
        <f t="shared" si="6"/>
        <v>0</v>
      </c>
      <c r="Z72" s="7">
        <f t="shared" si="7"/>
        <v>0</v>
      </c>
      <c r="AA72" s="7">
        <f t="shared" si="8"/>
        <v>0</v>
      </c>
    </row>
    <row r="73" spans="1:27">
      <c r="A73" s="10">
        <v>45847</v>
      </c>
      <c r="B73" s="7">
        <v>99049.824600000007</v>
      </c>
      <c r="C73" s="7">
        <v>0</v>
      </c>
      <c r="D73" s="7">
        <v>0</v>
      </c>
      <c r="E73" s="7">
        <v>0</v>
      </c>
      <c r="F73" s="7">
        <v>99049.824600000007</v>
      </c>
      <c r="G73" s="6">
        <v>0</v>
      </c>
      <c r="H73" s="7">
        <v>102533.9075999999</v>
      </c>
      <c r="I73" s="7">
        <v>0</v>
      </c>
      <c r="J73" s="7">
        <v>0</v>
      </c>
      <c r="K73" s="7">
        <v>0</v>
      </c>
      <c r="L73" s="7">
        <v>102533.9075999999</v>
      </c>
      <c r="M73" s="6">
        <v>0</v>
      </c>
      <c r="N73" s="7">
        <v>104332.8486999998</v>
      </c>
      <c r="O73" s="7">
        <v>0</v>
      </c>
      <c r="P73" s="7">
        <v>0</v>
      </c>
      <c r="Q73" s="7">
        <v>0</v>
      </c>
      <c r="R73" s="7">
        <v>104332.8486999998</v>
      </c>
      <c r="S73" s="6">
        <v>0</v>
      </c>
      <c r="T73" s="6">
        <v>5.9966880999999996E-3</v>
      </c>
      <c r="U73" s="7">
        <v>111575.5101835919</v>
      </c>
      <c r="V73" s="7">
        <f>SUMIFS('Trade Log'!$N$7:$N$371,'Trade Log'!$A$7:$A$371,"A",'Trade Log'!$C$7:$C$371,A73)</f>
        <v>0</v>
      </c>
      <c r="W73" s="7">
        <f>SUMIFS('Trade Log'!$N$7:$N$371,'Trade Log'!$A$7:$A$371,"B",'Trade Log'!$C$7:$C$371,A73)</f>
        <v>0</v>
      </c>
      <c r="X73" s="7">
        <f>SUMIFS('Trade Log'!$N$7:$N$371,'Trade Log'!$A$7:$A$371,"C",'Trade Log'!$C$7:$C$371,A73)</f>
        <v>0</v>
      </c>
      <c r="Y73" s="7">
        <f t="shared" si="6"/>
        <v>0</v>
      </c>
      <c r="Z73" s="7">
        <f t="shared" si="7"/>
        <v>0</v>
      </c>
      <c r="AA73" s="7">
        <f t="shared" si="8"/>
        <v>0</v>
      </c>
    </row>
    <row r="74" spans="1:27">
      <c r="A74" s="10">
        <v>45848</v>
      </c>
      <c r="B74" s="7">
        <v>99049.824600000007</v>
      </c>
      <c r="C74" s="7">
        <v>49.146900000000002</v>
      </c>
      <c r="D74" s="7">
        <v>1.431</v>
      </c>
      <c r="E74" s="7">
        <v>47.715899999999998</v>
      </c>
      <c r="F74" s="7">
        <v>99097.540500000003</v>
      </c>
      <c r="G74" s="6">
        <v>4.8173630000000002E-4</v>
      </c>
      <c r="H74" s="7">
        <v>102533.9075999999</v>
      </c>
      <c r="I74" s="7">
        <v>31.061599999999999</v>
      </c>
      <c r="J74" s="7">
        <v>2.952</v>
      </c>
      <c r="K74" s="7">
        <v>28.1096</v>
      </c>
      <c r="L74" s="7">
        <v>102562.0171999999</v>
      </c>
      <c r="M74" s="6">
        <v>2.741493E-4</v>
      </c>
      <c r="N74" s="7">
        <v>104332.8486999998</v>
      </c>
      <c r="O74" s="7">
        <v>121.7842000001</v>
      </c>
      <c r="P74" s="7">
        <v>11.574</v>
      </c>
      <c r="Q74" s="7">
        <v>110.2102</v>
      </c>
      <c r="R74" s="7">
        <v>104443.0588999998</v>
      </c>
      <c r="S74" s="6">
        <v>1.0563326999999999E-3</v>
      </c>
      <c r="T74" s="6">
        <v>2.8201875000000002E-3</v>
      </c>
      <c r="U74" s="7">
        <v>111890.1740467124</v>
      </c>
      <c r="V74" s="7">
        <f>SUMIFS('Trade Log'!$N$7:$N$371,'Trade Log'!$A$7:$A$371,"A",'Trade Log'!$C$7:$C$371,A74)</f>
        <v>47.715899999991095</v>
      </c>
      <c r="W74" s="7">
        <f>SUMIFS('Trade Log'!$N$7:$N$371,'Trade Log'!$A$7:$A$371,"B",'Trade Log'!$C$7:$C$371,A74)</f>
        <v>28.109600000015007</v>
      </c>
      <c r="X74" s="7">
        <f>SUMIFS('Trade Log'!$N$7:$N$371,'Trade Log'!$A$7:$A$371,"C",'Trade Log'!$C$7:$C$371,A74)</f>
        <v>110.21020000005882</v>
      </c>
      <c r="Y74" s="7">
        <f t="shared" si="6"/>
        <v>-8.9031004790740553E-12</v>
      </c>
      <c r="Z74" s="7">
        <f t="shared" si="7"/>
        <v>1.5006662579253316E-11</v>
      </c>
      <c r="AA74" s="7">
        <f t="shared" si="8"/>
        <v>5.8818727666221093E-11</v>
      </c>
    </row>
    <row r="75" spans="1:27">
      <c r="A75" s="10">
        <v>45849</v>
      </c>
      <c r="B75" s="7">
        <v>99097.540500000003</v>
      </c>
      <c r="C75" s="7">
        <v>0</v>
      </c>
      <c r="D75" s="7">
        <v>0</v>
      </c>
      <c r="E75" s="7">
        <v>0</v>
      </c>
      <c r="F75" s="7">
        <v>99097.540500000003</v>
      </c>
      <c r="G75" s="6">
        <v>0</v>
      </c>
      <c r="H75" s="7">
        <v>102562.0171999999</v>
      </c>
      <c r="I75" s="7">
        <v>0</v>
      </c>
      <c r="J75" s="7">
        <v>0</v>
      </c>
      <c r="K75" s="7">
        <v>0</v>
      </c>
      <c r="L75" s="7">
        <v>102562.0171999999</v>
      </c>
      <c r="M75" s="6">
        <v>0</v>
      </c>
      <c r="N75" s="7">
        <v>104443.0588999998</v>
      </c>
      <c r="O75" s="7">
        <v>0</v>
      </c>
      <c r="P75" s="7">
        <v>0</v>
      </c>
      <c r="Q75" s="7">
        <v>0</v>
      </c>
      <c r="R75" s="7">
        <v>104443.0588999998</v>
      </c>
      <c r="S75" s="6">
        <v>0</v>
      </c>
      <c r="T75" s="6">
        <v>-3.5153606000000001E-3</v>
      </c>
      <c r="U75" s="7">
        <v>111496.83973567589</v>
      </c>
      <c r="V75" s="7">
        <f>SUMIFS('Trade Log'!$N$7:$N$371,'Trade Log'!$A$7:$A$371,"A",'Trade Log'!$C$7:$C$371,A75)</f>
        <v>0</v>
      </c>
      <c r="W75" s="7">
        <f>SUMIFS('Trade Log'!$N$7:$N$371,'Trade Log'!$A$7:$A$371,"B",'Trade Log'!$C$7:$C$371,A75)</f>
        <v>0</v>
      </c>
      <c r="X75" s="7">
        <f>SUMIFS('Trade Log'!$N$7:$N$371,'Trade Log'!$A$7:$A$371,"C",'Trade Log'!$C$7:$C$371,A75)</f>
        <v>0</v>
      </c>
      <c r="Y75" s="7">
        <f t="shared" si="6"/>
        <v>0</v>
      </c>
      <c r="Z75" s="7">
        <f t="shared" si="7"/>
        <v>0</v>
      </c>
      <c r="AA75" s="7">
        <f t="shared" si="8"/>
        <v>0</v>
      </c>
    </row>
    <row r="76" spans="1:27">
      <c r="A76" s="10">
        <v>45852</v>
      </c>
      <c r="B76" s="7">
        <v>99097.540500000003</v>
      </c>
      <c r="C76" s="7">
        <v>0</v>
      </c>
      <c r="D76" s="7">
        <v>0</v>
      </c>
      <c r="E76" s="7">
        <v>0</v>
      </c>
      <c r="F76" s="7">
        <v>99097.540500000003</v>
      </c>
      <c r="G76" s="6">
        <v>0</v>
      </c>
      <c r="H76" s="7">
        <v>102562.0171999999</v>
      </c>
      <c r="I76" s="7">
        <v>0</v>
      </c>
      <c r="J76" s="7">
        <v>0</v>
      </c>
      <c r="K76" s="7">
        <v>0</v>
      </c>
      <c r="L76" s="7">
        <v>102562.0171999999</v>
      </c>
      <c r="M76" s="6">
        <v>0</v>
      </c>
      <c r="N76" s="7">
        <v>104443.0588999998</v>
      </c>
      <c r="O76" s="7">
        <v>0</v>
      </c>
      <c r="P76" s="7">
        <v>0</v>
      </c>
      <c r="Q76" s="7">
        <v>0</v>
      </c>
      <c r="R76" s="7">
        <v>104443.0588999998</v>
      </c>
      <c r="S76" s="6">
        <v>0</v>
      </c>
      <c r="T76" s="6">
        <v>1.9081978E-3</v>
      </c>
      <c r="U76" s="7">
        <v>111709.5977587887</v>
      </c>
      <c r="V76" s="7">
        <f>SUMIFS('Trade Log'!$N$7:$N$371,'Trade Log'!$A$7:$A$371,"A",'Trade Log'!$C$7:$C$371,A76)</f>
        <v>0</v>
      </c>
      <c r="W76" s="7">
        <f>SUMIFS('Trade Log'!$N$7:$N$371,'Trade Log'!$A$7:$A$371,"B",'Trade Log'!$C$7:$C$371,A76)</f>
        <v>0</v>
      </c>
      <c r="X76" s="7">
        <f>SUMIFS('Trade Log'!$N$7:$N$371,'Trade Log'!$A$7:$A$371,"C",'Trade Log'!$C$7:$C$371,A76)</f>
        <v>0</v>
      </c>
      <c r="Y76" s="7">
        <f t="shared" si="6"/>
        <v>0</v>
      </c>
      <c r="Z76" s="7">
        <f t="shared" si="7"/>
        <v>0</v>
      </c>
      <c r="AA76" s="7">
        <f t="shared" si="8"/>
        <v>0</v>
      </c>
    </row>
    <row r="77" spans="1:27">
      <c r="A77" s="10">
        <v>45853</v>
      </c>
      <c r="B77" s="7">
        <v>99097.540500000003</v>
      </c>
      <c r="C77" s="7">
        <v>162.2818</v>
      </c>
      <c r="D77" s="7">
        <v>1.4219999999999999</v>
      </c>
      <c r="E77" s="7">
        <v>160.85980000000001</v>
      </c>
      <c r="F77" s="7">
        <v>99258.400299999994</v>
      </c>
      <c r="G77" s="6">
        <v>1.6232471E-3</v>
      </c>
      <c r="H77" s="7">
        <v>102562.0171999999</v>
      </c>
      <c r="I77" s="7">
        <v>-111.2084</v>
      </c>
      <c r="J77" s="7">
        <v>1.476</v>
      </c>
      <c r="K77" s="7">
        <v>-112.6844</v>
      </c>
      <c r="L77" s="7">
        <v>102449.3328</v>
      </c>
      <c r="M77" s="6">
        <v>-1.0986952000000001E-3</v>
      </c>
      <c r="N77" s="7">
        <v>104443.0588999998</v>
      </c>
      <c r="O77" s="7">
        <v>-453.64890000000003</v>
      </c>
      <c r="P77" s="7">
        <v>6.0209999999999999</v>
      </c>
      <c r="Q77" s="7">
        <v>-459.66989999999998</v>
      </c>
      <c r="R77" s="7">
        <v>103983.38899999981</v>
      </c>
      <c r="S77" s="6">
        <v>-4.4011531999999997E-3</v>
      </c>
      <c r="T77" s="6">
        <v>-4.2732711E-3</v>
      </c>
      <c r="U77" s="7">
        <v>111232.2323653952</v>
      </c>
      <c r="V77" s="7">
        <f>SUMIFS('Trade Log'!$N$7:$N$371,'Trade Log'!$A$7:$A$371,"A",'Trade Log'!$C$7:$C$371,A77)</f>
        <v>160.85980000000293</v>
      </c>
      <c r="W77" s="7">
        <f>SUMIFS('Trade Log'!$N$7:$N$371,'Trade Log'!$A$7:$A$371,"B",'Trade Log'!$C$7:$C$371,A77)</f>
        <v>-112.68439999999543</v>
      </c>
      <c r="X77" s="7">
        <f>SUMIFS('Trade Log'!$N$7:$N$371,'Trade Log'!$A$7:$A$371,"C",'Trade Log'!$C$7:$C$371,A77)</f>
        <v>-459.6698999999814</v>
      </c>
      <c r="Y77" s="7">
        <f t="shared" si="6"/>
        <v>2.9274360713316128E-12</v>
      </c>
      <c r="Z77" s="7">
        <f t="shared" si="7"/>
        <v>4.5616843635798432E-12</v>
      </c>
      <c r="AA77" s="7">
        <f t="shared" si="8"/>
        <v>1.8587797967484221E-11</v>
      </c>
    </row>
    <row r="78" spans="1:27">
      <c r="A78" s="10">
        <v>45854</v>
      </c>
      <c r="B78" s="7">
        <v>99258.400299999994</v>
      </c>
      <c r="C78" s="7">
        <v>-17.552</v>
      </c>
      <c r="D78" s="7">
        <v>1.44</v>
      </c>
      <c r="E78" s="7">
        <v>-18.992000000000001</v>
      </c>
      <c r="F78" s="7">
        <v>99239.408299999996</v>
      </c>
      <c r="G78" s="6">
        <v>-1.9133900000000001E-4</v>
      </c>
      <c r="H78" s="7">
        <v>102449.3328</v>
      </c>
      <c r="I78" s="7">
        <v>-18.1005</v>
      </c>
      <c r="J78" s="7">
        <v>1.4850000000000001</v>
      </c>
      <c r="K78" s="7">
        <v>-19.5855</v>
      </c>
      <c r="L78" s="7">
        <v>102429.7473</v>
      </c>
      <c r="M78" s="6">
        <v>-1.9117250000000001E-4</v>
      </c>
      <c r="N78" s="7">
        <v>103983.38899999981</v>
      </c>
      <c r="O78" s="7">
        <v>-73.498999999999995</v>
      </c>
      <c r="P78" s="7">
        <v>6.03</v>
      </c>
      <c r="Q78" s="7">
        <v>-79.528999999999996</v>
      </c>
      <c r="R78" s="7">
        <v>103903.8599999998</v>
      </c>
      <c r="S78" s="6">
        <v>-7.6482410000000003E-4</v>
      </c>
      <c r="T78" s="6">
        <v>3.3432202000000001E-3</v>
      </c>
      <c r="U78" s="7">
        <v>111604.10621012469</v>
      </c>
      <c r="V78" s="7">
        <f>SUMIFS('Trade Log'!$N$7:$N$371,'Trade Log'!$A$7:$A$371,"A",'Trade Log'!$C$7:$C$371,A78)</f>
        <v>-18.991999999996043</v>
      </c>
      <c r="W78" s="7">
        <f>SUMIFS('Trade Log'!$N$7:$N$371,'Trade Log'!$A$7:$A$371,"B",'Trade Log'!$C$7:$C$371,A78)</f>
        <v>-19.585499999995918</v>
      </c>
      <c r="X78" s="7">
        <f>SUMIFS('Trade Log'!$N$7:$N$371,'Trade Log'!$A$7:$A$371,"C",'Trade Log'!$C$7:$C$371,A78)</f>
        <v>-79.528999999983427</v>
      </c>
      <c r="Y78" s="7">
        <f t="shared" si="6"/>
        <v>3.957723038183758E-12</v>
      </c>
      <c r="Z78" s="7">
        <f t="shared" si="7"/>
        <v>4.0820680169417756E-12</v>
      </c>
      <c r="AA78" s="7">
        <f t="shared" si="8"/>
        <v>1.6569856597925536E-11</v>
      </c>
    </row>
    <row r="79" spans="1:27">
      <c r="A79" s="10">
        <v>45855</v>
      </c>
      <c r="B79" s="7">
        <v>99239.408299999996</v>
      </c>
      <c r="C79" s="7">
        <v>130.80930000000001</v>
      </c>
      <c r="D79" s="7">
        <v>1.431</v>
      </c>
      <c r="E79" s="7">
        <v>129.3783</v>
      </c>
      <c r="F79" s="7">
        <v>99368.786600000007</v>
      </c>
      <c r="G79" s="6">
        <v>1.3036987999999999E-3</v>
      </c>
      <c r="H79" s="7">
        <v>102429.7473</v>
      </c>
      <c r="I79" s="7">
        <v>-28.617999999999999</v>
      </c>
      <c r="J79" s="7">
        <v>2.952</v>
      </c>
      <c r="K79" s="7">
        <v>-31.57</v>
      </c>
      <c r="L79" s="7">
        <v>102398.17729999989</v>
      </c>
      <c r="M79" s="6">
        <v>-3.0821119999999998E-4</v>
      </c>
      <c r="N79" s="7">
        <v>103903.8599999998</v>
      </c>
      <c r="O79" s="7">
        <v>-116.04250000010001</v>
      </c>
      <c r="P79" s="7">
        <v>11.97</v>
      </c>
      <c r="Q79" s="7">
        <v>-128.01249999999999</v>
      </c>
      <c r="R79" s="7">
        <v>103775.8474999998</v>
      </c>
      <c r="S79" s="6">
        <v>-1.2320282999999999E-3</v>
      </c>
      <c r="T79" s="6">
        <v>6.1197376999999999E-3</v>
      </c>
      <c r="U79" s="7">
        <v>112287.0940664052</v>
      </c>
      <c r="V79" s="7">
        <f>SUMIFS('Trade Log'!$N$7:$N$371,'Trade Log'!$A$7:$A$371,"A",'Trade Log'!$C$7:$C$371,A79)</f>
        <v>129.37829999999056</v>
      </c>
      <c r="W79" s="7">
        <f>SUMIFS('Trade Log'!$N$7:$N$371,'Trade Log'!$A$7:$A$371,"B",'Trade Log'!$C$7:$C$371,A79)</f>
        <v>-31.570000000013124</v>
      </c>
      <c r="X79" s="7">
        <f>SUMIFS('Trade Log'!$N$7:$N$371,'Trade Log'!$A$7:$A$371,"C",'Trade Log'!$C$7:$C$371,A79)</f>
        <v>-128.01250000005325</v>
      </c>
      <c r="Y79" s="7">
        <f t="shared" si="6"/>
        <v>-9.4360075308941305E-12</v>
      </c>
      <c r="Z79" s="7">
        <f t="shared" si="7"/>
        <v>-1.312372432948905E-11</v>
      </c>
      <c r="AA79" s="7">
        <f t="shared" si="8"/>
        <v>-5.326228347257711E-11</v>
      </c>
    </row>
    <row r="80" spans="1:27">
      <c r="A80" s="10">
        <v>45856</v>
      </c>
      <c r="B80" s="7">
        <v>99368.786600000007</v>
      </c>
      <c r="C80" s="7">
        <v>-31.521000000000001</v>
      </c>
      <c r="D80" s="7">
        <v>1.4219999999999999</v>
      </c>
      <c r="E80" s="7">
        <v>-32.942999999999998</v>
      </c>
      <c r="F80" s="7">
        <v>99335.843599999993</v>
      </c>
      <c r="G80" s="6">
        <v>-3.3152259999999999E-4</v>
      </c>
      <c r="H80" s="7">
        <v>102398.17729999989</v>
      </c>
      <c r="I80" s="7">
        <v>34.132199999999997</v>
      </c>
      <c r="J80" s="7">
        <v>1.4670000000000001</v>
      </c>
      <c r="K80" s="7">
        <v>32.665199999999999</v>
      </c>
      <c r="L80" s="7">
        <v>102430.8424999999</v>
      </c>
      <c r="M80" s="6">
        <v>3.1900180000000002E-4</v>
      </c>
      <c r="N80" s="7">
        <v>103775.8474999998</v>
      </c>
      <c r="O80" s="7">
        <v>138.4134</v>
      </c>
      <c r="P80" s="7">
        <v>5.9489999999999998</v>
      </c>
      <c r="Q80" s="7">
        <v>132.4644000001</v>
      </c>
      <c r="R80" s="7">
        <v>103908.3118999999</v>
      </c>
      <c r="S80" s="6">
        <v>1.2764473000000001E-3</v>
      </c>
      <c r="T80" s="6">
        <v>-7.3255219999999999E-4</v>
      </c>
      <c r="U80" s="7">
        <v>112204.837909833</v>
      </c>
      <c r="V80" s="7">
        <f>SUMIFS('Trade Log'!$N$7:$N$371,'Trade Log'!$A$7:$A$371,"A",'Trade Log'!$C$7:$C$371,A80)</f>
        <v>-32.942999999991088</v>
      </c>
      <c r="W80" s="7">
        <f>SUMIFS('Trade Log'!$N$7:$N$371,'Trade Log'!$A$7:$A$371,"B",'Trade Log'!$C$7:$C$371,A80)</f>
        <v>32.66520000001195</v>
      </c>
      <c r="X80" s="7">
        <f>SUMIFS('Trade Log'!$N$7:$N$371,'Trade Log'!$A$7:$A$371,"C",'Trade Log'!$C$7:$C$371,A80)</f>
        <v>132.46440000004844</v>
      </c>
      <c r="Y80" s="7">
        <f t="shared" si="6"/>
        <v>8.9102059064316563E-12</v>
      </c>
      <c r="Z80" s="7">
        <f t="shared" si="7"/>
        <v>1.1951328815484885E-11</v>
      </c>
      <c r="AA80" s="7">
        <f t="shared" si="8"/>
        <v>-5.1556980906752869E-11</v>
      </c>
    </row>
    <row r="81" spans="1:27">
      <c r="A81" s="10">
        <v>45859</v>
      </c>
      <c r="B81" s="7">
        <v>99335.843599999993</v>
      </c>
      <c r="C81" s="7">
        <v>0</v>
      </c>
      <c r="D81" s="7">
        <v>0</v>
      </c>
      <c r="E81" s="7">
        <v>0</v>
      </c>
      <c r="F81" s="7">
        <v>99335.843599999993</v>
      </c>
      <c r="G81" s="6">
        <v>0</v>
      </c>
      <c r="H81" s="7">
        <v>102430.8424999999</v>
      </c>
      <c r="I81" s="7">
        <v>0</v>
      </c>
      <c r="J81" s="7">
        <v>0</v>
      </c>
      <c r="K81" s="7">
        <v>0</v>
      </c>
      <c r="L81" s="7">
        <v>102430.8424999999</v>
      </c>
      <c r="M81" s="6">
        <v>0</v>
      </c>
      <c r="N81" s="7">
        <v>103908.3118999999</v>
      </c>
      <c r="O81" s="7">
        <v>0</v>
      </c>
      <c r="P81" s="7">
        <v>0</v>
      </c>
      <c r="Q81" s="7">
        <v>0</v>
      </c>
      <c r="R81" s="7">
        <v>103908.3118999999</v>
      </c>
      <c r="S81" s="6">
        <v>0</v>
      </c>
      <c r="T81" s="6">
        <v>1.8961573E-3</v>
      </c>
      <c r="U81" s="7">
        <v>112417.5959329458</v>
      </c>
      <c r="V81" s="7">
        <f>SUMIFS('Trade Log'!$N$7:$N$371,'Trade Log'!$A$7:$A$371,"A",'Trade Log'!$C$7:$C$371,A81)</f>
        <v>0</v>
      </c>
      <c r="W81" s="7">
        <f>SUMIFS('Trade Log'!$N$7:$N$371,'Trade Log'!$A$7:$A$371,"B",'Trade Log'!$C$7:$C$371,A81)</f>
        <v>0</v>
      </c>
      <c r="X81" s="7">
        <f>SUMIFS('Trade Log'!$N$7:$N$371,'Trade Log'!$A$7:$A$371,"C",'Trade Log'!$C$7:$C$371,A81)</f>
        <v>0</v>
      </c>
      <c r="Y81" s="7">
        <f t="shared" si="6"/>
        <v>0</v>
      </c>
      <c r="Z81" s="7">
        <f t="shared" si="7"/>
        <v>0</v>
      </c>
      <c r="AA81" s="7">
        <f t="shared" si="8"/>
        <v>0</v>
      </c>
    </row>
    <row r="82" spans="1:27">
      <c r="A82" s="10">
        <v>45860</v>
      </c>
      <c r="B82" s="7">
        <v>99335.843599999993</v>
      </c>
      <c r="C82" s="7">
        <v>0</v>
      </c>
      <c r="D82" s="7">
        <v>0</v>
      </c>
      <c r="E82" s="7">
        <v>0</v>
      </c>
      <c r="F82" s="7">
        <v>99335.843599999993</v>
      </c>
      <c r="G82" s="6">
        <v>0</v>
      </c>
      <c r="H82" s="7">
        <v>102430.8424999999</v>
      </c>
      <c r="I82" s="7">
        <v>0</v>
      </c>
      <c r="J82" s="7">
        <v>0</v>
      </c>
      <c r="K82" s="7">
        <v>0</v>
      </c>
      <c r="L82" s="7">
        <v>102430.8424999999</v>
      </c>
      <c r="M82" s="6">
        <v>0</v>
      </c>
      <c r="N82" s="7">
        <v>103908.3118999999</v>
      </c>
      <c r="O82" s="7">
        <v>0</v>
      </c>
      <c r="P82" s="7">
        <v>0</v>
      </c>
      <c r="Q82" s="7">
        <v>0</v>
      </c>
      <c r="R82" s="7">
        <v>103908.3118999999</v>
      </c>
      <c r="S82" s="6">
        <v>0</v>
      </c>
      <c r="T82" s="6">
        <v>1.432145E-4</v>
      </c>
      <c r="U82" s="7">
        <v>112433.6957648119</v>
      </c>
      <c r="V82" s="7">
        <f>SUMIFS('Trade Log'!$N$7:$N$371,'Trade Log'!$A$7:$A$371,"A",'Trade Log'!$C$7:$C$371,A82)</f>
        <v>0</v>
      </c>
      <c r="W82" s="7">
        <f>SUMIFS('Trade Log'!$N$7:$N$371,'Trade Log'!$A$7:$A$371,"B",'Trade Log'!$C$7:$C$371,A82)</f>
        <v>0</v>
      </c>
      <c r="X82" s="7">
        <f>SUMIFS('Trade Log'!$N$7:$N$371,'Trade Log'!$A$7:$A$371,"C",'Trade Log'!$C$7:$C$371,A82)</f>
        <v>0</v>
      </c>
      <c r="Y82" s="7">
        <f t="shared" si="6"/>
        <v>0</v>
      </c>
      <c r="Z82" s="7">
        <f t="shared" si="7"/>
        <v>0</v>
      </c>
      <c r="AA82" s="7">
        <f t="shared" si="8"/>
        <v>0</v>
      </c>
    </row>
    <row r="83" spans="1:27">
      <c r="A83" s="10">
        <v>45861</v>
      </c>
      <c r="B83" s="7">
        <v>99335.843599999993</v>
      </c>
      <c r="C83" s="7">
        <v>546.7432</v>
      </c>
      <c r="D83" s="7">
        <v>1.4219999999999999</v>
      </c>
      <c r="E83" s="7">
        <v>545.32119999999998</v>
      </c>
      <c r="F83" s="7">
        <v>99881.164799999999</v>
      </c>
      <c r="G83" s="6">
        <v>5.4896720000000001E-3</v>
      </c>
      <c r="H83" s="7">
        <v>102430.8424999999</v>
      </c>
      <c r="I83" s="7">
        <v>362.4794</v>
      </c>
      <c r="J83" s="7">
        <v>2.9340000000000002</v>
      </c>
      <c r="K83" s="7">
        <v>359.54539999999997</v>
      </c>
      <c r="L83" s="7">
        <v>102790.3878999999</v>
      </c>
      <c r="M83" s="6">
        <v>3.5101283E-3</v>
      </c>
      <c r="N83" s="7">
        <v>103908.3118999999</v>
      </c>
      <c r="O83" s="7">
        <v>1469.9318000000001</v>
      </c>
      <c r="P83" s="7">
        <v>11.898</v>
      </c>
      <c r="Q83" s="7">
        <v>1458.0337999999999</v>
      </c>
      <c r="R83" s="7">
        <v>105366.3456999998</v>
      </c>
      <c r="S83" s="6">
        <v>1.40319265E-2</v>
      </c>
      <c r="T83" s="6">
        <v>8.5074464000000002E-3</v>
      </c>
      <c r="U83" s="7">
        <v>113390.219405927</v>
      </c>
      <c r="V83" s="7">
        <f>SUMIFS('Trade Log'!$N$7:$N$371,'Trade Log'!$A$7:$A$371,"A",'Trade Log'!$C$7:$C$371,A83)</f>
        <v>545.32120000000782</v>
      </c>
      <c r="W83" s="7">
        <f>SUMIFS('Trade Log'!$N$7:$N$371,'Trade Log'!$A$7:$A$371,"B",'Trade Log'!$C$7:$C$371,A83)</f>
        <v>359.54539999999724</v>
      </c>
      <c r="X83" s="7">
        <f>SUMIFS('Trade Log'!$N$7:$N$371,'Trade Log'!$A$7:$A$371,"C",'Trade Log'!$C$7:$C$371,A83)</f>
        <v>1458.0337999999886</v>
      </c>
      <c r="Y83" s="7">
        <f t="shared" si="6"/>
        <v>7.8443918027915061E-12</v>
      </c>
      <c r="Z83" s="7">
        <f t="shared" si="7"/>
        <v>-2.7284841053187847E-12</v>
      </c>
      <c r="AA83" s="7">
        <f t="shared" si="8"/>
        <v>-1.1368683772161603E-11</v>
      </c>
    </row>
    <row r="84" spans="1:27">
      <c r="A84" s="10">
        <v>45862</v>
      </c>
      <c r="B84" s="7">
        <v>99881.164799999999</v>
      </c>
      <c r="C84" s="7">
        <v>0</v>
      </c>
      <c r="D84" s="7">
        <v>0</v>
      </c>
      <c r="E84" s="7">
        <v>0</v>
      </c>
      <c r="F84" s="7">
        <v>99881.164799999999</v>
      </c>
      <c r="G84" s="6">
        <v>0</v>
      </c>
      <c r="H84" s="7">
        <v>102790.3878999999</v>
      </c>
      <c r="I84" s="7">
        <v>0</v>
      </c>
      <c r="J84" s="7">
        <v>0</v>
      </c>
      <c r="K84" s="7">
        <v>0</v>
      </c>
      <c r="L84" s="7">
        <v>102790.3878999999</v>
      </c>
      <c r="M84" s="6">
        <v>0</v>
      </c>
      <c r="N84" s="7">
        <v>105366.3456999998</v>
      </c>
      <c r="O84" s="7">
        <v>0</v>
      </c>
      <c r="P84" s="7">
        <v>0</v>
      </c>
      <c r="Q84" s="7">
        <v>0</v>
      </c>
      <c r="R84" s="7">
        <v>105366.3456999998</v>
      </c>
      <c r="S84" s="6">
        <v>0</v>
      </c>
      <c r="T84" s="6">
        <v>3.3108999999999998E-4</v>
      </c>
      <c r="U84" s="7">
        <v>113427.76177555689</v>
      </c>
      <c r="V84" s="7">
        <f>SUMIFS('Trade Log'!$N$7:$N$371,'Trade Log'!$A$7:$A$371,"A",'Trade Log'!$C$7:$C$371,A84)</f>
        <v>0</v>
      </c>
      <c r="W84" s="7">
        <f>SUMIFS('Trade Log'!$N$7:$N$371,'Trade Log'!$A$7:$A$371,"B",'Trade Log'!$C$7:$C$371,A84)</f>
        <v>0</v>
      </c>
      <c r="X84" s="7">
        <f>SUMIFS('Trade Log'!$N$7:$N$371,'Trade Log'!$A$7:$A$371,"C",'Trade Log'!$C$7:$C$371,A84)</f>
        <v>0</v>
      </c>
      <c r="Y84" s="7">
        <f t="shared" si="6"/>
        <v>0</v>
      </c>
      <c r="Z84" s="7">
        <f t="shared" si="7"/>
        <v>0</v>
      </c>
      <c r="AA84" s="7">
        <f t="shared" si="8"/>
        <v>0</v>
      </c>
    </row>
    <row r="85" spans="1:27">
      <c r="A85" s="10">
        <v>45863</v>
      </c>
      <c r="B85" s="7">
        <v>99881.164799999999</v>
      </c>
      <c r="C85" s="7">
        <v>52.4223</v>
      </c>
      <c r="D85" s="7">
        <v>1.413</v>
      </c>
      <c r="E85" s="7">
        <v>51.009300000000003</v>
      </c>
      <c r="F85" s="7">
        <v>99932.174100000004</v>
      </c>
      <c r="G85" s="6">
        <v>5.1069989999999997E-4</v>
      </c>
      <c r="H85" s="7">
        <v>102790.3878999999</v>
      </c>
      <c r="I85" s="7">
        <v>-2.4462000000000002</v>
      </c>
      <c r="J85" s="7">
        <v>4.3739999999999997</v>
      </c>
      <c r="K85" s="7">
        <v>-6.8201999999999998</v>
      </c>
      <c r="L85" s="7">
        <v>102783.5676999999</v>
      </c>
      <c r="M85" s="6">
        <v>-6.6350600000000001E-5</v>
      </c>
      <c r="N85" s="7">
        <v>105366.3456999998</v>
      </c>
      <c r="O85" s="7">
        <v>-10.041499999999999</v>
      </c>
      <c r="P85" s="7">
        <v>17.954999999999998</v>
      </c>
      <c r="Q85" s="7">
        <v>-27.996500000000001</v>
      </c>
      <c r="R85" s="7">
        <v>105338.3491999999</v>
      </c>
      <c r="S85" s="6">
        <v>-2.6570629999999999E-4</v>
      </c>
      <c r="T85" s="6">
        <v>4.2243471999999999E-3</v>
      </c>
      <c r="U85" s="7">
        <v>113906.92002327841</v>
      </c>
      <c r="V85" s="7">
        <f>SUMIFS('Trade Log'!$N$7:$N$371,'Trade Log'!$A$7:$A$371,"A",'Trade Log'!$C$7:$C$371,A85)</f>
        <v>51.00929999999552</v>
      </c>
      <c r="W85" s="7">
        <f>SUMIFS('Trade Log'!$N$7:$N$371,'Trade Log'!$A$7:$A$371,"B",'Trade Log'!$C$7:$C$371,A85)</f>
        <v>-6.8201999999937186</v>
      </c>
      <c r="X85" s="7">
        <f>SUMIFS('Trade Log'!$N$7:$N$371,'Trade Log'!$A$7:$A$371,"C",'Trade Log'!$C$7:$C$371,A85)</f>
        <v>-27.996499999974247</v>
      </c>
      <c r="Y85" s="7">
        <f t="shared" si="6"/>
        <v>-4.4835246626462322E-12</v>
      </c>
      <c r="Z85" s="7">
        <f t="shared" si="7"/>
        <v>6.2811977841192856E-12</v>
      </c>
      <c r="AA85" s="7">
        <f t="shared" si="8"/>
        <v>2.5753621457624831E-11</v>
      </c>
    </row>
    <row r="86" spans="1:27">
      <c r="A86" s="10">
        <v>45866</v>
      </c>
      <c r="B86" s="7">
        <v>99932.174100000004</v>
      </c>
      <c r="C86" s="7">
        <v>0</v>
      </c>
      <c r="D86" s="7">
        <v>0</v>
      </c>
      <c r="E86" s="7">
        <v>0</v>
      </c>
      <c r="F86" s="7">
        <v>99932.174100000004</v>
      </c>
      <c r="G86" s="6">
        <v>0</v>
      </c>
      <c r="H86" s="7">
        <v>102783.5676999999</v>
      </c>
      <c r="I86" s="7">
        <v>0</v>
      </c>
      <c r="J86" s="7">
        <v>0</v>
      </c>
      <c r="K86" s="7">
        <v>0</v>
      </c>
      <c r="L86" s="7">
        <v>102783.5676999999</v>
      </c>
      <c r="M86" s="6">
        <v>0</v>
      </c>
      <c r="N86" s="7">
        <v>105338.3491999999</v>
      </c>
      <c r="O86" s="7">
        <v>0</v>
      </c>
      <c r="P86" s="7">
        <v>0</v>
      </c>
      <c r="Q86" s="7">
        <v>0</v>
      </c>
      <c r="R86" s="7">
        <v>105338.3491999999</v>
      </c>
      <c r="S86" s="6">
        <v>0</v>
      </c>
      <c r="T86" s="6">
        <v>-2.5120470000000001E-4</v>
      </c>
      <c r="U86" s="7">
        <v>113878.30606820231</v>
      </c>
      <c r="V86" s="7">
        <f>SUMIFS('Trade Log'!$N$7:$N$371,'Trade Log'!$A$7:$A$371,"A",'Trade Log'!$C$7:$C$371,A86)</f>
        <v>0</v>
      </c>
      <c r="W86" s="7">
        <f>SUMIFS('Trade Log'!$N$7:$N$371,'Trade Log'!$A$7:$A$371,"B",'Trade Log'!$C$7:$C$371,A86)</f>
        <v>0</v>
      </c>
      <c r="X86" s="7">
        <f>SUMIFS('Trade Log'!$N$7:$N$371,'Trade Log'!$A$7:$A$371,"C",'Trade Log'!$C$7:$C$371,A86)</f>
        <v>0</v>
      </c>
      <c r="Y86" s="7">
        <f t="shared" si="6"/>
        <v>0</v>
      </c>
      <c r="Z86" s="7">
        <f t="shared" si="7"/>
        <v>0</v>
      </c>
      <c r="AA86" s="7">
        <f t="shared" si="8"/>
        <v>0</v>
      </c>
    </row>
    <row r="87" spans="1:27">
      <c r="A87" s="10">
        <v>45867</v>
      </c>
      <c r="B87" s="7">
        <v>99932.174100000004</v>
      </c>
      <c r="C87" s="7">
        <v>-3.14</v>
      </c>
      <c r="D87" s="7">
        <v>1.413</v>
      </c>
      <c r="E87" s="7">
        <v>-4.5529999999999999</v>
      </c>
      <c r="F87" s="7">
        <v>99927.621100000004</v>
      </c>
      <c r="G87" s="6">
        <v>-4.5560899999999999E-5</v>
      </c>
      <c r="H87" s="7">
        <v>102783.5676999999</v>
      </c>
      <c r="I87" s="7">
        <v>-146.88030000000001</v>
      </c>
      <c r="J87" s="7">
        <v>1.4490000000000001</v>
      </c>
      <c r="K87" s="7">
        <v>-148.32929999999999</v>
      </c>
      <c r="L87" s="7">
        <v>102635.2383999999</v>
      </c>
      <c r="M87" s="6">
        <v>-1.4431227E-3</v>
      </c>
      <c r="N87" s="7">
        <v>105338.3491999999</v>
      </c>
      <c r="O87" s="7">
        <v>-603.94259999999997</v>
      </c>
      <c r="P87" s="7">
        <v>5.9580000000000002</v>
      </c>
      <c r="Q87" s="7">
        <v>-609.90060000000005</v>
      </c>
      <c r="R87" s="7">
        <v>104728.4485999999</v>
      </c>
      <c r="S87" s="6">
        <v>-5.7899199E-3</v>
      </c>
      <c r="T87" s="6">
        <v>-2.6375251E-3</v>
      </c>
      <c r="U87" s="7">
        <v>113577.94918261981</v>
      </c>
      <c r="V87" s="7">
        <f>SUMIFS('Trade Log'!$N$7:$N$371,'Trade Log'!$A$7:$A$371,"A",'Trade Log'!$C$7:$C$371,A87)</f>
        <v>-4.5529999999971444</v>
      </c>
      <c r="W87" s="7">
        <f>SUMIFS('Trade Log'!$N$7:$N$371,'Trade Log'!$A$7:$A$371,"B",'Trade Log'!$C$7:$C$371,A87)</f>
        <v>-148.32929999999345</v>
      </c>
      <c r="X87" s="7">
        <f>SUMIFS('Trade Log'!$N$7:$N$371,'Trade Log'!$A$7:$A$371,"C",'Trade Log'!$C$7:$C$371,A87)</f>
        <v>-609.900599999973</v>
      </c>
      <c r="Y87" s="7">
        <f t="shared" si="6"/>
        <v>2.8554936193359026E-12</v>
      </c>
      <c r="Z87" s="7">
        <f t="shared" si="7"/>
        <v>6.5369931689929217E-12</v>
      </c>
      <c r="AA87" s="7">
        <f t="shared" si="8"/>
        <v>2.7057467377744615E-11</v>
      </c>
    </row>
    <row r="88" spans="1:27">
      <c r="A88" s="10">
        <v>45868</v>
      </c>
      <c r="B88" s="7">
        <v>99927.621100000004</v>
      </c>
      <c r="C88" s="7">
        <v>-840.78210000000001</v>
      </c>
      <c r="D88" s="7">
        <v>2.8260000000000001</v>
      </c>
      <c r="E88" s="7">
        <v>-843.60810000000004</v>
      </c>
      <c r="F88" s="7">
        <v>99084.013000000006</v>
      </c>
      <c r="G88" s="6">
        <v>-8.4421914000000001E-3</v>
      </c>
      <c r="H88" s="7">
        <v>102635.2383999999</v>
      </c>
      <c r="I88" s="7">
        <v>-295.41890000000001</v>
      </c>
      <c r="J88" s="7">
        <v>2.8980000000000001</v>
      </c>
      <c r="K88" s="7">
        <v>-298.31689999999998</v>
      </c>
      <c r="L88" s="7">
        <v>102336.9215</v>
      </c>
      <c r="M88" s="6">
        <v>-2.9065737999999998E-3</v>
      </c>
      <c r="N88" s="7">
        <v>104728.4485999999</v>
      </c>
      <c r="O88" s="7">
        <v>-1211.0340000000001</v>
      </c>
      <c r="P88" s="7">
        <v>11.88</v>
      </c>
      <c r="Q88" s="7">
        <v>-1222.914</v>
      </c>
      <c r="R88" s="7">
        <v>103505.5346</v>
      </c>
      <c r="S88" s="6">
        <v>-1.16769991E-2</v>
      </c>
      <c r="T88" s="6">
        <v>-1.2593458000000001E-3</v>
      </c>
      <c r="U88" s="7">
        <v>113434.9152643259</v>
      </c>
      <c r="V88" s="7">
        <f>SUMIFS('Trade Log'!$N$7:$N$371,'Trade Log'!$A$7:$A$371,"A",'Trade Log'!$C$7:$C$371,A88)</f>
        <v>-843.60809999999105</v>
      </c>
      <c r="W88" s="7">
        <f>SUMIFS('Trade Log'!$N$7:$N$371,'Trade Log'!$A$7:$A$371,"B",'Trade Log'!$C$7:$C$371,A88)</f>
        <v>-298.31689999999162</v>
      </c>
      <c r="X88" s="7">
        <f>SUMIFS('Trade Log'!$N$7:$N$371,'Trade Log'!$A$7:$A$371,"C",'Trade Log'!$C$7:$C$371,A88)</f>
        <v>-1222.9139999999657</v>
      </c>
      <c r="Y88" s="7">
        <f t="shared" si="6"/>
        <v>8.9812601800076663E-12</v>
      </c>
      <c r="Z88" s="7">
        <f t="shared" si="7"/>
        <v>8.3559825725387782E-12</v>
      </c>
      <c r="AA88" s="7">
        <f t="shared" si="8"/>
        <v>3.4333424991928041E-11</v>
      </c>
    </row>
    <row r="89" spans="1:27">
      <c r="A89" s="10">
        <v>45869</v>
      </c>
      <c r="B89" s="7">
        <v>99084.013000000006</v>
      </c>
      <c r="C89" s="7">
        <v>0</v>
      </c>
      <c r="D89" s="7">
        <v>0</v>
      </c>
      <c r="E89" s="7">
        <v>0</v>
      </c>
      <c r="F89" s="7">
        <v>99084.013000000006</v>
      </c>
      <c r="G89" s="6">
        <v>0</v>
      </c>
      <c r="H89" s="7">
        <v>102336.9215</v>
      </c>
      <c r="I89" s="7">
        <v>0</v>
      </c>
      <c r="J89" s="7">
        <v>0</v>
      </c>
      <c r="K89" s="7">
        <v>0</v>
      </c>
      <c r="L89" s="7">
        <v>102336.9215</v>
      </c>
      <c r="M89" s="6">
        <v>0</v>
      </c>
      <c r="N89" s="7">
        <v>103505.5346</v>
      </c>
      <c r="O89" s="7">
        <v>0</v>
      </c>
      <c r="P89" s="7">
        <v>0</v>
      </c>
      <c r="Q89" s="7">
        <v>0</v>
      </c>
      <c r="R89" s="7">
        <v>103505.5346</v>
      </c>
      <c r="S89" s="6">
        <v>0</v>
      </c>
      <c r="T89" s="6">
        <v>-3.7511911000000001E-3</v>
      </c>
      <c r="U89" s="7">
        <v>113009.3992181004</v>
      </c>
      <c r="V89" s="7">
        <f>SUMIFS('Trade Log'!$N$7:$N$371,'Trade Log'!$A$7:$A$371,"A",'Trade Log'!$C$7:$C$371,A89)</f>
        <v>0</v>
      </c>
      <c r="W89" s="7">
        <f>SUMIFS('Trade Log'!$N$7:$N$371,'Trade Log'!$A$7:$A$371,"B",'Trade Log'!$C$7:$C$371,A89)</f>
        <v>0</v>
      </c>
      <c r="X89" s="7">
        <f>SUMIFS('Trade Log'!$N$7:$N$371,'Trade Log'!$A$7:$A$371,"C",'Trade Log'!$C$7:$C$371,A89)</f>
        <v>0</v>
      </c>
      <c r="Y89" s="7">
        <f t="shared" si="6"/>
        <v>0</v>
      </c>
      <c r="Z89" s="7">
        <f t="shared" si="7"/>
        <v>0</v>
      </c>
      <c r="AA89" s="7">
        <f t="shared" si="8"/>
        <v>0</v>
      </c>
    </row>
    <row r="90" spans="1:27">
      <c r="A90" s="10">
        <v>45870</v>
      </c>
      <c r="B90" s="7">
        <v>99084.013000000006</v>
      </c>
      <c r="C90" s="7">
        <v>0</v>
      </c>
      <c r="D90" s="7">
        <v>0</v>
      </c>
      <c r="E90" s="7">
        <v>0</v>
      </c>
      <c r="F90" s="7">
        <v>99084.013000000006</v>
      </c>
      <c r="G90" s="6">
        <v>0</v>
      </c>
      <c r="H90" s="7">
        <v>102336.9215</v>
      </c>
      <c r="I90" s="7">
        <v>0</v>
      </c>
      <c r="J90" s="7">
        <v>0</v>
      </c>
      <c r="K90" s="7">
        <v>0</v>
      </c>
      <c r="L90" s="7">
        <v>102336.9215</v>
      </c>
      <c r="M90" s="6">
        <v>0</v>
      </c>
      <c r="N90" s="7">
        <v>103505.5346</v>
      </c>
      <c r="O90" s="7">
        <v>0</v>
      </c>
      <c r="P90" s="7">
        <v>0</v>
      </c>
      <c r="Q90" s="7">
        <v>0</v>
      </c>
      <c r="R90" s="7">
        <v>103505.5346</v>
      </c>
      <c r="S90" s="6">
        <v>0</v>
      </c>
      <c r="T90" s="6">
        <v>-1.6390402299999999E-2</v>
      </c>
      <c r="U90" s="7">
        <v>111157.1296975921</v>
      </c>
      <c r="V90" s="7">
        <f>SUMIFS('Trade Log'!$N$7:$N$371,'Trade Log'!$A$7:$A$371,"A",'Trade Log'!$C$7:$C$371,A90)</f>
        <v>0</v>
      </c>
      <c r="W90" s="7">
        <f>SUMIFS('Trade Log'!$N$7:$N$371,'Trade Log'!$A$7:$A$371,"B",'Trade Log'!$C$7:$C$371,A90)</f>
        <v>0</v>
      </c>
      <c r="X90" s="7">
        <f>SUMIFS('Trade Log'!$N$7:$N$371,'Trade Log'!$A$7:$A$371,"C",'Trade Log'!$C$7:$C$371,A90)</f>
        <v>0</v>
      </c>
      <c r="Y90" s="7">
        <f t="shared" si="6"/>
        <v>0</v>
      </c>
      <c r="Z90" s="7">
        <f t="shared" si="7"/>
        <v>0</v>
      </c>
      <c r="AA90" s="7">
        <f t="shared" si="8"/>
        <v>0</v>
      </c>
    </row>
    <row r="91" spans="1:27">
      <c r="A91" s="10">
        <v>45873</v>
      </c>
      <c r="B91" s="7">
        <v>99084.013000000006</v>
      </c>
      <c r="C91" s="7">
        <v>0</v>
      </c>
      <c r="D91" s="7">
        <v>0</v>
      </c>
      <c r="E91" s="7">
        <v>0</v>
      </c>
      <c r="F91" s="7">
        <v>99084.013000000006</v>
      </c>
      <c r="G91" s="6">
        <v>0</v>
      </c>
      <c r="H91" s="7">
        <v>102336.9215</v>
      </c>
      <c r="I91" s="7">
        <v>0</v>
      </c>
      <c r="J91" s="7">
        <v>0</v>
      </c>
      <c r="K91" s="7">
        <v>0</v>
      </c>
      <c r="L91" s="7">
        <v>102336.9215</v>
      </c>
      <c r="M91" s="6">
        <v>0</v>
      </c>
      <c r="N91" s="7">
        <v>103505.5346</v>
      </c>
      <c r="O91" s="7">
        <v>0</v>
      </c>
      <c r="P91" s="7">
        <v>0</v>
      </c>
      <c r="Q91" s="7">
        <v>0</v>
      </c>
      <c r="R91" s="7">
        <v>103505.5346</v>
      </c>
      <c r="S91" s="6">
        <v>0</v>
      </c>
      <c r="T91" s="6">
        <v>1.5199816600000001E-2</v>
      </c>
      <c r="U91" s="7">
        <v>112846.6976878275</v>
      </c>
      <c r="V91" s="7">
        <f>SUMIFS('Trade Log'!$N$7:$N$371,'Trade Log'!$A$7:$A$371,"A",'Trade Log'!$C$7:$C$371,A91)</f>
        <v>0</v>
      </c>
      <c r="W91" s="7">
        <f>SUMIFS('Trade Log'!$N$7:$N$371,'Trade Log'!$A$7:$A$371,"B",'Trade Log'!$C$7:$C$371,A91)</f>
        <v>0</v>
      </c>
      <c r="X91" s="7">
        <f>SUMIFS('Trade Log'!$N$7:$N$371,'Trade Log'!$A$7:$A$371,"C",'Trade Log'!$C$7:$C$371,A91)</f>
        <v>0</v>
      </c>
      <c r="Y91" s="7">
        <f t="shared" si="6"/>
        <v>0</v>
      </c>
      <c r="Z91" s="7">
        <f t="shared" si="7"/>
        <v>0</v>
      </c>
      <c r="AA91" s="7">
        <f t="shared" si="8"/>
        <v>0</v>
      </c>
    </row>
    <row r="92" spans="1:27">
      <c r="A92" s="10">
        <v>45874</v>
      </c>
      <c r="B92" s="7">
        <v>99084.013000000006</v>
      </c>
      <c r="C92" s="7">
        <v>294.34359999999998</v>
      </c>
      <c r="D92" s="7">
        <v>1.413</v>
      </c>
      <c r="E92" s="7">
        <v>292.93060000000003</v>
      </c>
      <c r="F92" s="7">
        <v>99376.943599999999</v>
      </c>
      <c r="G92" s="6">
        <v>2.9563861000000001E-3</v>
      </c>
      <c r="H92" s="7">
        <v>102336.9215</v>
      </c>
      <c r="I92" s="7">
        <v>-48.1464</v>
      </c>
      <c r="J92" s="7">
        <v>2.9159999999999999</v>
      </c>
      <c r="K92" s="7">
        <v>-51.062399999999997</v>
      </c>
      <c r="L92" s="7">
        <v>102285.8590999999</v>
      </c>
      <c r="M92" s="6">
        <v>-4.9896360000000004E-4</v>
      </c>
      <c r="N92" s="7">
        <v>103505.5346</v>
      </c>
      <c r="O92" s="7">
        <v>-138.19800000000001</v>
      </c>
      <c r="P92" s="7">
        <v>8.3699999999999992</v>
      </c>
      <c r="Q92" s="7">
        <v>-146.56800000000001</v>
      </c>
      <c r="R92" s="7">
        <v>103358.9666</v>
      </c>
      <c r="S92" s="6">
        <v>-1.4160402E-3</v>
      </c>
      <c r="T92" s="6">
        <v>-5.0700258E-3</v>
      </c>
      <c r="U92" s="7">
        <v>112274.56201465191</v>
      </c>
      <c r="V92" s="7">
        <f>SUMIFS('Trade Log'!$N$7:$N$371,'Trade Log'!$A$7:$A$371,"A",'Trade Log'!$C$7:$C$371,A92)</f>
        <v>292.93060000000787</v>
      </c>
      <c r="W92" s="7">
        <f>SUMIFS('Trade Log'!$N$7:$N$371,'Trade Log'!$A$7:$A$371,"B",'Trade Log'!$C$7:$C$371,A92)</f>
        <v>-51.062399999995989</v>
      </c>
      <c r="X92" s="7">
        <f>SUMIFS('Trade Log'!$N$7:$N$371,'Trade Log'!$A$7:$A$371,"C",'Trade Log'!$C$7:$C$371,A92)</f>
        <v>-146.5679999999885</v>
      </c>
      <c r="Y92" s="7">
        <f t="shared" si="6"/>
        <v>7.8443918027915061E-12</v>
      </c>
      <c r="Z92" s="7">
        <f t="shared" si="7"/>
        <v>4.007461029686965E-12</v>
      </c>
      <c r="AA92" s="7">
        <f t="shared" si="8"/>
        <v>1.1510792319313623E-11</v>
      </c>
    </row>
    <row r="93" spans="1:27">
      <c r="A93" s="10">
        <v>45875</v>
      </c>
      <c r="B93" s="7">
        <v>99376.943599999999</v>
      </c>
      <c r="C93" s="7">
        <v>283.62580000000003</v>
      </c>
      <c r="D93" s="7">
        <v>1.4219999999999999</v>
      </c>
      <c r="E93" s="7">
        <v>282.2038</v>
      </c>
      <c r="F93" s="7">
        <v>99659.147400000002</v>
      </c>
      <c r="G93" s="6">
        <v>2.8397310999999999E-3</v>
      </c>
      <c r="H93" s="7">
        <v>102285.8590999999</v>
      </c>
      <c r="I93" s="7">
        <v>292.60129999999998</v>
      </c>
      <c r="J93" s="7">
        <v>1.4670000000000001</v>
      </c>
      <c r="K93" s="7">
        <v>291.1343</v>
      </c>
      <c r="L93" s="7">
        <v>102576.9933999999</v>
      </c>
      <c r="M93" s="6">
        <v>2.846281E-3</v>
      </c>
      <c r="N93" s="7">
        <v>103358.9666</v>
      </c>
      <c r="O93" s="7">
        <v>818.56560000000002</v>
      </c>
      <c r="P93" s="7">
        <v>4.1040000000000001</v>
      </c>
      <c r="Q93" s="7">
        <v>814.46159999999998</v>
      </c>
      <c r="R93" s="7">
        <v>104173.42819999999</v>
      </c>
      <c r="S93" s="6">
        <v>7.8799317000000004E-3</v>
      </c>
      <c r="T93" s="6">
        <v>7.6596017999999997E-3</v>
      </c>
      <c r="U93" s="7">
        <v>113134.5404502001</v>
      </c>
      <c r="V93" s="7">
        <f>SUMIFS('Trade Log'!$N$7:$N$371,'Trade Log'!$A$7:$A$371,"A",'Trade Log'!$C$7:$C$371,A93)</f>
        <v>282.20379999998954</v>
      </c>
      <c r="W93" s="7">
        <f>SUMIFS('Trade Log'!$N$7:$N$371,'Trade Log'!$A$7:$A$371,"B",'Trade Log'!$C$7:$C$371,A93)</f>
        <v>291.13429999998925</v>
      </c>
      <c r="X93" s="7">
        <f>SUMIFS('Trade Log'!$N$7:$N$371,'Trade Log'!$A$7:$A$371,"C",'Trade Log'!$C$7:$C$371,A93)</f>
        <v>814.46159999996985</v>
      </c>
      <c r="Y93" s="7">
        <f t="shared" si="6"/>
        <v>-1.0459189070388675E-11</v>
      </c>
      <c r="Z93" s="7">
        <f t="shared" si="7"/>
        <v>-1.0743406164692715E-11</v>
      </c>
      <c r="AA93" s="7">
        <f t="shared" si="8"/>
        <v>-3.0127011996228248E-11</v>
      </c>
    </row>
    <row r="94" spans="1:27">
      <c r="A94" s="10">
        <v>45876</v>
      </c>
      <c r="B94" s="7">
        <v>99659.147400000002</v>
      </c>
      <c r="C94" s="7">
        <v>-157.1232</v>
      </c>
      <c r="D94" s="7">
        <v>1.4039999999999999</v>
      </c>
      <c r="E94" s="7">
        <v>-158.52719999999999</v>
      </c>
      <c r="F94" s="7">
        <v>99500.620200000005</v>
      </c>
      <c r="G94" s="6">
        <v>-1.5906939000000001E-3</v>
      </c>
      <c r="H94" s="7">
        <v>102576.9933999999</v>
      </c>
      <c r="I94" s="7">
        <v>139.68360000000001</v>
      </c>
      <c r="J94" s="7">
        <v>1.4490000000000001</v>
      </c>
      <c r="K94" s="7">
        <v>138.2346</v>
      </c>
      <c r="L94" s="7">
        <v>102715.2279999999</v>
      </c>
      <c r="M94" s="6">
        <v>1.3476180000000001E-3</v>
      </c>
      <c r="N94" s="7">
        <v>104173.42819999999</v>
      </c>
      <c r="O94" s="7">
        <v>388.6848</v>
      </c>
      <c r="P94" s="7">
        <v>4.032</v>
      </c>
      <c r="Q94" s="7">
        <v>384.65280000000001</v>
      </c>
      <c r="R94" s="7">
        <v>104558.0809999999</v>
      </c>
      <c r="S94" s="6">
        <v>3.6924271999999999E-3</v>
      </c>
      <c r="T94" s="6">
        <v>-8.3751919999999996E-4</v>
      </c>
      <c r="U94" s="7">
        <v>113039.7880989612</v>
      </c>
      <c r="V94" s="7">
        <f>SUMIFS('Trade Log'!$N$7:$N$371,'Trade Log'!$A$7:$A$371,"A",'Trade Log'!$C$7:$C$371,A94)</f>
        <v>-158.52720000000181</v>
      </c>
      <c r="W94" s="7">
        <f>SUMIFS('Trade Log'!$N$7:$N$371,'Trade Log'!$A$7:$A$371,"B",'Trade Log'!$C$7:$C$371,A94)</f>
        <v>138.23459999998789</v>
      </c>
      <c r="X94" s="7">
        <f>SUMIFS('Trade Log'!$N$7:$N$371,'Trade Log'!$A$7:$A$371,"C",'Trade Log'!$C$7:$C$371,A94)</f>
        <v>384.65279999996636</v>
      </c>
      <c r="Y94" s="7">
        <f t="shared" si="6"/>
        <v>-1.8189894035458565E-12</v>
      </c>
      <c r="Z94" s="7">
        <f t="shared" si="7"/>
        <v>-1.2107648217352107E-11</v>
      </c>
      <c r="AA94" s="7">
        <f t="shared" si="8"/>
        <v>-3.3651303965598345E-11</v>
      </c>
    </row>
    <row r="95" spans="1:27">
      <c r="A95" s="10">
        <v>45877</v>
      </c>
      <c r="B95" s="7">
        <v>99500.620200000005</v>
      </c>
      <c r="C95" s="7">
        <v>0</v>
      </c>
      <c r="D95" s="7">
        <v>0</v>
      </c>
      <c r="E95" s="7">
        <v>0</v>
      </c>
      <c r="F95" s="7">
        <v>99500.620200000005</v>
      </c>
      <c r="G95" s="6">
        <v>0</v>
      </c>
      <c r="H95" s="7">
        <v>102715.2279999999</v>
      </c>
      <c r="I95" s="7">
        <v>0</v>
      </c>
      <c r="J95" s="7">
        <v>0</v>
      </c>
      <c r="K95" s="7">
        <v>0</v>
      </c>
      <c r="L95" s="7">
        <v>102715.2279999999</v>
      </c>
      <c r="M95" s="6">
        <v>0</v>
      </c>
      <c r="N95" s="7">
        <v>104558.0809999999</v>
      </c>
      <c r="O95" s="7">
        <v>0</v>
      </c>
      <c r="P95" s="7">
        <v>0</v>
      </c>
      <c r="Q95" s="7">
        <v>0</v>
      </c>
      <c r="R95" s="7">
        <v>104558.0809999999</v>
      </c>
      <c r="S95" s="6">
        <v>0</v>
      </c>
      <c r="T95" s="6">
        <v>7.7975987E-3</v>
      </c>
      <c r="U95" s="7">
        <v>113921.22700081641</v>
      </c>
      <c r="V95" s="7">
        <f>SUMIFS('Trade Log'!$N$7:$N$371,'Trade Log'!$A$7:$A$371,"A",'Trade Log'!$C$7:$C$371,A95)</f>
        <v>0</v>
      </c>
      <c r="W95" s="7">
        <f>SUMIFS('Trade Log'!$N$7:$N$371,'Trade Log'!$A$7:$A$371,"B",'Trade Log'!$C$7:$C$371,A95)</f>
        <v>0</v>
      </c>
      <c r="X95" s="7">
        <f>SUMIFS('Trade Log'!$N$7:$N$371,'Trade Log'!$A$7:$A$371,"C",'Trade Log'!$C$7:$C$371,A95)</f>
        <v>0</v>
      </c>
      <c r="Y95" s="7">
        <f t="shared" si="6"/>
        <v>0</v>
      </c>
      <c r="Z95" s="7">
        <f t="shared" si="7"/>
        <v>0</v>
      </c>
      <c r="AA95" s="7">
        <f t="shared" si="8"/>
        <v>0</v>
      </c>
    </row>
    <row r="96" spans="1:27">
      <c r="A96" s="10">
        <v>45880</v>
      </c>
      <c r="B96" s="7">
        <v>99500.620200000005</v>
      </c>
      <c r="C96" s="7">
        <v>0</v>
      </c>
      <c r="D96" s="7">
        <v>0</v>
      </c>
      <c r="E96" s="7">
        <v>0</v>
      </c>
      <c r="F96" s="7">
        <v>99500.620200000005</v>
      </c>
      <c r="G96" s="6">
        <v>0</v>
      </c>
      <c r="H96" s="7">
        <v>102715.2279999999</v>
      </c>
      <c r="I96" s="7">
        <v>0</v>
      </c>
      <c r="J96" s="7">
        <v>0</v>
      </c>
      <c r="K96" s="7">
        <v>0</v>
      </c>
      <c r="L96" s="7">
        <v>102715.2279999999</v>
      </c>
      <c r="M96" s="6">
        <v>0</v>
      </c>
      <c r="N96" s="7">
        <v>104558.0809999999</v>
      </c>
      <c r="O96" s="7">
        <v>0</v>
      </c>
      <c r="P96" s="7">
        <v>0</v>
      </c>
      <c r="Q96" s="7">
        <v>0</v>
      </c>
      <c r="R96" s="7">
        <v>104558.0809999999</v>
      </c>
      <c r="S96" s="6">
        <v>0</v>
      </c>
      <c r="T96" s="6">
        <v>-1.9774379000000002E-3</v>
      </c>
      <c r="U96" s="7">
        <v>113695.9548544937</v>
      </c>
      <c r="V96" s="7">
        <f>SUMIFS('Trade Log'!$N$7:$N$371,'Trade Log'!$A$7:$A$371,"A",'Trade Log'!$C$7:$C$371,A96)</f>
        <v>0</v>
      </c>
      <c r="W96" s="7">
        <f>SUMIFS('Trade Log'!$N$7:$N$371,'Trade Log'!$A$7:$A$371,"B",'Trade Log'!$C$7:$C$371,A96)</f>
        <v>0</v>
      </c>
      <c r="X96" s="7">
        <f>SUMIFS('Trade Log'!$N$7:$N$371,'Trade Log'!$A$7:$A$371,"C",'Trade Log'!$C$7:$C$371,A96)</f>
        <v>0</v>
      </c>
      <c r="Y96" s="7">
        <f t="shared" si="6"/>
        <v>0</v>
      </c>
      <c r="Z96" s="7">
        <f t="shared" si="7"/>
        <v>0</v>
      </c>
      <c r="AA96" s="7">
        <f t="shared" si="8"/>
        <v>0</v>
      </c>
    </row>
    <row r="97" spans="1:27">
      <c r="A97" s="10">
        <v>45881</v>
      </c>
      <c r="B97" s="7">
        <v>99500.620200000005</v>
      </c>
      <c r="C97" s="7">
        <v>522.70920000000001</v>
      </c>
      <c r="D97" s="7">
        <v>1.4039999999999999</v>
      </c>
      <c r="E97" s="7">
        <v>521.30520000000001</v>
      </c>
      <c r="F97" s="7">
        <v>100021.92539999999</v>
      </c>
      <c r="G97" s="6">
        <v>5.2392156000000004E-3</v>
      </c>
      <c r="H97" s="7">
        <v>102715.2279999999</v>
      </c>
      <c r="I97" s="7">
        <v>539.46270000000004</v>
      </c>
      <c r="J97" s="7">
        <v>1.4490000000000001</v>
      </c>
      <c r="K97" s="7">
        <v>538.01369999999997</v>
      </c>
      <c r="L97" s="7">
        <v>103253.2416999999</v>
      </c>
      <c r="M97" s="6">
        <v>5.2379156000000003E-3</v>
      </c>
      <c r="N97" s="7">
        <v>104558.0809999999</v>
      </c>
      <c r="O97" s="7">
        <v>1447.5024000000001</v>
      </c>
      <c r="P97" s="7">
        <v>3.8879999999999999</v>
      </c>
      <c r="Q97" s="7">
        <v>1443.6143999999999</v>
      </c>
      <c r="R97" s="7">
        <v>106001.6953999999</v>
      </c>
      <c r="S97" s="6">
        <v>1.3806818E-2</v>
      </c>
      <c r="T97" s="6">
        <v>1.06460229E-2</v>
      </c>
      <c r="U97" s="7">
        <v>114906.3645970076</v>
      </c>
      <c r="V97" s="7">
        <f>SUMIFS('Trade Log'!$N$7:$N$371,'Trade Log'!$A$7:$A$371,"A",'Trade Log'!$C$7:$C$371,A97)</f>
        <v>521.30519999999387</v>
      </c>
      <c r="W97" s="7">
        <f>SUMIFS('Trade Log'!$N$7:$N$371,'Trade Log'!$A$7:$A$371,"B",'Trade Log'!$C$7:$C$371,A97)</f>
        <v>538.01369999999372</v>
      </c>
      <c r="X97" s="7">
        <f>SUMIFS('Trade Log'!$N$7:$N$371,'Trade Log'!$A$7:$A$371,"C",'Trade Log'!$C$7:$C$371,A97)</f>
        <v>1443.6143999999831</v>
      </c>
      <c r="Y97" s="7">
        <f t="shared" si="6"/>
        <v>-6.1390892369672656E-12</v>
      </c>
      <c r="Z97" s="7">
        <f t="shared" si="7"/>
        <v>-6.2527760746888816E-12</v>
      </c>
      <c r="AA97" s="7">
        <f t="shared" si="8"/>
        <v>-1.6825651982799172E-11</v>
      </c>
    </row>
    <row r="98" spans="1:27">
      <c r="A98" s="10">
        <v>45882</v>
      </c>
      <c r="B98" s="7">
        <v>100021.92539999999</v>
      </c>
      <c r="C98" s="7">
        <v>0</v>
      </c>
      <c r="D98" s="7">
        <v>0</v>
      </c>
      <c r="E98" s="7">
        <v>0</v>
      </c>
      <c r="F98" s="7">
        <v>100021.92539999999</v>
      </c>
      <c r="G98" s="6">
        <v>0</v>
      </c>
      <c r="H98" s="7">
        <v>103253.2416999999</v>
      </c>
      <c r="I98" s="7">
        <v>0</v>
      </c>
      <c r="J98" s="7">
        <v>0</v>
      </c>
      <c r="K98" s="7">
        <v>0</v>
      </c>
      <c r="L98" s="7">
        <v>103253.2416999999</v>
      </c>
      <c r="M98" s="6">
        <v>0</v>
      </c>
      <c r="N98" s="7">
        <v>106001.6953999999</v>
      </c>
      <c r="O98" s="7">
        <v>0</v>
      </c>
      <c r="P98" s="7">
        <v>0</v>
      </c>
      <c r="Q98" s="7">
        <v>0</v>
      </c>
      <c r="R98" s="7">
        <v>106001.6953999999</v>
      </c>
      <c r="S98" s="6">
        <v>0</v>
      </c>
      <c r="T98" s="6">
        <v>3.4230854999999999E-3</v>
      </c>
      <c r="U98" s="7">
        <v>115299.6989080441</v>
      </c>
      <c r="V98" s="7">
        <f>SUMIFS('Trade Log'!$N$7:$N$371,'Trade Log'!$A$7:$A$371,"A",'Trade Log'!$C$7:$C$371,A98)</f>
        <v>0</v>
      </c>
      <c r="W98" s="7">
        <f>SUMIFS('Trade Log'!$N$7:$N$371,'Trade Log'!$A$7:$A$371,"B",'Trade Log'!$C$7:$C$371,A98)</f>
        <v>0</v>
      </c>
      <c r="X98" s="7">
        <f>SUMIFS('Trade Log'!$N$7:$N$371,'Trade Log'!$A$7:$A$371,"C",'Trade Log'!$C$7:$C$371,A98)</f>
        <v>0</v>
      </c>
      <c r="Y98" s="7">
        <f t="shared" si="6"/>
        <v>0</v>
      </c>
      <c r="Z98" s="7">
        <f t="shared" si="7"/>
        <v>0</v>
      </c>
      <c r="AA98" s="7">
        <f t="shared" si="8"/>
        <v>0</v>
      </c>
    </row>
    <row r="99" spans="1:27">
      <c r="A99" s="10">
        <v>45883</v>
      </c>
      <c r="B99" s="7">
        <v>100021.92539999999</v>
      </c>
      <c r="C99" s="7">
        <v>0</v>
      </c>
      <c r="D99" s="7">
        <v>0</v>
      </c>
      <c r="E99" s="7">
        <v>0</v>
      </c>
      <c r="F99" s="7">
        <v>100021.92539999999</v>
      </c>
      <c r="G99" s="6">
        <v>0</v>
      </c>
      <c r="H99" s="7">
        <v>103253.2416999999</v>
      </c>
      <c r="I99" s="7">
        <v>0</v>
      </c>
      <c r="J99" s="7">
        <v>0</v>
      </c>
      <c r="K99" s="7">
        <v>0</v>
      </c>
      <c r="L99" s="7">
        <v>103253.2416999999</v>
      </c>
      <c r="M99" s="6">
        <v>0</v>
      </c>
      <c r="N99" s="7">
        <v>106001.6953999999</v>
      </c>
      <c r="O99" s="7">
        <v>0</v>
      </c>
      <c r="P99" s="7">
        <v>0</v>
      </c>
      <c r="Q99" s="7">
        <v>0</v>
      </c>
      <c r="R99" s="7">
        <v>106001.6953999999</v>
      </c>
      <c r="S99" s="6">
        <v>0</v>
      </c>
      <c r="T99" s="6">
        <v>9.2986100000000001E-5</v>
      </c>
      <c r="U99" s="7">
        <v>115310.420176926</v>
      </c>
      <c r="V99" s="7">
        <f>SUMIFS('Trade Log'!$N$7:$N$371,'Trade Log'!$A$7:$A$371,"A",'Trade Log'!$C$7:$C$371,A99)</f>
        <v>0</v>
      </c>
      <c r="W99" s="7">
        <f>SUMIFS('Trade Log'!$N$7:$N$371,'Trade Log'!$A$7:$A$371,"B",'Trade Log'!$C$7:$C$371,A99)</f>
        <v>0</v>
      </c>
      <c r="X99" s="7">
        <f>SUMIFS('Trade Log'!$N$7:$N$371,'Trade Log'!$A$7:$A$371,"C",'Trade Log'!$C$7:$C$371,A99)</f>
        <v>0</v>
      </c>
      <c r="Y99" s="7">
        <f t="shared" si="6"/>
        <v>0</v>
      </c>
      <c r="Z99" s="7">
        <f t="shared" si="7"/>
        <v>0</v>
      </c>
      <c r="AA99" s="7">
        <f t="shared" si="8"/>
        <v>0</v>
      </c>
    </row>
    <row r="100" spans="1:27">
      <c r="A100" s="10">
        <v>45884</v>
      </c>
      <c r="B100" s="7">
        <v>100021.92539999999</v>
      </c>
      <c r="C100" s="7">
        <v>0</v>
      </c>
      <c r="D100" s="7">
        <v>0</v>
      </c>
      <c r="E100" s="7">
        <v>0</v>
      </c>
      <c r="F100" s="7">
        <v>100021.92539999999</v>
      </c>
      <c r="G100" s="6">
        <v>0</v>
      </c>
      <c r="H100" s="7">
        <v>103253.2416999999</v>
      </c>
      <c r="I100" s="7">
        <v>0</v>
      </c>
      <c r="J100" s="7">
        <v>0</v>
      </c>
      <c r="K100" s="7">
        <v>0</v>
      </c>
      <c r="L100" s="7">
        <v>103253.2416999999</v>
      </c>
      <c r="M100" s="6">
        <v>0</v>
      </c>
      <c r="N100" s="7">
        <v>106001.6953999999</v>
      </c>
      <c r="O100" s="7">
        <v>0</v>
      </c>
      <c r="P100" s="7">
        <v>0</v>
      </c>
      <c r="Q100" s="7">
        <v>0</v>
      </c>
      <c r="R100" s="7">
        <v>106001.6953999999</v>
      </c>
      <c r="S100" s="6">
        <v>0</v>
      </c>
      <c r="T100" s="6">
        <v>-2.3412282E-3</v>
      </c>
      <c r="U100" s="7">
        <v>115040.4521722044</v>
      </c>
      <c r="V100" s="7">
        <f>SUMIFS('Trade Log'!$N$7:$N$371,'Trade Log'!$A$7:$A$371,"A",'Trade Log'!$C$7:$C$371,A100)</f>
        <v>0</v>
      </c>
      <c r="W100" s="7">
        <f>SUMIFS('Trade Log'!$N$7:$N$371,'Trade Log'!$A$7:$A$371,"B",'Trade Log'!$C$7:$C$371,A100)</f>
        <v>0</v>
      </c>
      <c r="X100" s="7">
        <f>SUMIFS('Trade Log'!$N$7:$N$371,'Trade Log'!$A$7:$A$371,"C",'Trade Log'!$C$7:$C$371,A100)</f>
        <v>0</v>
      </c>
      <c r="Y100" s="7">
        <f t="shared" si="6"/>
        <v>0</v>
      </c>
      <c r="Z100" s="7">
        <f t="shared" si="7"/>
        <v>0</v>
      </c>
      <c r="AA100" s="7">
        <f t="shared" si="8"/>
        <v>0</v>
      </c>
    </row>
    <row r="101" spans="1:27">
      <c r="A101" s="10">
        <v>45887</v>
      </c>
      <c r="B101" s="7">
        <v>100021.92539999999</v>
      </c>
      <c r="C101" s="7">
        <v>0</v>
      </c>
      <c r="D101" s="7">
        <v>0</v>
      </c>
      <c r="E101" s="7">
        <v>0</v>
      </c>
      <c r="F101" s="7">
        <v>100021.92539999999</v>
      </c>
      <c r="G101" s="6">
        <v>0</v>
      </c>
      <c r="H101" s="7">
        <v>103253.2416999999</v>
      </c>
      <c r="I101" s="7">
        <v>0</v>
      </c>
      <c r="J101" s="7">
        <v>0</v>
      </c>
      <c r="K101" s="7">
        <v>0</v>
      </c>
      <c r="L101" s="7">
        <v>103253.2416999999</v>
      </c>
      <c r="M101" s="6">
        <v>0</v>
      </c>
      <c r="N101" s="7">
        <v>106001.6953999999</v>
      </c>
      <c r="O101" s="7">
        <v>0</v>
      </c>
      <c r="P101" s="7">
        <v>0</v>
      </c>
      <c r="Q101" s="7">
        <v>0</v>
      </c>
      <c r="R101" s="7">
        <v>106001.6953999999</v>
      </c>
      <c r="S101" s="6">
        <v>0</v>
      </c>
      <c r="T101" s="6">
        <v>-2.175604E-4</v>
      </c>
      <c r="U101" s="7">
        <v>115015.4239257844</v>
      </c>
      <c r="V101" s="7">
        <f>SUMIFS('Trade Log'!$N$7:$N$371,'Trade Log'!$A$7:$A$371,"A",'Trade Log'!$C$7:$C$371,A101)</f>
        <v>0</v>
      </c>
      <c r="W101" s="7">
        <f>SUMIFS('Trade Log'!$N$7:$N$371,'Trade Log'!$A$7:$A$371,"B",'Trade Log'!$C$7:$C$371,A101)</f>
        <v>0</v>
      </c>
      <c r="X101" s="7">
        <f>SUMIFS('Trade Log'!$N$7:$N$371,'Trade Log'!$A$7:$A$371,"C",'Trade Log'!$C$7:$C$371,A101)</f>
        <v>0</v>
      </c>
      <c r="Y101" s="7">
        <f t="shared" si="6"/>
        <v>0</v>
      </c>
      <c r="Z101" s="7">
        <f t="shared" si="7"/>
        <v>0</v>
      </c>
      <c r="AA101" s="7">
        <f t="shared" si="8"/>
        <v>0</v>
      </c>
    </row>
    <row r="102" spans="1:27">
      <c r="A102" s="10">
        <v>45888</v>
      </c>
      <c r="B102" s="7">
        <v>100021.92539999999</v>
      </c>
      <c r="C102" s="7">
        <v>224.79599999999999</v>
      </c>
      <c r="D102" s="7">
        <v>1.4039999999999999</v>
      </c>
      <c r="E102" s="7">
        <v>223.392</v>
      </c>
      <c r="F102" s="7">
        <v>100245.3173999999</v>
      </c>
      <c r="G102" s="6">
        <v>2.2334302999999999E-3</v>
      </c>
      <c r="H102" s="7">
        <v>103253.2416999999</v>
      </c>
      <c r="I102" s="7">
        <v>97.131299999999996</v>
      </c>
      <c r="J102" s="7">
        <v>2.8980000000000001</v>
      </c>
      <c r="K102" s="7">
        <v>94.2333</v>
      </c>
      <c r="L102" s="7">
        <v>103347.4749999999</v>
      </c>
      <c r="M102" s="6">
        <v>9.1264250000000003E-4</v>
      </c>
      <c r="N102" s="7">
        <v>106001.6953999999</v>
      </c>
      <c r="O102" s="7">
        <v>256.40249999989999</v>
      </c>
      <c r="P102" s="7">
        <v>7.65</v>
      </c>
      <c r="Q102" s="7">
        <v>248.75249999990001</v>
      </c>
      <c r="R102" s="7">
        <v>106250.4478999998</v>
      </c>
      <c r="S102" s="6">
        <v>2.3466842E-3</v>
      </c>
      <c r="T102" s="6">
        <v>-5.4250731999999999E-3</v>
      </c>
      <c r="U102" s="7">
        <v>114391.45683398419</v>
      </c>
      <c r="V102" s="7">
        <f>SUMIFS('Trade Log'!$N$7:$N$371,'Trade Log'!$A$7:$A$371,"A",'Trade Log'!$C$7:$C$371,A102)</f>
        <v>223.39199999998709</v>
      </c>
      <c r="W102" s="7">
        <f>SUMIFS('Trade Log'!$N$7:$N$371,'Trade Log'!$A$7:$A$371,"B",'Trade Log'!$C$7:$C$371,A102)</f>
        <v>94.233299999980105</v>
      </c>
      <c r="X102" s="7">
        <f>SUMIFS('Trade Log'!$N$7:$N$371,'Trade Log'!$A$7:$A$371,"C",'Trade Log'!$C$7:$C$371,A102)</f>
        <v>248.75249999994753</v>
      </c>
      <c r="Y102" s="7">
        <f t="shared" si="6"/>
        <v>-1.2903456081403419E-11</v>
      </c>
      <c r="Z102" s="7">
        <f t="shared" si="7"/>
        <v>-1.9895196601282805E-11</v>
      </c>
      <c r="AA102" s="7">
        <f t="shared" si="8"/>
        <v>4.75210981676355E-11</v>
      </c>
    </row>
    <row r="103" spans="1:27">
      <c r="A103" s="10">
        <v>45889</v>
      </c>
      <c r="B103" s="7">
        <v>100245.3173999999</v>
      </c>
      <c r="C103" s="7">
        <v>-657.02719999999999</v>
      </c>
      <c r="D103" s="7">
        <v>1.4219999999999999</v>
      </c>
      <c r="E103" s="7">
        <v>-658.44920000000002</v>
      </c>
      <c r="F103" s="7">
        <v>99586.868199999997</v>
      </c>
      <c r="G103" s="6">
        <v>-6.5683785999999999E-3</v>
      </c>
      <c r="H103" s="7">
        <v>103347.4749999999</v>
      </c>
      <c r="I103" s="7">
        <v>-390.10789999999997</v>
      </c>
      <c r="J103" s="7">
        <v>1.4670000000000001</v>
      </c>
      <c r="K103" s="7">
        <v>-391.57490000000001</v>
      </c>
      <c r="L103" s="7">
        <v>102955.9000999999</v>
      </c>
      <c r="M103" s="6">
        <v>-3.7889159999999998E-3</v>
      </c>
      <c r="N103" s="7">
        <v>106250.4478999998</v>
      </c>
      <c r="O103" s="7">
        <v>-1009.9726000000001</v>
      </c>
      <c r="P103" s="7">
        <v>3.798</v>
      </c>
      <c r="Q103" s="7">
        <v>-1013.7705999999999</v>
      </c>
      <c r="R103" s="7">
        <v>105236.67729999981</v>
      </c>
      <c r="S103" s="6">
        <v>-9.5413301000000002E-3</v>
      </c>
      <c r="T103" s="6">
        <v>-2.6571960000000001E-3</v>
      </c>
      <c r="U103" s="7">
        <v>114087.49631120219</v>
      </c>
      <c r="V103" s="7">
        <f>SUMIFS('Trade Log'!$N$7:$N$371,'Trade Log'!$A$7:$A$371,"A",'Trade Log'!$C$7:$C$371,A103)</f>
        <v>-658.4491999999866</v>
      </c>
      <c r="W103" s="7">
        <f>SUMIFS('Trade Log'!$N$7:$N$371,'Trade Log'!$A$7:$A$371,"B",'Trade Log'!$C$7:$C$371,A103)</f>
        <v>-391.57489999999245</v>
      </c>
      <c r="X103" s="7">
        <f>SUMIFS('Trade Log'!$N$7:$N$371,'Trade Log'!$A$7:$A$371,"C",'Trade Log'!$C$7:$C$371,A103)</f>
        <v>-1013.7705999999805</v>
      </c>
      <c r="Y103" s="7">
        <f t="shared" ref="Y103:Y134" si="9">V103-E103</f>
        <v>1.3415046851150692E-11</v>
      </c>
      <c r="Z103" s="7">
        <f t="shared" ref="Z103:Z134" si="10">W103-K103</f>
        <v>7.560174708487466E-12</v>
      </c>
      <c r="AA103" s="7">
        <f t="shared" ref="AA103:AA134" si="11">X103-Q103</f>
        <v>1.9440449250396341E-11</v>
      </c>
    </row>
    <row r="104" spans="1:27">
      <c r="A104" s="10">
        <v>45890</v>
      </c>
      <c r="B104" s="7">
        <v>99586.868199999997</v>
      </c>
      <c r="C104" s="7">
        <v>0</v>
      </c>
      <c r="D104" s="7">
        <v>0</v>
      </c>
      <c r="E104" s="7">
        <v>0</v>
      </c>
      <c r="F104" s="7">
        <v>99586.868199999997</v>
      </c>
      <c r="G104" s="6">
        <v>0</v>
      </c>
      <c r="H104" s="7">
        <v>102955.9000999999</v>
      </c>
      <c r="I104" s="7">
        <v>0</v>
      </c>
      <c r="J104" s="7">
        <v>0</v>
      </c>
      <c r="K104" s="7">
        <v>0</v>
      </c>
      <c r="L104" s="7">
        <v>102955.9000999999</v>
      </c>
      <c r="M104" s="6">
        <v>0</v>
      </c>
      <c r="N104" s="7">
        <v>105236.67729999981</v>
      </c>
      <c r="O104" s="7">
        <v>0</v>
      </c>
      <c r="P104" s="7">
        <v>0</v>
      </c>
      <c r="Q104" s="7">
        <v>0</v>
      </c>
      <c r="R104" s="7">
        <v>105236.67729999981</v>
      </c>
      <c r="S104" s="6">
        <v>0</v>
      </c>
      <c r="T104" s="6">
        <v>-4.0118137000000002E-3</v>
      </c>
      <c r="U104" s="7">
        <v>113629.7985297877</v>
      </c>
      <c r="V104" s="7">
        <f>SUMIFS('Trade Log'!$N$7:$N$371,'Trade Log'!$A$7:$A$371,"A",'Trade Log'!$C$7:$C$371,A104)</f>
        <v>0</v>
      </c>
      <c r="W104" s="7">
        <f>SUMIFS('Trade Log'!$N$7:$N$371,'Trade Log'!$A$7:$A$371,"B",'Trade Log'!$C$7:$C$371,A104)</f>
        <v>0</v>
      </c>
      <c r="X104" s="7">
        <f>SUMIFS('Trade Log'!$N$7:$N$371,'Trade Log'!$A$7:$A$371,"C",'Trade Log'!$C$7:$C$371,A104)</f>
        <v>0</v>
      </c>
      <c r="Y104" s="7">
        <f t="shared" si="9"/>
        <v>0</v>
      </c>
      <c r="Z104" s="7">
        <f t="shared" si="10"/>
        <v>0</v>
      </c>
      <c r="AA104" s="7">
        <f t="shared" si="11"/>
        <v>0</v>
      </c>
    </row>
    <row r="105" spans="1:27">
      <c r="A105" s="10">
        <v>45891</v>
      </c>
      <c r="B105" s="7">
        <v>99586.868199999997</v>
      </c>
      <c r="C105" s="7">
        <v>164.97</v>
      </c>
      <c r="D105" s="7">
        <v>1.4039999999999999</v>
      </c>
      <c r="E105" s="7">
        <v>163.566</v>
      </c>
      <c r="F105" s="7">
        <v>99750.434200000003</v>
      </c>
      <c r="G105" s="6">
        <v>1.6424454999999999E-3</v>
      </c>
      <c r="H105" s="7">
        <v>102955.9000999999</v>
      </c>
      <c r="I105" s="7">
        <v>170.25749999999999</v>
      </c>
      <c r="J105" s="7">
        <v>1.4490000000000001</v>
      </c>
      <c r="K105" s="7">
        <v>168.80850000000001</v>
      </c>
      <c r="L105" s="7">
        <v>103124.7085999999</v>
      </c>
      <c r="M105" s="6">
        <v>1.6396195000000001E-3</v>
      </c>
      <c r="N105" s="7">
        <v>105236.67729999981</v>
      </c>
      <c r="O105" s="7">
        <v>547.78499999999997</v>
      </c>
      <c r="P105" s="7">
        <v>4.6619999999999999</v>
      </c>
      <c r="Q105" s="7">
        <v>543.12300000000005</v>
      </c>
      <c r="R105" s="7">
        <v>105779.8002999998</v>
      </c>
      <c r="S105" s="6">
        <v>5.1609667999999997E-3</v>
      </c>
      <c r="T105" s="6">
        <v>1.53567562E-2</v>
      </c>
      <c r="U105" s="7">
        <v>115374.78364730399</v>
      </c>
      <c r="V105" s="7">
        <f>SUMIFS('Trade Log'!$N$7:$N$371,'Trade Log'!$A$7:$A$371,"A",'Trade Log'!$C$7:$C$371,A105)</f>
        <v>163.56600000000071</v>
      </c>
      <c r="W105" s="7">
        <f>SUMIFS('Trade Log'!$N$7:$N$371,'Trade Log'!$A$7:$A$371,"B",'Trade Log'!$C$7:$C$371,A105)</f>
        <v>168.80850000000072</v>
      </c>
      <c r="X105" s="7">
        <f>SUMIFS('Trade Log'!$N$7:$N$371,'Trade Log'!$A$7:$A$371,"C",'Trade Log'!$C$7:$C$371,A105)</f>
        <v>543.12300000000232</v>
      </c>
      <c r="Y105" s="7">
        <f t="shared" si="9"/>
        <v>7.1054273576010019E-13</v>
      </c>
      <c r="Z105" s="7">
        <f t="shared" si="10"/>
        <v>7.1054273576010019E-13</v>
      </c>
      <c r="AA105" s="7">
        <f t="shared" si="11"/>
        <v>2.2737367544323206E-12</v>
      </c>
    </row>
    <row r="106" spans="1:27">
      <c r="A106" s="10">
        <v>45894</v>
      </c>
      <c r="B106" s="7">
        <v>99750.434200000003</v>
      </c>
      <c r="C106" s="7">
        <v>0</v>
      </c>
      <c r="D106" s="7">
        <v>0</v>
      </c>
      <c r="E106" s="7">
        <v>0</v>
      </c>
      <c r="F106" s="7">
        <v>99750.434200000003</v>
      </c>
      <c r="G106" s="6">
        <v>0</v>
      </c>
      <c r="H106" s="7">
        <v>103124.7085999999</v>
      </c>
      <c r="I106" s="7">
        <v>0</v>
      </c>
      <c r="J106" s="7">
        <v>0</v>
      </c>
      <c r="K106" s="7">
        <v>0</v>
      </c>
      <c r="L106" s="7">
        <v>103124.7085999999</v>
      </c>
      <c r="M106" s="6">
        <v>0</v>
      </c>
      <c r="N106" s="7">
        <v>105779.8002999998</v>
      </c>
      <c r="O106" s="7">
        <v>0</v>
      </c>
      <c r="P106" s="7">
        <v>0</v>
      </c>
      <c r="Q106" s="7">
        <v>0</v>
      </c>
      <c r="R106" s="7">
        <v>105779.8002999998</v>
      </c>
      <c r="S106" s="6">
        <v>0</v>
      </c>
      <c r="T106" s="6">
        <v>-4.4010674E-3</v>
      </c>
      <c r="U106" s="7">
        <v>114867.01144450629</v>
      </c>
      <c r="V106" s="7">
        <f>SUMIFS('Trade Log'!$N$7:$N$371,'Trade Log'!$A$7:$A$371,"A",'Trade Log'!$C$7:$C$371,A106)</f>
        <v>0</v>
      </c>
      <c r="W106" s="7">
        <f>SUMIFS('Trade Log'!$N$7:$N$371,'Trade Log'!$A$7:$A$371,"B",'Trade Log'!$C$7:$C$371,A106)</f>
        <v>0</v>
      </c>
      <c r="X106" s="7">
        <f>SUMIFS('Trade Log'!$N$7:$N$371,'Trade Log'!$A$7:$A$371,"C",'Trade Log'!$C$7:$C$371,A106)</f>
        <v>0</v>
      </c>
      <c r="Y106" s="7">
        <f t="shared" si="9"/>
        <v>0</v>
      </c>
      <c r="Z106" s="7">
        <f t="shared" si="10"/>
        <v>0</v>
      </c>
      <c r="AA106" s="7">
        <f t="shared" si="11"/>
        <v>0</v>
      </c>
    </row>
    <row r="107" spans="1:27">
      <c r="A107" s="10">
        <v>45895</v>
      </c>
      <c r="B107" s="7">
        <v>99750.434200000003</v>
      </c>
      <c r="C107" s="7">
        <v>0</v>
      </c>
      <c r="D107" s="7">
        <v>0</v>
      </c>
      <c r="E107" s="7">
        <v>0</v>
      </c>
      <c r="F107" s="7">
        <v>99750.434200000003</v>
      </c>
      <c r="G107" s="6">
        <v>0</v>
      </c>
      <c r="H107" s="7">
        <v>103124.7085999999</v>
      </c>
      <c r="I107" s="7">
        <v>0</v>
      </c>
      <c r="J107" s="7">
        <v>0</v>
      </c>
      <c r="K107" s="7">
        <v>0</v>
      </c>
      <c r="L107" s="7">
        <v>103124.7085999999</v>
      </c>
      <c r="M107" s="6">
        <v>0</v>
      </c>
      <c r="N107" s="7">
        <v>105779.8002999998</v>
      </c>
      <c r="O107" s="7">
        <v>0</v>
      </c>
      <c r="P107" s="7">
        <v>0</v>
      </c>
      <c r="Q107" s="7">
        <v>0</v>
      </c>
      <c r="R107" s="7">
        <v>105779.8002999998</v>
      </c>
      <c r="S107" s="6">
        <v>0</v>
      </c>
      <c r="T107" s="6">
        <v>4.1871814999999996E-3</v>
      </c>
      <c r="U107" s="7">
        <v>115347.9804750992</v>
      </c>
      <c r="V107" s="7">
        <f>SUMIFS('Trade Log'!$N$7:$N$371,'Trade Log'!$A$7:$A$371,"A",'Trade Log'!$C$7:$C$371,A107)</f>
        <v>0</v>
      </c>
      <c r="W107" s="7">
        <f>SUMIFS('Trade Log'!$N$7:$N$371,'Trade Log'!$A$7:$A$371,"B",'Trade Log'!$C$7:$C$371,A107)</f>
        <v>0</v>
      </c>
      <c r="X107" s="7">
        <f>SUMIFS('Trade Log'!$N$7:$N$371,'Trade Log'!$A$7:$A$371,"C",'Trade Log'!$C$7:$C$371,A107)</f>
        <v>0</v>
      </c>
      <c r="Y107" s="7">
        <f t="shared" si="9"/>
        <v>0</v>
      </c>
      <c r="Z107" s="7">
        <f t="shared" si="10"/>
        <v>0</v>
      </c>
      <c r="AA107" s="7">
        <f t="shared" si="11"/>
        <v>0</v>
      </c>
    </row>
    <row r="108" spans="1:27">
      <c r="A108" s="10">
        <v>45896</v>
      </c>
      <c r="B108" s="7">
        <v>99750.434200000003</v>
      </c>
      <c r="C108" s="7">
        <v>0</v>
      </c>
      <c r="D108" s="7">
        <v>0</v>
      </c>
      <c r="E108" s="7">
        <v>0</v>
      </c>
      <c r="F108" s="7">
        <v>99750.434200000003</v>
      </c>
      <c r="G108" s="6">
        <v>0</v>
      </c>
      <c r="H108" s="7">
        <v>103124.7085999999</v>
      </c>
      <c r="I108" s="7">
        <v>0</v>
      </c>
      <c r="J108" s="7">
        <v>0</v>
      </c>
      <c r="K108" s="7">
        <v>0</v>
      </c>
      <c r="L108" s="7">
        <v>103124.7085999999</v>
      </c>
      <c r="M108" s="6">
        <v>0</v>
      </c>
      <c r="N108" s="7">
        <v>105779.8002999998</v>
      </c>
      <c r="O108" s="7">
        <v>0</v>
      </c>
      <c r="P108" s="7">
        <v>0</v>
      </c>
      <c r="Q108" s="7">
        <v>0</v>
      </c>
      <c r="R108" s="7">
        <v>105779.8002999998</v>
      </c>
      <c r="S108" s="6">
        <v>0</v>
      </c>
      <c r="T108" s="6">
        <v>2.2782938000000001E-3</v>
      </c>
      <c r="U108" s="7">
        <v>115610.7770625086</v>
      </c>
      <c r="V108" s="7">
        <f>SUMIFS('Trade Log'!$N$7:$N$371,'Trade Log'!$A$7:$A$371,"A",'Trade Log'!$C$7:$C$371,A108)</f>
        <v>0</v>
      </c>
      <c r="W108" s="7">
        <f>SUMIFS('Trade Log'!$N$7:$N$371,'Trade Log'!$A$7:$A$371,"B",'Trade Log'!$C$7:$C$371,A108)</f>
        <v>0</v>
      </c>
      <c r="X108" s="7">
        <f>SUMIFS('Trade Log'!$N$7:$N$371,'Trade Log'!$A$7:$A$371,"C",'Trade Log'!$C$7:$C$371,A108)</f>
        <v>0</v>
      </c>
      <c r="Y108" s="7">
        <f t="shared" si="9"/>
        <v>0</v>
      </c>
      <c r="Z108" s="7">
        <f t="shared" si="10"/>
        <v>0</v>
      </c>
      <c r="AA108" s="7">
        <f t="shared" si="11"/>
        <v>0</v>
      </c>
    </row>
    <row r="109" spans="1:27">
      <c r="A109" s="10">
        <v>45897</v>
      </c>
      <c r="B109" s="7">
        <v>99750.434200000003</v>
      </c>
      <c r="C109" s="7">
        <v>41.456800000000001</v>
      </c>
      <c r="D109" s="7">
        <v>1.3859999999999999</v>
      </c>
      <c r="E109" s="7">
        <v>40.070799999999998</v>
      </c>
      <c r="F109" s="7">
        <v>99790.505000000005</v>
      </c>
      <c r="G109" s="6">
        <v>4.0171050000000001E-4</v>
      </c>
      <c r="H109" s="7">
        <v>103124.7085999999</v>
      </c>
      <c r="I109" s="7">
        <v>43.072000000000003</v>
      </c>
      <c r="J109" s="7">
        <v>1.44</v>
      </c>
      <c r="K109" s="7">
        <v>41.631999999999998</v>
      </c>
      <c r="L109" s="7">
        <v>103166.34059999989</v>
      </c>
      <c r="M109" s="6">
        <v>4.037054E-4</v>
      </c>
      <c r="N109" s="7">
        <v>105779.8002999998</v>
      </c>
      <c r="O109" s="7">
        <v>144.02199999999999</v>
      </c>
      <c r="P109" s="7">
        <v>4.8150000000000004</v>
      </c>
      <c r="Q109" s="7">
        <v>139.20699999999999</v>
      </c>
      <c r="R109" s="7">
        <v>105919.0072999999</v>
      </c>
      <c r="S109" s="6">
        <v>1.3160074E-3</v>
      </c>
      <c r="T109" s="6">
        <v>3.5414877000000001E-3</v>
      </c>
      <c r="U109" s="7">
        <v>116020.21120541129</v>
      </c>
      <c r="V109" s="7">
        <f>SUMIFS('Trade Log'!$N$7:$N$371,'Trade Log'!$A$7:$A$371,"A",'Trade Log'!$C$7:$C$371,A109)</f>
        <v>40.070800000010614</v>
      </c>
      <c r="W109" s="7">
        <f>SUMIFS('Trade Log'!$N$7:$N$371,'Trade Log'!$A$7:$A$371,"B",'Trade Log'!$C$7:$C$371,A109)</f>
        <v>41.632000000011033</v>
      </c>
      <c r="X109" s="7">
        <f>SUMIFS('Trade Log'!$N$7:$N$371,'Trade Log'!$A$7:$A$371,"C",'Trade Log'!$C$7:$C$371,A109)</f>
        <v>139.20700000003689</v>
      </c>
      <c r="Y109" s="7">
        <f t="shared" si="9"/>
        <v>1.0615508472255897E-11</v>
      </c>
      <c r="Z109" s="7">
        <f t="shared" si="10"/>
        <v>1.1034728686354356E-11</v>
      </c>
      <c r="AA109" s="7">
        <f t="shared" si="11"/>
        <v>3.6891378840664402E-11</v>
      </c>
    </row>
    <row r="110" spans="1:27">
      <c r="A110" s="10">
        <v>45898</v>
      </c>
      <c r="B110" s="7">
        <v>99790.505000000005</v>
      </c>
      <c r="C110" s="7">
        <v>-203.267</v>
      </c>
      <c r="D110" s="7">
        <v>1.395</v>
      </c>
      <c r="E110" s="7">
        <v>-204.66200000000001</v>
      </c>
      <c r="F110" s="7">
        <v>99585.842999999993</v>
      </c>
      <c r="G110" s="6">
        <v>-2.0509166000000001E-3</v>
      </c>
      <c r="H110" s="7">
        <v>103166.34059999989</v>
      </c>
      <c r="I110" s="7">
        <v>-184.14400000000001</v>
      </c>
      <c r="J110" s="7">
        <v>2.88</v>
      </c>
      <c r="K110" s="7">
        <v>-187.024</v>
      </c>
      <c r="L110" s="7">
        <v>102979.31660000001</v>
      </c>
      <c r="M110" s="6">
        <v>-1.8128393E-3</v>
      </c>
      <c r="N110" s="7">
        <v>105919.0072999999</v>
      </c>
      <c r="O110" s="7">
        <v>-641.05129999999997</v>
      </c>
      <c r="P110" s="7">
        <v>10.026</v>
      </c>
      <c r="Q110" s="7">
        <v>-651.07730000000004</v>
      </c>
      <c r="R110" s="7">
        <v>105267.92999999991</v>
      </c>
      <c r="S110" s="6">
        <v>-6.1469354000000002E-3</v>
      </c>
      <c r="T110" s="6">
        <v>-5.9637563000000003E-3</v>
      </c>
      <c r="U110" s="7">
        <v>115328.2949345769</v>
      </c>
      <c r="V110" s="7">
        <f>SUMIFS('Trade Log'!$N$7:$N$371,'Trade Log'!$A$7:$A$371,"A",'Trade Log'!$C$7:$C$371,A110)</f>
        <v>-204.66199999998994</v>
      </c>
      <c r="W110" s="7">
        <f>SUMIFS('Trade Log'!$N$7:$N$371,'Trade Log'!$A$7:$A$371,"B",'Trade Log'!$C$7:$C$371,A110)</f>
        <v>-187.02399999999659</v>
      </c>
      <c r="X110" s="7">
        <f>SUMIFS('Trade Log'!$N$7:$N$371,'Trade Log'!$A$7:$A$371,"C",'Trade Log'!$C$7:$C$371,A110)</f>
        <v>-651.0772999999881</v>
      </c>
      <c r="Y110" s="7">
        <f t="shared" si="9"/>
        <v>1.0061285138363019E-11</v>
      </c>
      <c r="Z110" s="7">
        <f t="shared" si="10"/>
        <v>3.4106051316484809E-12</v>
      </c>
      <c r="AA110" s="7">
        <f t="shared" si="11"/>
        <v>1.1937117960769683E-11</v>
      </c>
    </row>
    <row r="111" spans="1:27">
      <c r="A111" s="10">
        <v>45902</v>
      </c>
      <c r="B111" s="7">
        <v>99585.842999999993</v>
      </c>
      <c r="C111" s="7">
        <v>-407.59679999999997</v>
      </c>
      <c r="D111" s="7">
        <v>1.4039999999999999</v>
      </c>
      <c r="E111" s="7">
        <v>-409.00080000000003</v>
      </c>
      <c r="F111" s="7">
        <v>99176.842199999999</v>
      </c>
      <c r="G111" s="6">
        <v>-4.1070174999999999E-3</v>
      </c>
      <c r="H111" s="7">
        <v>102979.31660000001</v>
      </c>
      <c r="I111" s="7">
        <v>3.1556000000000002</v>
      </c>
      <c r="J111" s="7">
        <v>1.4490000000000001</v>
      </c>
      <c r="K111" s="7">
        <v>1.7065999999999999</v>
      </c>
      <c r="L111" s="7">
        <v>102981.0232</v>
      </c>
      <c r="M111" s="6">
        <v>1.6572300000000001E-5</v>
      </c>
      <c r="N111" s="7">
        <v>105267.92999999991</v>
      </c>
      <c r="O111" s="7">
        <v>10.486000000000001</v>
      </c>
      <c r="P111" s="7">
        <v>4.8150000000000004</v>
      </c>
      <c r="Q111" s="7">
        <v>5.6710000000000003</v>
      </c>
      <c r="R111" s="7">
        <v>105273.60099999989</v>
      </c>
      <c r="S111" s="6">
        <v>5.3872100000000002E-5</v>
      </c>
      <c r="T111" s="6">
        <v>-7.4103047000000002E-3</v>
      </c>
      <c r="U111" s="7">
        <v>114473.6771334698</v>
      </c>
      <c r="V111" s="7">
        <f>SUMIFS('Trade Log'!$N$7:$N$371,'Trade Log'!$A$7:$A$371,"A",'Trade Log'!$C$7:$C$371,A111)</f>
        <v>-409.00080000001662</v>
      </c>
      <c r="W111" s="7">
        <f>SUMIFS('Trade Log'!$N$7:$N$371,'Trade Log'!$A$7:$A$371,"B",'Trade Log'!$C$7:$C$371,A111)</f>
        <v>1.7065999999949335</v>
      </c>
      <c r="X111" s="7">
        <f>SUMIFS('Trade Log'!$N$7:$N$371,'Trade Log'!$A$7:$A$371,"C",'Trade Log'!$C$7:$C$371,A111)</f>
        <v>5.670999999983164</v>
      </c>
      <c r="Y111" s="7">
        <f t="shared" si="9"/>
        <v>-1.659827830735594E-11</v>
      </c>
      <c r="Z111" s="7">
        <f t="shared" si="10"/>
        <v>-5.0663917505744394E-12</v>
      </c>
      <c r="AA111" s="7">
        <f t="shared" si="11"/>
        <v>-1.6836310123835574E-11</v>
      </c>
    </row>
    <row r="112" spans="1:27">
      <c r="A112" s="10">
        <v>45903</v>
      </c>
      <c r="B112" s="7">
        <v>99176.842199999999</v>
      </c>
      <c r="C112" s="7">
        <v>-38.392200000000003</v>
      </c>
      <c r="D112" s="7">
        <v>1.3859999999999999</v>
      </c>
      <c r="E112" s="7">
        <v>-39.778199999999998</v>
      </c>
      <c r="F112" s="7">
        <v>99137.063999999998</v>
      </c>
      <c r="G112" s="6">
        <v>-4.0108359999999998E-4</v>
      </c>
      <c r="H112" s="7">
        <v>102981.0232</v>
      </c>
      <c r="I112" s="7">
        <v>-245.71199999999999</v>
      </c>
      <c r="J112" s="7">
        <v>1.44</v>
      </c>
      <c r="K112" s="7">
        <v>-247.15199999999999</v>
      </c>
      <c r="L112" s="7">
        <v>102733.87119999999</v>
      </c>
      <c r="M112" s="6">
        <v>-2.3999761999999999E-3</v>
      </c>
      <c r="N112" s="7">
        <v>105273.60099999989</v>
      </c>
      <c r="O112" s="7">
        <v>-856.92059999989999</v>
      </c>
      <c r="P112" s="7">
        <v>5.0220000000000002</v>
      </c>
      <c r="Q112" s="7">
        <v>-861.94259999999997</v>
      </c>
      <c r="R112" s="7">
        <v>104411.6583999999</v>
      </c>
      <c r="S112" s="6">
        <v>-8.1876424000000003E-3</v>
      </c>
      <c r="T112" s="6">
        <v>5.4197370999999996E-3</v>
      </c>
      <c r="U112" s="7">
        <v>115094.0943737004</v>
      </c>
      <c r="V112" s="7">
        <f>SUMIFS('Trade Log'!$N$7:$N$371,'Trade Log'!$A$7:$A$371,"A",'Trade Log'!$C$7:$C$371,A112)</f>
        <v>-39.778199999992047</v>
      </c>
      <c r="W112" s="7">
        <f>SUMIFS('Trade Log'!$N$7:$N$371,'Trade Log'!$A$7:$A$371,"B",'Trade Log'!$C$7:$C$371,A112)</f>
        <v>-247.15199999998498</v>
      </c>
      <c r="X112" s="7">
        <f>SUMIFS('Trade Log'!$N$7:$N$371,'Trade Log'!$A$7:$A$371,"C",'Trade Log'!$C$7:$C$371,A112)</f>
        <v>-861.94259999994767</v>
      </c>
      <c r="Y112" s="7">
        <f t="shared" si="9"/>
        <v>7.9509732131555211E-12</v>
      </c>
      <c r="Z112" s="7">
        <f t="shared" si="10"/>
        <v>1.5006662579253316E-11</v>
      </c>
      <c r="AA112" s="7">
        <f t="shared" si="11"/>
        <v>5.2295945351943374E-11</v>
      </c>
    </row>
    <row r="113" spans="1:27">
      <c r="A113" s="10">
        <v>45904</v>
      </c>
      <c r="B113" s="7">
        <v>99137.063999999998</v>
      </c>
      <c r="C113" s="7">
        <v>344.2054</v>
      </c>
      <c r="D113" s="7">
        <v>1.3859999999999999</v>
      </c>
      <c r="E113" s="7">
        <v>342.81939999999997</v>
      </c>
      <c r="F113" s="7">
        <v>99479.883400000006</v>
      </c>
      <c r="G113" s="6">
        <v>3.4580345999999998E-3</v>
      </c>
      <c r="H113" s="7">
        <v>102733.87119999999</v>
      </c>
      <c r="I113" s="7">
        <v>355.3809</v>
      </c>
      <c r="J113" s="7">
        <v>1.431</v>
      </c>
      <c r="K113" s="7">
        <v>353.94990000000001</v>
      </c>
      <c r="L113" s="7">
        <v>103087.8211</v>
      </c>
      <c r="M113" s="6">
        <v>3.4453087E-3</v>
      </c>
      <c r="N113" s="7">
        <v>104411.6583999999</v>
      </c>
      <c r="O113" s="7">
        <v>1206.954</v>
      </c>
      <c r="P113" s="7">
        <v>4.8600000000000003</v>
      </c>
      <c r="Q113" s="7">
        <v>1202.0940000000001</v>
      </c>
      <c r="R113" s="7">
        <v>105613.7523999999</v>
      </c>
      <c r="S113" s="6">
        <v>1.1513024700000001E-2</v>
      </c>
      <c r="T113" s="6">
        <v>8.3573729999999995E-3</v>
      </c>
      <c r="U113" s="7">
        <v>116055.9786492564</v>
      </c>
      <c r="V113" s="7">
        <f>SUMIFS('Trade Log'!$N$7:$N$371,'Trade Log'!$A$7:$A$371,"A",'Trade Log'!$C$7:$C$371,A113)</f>
        <v>342.81939999999821</v>
      </c>
      <c r="W113" s="7">
        <f>SUMIFS('Trade Log'!$N$7:$N$371,'Trade Log'!$A$7:$A$371,"B",'Trade Log'!$C$7:$C$371,A113)</f>
        <v>353.94989999999819</v>
      </c>
      <c r="X113" s="7">
        <f>SUMIFS('Trade Log'!$N$7:$N$371,'Trade Log'!$A$7:$A$371,"C",'Trade Log'!$C$7:$C$371,A113)</f>
        <v>1202.0939999999939</v>
      </c>
      <c r="Y113" s="7">
        <f t="shared" si="9"/>
        <v>-1.7621459846850485E-12</v>
      </c>
      <c r="Z113" s="7">
        <f t="shared" si="10"/>
        <v>-1.8189894035458565E-12</v>
      </c>
      <c r="AA113" s="7">
        <f t="shared" si="11"/>
        <v>-6.1390892369672656E-12</v>
      </c>
    </row>
    <row r="114" spans="1:27">
      <c r="A114" s="10">
        <v>45905</v>
      </c>
      <c r="B114" s="7">
        <v>99479.883400000006</v>
      </c>
      <c r="C114" s="7">
        <v>-112.1337</v>
      </c>
      <c r="D114" s="7">
        <v>1.377</v>
      </c>
      <c r="E114" s="7">
        <v>-113.5107</v>
      </c>
      <c r="F114" s="7">
        <v>99366.372700000007</v>
      </c>
      <c r="G114" s="6">
        <v>-1.1410417E-3</v>
      </c>
      <c r="H114" s="7">
        <v>103087.8211</v>
      </c>
      <c r="I114" s="7">
        <v>-104.4696</v>
      </c>
      <c r="J114" s="7">
        <v>1.4219999999999999</v>
      </c>
      <c r="K114" s="7">
        <v>-105.8916</v>
      </c>
      <c r="L114" s="7">
        <v>102981.9295</v>
      </c>
      <c r="M114" s="6">
        <v>-1.027198E-3</v>
      </c>
      <c r="N114" s="7">
        <v>105613.7523999999</v>
      </c>
      <c r="O114" s="7">
        <v>-335.22840000000002</v>
      </c>
      <c r="P114" s="7">
        <v>4.5629999999999997</v>
      </c>
      <c r="Q114" s="7">
        <v>-339.79140000000001</v>
      </c>
      <c r="R114" s="7">
        <v>105273.96099999989</v>
      </c>
      <c r="S114" s="6">
        <v>-3.2173026000000002E-3</v>
      </c>
      <c r="T114" s="6">
        <v>-2.8962259E-3</v>
      </c>
      <c r="U114" s="7">
        <v>115719.85431982869</v>
      </c>
      <c r="V114" s="7">
        <f>SUMIFS('Trade Log'!$N$7:$N$371,'Trade Log'!$A$7:$A$371,"A",'Trade Log'!$C$7:$C$371,A114)</f>
        <v>-113.51069999999577</v>
      </c>
      <c r="W114" s="7">
        <f>SUMIFS('Trade Log'!$N$7:$N$371,'Trade Log'!$A$7:$A$371,"B",'Trade Log'!$C$7:$C$371,A114)</f>
        <v>-105.89160000000126</v>
      </c>
      <c r="X114" s="7">
        <f>SUMIFS('Trade Log'!$N$7:$N$371,'Trade Log'!$A$7:$A$371,"C",'Trade Log'!$C$7:$C$371,A114)</f>
        <v>-339.79140000000405</v>
      </c>
      <c r="Y114" s="7">
        <f t="shared" si="9"/>
        <v>4.2348347051301971E-12</v>
      </c>
      <c r="Z114" s="7">
        <f t="shared" si="10"/>
        <v>-1.2647660696529783E-12</v>
      </c>
      <c r="AA114" s="7">
        <f t="shared" si="11"/>
        <v>-4.0358827391173691E-12</v>
      </c>
    </row>
    <row r="115" spans="1:27">
      <c r="A115" s="10">
        <v>45908</v>
      </c>
      <c r="B115" s="7">
        <v>99366.372700000007</v>
      </c>
      <c r="C115" s="7">
        <v>0</v>
      </c>
      <c r="D115" s="7">
        <v>0</v>
      </c>
      <c r="E115" s="7">
        <v>0</v>
      </c>
      <c r="F115" s="7">
        <v>99366.372700000007</v>
      </c>
      <c r="G115" s="6">
        <v>0</v>
      </c>
      <c r="H115" s="7">
        <v>102981.9295</v>
      </c>
      <c r="I115" s="7">
        <v>0</v>
      </c>
      <c r="J115" s="7">
        <v>0</v>
      </c>
      <c r="K115" s="7">
        <v>0</v>
      </c>
      <c r="L115" s="7">
        <v>102981.9295</v>
      </c>
      <c r="M115" s="6">
        <v>0</v>
      </c>
      <c r="N115" s="7">
        <v>105273.96099999989</v>
      </c>
      <c r="O115" s="7">
        <v>0</v>
      </c>
      <c r="P115" s="7">
        <v>0</v>
      </c>
      <c r="Q115" s="7">
        <v>0</v>
      </c>
      <c r="R115" s="7">
        <v>105273.96099999989</v>
      </c>
      <c r="S115" s="6">
        <v>0</v>
      </c>
      <c r="T115" s="6">
        <v>2.4565792E-3</v>
      </c>
      <c r="U115" s="7">
        <v>116004.1293020884</v>
      </c>
      <c r="V115" s="7">
        <f>SUMIFS('Trade Log'!$N$7:$N$371,'Trade Log'!$A$7:$A$371,"A",'Trade Log'!$C$7:$C$371,A115)</f>
        <v>0</v>
      </c>
      <c r="W115" s="7">
        <f>SUMIFS('Trade Log'!$N$7:$N$371,'Trade Log'!$A$7:$A$371,"B",'Trade Log'!$C$7:$C$371,A115)</f>
        <v>0</v>
      </c>
      <c r="X115" s="7">
        <f>SUMIFS('Trade Log'!$N$7:$N$371,'Trade Log'!$A$7:$A$371,"C",'Trade Log'!$C$7:$C$371,A115)</f>
        <v>0</v>
      </c>
      <c r="Y115" s="7">
        <f t="shared" si="9"/>
        <v>0</v>
      </c>
      <c r="Z115" s="7">
        <f t="shared" si="10"/>
        <v>0</v>
      </c>
      <c r="AA115" s="7">
        <f t="shared" si="11"/>
        <v>0</v>
      </c>
    </row>
    <row r="116" spans="1:27">
      <c r="A116" s="10">
        <v>45909</v>
      </c>
      <c r="B116" s="7">
        <v>99366.372700000007</v>
      </c>
      <c r="C116" s="7">
        <v>0</v>
      </c>
      <c r="D116" s="7">
        <v>0</v>
      </c>
      <c r="E116" s="7">
        <v>0</v>
      </c>
      <c r="F116" s="7">
        <v>99366.372700000007</v>
      </c>
      <c r="G116" s="6">
        <v>0</v>
      </c>
      <c r="H116" s="7">
        <v>102981.9295</v>
      </c>
      <c r="I116" s="7">
        <v>0</v>
      </c>
      <c r="J116" s="7">
        <v>0</v>
      </c>
      <c r="K116" s="7">
        <v>0</v>
      </c>
      <c r="L116" s="7">
        <v>102981.9295</v>
      </c>
      <c r="M116" s="6">
        <v>0</v>
      </c>
      <c r="N116" s="7">
        <v>105273.96099999989</v>
      </c>
      <c r="O116" s="7">
        <v>0</v>
      </c>
      <c r="P116" s="7">
        <v>0</v>
      </c>
      <c r="Q116" s="7">
        <v>0</v>
      </c>
      <c r="R116" s="7">
        <v>105273.96099999989</v>
      </c>
      <c r="S116" s="6">
        <v>0</v>
      </c>
      <c r="T116" s="6">
        <v>2.3119270000000001E-3</v>
      </c>
      <c r="U116" s="7">
        <v>116272.3223810253</v>
      </c>
      <c r="V116" s="7">
        <f>SUMIFS('Trade Log'!$N$7:$N$371,'Trade Log'!$A$7:$A$371,"A",'Trade Log'!$C$7:$C$371,A116)</f>
        <v>0</v>
      </c>
      <c r="W116" s="7">
        <f>SUMIFS('Trade Log'!$N$7:$N$371,'Trade Log'!$A$7:$A$371,"B",'Trade Log'!$C$7:$C$371,A116)</f>
        <v>0</v>
      </c>
      <c r="X116" s="7">
        <f>SUMIFS('Trade Log'!$N$7:$N$371,'Trade Log'!$A$7:$A$371,"C",'Trade Log'!$C$7:$C$371,A116)</f>
        <v>0</v>
      </c>
      <c r="Y116" s="7">
        <f t="shared" si="9"/>
        <v>0</v>
      </c>
      <c r="Z116" s="7">
        <f t="shared" si="10"/>
        <v>0</v>
      </c>
      <c r="AA116" s="7">
        <f t="shared" si="11"/>
        <v>0</v>
      </c>
    </row>
    <row r="117" spans="1:27">
      <c r="A117" s="10">
        <v>45910</v>
      </c>
      <c r="B117" s="7">
        <v>99366.372700000007</v>
      </c>
      <c r="C117" s="7">
        <v>0</v>
      </c>
      <c r="D117" s="7">
        <v>0</v>
      </c>
      <c r="E117" s="7">
        <v>0</v>
      </c>
      <c r="F117" s="7">
        <v>99366.372700000007</v>
      </c>
      <c r="G117" s="6">
        <v>0</v>
      </c>
      <c r="H117" s="7">
        <v>102981.9295</v>
      </c>
      <c r="I117" s="7">
        <v>0</v>
      </c>
      <c r="J117" s="7">
        <v>0</v>
      </c>
      <c r="K117" s="7">
        <v>0</v>
      </c>
      <c r="L117" s="7">
        <v>102981.9295</v>
      </c>
      <c r="M117" s="6">
        <v>0</v>
      </c>
      <c r="N117" s="7">
        <v>105273.96099999989</v>
      </c>
      <c r="O117" s="7">
        <v>0</v>
      </c>
      <c r="P117" s="7">
        <v>0</v>
      </c>
      <c r="Q117" s="7">
        <v>0</v>
      </c>
      <c r="R117" s="7">
        <v>105273.96099999989</v>
      </c>
      <c r="S117" s="6">
        <v>0</v>
      </c>
      <c r="T117" s="6">
        <v>2.8906828000000002E-3</v>
      </c>
      <c r="U117" s="7">
        <v>116608.42878190969</v>
      </c>
      <c r="V117" s="7">
        <f>SUMIFS('Trade Log'!$N$7:$N$371,'Trade Log'!$A$7:$A$371,"A",'Trade Log'!$C$7:$C$371,A117)</f>
        <v>0</v>
      </c>
      <c r="W117" s="7">
        <f>SUMIFS('Trade Log'!$N$7:$N$371,'Trade Log'!$A$7:$A$371,"B",'Trade Log'!$C$7:$C$371,A117)</f>
        <v>0</v>
      </c>
      <c r="X117" s="7">
        <f>SUMIFS('Trade Log'!$N$7:$N$371,'Trade Log'!$A$7:$A$371,"C",'Trade Log'!$C$7:$C$371,A117)</f>
        <v>0</v>
      </c>
      <c r="Y117" s="7">
        <f t="shared" si="9"/>
        <v>0</v>
      </c>
      <c r="Z117" s="7">
        <f t="shared" si="10"/>
        <v>0</v>
      </c>
      <c r="AA117" s="7">
        <f t="shared" si="11"/>
        <v>0</v>
      </c>
    </row>
    <row r="118" spans="1:27">
      <c r="A118" s="10">
        <v>45911</v>
      </c>
      <c r="B118" s="7">
        <v>99366.372700000007</v>
      </c>
      <c r="C118" s="7">
        <v>27.089400000000001</v>
      </c>
      <c r="D118" s="7">
        <v>1.359</v>
      </c>
      <c r="E118" s="7">
        <v>25.730399999999999</v>
      </c>
      <c r="F118" s="7">
        <v>99392.103099999993</v>
      </c>
      <c r="G118" s="6">
        <v>2.5894470000000001E-4</v>
      </c>
      <c r="H118" s="7">
        <v>102981.9295</v>
      </c>
      <c r="I118" s="7">
        <v>-135.4282</v>
      </c>
      <c r="J118" s="7">
        <v>5.6520000000000001</v>
      </c>
      <c r="K118" s="7">
        <v>-141.08019999999999</v>
      </c>
      <c r="L118" s="7">
        <v>102840.8493</v>
      </c>
      <c r="M118" s="6">
        <v>-1.3699509999999999E-3</v>
      </c>
      <c r="N118" s="7">
        <v>105273.96099999989</v>
      </c>
      <c r="O118" s="7">
        <v>-452.00240000000002</v>
      </c>
      <c r="P118" s="7">
        <v>18.864000000000001</v>
      </c>
      <c r="Q118" s="7">
        <v>-470.86639999990001</v>
      </c>
      <c r="R118" s="7">
        <v>104803.0946</v>
      </c>
      <c r="S118" s="6">
        <v>-4.4727717999999998E-3</v>
      </c>
      <c r="T118" s="6">
        <v>8.3101862999999995E-3</v>
      </c>
      <c r="U118" s="7">
        <v>117577.4665462347</v>
      </c>
      <c r="V118" s="7">
        <f>SUMIFS('Trade Log'!$N$7:$N$371,'Trade Log'!$A$7:$A$371,"A",'Trade Log'!$C$7:$C$371,A118)</f>
        <v>25.730399999998021</v>
      </c>
      <c r="W118" s="7">
        <f>SUMIFS('Trade Log'!$N$7:$N$371,'Trade Log'!$A$7:$A$371,"B",'Trade Log'!$C$7:$C$371,A118)</f>
        <v>-141.08019999998891</v>
      </c>
      <c r="X118" s="7">
        <f>SUMIFS('Trade Log'!$N$7:$N$371,'Trade Log'!$A$7:$A$371,"C",'Trade Log'!$C$7:$C$371,A118)</f>
        <v>-470.86639999996305</v>
      </c>
      <c r="Y118" s="7">
        <f t="shared" si="9"/>
        <v>-1.978861519091879E-12</v>
      </c>
      <c r="Z118" s="7">
        <f t="shared" si="10"/>
        <v>1.1084466677857563E-11</v>
      </c>
      <c r="AA118" s="7">
        <f t="shared" si="11"/>
        <v>-6.3039351516636088E-11</v>
      </c>
    </row>
    <row r="119" spans="1:27">
      <c r="A119" s="10">
        <v>45912</v>
      </c>
      <c r="B119" s="7">
        <v>99392.103099999993</v>
      </c>
      <c r="C119" s="7">
        <v>0</v>
      </c>
      <c r="D119" s="7">
        <v>0</v>
      </c>
      <c r="E119" s="7">
        <v>0</v>
      </c>
      <c r="F119" s="7">
        <v>99392.103099999993</v>
      </c>
      <c r="G119" s="6">
        <v>0</v>
      </c>
      <c r="H119" s="7">
        <v>102840.8493</v>
      </c>
      <c r="I119" s="7">
        <v>0</v>
      </c>
      <c r="J119" s="7">
        <v>0</v>
      </c>
      <c r="K119" s="7">
        <v>0</v>
      </c>
      <c r="L119" s="7">
        <v>102840.8493</v>
      </c>
      <c r="M119" s="6">
        <v>0</v>
      </c>
      <c r="N119" s="7">
        <v>104803.0946</v>
      </c>
      <c r="O119" s="7">
        <v>0</v>
      </c>
      <c r="P119" s="7">
        <v>0</v>
      </c>
      <c r="Q119" s="7">
        <v>0</v>
      </c>
      <c r="R119" s="7">
        <v>104803.0946</v>
      </c>
      <c r="S119" s="6">
        <v>0</v>
      </c>
      <c r="T119" s="6">
        <v>-3.3439480000000001E-4</v>
      </c>
      <c r="U119" s="7">
        <v>117538.14925082</v>
      </c>
      <c r="V119" s="7">
        <f>SUMIFS('Trade Log'!$N$7:$N$371,'Trade Log'!$A$7:$A$371,"A",'Trade Log'!$C$7:$C$371,A119)</f>
        <v>0</v>
      </c>
      <c r="W119" s="7">
        <f>SUMIFS('Trade Log'!$N$7:$N$371,'Trade Log'!$A$7:$A$371,"B",'Trade Log'!$C$7:$C$371,A119)</f>
        <v>0</v>
      </c>
      <c r="X119" s="7">
        <f>SUMIFS('Trade Log'!$N$7:$N$371,'Trade Log'!$A$7:$A$371,"C",'Trade Log'!$C$7:$C$371,A119)</f>
        <v>0</v>
      </c>
      <c r="Y119" s="7">
        <f t="shared" si="9"/>
        <v>0</v>
      </c>
      <c r="Z119" s="7">
        <f t="shared" si="10"/>
        <v>0</v>
      </c>
      <c r="AA119" s="7">
        <f t="shared" si="11"/>
        <v>0</v>
      </c>
    </row>
    <row r="120" spans="1:27">
      <c r="A120" s="10">
        <v>45915</v>
      </c>
      <c r="B120" s="7">
        <v>99392.103099999993</v>
      </c>
      <c r="C120" s="7">
        <v>0</v>
      </c>
      <c r="D120" s="7">
        <v>0</v>
      </c>
      <c r="E120" s="7">
        <v>0</v>
      </c>
      <c r="F120" s="7">
        <v>99392.103099999993</v>
      </c>
      <c r="G120" s="6">
        <v>0</v>
      </c>
      <c r="H120" s="7">
        <v>102840.8493</v>
      </c>
      <c r="I120" s="7">
        <v>0</v>
      </c>
      <c r="J120" s="7">
        <v>0</v>
      </c>
      <c r="K120" s="7">
        <v>0</v>
      </c>
      <c r="L120" s="7">
        <v>102840.8493</v>
      </c>
      <c r="M120" s="6">
        <v>0</v>
      </c>
      <c r="N120" s="7">
        <v>104803.0946</v>
      </c>
      <c r="O120" s="7">
        <v>0</v>
      </c>
      <c r="P120" s="7">
        <v>0</v>
      </c>
      <c r="Q120" s="7">
        <v>0</v>
      </c>
      <c r="R120" s="7">
        <v>104803.0946</v>
      </c>
      <c r="S120" s="6">
        <v>0</v>
      </c>
      <c r="T120" s="6">
        <v>5.3238879999999997E-3</v>
      </c>
      <c r="U120" s="7">
        <v>118163.9091969482</v>
      </c>
      <c r="V120" s="7">
        <f>SUMIFS('Trade Log'!$N$7:$N$371,'Trade Log'!$A$7:$A$371,"A",'Trade Log'!$C$7:$C$371,A120)</f>
        <v>0</v>
      </c>
      <c r="W120" s="7">
        <f>SUMIFS('Trade Log'!$N$7:$N$371,'Trade Log'!$A$7:$A$371,"B",'Trade Log'!$C$7:$C$371,A120)</f>
        <v>0</v>
      </c>
      <c r="X120" s="7">
        <f>SUMIFS('Trade Log'!$N$7:$N$371,'Trade Log'!$A$7:$A$371,"C",'Trade Log'!$C$7:$C$371,A120)</f>
        <v>0</v>
      </c>
      <c r="Y120" s="7">
        <f t="shared" si="9"/>
        <v>0</v>
      </c>
      <c r="Z120" s="7">
        <f t="shared" si="10"/>
        <v>0</v>
      </c>
      <c r="AA120" s="7">
        <f t="shared" si="11"/>
        <v>0</v>
      </c>
    </row>
    <row r="121" spans="1:27">
      <c r="A121" s="10">
        <v>45916</v>
      </c>
      <c r="B121" s="7">
        <v>99392.103099999993</v>
      </c>
      <c r="C121" s="7">
        <v>0</v>
      </c>
      <c r="D121" s="7">
        <v>0</v>
      </c>
      <c r="E121" s="7">
        <v>0</v>
      </c>
      <c r="F121" s="7">
        <v>99392.103099999993</v>
      </c>
      <c r="G121" s="6">
        <v>0</v>
      </c>
      <c r="H121" s="7">
        <v>102840.8493</v>
      </c>
      <c r="I121" s="7">
        <v>0</v>
      </c>
      <c r="J121" s="7">
        <v>0</v>
      </c>
      <c r="K121" s="7">
        <v>0</v>
      </c>
      <c r="L121" s="7">
        <v>102840.8493</v>
      </c>
      <c r="M121" s="6">
        <v>0</v>
      </c>
      <c r="N121" s="7">
        <v>104803.0946</v>
      </c>
      <c r="O121" s="7">
        <v>0</v>
      </c>
      <c r="P121" s="7">
        <v>0</v>
      </c>
      <c r="Q121" s="7">
        <v>0</v>
      </c>
      <c r="R121" s="7">
        <v>104803.0946</v>
      </c>
      <c r="S121" s="6">
        <v>0</v>
      </c>
      <c r="T121" s="6">
        <v>-1.3769139000000001E-3</v>
      </c>
      <c r="U121" s="7">
        <v>118001.2076666754</v>
      </c>
      <c r="V121" s="7">
        <f>SUMIFS('Trade Log'!$N$7:$N$371,'Trade Log'!$A$7:$A$371,"A",'Trade Log'!$C$7:$C$371,A121)</f>
        <v>0</v>
      </c>
      <c r="W121" s="7">
        <f>SUMIFS('Trade Log'!$N$7:$N$371,'Trade Log'!$A$7:$A$371,"B",'Trade Log'!$C$7:$C$371,A121)</f>
        <v>0</v>
      </c>
      <c r="X121" s="7">
        <f>SUMIFS('Trade Log'!$N$7:$N$371,'Trade Log'!$A$7:$A$371,"C",'Trade Log'!$C$7:$C$371,A121)</f>
        <v>0</v>
      </c>
      <c r="Y121" s="7">
        <f t="shared" si="9"/>
        <v>0</v>
      </c>
      <c r="Z121" s="7">
        <f t="shared" si="10"/>
        <v>0</v>
      </c>
      <c r="AA121" s="7">
        <f t="shared" si="11"/>
        <v>0</v>
      </c>
    </row>
    <row r="122" spans="1:27">
      <c r="A122" s="10">
        <v>45917</v>
      </c>
      <c r="B122" s="7">
        <v>99392.103099999993</v>
      </c>
      <c r="C122" s="7">
        <v>-1.4948999999999999</v>
      </c>
      <c r="D122" s="7">
        <v>1.359</v>
      </c>
      <c r="E122" s="7">
        <v>-2.8538999999999999</v>
      </c>
      <c r="F122" s="7">
        <v>99389.249200000006</v>
      </c>
      <c r="G122" s="6">
        <v>-2.8713499999999999E-5</v>
      </c>
      <c r="H122" s="7">
        <v>102840.8493</v>
      </c>
      <c r="I122" s="7">
        <v>-452.99279999999999</v>
      </c>
      <c r="J122" s="7">
        <v>4.2119999999999997</v>
      </c>
      <c r="K122" s="7">
        <v>-457.20479999999998</v>
      </c>
      <c r="L122" s="7">
        <v>102383.64449999999</v>
      </c>
      <c r="M122" s="6">
        <v>-4.4457508999999999E-3</v>
      </c>
      <c r="N122" s="7">
        <v>104803.0946</v>
      </c>
      <c r="O122" s="7">
        <v>-1849.7206000000001</v>
      </c>
      <c r="P122" s="7">
        <v>17.199000000000002</v>
      </c>
      <c r="Q122" s="7">
        <v>-1866.9195999999999</v>
      </c>
      <c r="R122" s="7">
        <v>102936.1749999999</v>
      </c>
      <c r="S122" s="6">
        <v>-1.78135923E-2</v>
      </c>
      <c r="T122" s="6">
        <v>-1.2423746000000001E-3</v>
      </c>
      <c r="U122" s="7">
        <v>117854.6059682686</v>
      </c>
      <c r="V122" s="7">
        <f>SUMIFS('Trade Log'!$N$7:$N$371,'Trade Log'!$A$7:$A$371,"A",'Trade Log'!$C$7:$C$371,A122)</f>
        <v>-2.8539000000024171</v>
      </c>
      <c r="W122" s="7">
        <f>SUMIFS('Trade Log'!$N$7:$N$371,'Trade Log'!$A$7:$A$371,"B",'Trade Log'!$C$7:$C$371,A122)</f>
        <v>-457.20480000000725</v>
      </c>
      <c r="X122" s="7">
        <f>SUMIFS('Trade Log'!$N$7:$N$371,'Trade Log'!$A$7:$A$371,"C",'Trade Log'!$C$7:$C$371,A122)</f>
        <v>-1866.9196000000297</v>
      </c>
      <c r="Y122" s="7">
        <f t="shared" si="9"/>
        <v>-2.4171775692138908E-12</v>
      </c>
      <c r="Z122" s="7">
        <f t="shared" si="10"/>
        <v>-7.2759576141834259E-12</v>
      </c>
      <c r="AA122" s="7">
        <f t="shared" si="11"/>
        <v>-2.97859514830634E-11</v>
      </c>
    </row>
    <row r="123" spans="1:27">
      <c r="A123" s="10">
        <v>45918</v>
      </c>
      <c r="B123" s="7">
        <v>99389.249200000006</v>
      </c>
      <c r="C123" s="7">
        <v>-333.57</v>
      </c>
      <c r="D123" s="7">
        <v>1.35</v>
      </c>
      <c r="E123" s="7">
        <v>-334.92</v>
      </c>
      <c r="F123" s="7">
        <v>99054.329199999993</v>
      </c>
      <c r="G123" s="6">
        <v>-3.3697810000000001E-3</v>
      </c>
      <c r="H123" s="7">
        <v>102383.64449999999</v>
      </c>
      <c r="I123" s="7">
        <v>-420.42200000000003</v>
      </c>
      <c r="J123" s="7">
        <v>4.1849999999999996</v>
      </c>
      <c r="K123" s="7">
        <v>-424.60700000000003</v>
      </c>
      <c r="L123" s="7">
        <v>101959.03750000001</v>
      </c>
      <c r="M123" s="6">
        <v>-4.1472150999999997E-3</v>
      </c>
      <c r="N123" s="7">
        <v>102936.1749999999</v>
      </c>
      <c r="O123" s="7">
        <v>-1689.8251999999</v>
      </c>
      <c r="P123" s="7">
        <v>16.821000000000002</v>
      </c>
      <c r="Q123" s="7">
        <v>-1706.6461999999001</v>
      </c>
      <c r="R123" s="7">
        <v>101229.5288</v>
      </c>
      <c r="S123" s="6">
        <v>-1.65796543E-2</v>
      </c>
      <c r="T123" s="6">
        <v>4.6723440999999998E-3</v>
      </c>
      <c r="U123" s="7">
        <v>118405.26324659379</v>
      </c>
      <c r="V123" s="7">
        <f>SUMIFS('Trade Log'!$N$7:$N$371,'Trade Log'!$A$7:$A$371,"A",'Trade Log'!$C$7:$C$371,A123)</f>
        <v>-334.91999999999746</v>
      </c>
      <c r="W123" s="7">
        <f>SUMIFS('Trade Log'!$N$7:$N$371,'Trade Log'!$A$7:$A$371,"B",'Trade Log'!$C$7:$C$371,A123)</f>
        <v>-424.60699999998269</v>
      </c>
      <c r="X123" s="7">
        <f>SUMIFS('Trade Log'!$N$7:$N$371,'Trade Log'!$A$7:$A$371,"C",'Trade Log'!$C$7:$C$371,A123)</f>
        <v>-1706.6461999999308</v>
      </c>
      <c r="Y123" s="7">
        <f t="shared" si="9"/>
        <v>2.5579538487363607E-12</v>
      </c>
      <c r="Z123" s="7">
        <f t="shared" si="10"/>
        <v>1.7337242752546445E-11</v>
      </c>
      <c r="AA123" s="7">
        <f t="shared" si="11"/>
        <v>-3.0695446184836328E-11</v>
      </c>
    </row>
    <row r="124" spans="1:27">
      <c r="A124" s="10">
        <v>45919</v>
      </c>
      <c r="B124" s="7">
        <v>99054.329199999993</v>
      </c>
      <c r="C124" s="7">
        <v>-22.35</v>
      </c>
      <c r="D124" s="7">
        <v>1.341</v>
      </c>
      <c r="E124" s="7">
        <v>-23.690999999999999</v>
      </c>
      <c r="F124" s="7">
        <v>99030.638200000001</v>
      </c>
      <c r="G124" s="6">
        <v>-2.3917179999999999E-4</v>
      </c>
      <c r="H124" s="7">
        <v>101959.03750000001</v>
      </c>
      <c r="I124" s="7">
        <v>-22.95</v>
      </c>
      <c r="J124" s="7">
        <v>1.377</v>
      </c>
      <c r="K124" s="7">
        <v>-24.327000000000002</v>
      </c>
      <c r="L124" s="7">
        <v>101934.7105</v>
      </c>
      <c r="M124" s="6">
        <v>-2.385958E-4</v>
      </c>
      <c r="N124" s="7">
        <v>101229.5288</v>
      </c>
      <c r="O124" s="7">
        <v>-91.65</v>
      </c>
      <c r="P124" s="7">
        <v>5.4989999999999997</v>
      </c>
      <c r="Q124" s="7">
        <v>-97.149000000000001</v>
      </c>
      <c r="R124" s="7">
        <v>101132.3798</v>
      </c>
      <c r="S124" s="6">
        <v>-9.5969030000000002E-4</v>
      </c>
      <c r="T124" s="6">
        <v>4.9531456000000001E-3</v>
      </c>
      <c r="U124" s="7">
        <v>118991.741754394</v>
      </c>
      <c r="V124" s="7">
        <f>SUMIFS('Trade Log'!$N$7:$N$371,'Trade Log'!$A$7:$A$371,"A",'Trade Log'!$C$7:$C$371,A124)</f>
        <v>-23.690999999996613</v>
      </c>
      <c r="W124" s="7">
        <f>SUMIFS('Trade Log'!$N$7:$N$371,'Trade Log'!$A$7:$A$371,"B",'Trade Log'!$C$7:$C$371,A124)</f>
        <v>-24.32699999999652</v>
      </c>
      <c r="X124" s="7">
        <f>SUMIFS('Trade Log'!$N$7:$N$371,'Trade Log'!$A$7:$A$371,"C",'Trade Log'!$C$7:$C$371,A124)</f>
        <v>-97.148999999986103</v>
      </c>
      <c r="Y124" s="7">
        <f t="shared" si="9"/>
        <v>3.3857361358968774E-12</v>
      </c>
      <c r="Z124" s="7">
        <f t="shared" si="10"/>
        <v>3.4816594052244909E-12</v>
      </c>
      <c r="AA124" s="7">
        <f t="shared" si="11"/>
        <v>1.389821591146756E-11</v>
      </c>
    </row>
    <row r="125" spans="1:27">
      <c r="A125" s="10">
        <v>45922</v>
      </c>
      <c r="B125" s="7">
        <v>99030.638200000001</v>
      </c>
      <c r="C125" s="7">
        <v>280.12</v>
      </c>
      <c r="D125" s="7">
        <v>1.341</v>
      </c>
      <c r="E125" s="7">
        <v>278.779</v>
      </c>
      <c r="F125" s="7">
        <v>99309.417199999996</v>
      </c>
      <c r="G125" s="6">
        <v>2.8150783E-3</v>
      </c>
      <c r="H125" s="7">
        <v>101934.7105</v>
      </c>
      <c r="I125" s="7">
        <v>146.11500000000001</v>
      </c>
      <c r="J125" s="7">
        <v>2.754</v>
      </c>
      <c r="K125" s="7">
        <v>143.36099999999999</v>
      </c>
      <c r="L125" s="7">
        <v>102078.07150000001</v>
      </c>
      <c r="M125" s="6">
        <v>1.4064002E-3</v>
      </c>
      <c r="N125" s="7">
        <v>101132.3798</v>
      </c>
      <c r="O125" s="7">
        <v>581.59500000000003</v>
      </c>
      <c r="P125" s="7">
        <v>10.962</v>
      </c>
      <c r="Q125" s="7">
        <v>570.63300000000004</v>
      </c>
      <c r="R125" s="7">
        <v>101703.0128</v>
      </c>
      <c r="S125" s="6">
        <v>5.6424361999999999E-3</v>
      </c>
      <c r="T125" s="6">
        <v>4.7310531999999999E-3</v>
      </c>
      <c r="U125" s="7">
        <v>119554.6980134098</v>
      </c>
      <c r="V125" s="7">
        <f>SUMIFS('Trade Log'!$N$7:$N$371,'Trade Log'!$A$7:$A$371,"A",'Trade Log'!$C$7:$C$371,A125)</f>
        <v>278.77899999999931</v>
      </c>
      <c r="W125" s="7">
        <f>SUMIFS('Trade Log'!$N$7:$N$371,'Trade Log'!$A$7:$A$371,"B",'Trade Log'!$C$7:$C$371,A125)</f>
        <v>143.36099999998885</v>
      </c>
      <c r="X125" s="7">
        <f>SUMIFS('Trade Log'!$N$7:$N$371,'Trade Log'!$A$7:$A$371,"C",'Trade Log'!$C$7:$C$371,A125)</f>
        <v>570.6329999999557</v>
      </c>
      <c r="Y125" s="7">
        <f t="shared" si="9"/>
        <v>-6.8212102632969618E-13</v>
      </c>
      <c r="Z125" s="7">
        <f t="shared" si="10"/>
        <v>-1.1141310096718371E-11</v>
      </c>
      <c r="AA125" s="7">
        <f t="shared" si="11"/>
        <v>-4.4337866711430252E-11</v>
      </c>
    </row>
    <row r="126" spans="1:27">
      <c r="A126" s="10">
        <v>45923</v>
      </c>
      <c r="B126" s="7">
        <v>99309.417199999996</v>
      </c>
      <c r="C126" s="7">
        <v>349.3836</v>
      </c>
      <c r="D126" s="7">
        <v>1.3320000000000001</v>
      </c>
      <c r="E126" s="7">
        <v>348.05160000000001</v>
      </c>
      <c r="F126" s="7">
        <v>99657.468800000002</v>
      </c>
      <c r="G126" s="6">
        <v>3.5047189999999999E-3</v>
      </c>
      <c r="H126" s="7">
        <v>102078.07150000001</v>
      </c>
      <c r="I126" s="7">
        <v>361.18709999999999</v>
      </c>
      <c r="J126" s="7">
        <v>1.377</v>
      </c>
      <c r="K126" s="7">
        <v>359.81009999999998</v>
      </c>
      <c r="L126" s="7">
        <v>102437.88159999991</v>
      </c>
      <c r="M126" s="6">
        <v>3.5248520999999998E-3</v>
      </c>
      <c r="N126" s="7">
        <v>101703.0128</v>
      </c>
      <c r="O126" s="7">
        <v>1440.027</v>
      </c>
      <c r="P126" s="7">
        <v>5.49</v>
      </c>
      <c r="Q126" s="7">
        <v>1434.537</v>
      </c>
      <c r="R126" s="7">
        <v>103137.54979999999</v>
      </c>
      <c r="S126" s="6">
        <v>1.41051574E-2</v>
      </c>
      <c r="T126" s="6">
        <v>-5.4435847000000002E-3</v>
      </c>
      <c r="U126" s="7">
        <v>118903.89189231829</v>
      </c>
      <c r="V126" s="7">
        <f>SUMIFS('Trade Log'!$N$7:$N$371,'Trade Log'!$A$7:$A$371,"A",'Trade Log'!$C$7:$C$371,A126)</f>
        <v>348.05159999999285</v>
      </c>
      <c r="W126" s="7">
        <f>SUMIFS('Trade Log'!$N$7:$N$371,'Trade Log'!$A$7:$A$371,"B",'Trade Log'!$C$7:$C$371,A126)</f>
        <v>359.81009999999259</v>
      </c>
      <c r="X126" s="7">
        <f>SUMIFS('Trade Log'!$N$7:$N$371,'Trade Log'!$A$7:$A$371,"C",'Trade Log'!$C$7:$C$371,A126)</f>
        <v>1434.5369999999705</v>
      </c>
      <c r="Y126" s="7">
        <f t="shared" si="9"/>
        <v>-7.1622707764618099E-12</v>
      </c>
      <c r="Z126" s="7">
        <f t="shared" si="10"/>
        <v>-7.3896444519050419E-12</v>
      </c>
      <c r="AA126" s="7">
        <f t="shared" si="11"/>
        <v>-2.9558577807620168E-11</v>
      </c>
    </row>
    <row r="127" spans="1:27">
      <c r="A127" s="10">
        <v>45924</v>
      </c>
      <c r="B127" s="7">
        <v>99657.468800000002</v>
      </c>
      <c r="C127" s="7">
        <v>-108</v>
      </c>
      <c r="D127" s="7">
        <v>1.35</v>
      </c>
      <c r="E127" s="7">
        <v>-109.35</v>
      </c>
      <c r="F127" s="7">
        <v>99548.118799999997</v>
      </c>
      <c r="G127" s="6">
        <v>-1.0972585E-3</v>
      </c>
      <c r="H127" s="7">
        <v>102437.88159999991</v>
      </c>
      <c r="I127" s="7">
        <v>-158.62</v>
      </c>
      <c r="J127" s="7">
        <v>2.7719999999999998</v>
      </c>
      <c r="K127" s="7">
        <v>-161.392</v>
      </c>
      <c r="L127" s="7">
        <v>102276.4895999999</v>
      </c>
      <c r="M127" s="6">
        <v>-1.5755109000000001E-3</v>
      </c>
      <c r="N127" s="7">
        <v>103137.54979999999</v>
      </c>
      <c r="O127" s="7">
        <v>-640.66</v>
      </c>
      <c r="P127" s="7">
        <v>11.196</v>
      </c>
      <c r="Q127" s="7">
        <v>-651.85599999999999</v>
      </c>
      <c r="R127" s="7">
        <v>102485.69379999999</v>
      </c>
      <c r="S127" s="6">
        <v>-6.3202587000000003E-3</v>
      </c>
      <c r="T127" s="6">
        <v>-3.1814960999999998E-3</v>
      </c>
      <c r="U127" s="7">
        <v>118525.5996290943</v>
      </c>
      <c r="V127" s="7">
        <f>SUMIFS('Trade Log'!$N$7:$N$371,'Trade Log'!$A$7:$A$371,"A",'Trade Log'!$C$7:$C$371,A127)</f>
        <v>-109.35000000000409</v>
      </c>
      <c r="W127" s="7">
        <f>SUMIFS('Trade Log'!$N$7:$N$371,'Trade Log'!$A$7:$A$371,"B",'Trade Log'!$C$7:$C$371,A127)</f>
        <v>-161.39199999999579</v>
      </c>
      <c r="X127" s="7">
        <f>SUMIFS('Trade Log'!$N$7:$N$371,'Trade Log'!$A$7:$A$371,"C",'Trade Log'!$C$7:$C$371,A127)</f>
        <v>-651.85599999998306</v>
      </c>
      <c r="Y127" s="7">
        <f t="shared" si="9"/>
        <v>-4.0927261579781771E-12</v>
      </c>
      <c r="Z127" s="7">
        <f t="shared" si="10"/>
        <v>4.2064129956997931E-12</v>
      </c>
      <c r="AA127" s="7">
        <f t="shared" si="11"/>
        <v>1.6939338820520788E-11</v>
      </c>
    </row>
    <row r="128" spans="1:27">
      <c r="A128" s="10">
        <v>45925</v>
      </c>
      <c r="B128" s="7">
        <v>99548.118799999997</v>
      </c>
      <c r="C128" s="7">
        <v>0</v>
      </c>
      <c r="D128" s="7">
        <v>0</v>
      </c>
      <c r="E128" s="7">
        <v>0</v>
      </c>
      <c r="F128" s="7">
        <v>99548.118799999997</v>
      </c>
      <c r="G128" s="6">
        <v>0</v>
      </c>
      <c r="H128" s="7">
        <v>102276.4895999999</v>
      </c>
      <c r="I128" s="7">
        <v>0</v>
      </c>
      <c r="J128" s="7">
        <v>0</v>
      </c>
      <c r="K128" s="7">
        <v>0</v>
      </c>
      <c r="L128" s="7">
        <v>102276.4895999999</v>
      </c>
      <c r="M128" s="6">
        <v>0</v>
      </c>
      <c r="N128" s="7">
        <v>102485.69379999999</v>
      </c>
      <c r="O128" s="7">
        <v>0</v>
      </c>
      <c r="P128" s="7">
        <v>0</v>
      </c>
      <c r="Q128" s="7">
        <v>0</v>
      </c>
      <c r="R128" s="7">
        <v>102485.69379999999</v>
      </c>
      <c r="S128" s="6">
        <v>0</v>
      </c>
      <c r="T128" s="6">
        <v>-4.6135229E-3</v>
      </c>
      <c r="U128" s="7">
        <v>117978.77905903121</v>
      </c>
      <c r="V128" s="7">
        <f>SUMIFS('Trade Log'!$N$7:$N$371,'Trade Log'!$A$7:$A$371,"A",'Trade Log'!$C$7:$C$371,A128)</f>
        <v>0</v>
      </c>
      <c r="W128" s="7">
        <f>SUMIFS('Trade Log'!$N$7:$N$371,'Trade Log'!$A$7:$A$371,"B",'Trade Log'!$C$7:$C$371,A128)</f>
        <v>0</v>
      </c>
      <c r="X128" s="7">
        <f>SUMIFS('Trade Log'!$N$7:$N$371,'Trade Log'!$A$7:$A$371,"C",'Trade Log'!$C$7:$C$371,A128)</f>
        <v>0</v>
      </c>
      <c r="Y128" s="7">
        <f t="shared" si="9"/>
        <v>0</v>
      </c>
      <c r="Z128" s="7">
        <f t="shared" si="10"/>
        <v>0</v>
      </c>
      <c r="AA128" s="7">
        <f t="shared" si="11"/>
        <v>0</v>
      </c>
    </row>
    <row r="129" spans="1:27">
      <c r="A129" s="10">
        <v>45926</v>
      </c>
      <c r="B129" s="7">
        <v>99548.118799999997</v>
      </c>
      <c r="C129" s="7">
        <v>0</v>
      </c>
      <c r="D129" s="7">
        <v>0</v>
      </c>
      <c r="E129" s="7">
        <v>0</v>
      </c>
      <c r="F129" s="7">
        <v>99548.118799999997</v>
      </c>
      <c r="G129" s="6">
        <v>0</v>
      </c>
      <c r="H129" s="7">
        <v>102276.4895999999</v>
      </c>
      <c r="I129" s="7">
        <v>0</v>
      </c>
      <c r="J129" s="7">
        <v>0</v>
      </c>
      <c r="K129" s="7">
        <v>0</v>
      </c>
      <c r="L129" s="7">
        <v>102276.4895999999</v>
      </c>
      <c r="M129" s="6">
        <v>0</v>
      </c>
      <c r="N129" s="7">
        <v>102485.69379999999</v>
      </c>
      <c r="O129" s="7">
        <v>0</v>
      </c>
      <c r="P129" s="7">
        <v>0</v>
      </c>
      <c r="Q129" s="7">
        <v>0</v>
      </c>
      <c r="R129" s="7">
        <v>102485.69379999999</v>
      </c>
      <c r="S129" s="6">
        <v>0</v>
      </c>
      <c r="T129" s="6">
        <v>5.7290479E-3</v>
      </c>
      <c r="U129" s="7">
        <v>118654.6851407158</v>
      </c>
      <c r="V129" s="7">
        <f>SUMIFS('Trade Log'!$N$7:$N$371,'Trade Log'!$A$7:$A$371,"A",'Trade Log'!$C$7:$C$371,A129)</f>
        <v>0</v>
      </c>
      <c r="W129" s="7">
        <f>SUMIFS('Trade Log'!$N$7:$N$371,'Trade Log'!$A$7:$A$371,"B",'Trade Log'!$C$7:$C$371,A129)</f>
        <v>0</v>
      </c>
      <c r="X129" s="7">
        <f>SUMIFS('Trade Log'!$N$7:$N$371,'Trade Log'!$A$7:$A$371,"C",'Trade Log'!$C$7:$C$371,A129)</f>
        <v>0</v>
      </c>
      <c r="Y129" s="7">
        <f t="shared" si="9"/>
        <v>0</v>
      </c>
      <c r="Z129" s="7">
        <f t="shared" si="10"/>
        <v>0</v>
      </c>
      <c r="AA129" s="7">
        <f t="shared" si="11"/>
        <v>0</v>
      </c>
    </row>
    <row r="130" spans="1:27">
      <c r="A130" s="10">
        <v>45929</v>
      </c>
      <c r="B130" s="7">
        <v>99548.118799999997</v>
      </c>
      <c r="C130" s="7">
        <v>0</v>
      </c>
      <c r="D130" s="7">
        <v>0</v>
      </c>
      <c r="E130" s="7">
        <v>0</v>
      </c>
      <c r="F130" s="7">
        <v>99548.118799999997</v>
      </c>
      <c r="G130" s="6">
        <v>0</v>
      </c>
      <c r="H130" s="7">
        <v>102276.4895999999</v>
      </c>
      <c r="I130" s="7">
        <v>0</v>
      </c>
      <c r="J130" s="7">
        <v>0</v>
      </c>
      <c r="K130" s="7">
        <v>0</v>
      </c>
      <c r="L130" s="7">
        <v>102276.4895999999</v>
      </c>
      <c r="M130" s="6">
        <v>0</v>
      </c>
      <c r="N130" s="7">
        <v>102485.69379999999</v>
      </c>
      <c r="O130" s="7">
        <v>0</v>
      </c>
      <c r="P130" s="7">
        <v>0</v>
      </c>
      <c r="Q130" s="7">
        <v>0</v>
      </c>
      <c r="R130" s="7">
        <v>102485.69379999999</v>
      </c>
      <c r="S130" s="6">
        <v>0</v>
      </c>
      <c r="T130" s="6">
        <v>2.8104317999999998E-3</v>
      </c>
      <c r="U130" s="7">
        <v>118988.15604573779</v>
      </c>
      <c r="V130" s="7">
        <f>SUMIFS('Trade Log'!$N$7:$N$371,'Trade Log'!$A$7:$A$371,"A",'Trade Log'!$C$7:$C$371,A130)</f>
        <v>0</v>
      </c>
      <c r="W130" s="7">
        <f>SUMIFS('Trade Log'!$N$7:$N$371,'Trade Log'!$A$7:$A$371,"B",'Trade Log'!$C$7:$C$371,A130)</f>
        <v>0</v>
      </c>
      <c r="X130" s="7">
        <f>SUMIFS('Trade Log'!$N$7:$N$371,'Trade Log'!$A$7:$A$371,"C",'Trade Log'!$C$7:$C$371,A130)</f>
        <v>0</v>
      </c>
      <c r="Y130" s="7">
        <f t="shared" si="9"/>
        <v>0</v>
      </c>
      <c r="Z130" s="7">
        <f t="shared" si="10"/>
        <v>0</v>
      </c>
      <c r="AA130" s="7">
        <f t="shared" si="11"/>
        <v>0</v>
      </c>
    </row>
    <row r="131" spans="1:27">
      <c r="A131" s="10">
        <v>45930</v>
      </c>
      <c r="B131" s="7">
        <v>99548.118799999997</v>
      </c>
      <c r="C131" s="7">
        <v>116.25</v>
      </c>
      <c r="D131" s="7">
        <v>1.35</v>
      </c>
      <c r="E131" s="7">
        <v>114.9</v>
      </c>
      <c r="F131" s="7">
        <v>99663.018800000005</v>
      </c>
      <c r="G131" s="6">
        <v>1.1542156999999999E-3</v>
      </c>
      <c r="H131" s="7">
        <v>102276.4895999999</v>
      </c>
      <c r="I131" s="7">
        <v>119.35</v>
      </c>
      <c r="J131" s="7">
        <v>1.3859999999999999</v>
      </c>
      <c r="K131" s="7">
        <v>117.964</v>
      </c>
      <c r="L131" s="7">
        <v>102394.45359999991</v>
      </c>
      <c r="M131" s="6">
        <v>1.1533832999999999E-3</v>
      </c>
      <c r="N131" s="7">
        <v>102485.69379999999</v>
      </c>
      <c r="O131" s="7">
        <v>478.95</v>
      </c>
      <c r="P131" s="7">
        <v>5.5620000000000003</v>
      </c>
      <c r="Q131" s="7">
        <v>473.38799999999998</v>
      </c>
      <c r="R131" s="7">
        <v>102959.0818</v>
      </c>
      <c r="S131" s="6">
        <v>4.6190642000000001E-3</v>
      </c>
      <c r="T131" s="6">
        <v>3.7668756E-3</v>
      </c>
      <c r="U131" s="7">
        <v>119436.36962775679</v>
      </c>
      <c r="V131" s="7">
        <f>SUMIFS('Trade Log'!$N$7:$N$371,'Trade Log'!$A$7:$A$371,"A",'Trade Log'!$C$7:$C$371,A131)</f>
        <v>114.8999999999966</v>
      </c>
      <c r="W131" s="7">
        <f>SUMIFS('Trade Log'!$N$7:$N$371,'Trade Log'!$A$7:$A$371,"B",'Trade Log'!$C$7:$C$371,A131)</f>
        <v>117.9639999999965</v>
      </c>
      <c r="X131" s="7">
        <f>SUMIFS('Trade Log'!$N$7:$N$371,'Trade Log'!$A$7:$A$371,"C",'Trade Log'!$C$7:$C$371,A131)</f>
        <v>473.38799999998594</v>
      </c>
      <c r="Y131" s="7">
        <f t="shared" si="9"/>
        <v>-3.4106051316484809E-12</v>
      </c>
      <c r="Z131" s="7">
        <f t="shared" si="10"/>
        <v>-3.4958702599396929E-12</v>
      </c>
      <c r="AA131" s="7">
        <f t="shared" si="11"/>
        <v>-1.404032445861958E-11</v>
      </c>
    </row>
    <row r="132" spans="1:27">
      <c r="A132" s="10">
        <v>45931</v>
      </c>
      <c r="B132" s="7">
        <v>99663.018800000005</v>
      </c>
      <c r="C132" s="7">
        <v>67.694999999999993</v>
      </c>
      <c r="D132" s="7">
        <v>1.35</v>
      </c>
      <c r="E132" s="7">
        <v>66.344999999999999</v>
      </c>
      <c r="F132" s="7">
        <v>99729.363800000006</v>
      </c>
      <c r="G132" s="6">
        <v>6.6569329999999996E-4</v>
      </c>
      <c r="H132" s="7">
        <v>102394.45359999991</v>
      </c>
      <c r="I132" s="7">
        <v>69.500200000000007</v>
      </c>
      <c r="J132" s="7">
        <v>1.3859999999999999</v>
      </c>
      <c r="K132" s="7">
        <v>68.114199999999997</v>
      </c>
      <c r="L132" s="7">
        <v>102462.5678</v>
      </c>
      <c r="M132" s="6">
        <v>6.6521379999999995E-4</v>
      </c>
      <c r="N132" s="7">
        <v>102959.0818</v>
      </c>
      <c r="O132" s="7">
        <v>279.80599999999998</v>
      </c>
      <c r="P132" s="7">
        <v>5.58</v>
      </c>
      <c r="Q132" s="7">
        <v>274.226</v>
      </c>
      <c r="R132" s="7">
        <v>103233.3078</v>
      </c>
      <c r="S132" s="6">
        <v>2.6634464E-3</v>
      </c>
      <c r="T132" s="6">
        <v>3.4074875E-3</v>
      </c>
      <c r="U132" s="7">
        <v>119843.34756023</v>
      </c>
      <c r="V132" s="7">
        <f>SUMIFS('Trade Log'!$N$7:$N$371,'Trade Log'!$A$7:$A$371,"A",'Trade Log'!$C$7:$C$371,A132)</f>
        <v>66.345000000009037</v>
      </c>
      <c r="W132" s="7">
        <f>SUMIFS('Trade Log'!$N$7:$N$371,'Trade Log'!$A$7:$A$371,"B",'Trade Log'!$C$7:$C$371,A132)</f>
        <v>68.114200000009276</v>
      </c>
      <c r="X132" s="7">
        <f>SUMIFS('Trade Log'!$N$7:$N$371,'Trade Log'!$A$7:$A$371,"C",'Trade Log'!$C$7:$C$371,A132)</f>
        <v>274.22600000003735</v>
      </c>
      <c r="Y132" s="7">
        <f t="shared" si="9"/>
        <v>9.0381035988684744E-12</v>
      </c>
      <c r="Z132" s="7">
        <f t="shared" si="10"/>
        <v>9.2796881290269084E-12</v>
      </c>
      <c r="AA132" s="7">
        <f t="shared" si="11"/>
        <v>3.7346126191550866E-11</v>
      </c>
    </row>
    <row r="133" spans="1:27">
      <c r="A133" s="10">
        <v>45932</v>
      </c>
      <c r="B133" s="7">
        <v>99729.363800000006</v>
      </c>
      <c r="C133" s="7">
        <v>0</v>
      </c>
      <c r="D133" s="7">
        <v>0</v>
      </c>
      <c r="E133" s="7">
        <v>0</v>
      </c>
      <c r="F133" s="7">
        <v>99729.363800000006</v>
      </c>
      <c r="G133" s="6">
        <v>0</v>
      </c>
      <c r="H133" s="7">
        <v>102462.5678</v>
      </c>
      <c r="I133" s="7">
        <v>0</v>
      </c>
      <c r="J133" s="7">
        <v>0</v>
      </c>
      <c r="K133" s="7">
        <v>0</v>
      </c>
      <c r="L133" s="7">
        <v>102462.5678</v>
      </c>
      <c r="M133" s="6">
        <v>0</v>
      </c>
      <c r="N133" s="7">
        <v>103233.3078</v>
      </c>
      <c r="O133" s="7">
        <v>0</v>
      </c>
      <c r="P133" s="7">
        <v>0</v>
      </c>
      <c r="Q133" s="7">
        <v>0</v>
      </c>
      <c r="R133" s="7">
        <v>103233.3078</v>
      </c>
      <c r="S133" s="6">
        <v>0</v>
      </c>
      <c r="T133" s="6">
        <v>1.1519186E-3</v>
      </c>
      <c r="U133" s="7">
        <v>119981.3973434919</v>
      </c>
      <c r="V133" s="7">
        <f>SUMIFS('Trade Log'!$N$7:$N$371,'Trade Log'!$A$7:$A$371,"A",'Trade Log'!$C$7:$C$371,A133)</f>
        <v>0</v>
      </c>
      <c r="W133" s="7">
        <f>SUMIFS('Trade Log'!$N$7:$N$371,'Trade Log'!$A$7:$A$371,"B",'Trade Log'!$C$7:$C$371,A133)</f>
        <v>0</v>
      </c>
      <c r="X133" s="7">
        <f>SUMIFS('Trade Log'!$N$7:$N$371,'Trade Log'!$A$7:$A$371,"C",'Trade Log'!$C$7:$C$371,A133)</f>
        <v>0</v>
      </c>
      <c r="Y133" s="7">
        <f t="shared" si="9"/>
        <v>0</v>
      </c>
      <c r="Z133" s="7">
        <f t="shared" si="10"/>
        <v>0</v>
      </c>
      <c r="AA133" s="7">
        <f t="shared" si="11"/>
        <v>0</v>
      </c>
    </row>
    <row r="134" spans="1:27">
      <c r="A134" s="10">
        <v>45933</v>
      </c>
      <c r="B134" s="7">
        <v>99729.363800000006</v>
      </c>
      <c r="C134" s="7">
        <v>-427.72</v>
      </c>
      <c r="D134" s="7">
        <v>1.3320000000000001</v>
      </c>
      <c r="E134" s="7">
        <v>-429.05200000000002</v>
      </c>
      <c r="F134" s="7">
        <v>99300.311799999996</v>
      </c>
      <c r="G134" s="6">
        <v>-4.3021632000000004E-3</v>
      </c>
      <c r="H134" s="7">
        <v>102462.5678</v>
      </c>
      <c r="I134" s="7">
        <v>-392.92</v>
      </c>
      <c r="J134" s="7">
        <v>2.7360000000000002</v>
      </c>
      <c r="K134" s="7">
        <v>-395.65600000000001</v>
      </c>
      <c r="L134" s="7">
        <v>102066.9118</v>
      </c>
      <c r="M134" s="6">
        <v>-3.8614687000000001E-3</v>
      </c>
      <c r="N134" s="7">
        <v>103233.3078</v>
      </c>
      <c r="O134" s="7">
        <v>-1589.7750000000001</v>
      </c>
      <c r="P134" s="7">
        <v>11.07</v>
      </c>
      <c r="Q134" s="7">
        <v>-1600.845</v>
      </c>
      <c r="R134" s="7">
        <v>101632.46279999999</v>
      </c>
      <c r="S134" s="6">
        <v>-1.55070591E-2</v>
      </c>
      <c r="T134" s="6">
        <v>-1.49428E-5</v>
      </c>
      <c r="U134" s="7">
        <v>119979.6044891638</v>
      </c>
      <c r="V134" s="7">
        <f>SUMIFS('Trade Log'!$N$7:$N$371,'Trade Log'!$A$7:$A$371,"A",'Trade Log'!$C$7:$C$371,A134)</f>
        <v>-429.05199999999797</v>
      </c>
      <c r="W134" s="7">
        <f>SUMIFS('Trade Log'!$N$7:$N$371,'Trade Log'!$A$7:$A$371,"B",'Trade Log'!$C$7:$C$371,A134)</f>
        <v>-395.65600000000552</v>
      </c>
      <c r="X134" s="7">
        <f>SUMIFS('Trade Log'!$N$7:$N$371,'Trade Log'!$A$7:$A$371,"C",'Trade Log'!$C$7:$C$371,A134)</f>
        <v>-1600.8450000000225</v>
      </c>
      <c r="Y134" s="7">
        <f t="shared" si="9"/>
        <v>2.0463630789890885E-12</v>
      </c>
      <c r="Z134" s="7">
        <f t="shared" si="10"/>
        <v>-5.5138116294983774E-12</v>
      </c>
      <c r="AA134" s="7">
        <f t="shared" si="11"/>
        <v>-2.2509993868879974E-11</v>
      </c>
    </row>
    <row r="135" spans="1:27">
      <c r="A135" s="10">
        <v>45936</v>
      </c>
      <c r="B135" s="7">
        <v>99300.311799999996</v>
      </c>
      <c r="C135" s="7">
        <v>-32.56</v>
      </c>
      <c r="D135" s="7">
        <v>1.3320000000000001</v>
      </c>
      <c r="E135" s="7">
        <v>-33.892000000000003</v>
      </c>
      <c r="F135" s="7">
        <v>99266.419800000003</v>
      </c>
      <c r="G135" s="6">
        <v>-3.413081E-4</v>
      </c>
      <c r="H135" s="7">
        <v>102066.9118</v>
      </c>
      <c r="I135" s="7">
        <v>-15.2</v>
      </c>
      <c r="J135" s="7">
        <v>1.3680000000000001</v>
      </c>
      <c r="K135" s="7">
        <v>-16.568000000000001</v>
      </c>
      <c r="L135" s="7">
        <v>102050.3438</v>
      </c>
      <c r="M135" s="6">
        <v>-1.6232489999999999E-4</v>
      </c>
      <c r="N135" s="7">
        <v>101632.46279999999</v>
      </c>
      <c r="O135" s="7">
        <v>-60.6</v>
      </c>
      <c r="P135" s="7">
        <v>5.4539999999999997</v>
      </c>
      <c r="Q135" s="7">
        <v>-66.054000000000002</v>
      </c>
      <c r="R135" s="7">
        <v>101566.4088</v>
      </c>
      <c r="S135" s="6">
        <v>-6.4993009999999999E-4</v>
      </c>
      <c r="T135" s="6">
        <v>3.5863181999999999E-3</v>
      </c>
      <c r="U135" s="7">
        <v>120409.88952790201</v>
      </c>
      <c r="V135" s="7">
        <f>SUMIFS('Trade Log'!$N$7:$N$371,'Trade Log'!$A$7:$A$371,"A",'Trade Log'!$C$7:$C$371,A135)</f>
        <v>-33.892000000004039</v>
      </c>
      <c r="W135" s="7">
        <f>SUMIFS('Trade Log'!$N$7:$N$371,'Trade Log'!$A$7:$A$371,"B",'Trade Log'!$C$7:$C$371,A135)</f>
        <v>-16.568000000003455</v>
      </c>
      <c r="X135" s="7">
        <f>SUMIFS('Trade Log'!$N$7:$N$371,'Trade Log'!$A$7:$A$371,"C",'Trade Log'!$C$7:$C$371,A135)</f>
        <v>-66.054000000013772</v>
      </c>
      <c r="Y135" s="7">
        <f t="shared" ref="Y135:Y166" si="12">V135-E135</f>
        <v>-4.0358827391173691E-12</v>
      </c>
      <c r="Z135" s="7">
        <f t="shared" ref="Z135:Z166" si="13">W135-K135</f>
        <v>-3.4532376957940869E-12</v>
      </c>
      <c r="AA135" s="7">
        <f t="shared" ref="AA135:AA166" si="14">X135-Q135</f>
        <v>-1.3770318219030742E-11</v>
      </c>
    </row>
    <row r="136" spans="1:27">
      <c r="A136" s="10">
        <v>45937</v>
      </c>
      <c r="B136" s="7">
        <v>99266.419800000003</v>
      </c>
      <c r="C136" s="7">
        <v>16.170000000000002</v>
      </c>
      <c r="D136" s="7">
        <v>1.323</v>
      </c>
      <c r="E136" s="7">
        <v>14.847</v>
      </c>
      <c r="F136" s="7">
        <v>99281.266799999998</v>
      </c>
      <c r="G136" s="6">
        <v>1.4956719999999999E-4</v>
      </c>
      <c r="H136" s="7">
        <v>102050.3438</v>
      </c>
      <c r="I136" s="7">
        <v>16.61</v>
      </c>
      <c r="J136" s="7">
        <v>1.359</v>
      </c>
      <c r="K136" s="7">
        <v>15.250999999999999</v>
      </c>
      <c r="L136" s="7">
        <v>102065.59480000001</v>
      </c>
      <c r="M136" s="6">
        <v>1.494458E-4</v>
      </c>
      <c r="N136" s="7">
        <v>101566.4088</v>
      </c>
      <c r="O136" s="7">
        <v>66.44</v>
      </c>
      <c r="P136" s="7">
        <v>5.4359999999999999</v>
      </c>
      <c r="Q136" s="7">
        <v>61.003999999999998</v>
      </c>
      <c r="R136" s="7">
        <v>101627.41280000001</v>
      </c>
      <c r="S136" s="6">
        <v>6.0063170000000004E-4</v>
      </c>
      <c r="T136" s="6">
        <v>-3.7075087999999998E-3</v>
      </c>
      <c r="U136" s="7">
        <v>119963.46880021111</v>
      </c>
      <c r="V136" s="7">
        <f>SUMIFS('Trade Log'!$N$7:$N$371,'Trade Log'!$A$7:$A$371,"A",'Trade Log'!$C$7:$C$371,A136)</f>
        <v>14.847000000002005</v>
      </c>
      <c r="W136" s="7">
        <f>SUMIFS('Trade Log'!$N$7:$N$371,'Trade Log'!$A$7:$A$371,"B",'Trade Log'!$C$7:$C$371,A136)</f>
        <v>15.25100000000206</v>
      </c>
      <c r="X136" s="7">
        <f>SUMIFS('Trade Log'!$N$7:$N$371,'Trade Log'!$A$7:$A$371,"C",'Trade Log'!$C$7:$C$371,A136)</f>
        <v>61.00400000000824</v>
      </c>
      <c r="Y136" s="7">
        <f t="shared" si="12"/>
        <v>2.0055068716828828E-12</v>
      </c>
      <c r="Z136" s="7">
        <f t="shared" si="13"/>
        <v>2.0605739337042905E-12</v>
      </c>
      <c r="AA136" s="7">
        <f t="shared" si="14"/>
        <v>8.2422957348171622E-12</v>
      </c>
    </row>
    <row r="137" spans="1:27">
      <c r="A137" s="10">
        <v>45938</v>
      </c>
      <c r="B137" s="7">
        <v>99281.266799999998</v>
      </c>
      <c r="C137" s="7">
        <v>177.6</v>
      </c>
      <c r="D137" s="7">
        <v>1.3320000000000001</v>
      </c>
      <c r="E137" s="7">
        <v>176.268</v>
      </c>
      <c r="F137" s="7">
        <v>99457.534799999994</v>
      </c>
      <c r="G137" s="6">
        <v>1.7754406999999999E-3</v>
      </c>
      <c r="H137" s="7">
        <v>102065.59480000001</v>
      </c>
      <c r="I137" s="7">
        <v>85.986400000000003</v>
      </c>
      <c r="J137" s="7">
        <v>2.7360000000000002</v>
      </c>
      <c r="K137" s="7">
        <v>83.250399999999999</v>
      </c>
      <c r="L137" s="7">
        <v>102148.8452</v>
      </c>
      <c r="M137" s="6">
        <v>8.1565589999999996E-4</v>
      </c>
      <c r="N137" s="7">
        <v>101627.41280000001</v>
      </c>
      <c r="O137" s="7">
        <v>342.81420000000003</v>
      </c>
      <c r="P137" s="7">
        <v>10.907999999999999</v>
      </c>
      <c r="Q137" s="7">
        <v>331.90620000000001</v>
      </c>
      <c r="R137" s="7">
        <v>101959.319</v>
      </c>
      <c r="S137" s="6">
        <v>3.2659121000000002E-3</v>
      </c>
      <c r="T137" s="6">
        <v>5.9630560000000004E-3</v>
      </c>
      <c r="U137" s="7">
        <v>120678.8176771134</v>
      </c>
      <c r="V137" s="7">
        <f>SUMIFS('Trade Log'!$N$7:$N$371,'Trade Log'!$A$7:$A$371,"A",'Trade Log'!$C$7:$C$371,A137)</f>
        <v>176.26800000000674</v>
      </c>
      <c r="W137" s="7">
        <f>SUMIFS('Trade Log'!$N$7:$N$371,'Trade Log'!$A$7:$A$371,"B",'Trade Log'!$C$7:$C$371,A137)</f>
        <v>83.250399999998862</v>
      </c>
      <c r="X137" s="7">
        <f>SUMIFS('Trade Log'!$N$7:$N$371,'Trade Log'!$A$7:$A$371,"C",'Trade Log'!$C$7:$C$371,A137)</f>
        <v>331.90619999999547</v>
      </c>
      <c r="Y137" s="7">
        <f t="shared" si="12"/>
        <v>6.7359451350057498E-12</v>
      </c>
      <c r="Z137" s="7">
        <f t="shared" si="13"/>
        <v>-1.1368683772161603E-12</v>
      </c>
      <c r="AA137" s="7">
        <f t="shared" si="14"/>
        <v>-4.5474735088646412E-12</v>
      </c>
    </row>
    <row r="138" spans="1:27">
      <c r="A138" s="10">
        <v>45939</v>
      </c>
      <c r="B138" s="7">
        <v>99457.534799999994</v>
      </c>
      <c r="C138" s="7">
        <v>-207.2</v>
      </c>
      <c r="D138" s="7">
        <v>1.3320000000000001</v>
      </c>
      <c r="E138" s="7">
        <v>-208.53200000000001</v>
      </c>
      <c r="F138" s="7">
        <v>99249.002800000002</v>
      </c>
      <c r="G138" s="6">
        <v>-2.0966938E-3</v>
      </c>
      <c r="H138" s="7">
        <v>102148.8452</v>
      </c>
      <c r="I138" s="7">
        <v>-63.84</v>
      </c>
      <c r="J138" s="7">
        <v>1.3680000000000001</v>
      </c>
      <c r="K138" s="7">
        <v>-65.207999999999998</v>
      </c>
      <c r="L138" s="7">
        <v>102083.6372</v>
      </c>
      <c r="M138" s="6">
        <v>-6.3836260000000005E-4</v>
      </c>
      <c r="N138" s="7">
        <v>101959.319</v>
      </c>
      <c r="O138" s="7">
        <v>-254.94</v>
      </c>
      <c r="P138" s="7">
        <v>5.4630000000000001</v>
      </c>
      <c r="Q138" s="7">
        <v>-260.40300000000002</v>
      </c>
      <c r="R138" s="7">
        <v>101698.916</v>
      </c>
      <c r="S138" s="6">
        <v>-2.5539892000000001E-3</v>
      </c>
      <c r="T138" s="6">
        <v>-2.8970005E-3</v>
      </c>
      <c r="U138" s="7">
        <v>120329.21108313859</v>
      </c>
      <c r="V138" s="7">
        <f>SUMIFS('Trade Log'!$N$7:$N$371,'Trade Log'!$A$7:$A$371,"A",'Trade Log'!$C$7:$C$371,A138)</f>
        <v>-208.53199999999663</v>
      </c>
      <c r="W138" s="7">
        <f>SUMIFS('Trade Log'!$N$7:$N$371,'Trade Log'!$A$7:$A$371,"B",'Trade Log'!$C$7:$C$371,A138)</f>
        <v>-65.207999999993774</v>
      </c>
      <c r="X138" s="7">
        <f>SUMIFS('Trade Log'!$N$7:$N$371,'Trade Log'!$A$7:$A$371,"C",'Trade Log'!$C$7:$C$371,A138)</f>
        <v>-260.40299999997518</v>
      </c>
      <c r="Y138" s="7">
        <f t="shared" si="12"/>
        <v>3.3821834222180769E-12</v>
      </c>
      <c r="Z138" s="7">
        <f t="shared" si="13"/>
        <v>6.2243543652584776E-12</v>
      </c>
      <c r="AA138" s="7">
        <f t="shared" si="14"/>
        <v>2.4840574042173102E-11</v>
      </c>
    </row>
    <row r="139" spans="1:27">
      <c r="A139" s="10">
        <v>45940</v>
      </c>
      <c r="B139" s="7">
        <v>99249.002800000002</v>
      </c>
      <c r="C139" s="7">
        <v>2308.6350000000002</v>
      </c>
      <c r="D139" s="7">
        <v>1.323</v>
      </c>
      <c r="E139" s="7">
        <v>2307.3119999999999</v>
      </c>
      <c r="F139" s="7">
        <v>101556.31479999999</v>
      </c>
      <c r="G139" s="6">
        <v>2.3247709599999999E-2</v>
      </c>
      <c r="H139" s="7">
        <v>102083.6372</v>
      </c>
      <c r="I139" s="7">
        <v>2371.4549999999999</v>
      </c>
      <c r="J139" s="7">
        <v>1.359</v>
      </c>
      <c r="K139" s="7">
        <v>2370.096</v>
      </c>
      <c r="L139" s="7">
        <v>104453.7332</v>
      </c>
      <c r="M139" s="6">
        <v>2.3217197799999999E-2</v>
      </c>
      <c r="N139" s="7">
        <v>101698.916</v>
      </c>
      <c r="O139" s="7">
        <v>9485.82</v>
      </c>
      <c r="P139" s="7">
        <v>5.4359999999999999</v>
      </c>
      <c r="Q139" s="7">
        <v>9480.384</v>
      </c>
      <c r="R139" s="7">
        <v>111179.3</v>
      </c>
      <c r="S139" s="6">
        <v>9.3220108699999998E-2</v>
      </c>
      <c r="T139" s="6">
        <v>-2.70278324E-2</v>
      </c>
      <c r="U139" s="7">
        <v>117076.973332009</v>
      </c>
      <c r="V139" s="7">
        <f>SUMIFS('Trade Log'!$N$7:$N$371,'Trade Log'!$A$7:$A$371,"A",'Trade Log'!$C$7:$C$371,A139)</f>
        <v>2307.3120000000063</v>
      </c>
      <c r="W139" s="7">
        <f>SUMIFS('Trade Log'!$N$7:$N$371,'Trade Log'!$A$7:$A$371,"B",'Trade Log'!$C$7:$C$371,A139)</f>
        <v>2370.0960000000064</v>
      </c>
      <c r="X139" s="7">
        <f>SUMIFS('Trade Log'!$N$7:$N$371,'Trade Log'!$A$7:$A$371,"C",'Trade Log'!$C$7:$C$371,A139)</f>
        <v>9480.3840000000255</v>
      </c>
      <c r="Y139" s="7">
        <f t="shared" si="12"/>
        <v>6.3664629124104977E-12</v>
      </c>
      <c r="Z139" s="7">
        <f t="shared" si="13"/>
        <v>6.3664629124104977E-12</v>
      </c>
      <c r="AA139" s="7">
        <f t="shared" si="14"/>
        <v>2.5465851649641991E-11</v>
      </c>
    </row>
    <row r="140" spans="1:27">
      <c r="A140" s="10">
        <v>45943</v>
      </c>
      <c r="B140" s="7">
        <v>101556.31479999999</v>
      </c>
      <c r="C140" s="7">
        <v>0</v>
      </c>
      <c r="D140" s="7">
        <v>0</v>
      </c>
      <c r="E140" s="7">
        <v>0</v>
      </c>
      <c r="F140" s="7">
        <v>101556.31479999999</v>
      </c>
      <c r="G140" s="6">
        <v>0</v>
      </c>
      <c r="H140" s="7">
        <v>104453.7332</v>
      </c>
      <c r="I140" s="7">
        <v>0</v>
      </c>
      <c r="J140" s="7">
        <v>0</v>
      </c>
      <c r="K140" s="7">
        <v>0</v>
      </c>
      <c r="L140" s="7">
        <v>104453.7332</v>
      </c>
      <c r="M140" s="6">
        <v>0</v>
      </c>
      <c r="N140" s="7">
        <v>111179.3</v>
      </c>
      <c r="O140" s="7">
        <v>0</v>
      </c>
      <c r="P140" s="7">
        <v>0</v>
      </c>
      <c r="Q140" s="7">
        <v>0</v>
      </c>
      <c r="R140" s="7">
        <v>111179.3</v>
      </c>
      <c r="S140" s="6">
        <v>0</v>
      </c>
      <c r="T140" s="6">
        <v>1.5344093600000001E-2</v>
      </c>
      <c r="U140" s="7">
        <v>118873.41336874101</v>
      </c>
      <c r="V140" s="7">
        <f>SUMIFS('Trade Log'!$N$7:$N$371,'Trade Log'!$A$7:$A$371,"A",'Trade Log'!$C$7:$C$371,A140)</f>
        <v>0</v>
      </c>
      <c r="W140" s="7">
        <f>SUMIFS('Trade Log'!$N$7:$N$371,'Trade Log'!$A$7:$A$371,"B",'Trade Log'!$C$7:$C$371,A140)</f>
        <v>0</v>
      </c>
      <c r="X140" s="7">
        <f>SUMIFS('Trade Log'!$N$7:$N$371,'Trade Log'!$A$7:$A$371,"C",'Trade Log'!$C$7:$C$371,A140)</f>
        <v>0</v>
      </c>
      <c r="Y140" s="7">
        <f t="shared" si="12"/>
        <v>0</v>
      </c>
      <c r="Z140" s="7">
        <f t="shared" si="13"/>
        <v>0</v>
      </c>
      <c r="AA140" s="7">
        <f t="shared" si="14"/>
        <v>0</v>
      </c>
    </row>
    <row r="141" spans="1:27">
      <c r="A141" s="10">
        <v>45944</v>
      </c>
      <c r="B141" s="7">
        <v>101556.31479999999</v>
      </c>
      <c r="C141" s="7">
        <v>0</v>
      </c>
      <c r="D141" s="7">
        <v>0</v>
      </c>
      <c r="E141" s="7">
        <v>0</v>
      </c>
      <c r="F141" s="7">
        <v>101556.31479999999</v>
      </c>
      <c r="G141" s="6">
        <v>0</v>
      </c>
      <c r="H141" s="7">
        <v>104453.7332</v>
      </c>
      <c r="I141" s="7">
        <v>0</v>
      </c>
      <c r="J141" s="7">
        <v>0</v>
      </c>
      <c r="K141" s="7">
        <v>0</v>
      </c>
      <c r="L141" s="7">
        <v>104453.7332</v>
      </c>
      <c r="M141" s="6">
        <v>0</v>
      </c>
      <c r="N141" s="7">
        <v>111179.3</v>
      </c>
      <c r="O141" s="7">
        <v>0</v>
      </c>
      <c r="P141" s="7">
        <v>0</v>
      </c>
      <c r="Q141" s="7">
        <v>0</v>
      </c>
      <c r="R141" s="7">
        <v>111179.3</v>
      </c>
      <c r="S141" s="6">
        <v>0</v>
      </c>
      <c r="T141" s="6">
        <v>-1.2216458E-3</v>
      </c>
      <c r="U141" s="7">
        <v>118728.1921681669</v>
      </c>
      <c r="V141" s="7">
        <f>SUMIFS('Trade Log'!$N$7:$N$371,'Trade Log'!$A$7:$A$371,"A",'Trade Log'!$C$7:$C$371,A141)</f>
        <v>0</v>
      </c>
      <c r="W141" s="7">
        <f>SUMIFS('Trade Log'!$N$7:$N$371,'Trade Log'!$A$7:$A$371,"B",'Trade Log'!$C$7:$C$371,A141)</f>
        <v>0</v>
      </c>
      <c r="X141" s="7">
        <f>SUMIFS('Trade Log'!$N$7:$N$371,'Trade Log'!$A$7:$A$371,"C",'Trade Log'!$C$7:$C$371,A141)</f>
        <v>0</v>
      </c>
      <c r="Y141" s="7">
        <f t="shared" si="12"/>
        <v>0</v>
      </c>
      <c r="Z141" s="7">
        <f t="shared" si="13"/>
        <v>0</v>
      </c>
      <c r="AA141" s="7">
        <f t="shared" si="14"/>
        <v>0</v>
      </c>
    </row>
    <row r="142" spans="1:27">
      <c r="A142" s="10">
        <v>45945</v>
      </c>
      <c r="B142" s="7">
        <v>101556.31479999999</v>
      </c>
      <c r="C142" s="7">
        <v>0</v>
      </c>
      <c r="D142" s="7">
        <v>0</v>
      </c>
      <c r="E142" s="7">
        <v>0</v>
      </c>
      <c r="F142" s="7">
        <v>101556.31479999999</v>
      </c>
      <c r="G142" s="6">
        <v>0</v>
      </c>
      <c r="H142" s="7">
        <v>104453.7332</v>
      </c>
      <c r="I142" s="7">
        <v>0</v>
      </c>
      <c r="J142" s="7">
        <v>0</v>
      </c>
      <c r="K142" s="7">
        <v>0</v>
      </c>
      <c r="L142" s="7">
        <v>104453.7332</v>
      </c>
      <c r="M142" s="6">
        <v>0</v>
      </c>
      <c r="N142" s="7">
        <v>111179.3</v>
      </c>
      <c r="O142" s="7">
        <v>0</v>
      </c>
      <c r="P142" s="7">
        <v>0</v>
      </c>
      <c r="Q142" s="7">
        <v>0</v>
      </c>
      <c r="R142" s="7">
        <v>111179.3</v>
      </c>
      <c r="S142" s="6">
        <v>0</v>
      </c>
      <c r="T142" s="6">
        <v>4.4395451999999997E-3</v>
      </c>
      <c r="U142" s="7">
        <v>119255.2913406211</v>
      </c>
      <c r="V142" s="7">
        <f>SUMIFS('Trade Log'!$N$7:$N$371,'Trade Log'!$A$7:$A$371,"A",'Trade Log'!$C$7:$C$371,A142)</f>
        <v>0</v>
      </c>
      <c r="W142" s="7">
        <f>SUMIFS('Trade Log'!$N$7:$N$371,'Trade Log'!$A$7:$A$371,"B",'Trade Log'!$C$7:$C$371,A142)</f>
        <v>0</v>
      </c>
      <c r="X142" s="7">
        <f>SUMIFS('Trade Log'!$N$7:$N$371,'Trade Log'!$A$7:$A$371,"C",'Trade Log'!$C$7:$C$371,A142)</f>
        <v>0</v>
      </c>
      <c r="Y142" s="7">
        <f t="shared" si="12"/>
        <v>0</v>
      </c>
      <c r="Z142" s="7">
        <f t="shared" si="13"/>
        <v>0</v>
      </c>
      <c r="AA142" s="7">
        <f t="shared" si="14"/>
        <v>0</v>
      </c>
    </row>
    <row r="143" spans="1:27">
      <c r="A143" s="10">
        <v>45946</v>
      </c>
      <c r="B143" s="7">
        <v>101556.31479999999</v>
      </c>
      <c r="C143" s="7">
        <v>177.84</v>
      </c>
      <c r="D143" s="7">
        <v>1.3680000000000001</v>
      </c>
      <c r="E143" s="7">
        <v>176.47200000000001</v>
      </c>
      <c r="F143" s="7">
        <v>101732.7868</v>
      </c>
      <c r="G143" s="6">
        <v>1.7376762999999999E-3</v>
      </c>
      <c r="H143" s="7">
        <v>104453.7332</v>
      </c>
      <c r="I143" s="7">
        <v>182.52</v>
      </c>
      <c r="J143" s="7">
        <v>1.4039999999999999</v>
      </c>
      <c r="K143" s="7">
        <v>181.11600000000001</v>
      </c>
      <c r="L143" s="7">
        <v>104634.8492</v>
      </c>
      <c r="M143" s="6">
        <v>1.7339352000000001E-3</v>
      </c>
      <c r="N143" s="7">
        <v>111179.3</v>
      </c>
      <c r="O143" s="7">
        <v>420.03</v>
      </c>
      <c r="P143" s="7">
        <v>3.2309999999999999</v>
      </c>
      <c r="Q143" s="7">
        <v>416.79899999999998</v>
      </c>
      <c r="R143" s="7">
        <v>111596.099</v>
      </c>
      <c r="S143" s="6">
        <v>3.7488903000000001E-3</v>
      </c>
      <c r="T143" s="6">
        <v>-6.8102891000000002E-3</v>
      </c>
      <c r="U143" s="7">
        <v>118443.1283300028</v>
      </c>
      <c r="V143" s="7">
        <f>SUMIFS('Trade Log'!$N$7:$N$371,'Trade Log'!$A$7:$A$371,"A",'Trade Log'!$C$7:$C$371,A143)</f>
        <v>176.47199999999378</v>
      </c>
      <c r="W143" s="7">
        <f>SUMIFS('Trade Log'!$N$7:$N$371,'Trade Log'!$A$7:$A$371,"B",'Trade Log'!$C$7:$C$371,A143)</f>
        <v>181.11599999999362</v>
      </c>
      <c r="X143" s="7">
        <f>SUMIFS('Trade Log'!$N$7:$N$371,'Trade Log'!$A$7:$A$371,"C",'Trade Log'!$C$7:$C$371,A143)</f>
        <v>416.79899999998531</v>
      </c>
      <c r="Y143" s="7">
        <f t="shared" si="12"/>
        <v>-6.2243543652584776E-12</v>
      </c>
      <c r="Z143" s="7">
        <f t="shared" si="13"/>
        <v>-6.3948846218409017E-12</v>
      </c>
      <c r="AA143" s="7">
        <f t="shared" si="14"/>
        <v>-1.4665602066088468E-11</v>
      </c>
    </row>
    <row r="144" spans="1:27">
      <c r="A144" s="10">
        <v>45947</v>
      </c>
      <c r="B144" s="7">
        <v>101732.7868</v>
      </c>
      <c r="C144" s="7">
        <v>304.47000000000003</v>
      </c>
      <c r="D144" s="7">
        <v>1.377</v>
      </c>
      <c r="E144" s="7">
        <v>303.09300000000002</v>
      </c>
      <c r="F144" s="7">
        <v>102035.8798</v>
      </c>
      <c r="G144" s="6">
        <v>2.9793049999999998E-3</v>
      </c>
      <c r="H144" s="7">
        <v>104634.8492</v>
      </c>
      <c r="I144" s="7">
        <v>-488.22</v>
      </c>
      <c r="J144" s="7">
        <v>2.8439999999999999</v>
      </c>
      <c r="K144" s="7">
        <v>-491.06400000000002</v>
      </c>
      <c r="L144" s="7">
        <v>104143.7852</v>
      </c>
      <c r="M144" s="6">
        <v>-4.6931209000000002E-3</v>
      </c>
      <c r="N144" s="7">
        <v>111596.099</v>
      </c>
      <c r="O144" s="7">
        <v>-1112.4000000000001</v>
      </c>
      <c r="P144" s="7">
        <v>6.48</v>
      </c>
      <c r="Q144" s="7">
        <v>-1118.8800000000001</v>
      </c>
      <c r="R144" s="7">
        <v>110477.219</v>
      </c>
      <c r="S144" s="6">
        <v>-1.0026156899999999E-2</v>
      </c>
      <c r="T144" s="6">
        <v>5.6763139000000004E-3</v>
      </c>
      <c r="U144" s="7">
        <v>119115.4487030312</v>
      </c>
      <c r="V144" s="7">
        <f>SUMIFS('Trade Log'!$N$7:$N$371,'Trade Log'!$A$7:$A$371,"A",'Trade Log'!$C$7:$C$371,A144)</f>
        <v>303.09300000000138</v>
      </c>
      <c r="W144" s="7">
        <f>SUMIFS('Trade Log'!$N$7:$N$371,'Trade Log'!$A$7:$A$371,"B",'Trade Log'!$C$7:$C$371,A144)</f>
        <v>-491.06399999998712</v>
      </c>
      <c r="X144" s="7">
        <f>SUMIFS('Trade Log'!$N$7:$N$371,'Trade Log'!$A$7:$A$371,"C",'Trade Log'!$C$7:$C$371,A144)</f>
        <v>-1118.8799999999706</v>
      </c>
      <c r="Y144" s="7">
        <f t="shared" si="12"/>
        <v>1.3642420526593924E-12</v>
      </c>
      <c r="Z144" s="7">
        <f t="shared" si="13"/>
        <v>1.2903456081403419E-11</v>
      </c>
      <c r="AA144" s="7">
        <f t="shared" si="14"/>
        <v>2.9558577807620168E-11</v>
      </c>
    </row>
    <row r="145" spans="1:27">
      <c r="A145" s="10">
        <v>45950</v>
      </c>
      <c r="B145" s="7">
        <v>102035.8798</v>
      </c>
      <c r="C145" s="7">
        <v>152</v>
      </c>
      <c r="D145" s="7">
        <v>1.3680000000000001</v>
      </c>
      <c r="E145" s="7">
        <v>150.63200000000001</v>
      </c>
      <c r="F145" s="7">
        <v>102186.51179999999</v>
      </c>
      <c r="G145" s="6">
        <v>1.476265E-3</v>
      </c>
      <c r="H145" s="7">
        <v>104143.7852</v>
      </c>
      <c r="I145" s="7">
        <v>52.7</v>
      </c>
      <c r="J145" s="7">
        <v>1.395</v>
      </c>
      <c r="K145" s="7">
        <v>51.305</v>
      </c>
      <c r="L145" s="7">
        <v>104195.09020000001</v>
      </c>
      <c r="M145" s="6">
        <v>4.9263620000000003E-4</v>
      </c>
      <c r="N145" s="7">
        <v>110477.219</v>
      </c>
      <c r="O145" s="7">
        <v>118.66</v>
      </c>
      <c r="P145" s="7">
        <v>3.141</v>
      </c>
      <c r="Q145" s="7">
        <v>115.51900000000001</v>
      </c>
      <c r="R145" s="7">
        <v>110592.7380000001</v>
      </c>
      <c r="S145" s="6">
        <v>1.0456364000000001E-3</v>
      </c>
      <c r="T145" s="6">
        <v>1.04005178E-2</v>
      </c>
      <c r="U145" s="7">
        <v>120354.31104373161</v>
      </c>
      <c r="V145" s="7">
        <f>SUMIFS('Trade Log'!$N$7:$N$371,'Trade Log'!$A$7:$A$371,"A",'Trade Log'!$C$7:$C$371,A145)</f>
        <v>150.63200000000001</v>
      </c>
      <c r="W145" s="7">
        <f>SUMIFS('Trade Log'!$N$7:$N$371,'Trade Log'!$A$7:$A$371,"B",'Trade Log'!$C$7:$C$371,A145)</f>
        <v>51.305000000004931</v>
      </c>
      <c r="X145" s="7">
        <f>SUMIFS('Trade Log'!$N$7:$N$371,'Trade Log'!$A$7:$A$371,"C",'Trade Log'!$C$7:$C$371,A145)</f>
        <v>115.5190000000111</v>
      </c>
      <c r="Y145" s="7">
        <f t="shared" si="12"/>
        <v>0</v>
      </c>
      <c r="Z145" s="7">
        <f t="shared" si="13"/>
        <v>4.9311665861750953E-12</v>
      </c>
      <c r="AA145" s="7">
        <f t="shared" si="14"/>
        <v>1.1098677532572765E-11</v>
      </c>
    </row>
    <row r="146" spans="1:27">
      <c r="A146" s="10">
        <v>45951</v>
      </c>
      <c r="B146" s="7">
        <v>102186.51179999999</v>
      </c>
      <c r="C146" s="7">
        <v>0</v>
      </c>
      <c r="D146" s="7">
        <v>0</v>
      </c>
      <c r="E146" s="7">
        <v>0</v>
      </c>
      <c r="F146" s="7">
        <v>102186.51179999999</v>
      </c>
      <c r="G146" s="6">
        <v>0</v>
      </c>
      <c r="H146" s="7">
        <v>104195.09020000001</v>
      </c>
      <c r="I146" s="7">
        <v>0</v>
      </c>
      <c r="J146" s="7">
        <v>0</v>
      </c>
      <c r="K146" s="7">
        <v>0</v>
      </c>
      <c r="L146" s="7">
        <v>104195.09020000001</v>
      </c>
      <c r="M146" s="6">
        <v>0</v>
      </c>
      <c r="N146" s="7">
        <v>110592.7380000001</v>
      </c>
      <c r="O146" s="7">
        <v>0</v>
      </c>
      <c r="P146" s="7">
        <v>0</v>
      </c>
      <c r="Q146" s="7">
        <v>0</v>
      </c>
      <c r="R146" s="7">
        <v>110592.7380000001</v>
      </c>
      <c r="S146" s="6">
        <v>0</v>
      </c>
      <c r="T146" s="6">
        <v>-1.48965E-5</v>
      </c>
      <c r="U146" s="7">
        <v>120352.51818940361</v>
      </c>
      <c r="V146" s="7">
        <f>SUMIFS('Trade Log'!$N$7:$N$371,'Trade Log'!$A$7:$A$371,"A",'Trade Log'!$C$7:$C$371,A146)</f>
        <v>0</v>
      </c>
      <c r="W146" s="7">
        <f>SUMIFS('Trade Log'!$N$7:$N$371,'Trade Log'!$A$7:$A$371,"B",'Trade Log'!$C$7:$C$371,A146)</f>
        <v>0</v>
      </c>
      <c r="X146" s="7">
        <f>SUMIFS('Trade Log'!$N$7:$N$371,'Trade Log'!$A$7:$A$371,"C",'Trade Log'!$C$7:$C$371,A146)</f>
        <v>0</v>
      </c>
      <c r="Y146" s="7">
        <f t="shared" si="12"/>
        <v>0</v>
      </c>
      <c r="Z146" s="7">
        <f t="shared" si="13"/>
        <v>0</v>
      </c>
      <c r="AA146" s="7">
        <f t="shared" si="14"/>
        <v>0</v>
      </c>
    </row>
    <row r="147" spans="1:27">
      <c r="A147" s="10">
        <v>45952</v>
      </c>
      <c r="B147" s="7">
        <v>102186.51179999999</v>
      </c>
      <c r="C147" s="7">
        <v>233.7</v>
      </c>
      <c r="D147" s="7">
        <v>1.3680000000000001</v>
      </c>
      <c r="E147" s="7">
        <v>232.33199999999999</v>
      </c>
      <c r="F147" s="7">
        <v>102418.8438</v>
      </c>
      <c r="G147" s="6">
        <v>2.2736073000000001E-3</v>
      </c>
      <c r="H147" s="7">
        <v>104195.09020000001</v>
      </c>
      <c r="I147" s="7">
        <v>-262.02749999999997</v>
      </c>
      <c r="J147" s="7">
        <v>4.1849999999999996</v>
      </c>
      <c r="K147" s="7">
        <v>-266.21249999999998</v>
      </c>
      <c r="L147" s="7">
        <v>103928.8777</v>
      </c>
      <c r="M147" s="6">
        <v>-2.5549428E-3</v>
      </c>
      <c r="N147" s="7">
        <v>110592.7380000001</v>
      </c>
      <c r="O147" s="7">
        <v>-568.00800000009997</v>
      </c>
      <c r="P147" s="7">
        <v>9.0719999999999992</v>
      </c>
      <c r="Q147" s="7">
        <v>-577.08000000009997</v>
      </c>
      <c r="R147" s="7">
        <v>110015.658</v>
      </c>
      <c r="S147" s="6">
        <v>-5.2180641000000002E-3</v>
      </c>
      <c r="T147" s="6">
        <v>-5.1989452999999996E-3</v>
      </c>
      <c r="U147" s="7">
        <v>119726.8120289051</v>
      </c>
      <c r="V147" s="7">
        <f>SUMIFS('Trade Log'!$N$7:$N$371,'Trade Log'!$A$7:$A$371,"A",'Trade Log'!$C$7:$C$371,A147)</f>
        <v>232.33200000000346</v>
      </c>
      <c r="W147" s="7">
        <f>SUMIFS('Trade Log'!$N$7:$N$371,'Trade Log'!$A$7:$A$371,"B",'Trade Log'!$C$7:$C$371,A147)</f>
        <v>-266.21250000002425</v>
      </c>
      <c r="X147" s="7">
        <f>SUMIFS('Trade Log'!$N$7:$N$371,'Trade Log'!$A$7:$A$371,"C",'Trade Log'!$C$7:$C$371,A147)</f>
        <v>-577.08000000005256</v>
      </c>
      <c r="Y147" s="7">
        <f t="shared" si="12"/>
        <v>3.4674485505092889E-12</v>
      </c>
      <c r="Z147" s="7">
        <f t="shared" si="13"/>
        <v>-2.4272139853565022E-11</v>
      </c>
      <c r="AA147" s="7">
        <f t="shared" si="14"/>
        <v>4.7407411329913884E-11</v>
      </c>
    </row>
    <row r="148" spans="1:27">
      <c r="A148" s="10">
        <v>45953</v>
      </c>
      <c r="B148" s="7">
        <v>102418.8438</v>
      </c>
      <c r="C148" s="7">
        <v>0</v>
      </c>
      <c r="D148" s="7">
        <v>0</v>
      </c>
      <c r="E148" s="7">
        <v>0</v>
      </c>
      <c r="F148" s="7">
        <v>102418.8438</v>
      </c>
      <c r="G148" s="6">
        <v>0</v>
      </c>
      <c r="H148" s="7">
        <v>103928.8777</v>
      </c>
      <c r="I148" s="7">
        <v>0</v>
      </c>
      <c r="J148" s="7">
        <v>0</v>
      </c>
      <c r="K148" s="7">
        <v>0</v>
      </c>
      <c r="L148" s="7">
        <v>103928.8777</v>
      </c>
      <c r="M148" s="6">
        <v>0</v>
      </c>
      <c r="N148" s="7">
        <v>110015.658</v>
      </c>
      <c r="O148" s="7">
        <v>0</v>
      </c>
      <c r="P148" s="7">
        <v>0</v>
      </c>
      <c r="Q148" s="7">
        <v>0</v>
      </c>
      <c r="R148" s="7">
        <v>110015.658</v>
      </c>
      <c r="S148" s="6">
        <v>0</v>
      </c>
      <c r="T148" s="6">
        <v>5.9299191000000001E-3</v>
      </c>
      <c r="U148" s="7">
        <v>120436.78234282319</v>
      </c>
      <c r="V148" s="7">
        <f>SUMIFS('Trade Log'!$N$7:$N$371,'Trade Log'!$A$7:$A$371,"A",'Trade Log'!$C$7:$C$371,A148)</f>
        <v>0</v>
      </c>
      <c r="W148" s="7">
        <f>SUMIFS('Trade Log'!$N$7:$N$371,'Trade Log'!$A$7:$A$371,"B",'Trade Log'!$C$7:$C$371,A148)</f>
        <v>0</v>
      </c>
      <c r="X148" s="7">
        <f>SUMIFS('Trade Log'!$N$7:$N$371,'Trade Log'!$A$7:$A$371,"C",'Trade Log'!$C$7:$C$371,A148)</f>
        <v>0</v>
      </c>
      <c r="Y148" s="7">
        <f t="shared" si="12"/>
        <v>0</v>
      </c>
      <c r="Z148" s="7">
        <f t="shared" si="13"/>
        <v>0</v>
      </c>
      <c r="AA148" s="7">
        <f t="shared" si="14"/>
        <v>0</v>
      </c>
    </row>
    <row r="149" spans="1:27">
      <c r="A149" s="10">
        <v>45954</v>
      </c>
      <c r="B149" s="7">
        <v>102418.8438</v>
      </c>
      <c r="C149" s="7">
        <v>0</v>
      </c>
      <c r="D149" s="7">
        <v>0</v>
      </c>
      <c r="E149" s="7">
        <v>0</v>
      </c>
      <c r="F149" s="7">
        <v>102418.8438</v>
      </c>
      <c r="G149" s="6">
        <v>0</v>
      </c>
      <c r="H149" s="7">
        <v>103928.8777</v>
      </c>
      <c r="I149" s="7">
        <v>0</v>
      </c>
      <c r="J149" s="7">
        <v>0</v>
      </c>
      <c r="K149" s="7">
        <v>0</v>
      </c>
      <c r="L149" s="7">
        <v>103928.8777</v>
      </c>
      <c r="M149" s="6">
        <v>0</v>
      </c>
      <c r="N149" s="7">
        <v>110015.658</v>
      </c>
      <c r="O149" s="7">
        <v>0</v>
      </c>
      <c r="P149" s="7">
        <v>0</v>
      </c>
      <c r="Q149" s="7">
        <v>0</v>
      </c>
      <c r="R149" s="7">
        <v>110015.658</v>
      </c>
      <c r="S149" s="6">
        <v>0</v>
      </c>
      <c r="T149" s="6">
        <v>8.1725615999999994E-3</v>
      </c>
      <c r="U149" s="7">
        <v>121421.0593689368</v>
      </c>
      <c r="V149" s="7">
        <f>SUMIFS('Trade Log'!$N$7:$N$371,'Trade Log'!$A$7:$A$371,"A",'Trade Log'!$C$7:$C$371,A149)</f>
        <v>0</v>
      </c>
      <c r="W149" s="7">
        <f>SUMIFS('Trade Log'!$N$7:$N$371,'Trade Log'!$A$7:$A$371,"B",'Trade Log'!$C$7:$C$371,A149)</f>
        <v>0</v>
      </c>
      <c r="X149" s="7">
        <f>SUMIFS('Trade Log'!$N$7:$N$371,'Trade Log'!$A$7:$A$371,"C",'Trade Log'!$C$7:$C$371,A149)</f>
        <v>0</v>
      </c>
      <c r="Y149" s="7">
        <f t="shared" si="12"/>
        <v>0</v>
      </c>
      <c r="Z149" s="7">
        <f t="shared" si="13"/>
        <v>0</v>
      </c>
      <c r="AA149" s="7">
        <f t="shared" si="14"/>
        <v>0</v>
      </c>
    </row>
    <row r="150" spans="1:27">
      <c r="A150" s="10">
        <v>45957</v>
      </c>
      <c r="B150" s="7">
        <v>102418.8438</v>
      </c>
      <c r="C150" s="7">
        <v>0</v>
      </c>
      <c r="D150" s="7">
        <v>0</v>
      </c>
      <c r="E150" s="7">
        <v>0</v>
      </c>
      <c r="F150" s="7">
        <v>102418.8438</v>
      </c>
      <c r="G150" s="6">
        <v>0</v>
      </c>
      <c r="H150" s="7">
        <v>103928.8777</v>
      </c>
      <c r="I150" s="7">
        <v>0</v>
      </c>
      <c r="J150" s="7">
        <v>0</v>
      </c>
      <c r="K150" s="7">
        <v>0</v>
      </c>
      <c r="L150" s="7">
        <v>103928.8777</v>
      </c>
      <c r="M150" s="6">
        <v>0</v>
      </c>
      <c r="N150" s="7">
        <v>110015.658</v>
      </c>
      <c r="O150" s="7">
        <v>0</v>
      </c>
      <c r="P150" s="7">
        <v>0</v>
      </c>
      <c r="Q150" s="7">
        <v>0</v>
      </c>
      <c r="R150" s="7">
        <v>110015.658</v>
      </c>
      <c r="S150" s="6">
        <v>0</v>
      </c>
      <c r="T150" s="6">
        <v>1.1797711299999999E-2</v>
      </c>
      <c r="U150" s="7">
        <v>122853.5499770694</v>
      </c>
      <c r="V150" s="7">
        <f>SUMIFS('Trade Log'!$N$7:$N$371,'Trade Log'!$A$7:$A$371,"A",'Trade Log'!$C$7:$C$371,A150)</f>
        <v>0</v>
      </c>
      <c r="W150" s="7">
        <f>SUMIFS('Trade Log'!$N$7:$N$371,'Trade Log'!$A$7:$A$371,"B",'Trade Log'!$C$7:$C$371,A150)</f>
        <v>0</v>
      </c>
      <c r="X150" s="7">
        <f>SUMIFS('Trade Log'!$N$7:$N$371,'Trade Log'!$A$7:$A$371,"C",'Trade Log'!$C$7:$C$371,A150)</f>
        <v>0</v>
      </c>
      <c r="Y150" s="7">
        <f t="shared" si="12"/>
        <v>0</v>
      </c>
      <c r="Z150" s="7">
        <f t="shared" si="13"/>
        <v>0</v>
      </c>
      <c r="AA150" s="7">
        <f t="shared" si="14"/>
        <v>0</v>
      </c>
    </row>
    <row r="151" spans="1:27">
      <c r="A151" s="10">
        <v>45958</v>
      </c>
      <c r="B151" s="7">
        <v>102418.8438</v>
      </c>
      <c r="C151" s="7">
        <v>0</v>
      </c>
      <c r="D151" s="7">
        <v>0</v>
      </c>
      <c r="E151" s="7">
        <v>0</v>
      </c>
      <c r="F151" s="7">
        <v>102418.8438</v>
      </c>
      <c r="G151" s="6">
        <v>0</v>
      </c>
      <c r="H151" s="7">
        <v>103928.8777</v>
      </c>
      <c r="I151" s="7">
        <v>0</v>
      </c>
      <c r="J151" s="7">
        <v>0</v>
      </c>
      <c r="K151" s="7">
        <v>0</v>
      </c>
      <c r="L151" s="7">
        <v>103928.8777</v>
      </c>
      <c r="M151" s="6">
        <v>0</v>
      </c>
      <c r="N151" s="7">
        <v>110015.658</v>
      </c>
      <c r="O151" s="7">
        <v>0</v>
      </c>
      <c r="P151" s="7">
        <v>0</v>
      </c>
      <c r="Q151" s="7">
        <v>0</v>
      </c>
      <c r="R151" s="7">
        <v>110015.658</v>
      </c>
      <c r="S151" s="6">
        <v>0</v>
      </c>
      <c r="T151" s="6">
        <v>2.6560036999999999E-3</v>
      </c>
      <c r="U151" s="7">
        <v>123179.8494647792</v>
      </c>
      <c r="V151" s="7">
        <f>SUMIFS('Trade Log'!$N$7:$N$371,'Trade Log'!$A$7:$A$371,"A",'Trade Log'!$C$7:$C$371,A151)</f>
        <v>0</v>
      </c>
      <c r="W151" s="7">
        <f>SUMIFS('Trade Log'!$N$7:$N$371,'Trade Log'!$A$7:$A$371,"B",'Trade Log'!$C$7:$C$371,A151)</f>
        <v>0</v>
      </c>
      <c r="X151" s="7">
        <f>SUMIFS('Trade Log'!$N$7:$N$371,'Trade Log'!$A$7:$A$371,"C",'Trade Log'!$C$7:$C$371,A151)</f>
        <v>0</v>
      </c>
      <c r="Y151" s="7">
        <f t="shared" si="12"/>
        <v>0</v>
      </c>
      <c r="Z151" s="7">
        <f t="shared" si="13"/>
        <v>0</v>
      </c>
      <c r="AA151" s="7">
        <f t="shared" si="14"/>
        <v>0</v>
      </c>
    </row>
    <row r="152" spans="1:27">
      <c r="A152" s="10">
        <v>45959</v>
      </c>
      <c r="B152" s="7">
        <v>102418.8438</v>
      </c>
      <c r="C152" s="7">
        <v>0</v>
      </c>
      <c r="D152" s="7">
        <v>0</v>
      </c>
      <c r="E152" s="7">
        <v>0</v>
      </c>
      <c r="F152" s="7">
        <v>102418.8438</v>
      </c>
      <c r="G152" s="6">
        <v>0</v>
      </c>
      <c r="H152" s="7">
        <v>103928.8777</v>
      </c>
      <c r="I152" s="7">
        <v>0</v>
      </c>
      <c r="J152" s="7">
        <v>0</v>
      </c>
      <c r="K152" s="7">
        <v>0</v>
      </c>
      <c r="L152" s="7">
        <v>103928.8777</v>
      </c>
      <c r="M152" s="6">
        <v>0</v>
      </c>
      <c r="N152" s="7">
        <v>110015.658</v>
      </c>
      <c r="O152" s="7">
        <v>0</v>
      </c>
      <c r="P152" s="7">
        <v>0</v>
      </c>
      <c r="Q152" s="7">
        <v>0</v>
      </c>
      <c r="R152" s="7">
        <v>110015.658</v>
      </c>
      <c r="S152" s="6">
        <v>0</v>
      </c>
      <c r="T152" s="6">
        <v>4.803074E-4</v>
      </c>
      <c r="U152" s="7">
        <v>123239.0136576057</v>
      </c>
      <c r="V152" s="7">
        <f>SUMIFS('Trade Log'!$N$7:$N$371,'Trade Log'!$A$7:$A$371,"A",'Trade Log'!$C$7:$C$371,A152)</f>
        <v>0</v>
      </c>
      <c r="W152" s="7">
        <f>SUMIFS('Trade Log'!$N$7:$N$371,'Trade Log'!$A$7:$A$371,"B",'Trade Log'!$C$7:$C$371,A152)</f>
        <v>0</v>
      </c>
      <c r="X152" s="7">
        <f>SUMIFS('Trade Log'!$N$7:$N$371,'Trade Log'!$A$7:$A$371,"C",'Trade Log'!$C$7:$C$371,A152)</f>
        <v>0</v>
      </c>
      <c r="Y152" s="7">
        <f t="shared" si="12"/>
        <v>0</v>
      </c>
      <c r="Z152" s="7">
        <f t="shared" si="13"/>
        <v>0</v>
      </c>
      <c r="AA152" s="7">
        <f t="shared" si="14"/>
        <v>0</v>
      </c>
    </row>
    <row r="153" spans="1:27">
      <c r="A153" s="10">
        <v>45960</v>
      </c>
      <c r="B153" s="7">
        <v>102418.8438</v>
      </c>
      <c r="C153" s="7">
        <v>537.89</v>
      </c>
      <c r="D153" s="7">
        <v>1.341</v>
      </c>
      <c r="E153" s="7">
        <v>536.54899999999998</v>
      </c>
      <c r="F153" s="7">
        <v>102955.3928</v>
      </c>
      <c r="G153" s="6">
        <v>5.2387722999999997E-3</v>
      </c>
      <c r="H153" s="7">
        <v>103928.8777</v>
      </c>
      <c r="I153" s="7">
        <v>-158.55000000000001</v>
      </c>
      <c r="J153" s="7">
        <v>1.359</v>
      </c>
      <c r="K153" s="7">
        <v>-159.90899999999999</v>
      </c>
      <c r="L153" s="7">
        <v>103768.9687</v>
      </c>
      <c r="M153" s="6">
        <v>-1.5386388E-3</v>
      </c>
      <c r="N153" s="7">
        <v>110015.658</v>
      </c>
      <c r="O153" s="7">
        <v>-323.39999999999998</v>
      </c>
      <c r="P153" s="7">
        <v>2.7719999999999998</v>
      </c>
      <c r="Q153" s="7">
        <v>-326.17200000000003</v>
      </c>
      <c r="R153" s="7">
        <v>109689.486</v>
      </c>
      <c r="S153" s="6">
        <v>-2.9647779999999999E-3</v>
      </c>
      <c r="T153" s="6">
        <v>-1.0998123300000001E-2</v>
      </c>
      <c r="U153" s="7">
        <v>121883.6157855804</v>
      </c>
      <c r="V153" s="7">
        <f>SUMIFS('Trade Log'!$N$7:$N$371,'Trade Log'!$A$7:$A$371,"A",'Trade Log'!$C$7:$C$371,A153)</f>
        <v>536.54900000000202</v>
      </c>
      <c r="W153" s="7">
        <f>SUMIFS('Trade Log'!$N$7:$N$371,'Trade Log'!$A$7:$A$371,"B",'Trade Log'!$C$7:$C$371,A153)</f>
        <v>-159.90899999999314</v>
      </c>
      <c r="X153" s="7">
        <f>SUMIFS('Trade Log'!$N$7:$N$371,'Trade Log'!$A$7:$A$371,"C",'Trade Log'!$C$7:$C$371,A153)</f>
        <v>-326.17199999998599</v>
      </c>
      <c r="Y153" s="7">
        <f t="shared" si="12"/>
        <v>2.0463630789890885E-12</v>
      </c>
      <c r="Z153" s="7">
        <f t="shared" si="13"/>
        <v>6.8496319727273658E-12</v>
      </c>
      <c r="AA153" s="7">
        <f t="shared" si="14"/>
        <v>1.404032445861958E-11</v>
      </c>
    </row>
    <row r="154" spans="1:27">
      <c r="A154" s="10">
        <v>45961</v>
      </c>
      <c r="B154" s="7">
        <v>102955.3928</v>
      </c>
      <c r="C154" s="7">
        <v>0</v>
      </c>
      <c r="D154" s="7">
        <v>0</v>
      </c>
      <c r="E154" s="7">
        <v>0</v>
      </c>
      <c r="F154" s="7">
        <v>102955.3928</v>
      </c>
      <c r="G154" s="6">
        <v>0</v>
      </c>
      <c r="H154" s="7">
        <v>103768.9687</v>
      </c>
      <c r="I154" s="7">
        <v>0</v>
      </c>
      <c r="J154" s="7">
        <v>0</v>
      </c>
      <c r="K154" s="7">
        <v>0</v>
      </c>
      <c r="L154" s="7">
        <v>103768.9687</v>
      </c>
      <c r="M154" s="6">
        <v>0</v>
      </c>
      <c r="N154" s="7">
        <v>109689.486</v>
      </c>
      <c r="O154" s="7">
        <v>0</v>
      </c>
      <c r="P154" s="7">
        <v>0</v>
      </c>
      <c r="Q154" s="7">
        <v>0</v>
      </c>
      <c r="R154" s="7">
        <v>109689.486</v>
      </c>
      <c r="S154" s="6">
        <v>0</v>
      </c>
      <c r="T154" s="6">
        <v>3.2802318E-3</v>
      </c>
      <c r="U154" s="7">
        <v>122283.42230074129</v>
      </c>
      <c r="V154" s="7">
        <f>SUMIFS('Trade Log'!$N$7:$N$371,'Trade Log'!$A$7:$A$371,"A",'Trade Log'!$C$7:$C$371,A154)</f>
        <v>0</v>
      </c>
      <c r="W154" s="7">
        <f>SUMIFS('Trade Log'!$N$7:$N$371,'Trade Log'!$A$7:$A$371,"B",'Trade Log'!$C$7:$C$371,A154)</f>
        <v>0</v>
      </c>
      <c r="X154" s="7">
        <f>SUMIFS('Trade Log'!$N$7:$N$371,'Trade Log'!$A$7:$A$371,"C",'Trade Log'!$C$7:$C$371,A154)</f>
        <v>0</v>
      </c>
      <c r="Y154" s="7">
        <f t="shared" si="12"/>
        <v>0</v>
      </c>
      <c r="Z154" s="7">
        <f t="shared" si="13"/>
        <v>0</v>
      </c>
      <c r="AA154" s="7">
        <f t="shared" si="14"/>
        <v>0</v>
      </c>
    </row>
    <row r="155" spans="1:27">
      <c r="A155" s="10">
        <v>45964</v>
      </c>
      <c r="B155" s="7">
        <v>102955.3928</v>
      </c>
      <c r="C155" s="7">
        <v>-442.51499999999999</v>
      </c>
      <c r="D155" s="7">
        <v>1.35</v>
      </c>
      <c r="E155" s="7">
        <v>-443.86500000000001</v>
      </c>
      <c r="F155" s="7">
        <v>102511.5278</v>
      </c>
      <c r="G155" s="6">
        <v>-4.3112360000000004E-3</v>
      </c>
      <c r="H155" s="7">
        <v>103768.9687</v>
      </c>
      <c r="I155" s="7">
        <v>-308.5752</v>
      </c>
      <c r="J155" s="7">
        <v>1.3680000000000001</v>
      </c>
      <c r="K155" s="7">
        <v>-309.94319999999999</v>
      </c>
      <c r="L155" s="7">
        <v>103459.02550000011</v>
      </c>
      <c r="M155" s="6">
        <v>-2.9868581999999999E-3</v>
      </c>
      <c r="N155" s="7">
        <v>109689.486</v>
      </c>
      <c r="O155" s="7">
        <v>-996.77909999999997</v>
      </c>
      <c r="P155" s="7">
        <v>4.4189999999999996</v>
      </c>
      <c r="Q155" s="7">
        <v>-1001.1981</v>
      </c>
      <c r="R155" s="7">
        <v>108688.2879</v>
      </c>
      <c r="S155" s="6">
        <v>-9.1275667000000008E-3</v>
      </c>
      <c r="T155" s="6">
        <v>1.8766677000000001E-3</v>
      </c>
      <c r="U155" s="7">
        <v>122512.907654735</v>
      </c>
      <c r="V155" s="7">
        <f>SUMIFS('Trade Log'!$N$7:$N$371,'Trade Log'!$A$7:$A$371,"A",'Trade Log'!$C$7:$C$371,A155)</f>
        <v>-443.86500000000308</v>
      </c>
      <c r="W155" s="7">
        <f>SUMIFS('Trade Log'!$N$7:$N$371,'Trade Log'!$A$7:$A$371,"B",'Trade Log'!$C$7:$C$371,A155)</f>
        <v>-309.94319999999203</v>
      </c>
      <c r="X155" s="7">
        <f>SUMIFS('Trade Log'!$N$7:$N$371,'Trade Log'!$A$7:$A$371,"C",'Trade Log'!$C$7:$C$371,A155)</f>
        <v>-1001.1980999999743</v>
      </c>
      <c r="Y155" s="7">
        <f t="shared" si="12"/>
        <v>-3.0695446184836328E-12</v>
      </c>
      <c r="Z155" s="7">
        <f t="shared" si="13"/>
        <v>7.9580786405131221E-12</v>
      </c>
      <c r="AA155" s="7">
        <f t="shared" si="14"/>
        <v>2.5693225325085223E-11</v>
      </c>
    </row>
    <row r="156" spans="1:27">
      <c r="A156" s="10">
        <v>45965</v>
      </c>
      <c r="B156" s="7">
        <v>102511.5278</v>
      </c>
      <c r="C156" s="7">
        <v>256.7</v>
      </c>
      <c r="D156" s="7">
        <v>1.359</v>
      </c>
      <c r="E156" s="7">
        <v>255.34100000000001</v>
      </c>
      <c r="F156" s="7">
        <v>102766.8688</v>
      </c>
      <c r="G156" s="6">
        <v>2.4908515999999999E-3</v>
      </c>
      <c r="H156" s="7">
        <v>103459.02550000011</v>
      </c>
      <c r="I156" s="7">
        <v>-7.6</v>
      </c>
      <c r="J156" s="7">
        <v>2.7360000000000002</v>
      </c>
      <c r="K156" s="7">
        <v>-10.336</v>
      </c>
      <c r="L156" s="7">
        <v>103448.68950000009</v>
      </c>
      <c r="M156" s="6">
        <v>-9.9904300000000005E-5</v>
      </c>
      <c r="N156" s="7">
        <v>108688.2879</v>
      </c>
      <c r="O156" s="7">
        <v>-24.7</v>
      </c>
      <c r="P156" s="7">
        <v>8.8919999999999995</v>
      </c>
      <c r="Q156" s="7">
        <v>-33.591999999999999</v>
      </c>
      <c r="R156" s="7">
        <v>108654.69590000009</v>
      </c>
      <c r="S156" s="6">
        <v>-3.0906729999999999E-4</v>
      </c>
      <c r="T156" s="6">
        <v>-1.18535429E-2</v>
      </c>
      <c r="U156" s="7">
        <v>121060.6956489935</v>
      </c>
      <c r="V156" s="7">
        <f>SUMIFS('Trade Log'!$N$7:$N$371,'Trade Log'!$A$7:$A$371,"A",'Trade Log'!$C$7:$C$371,A156)</f>
        <v>255.34100000000686</v>
      </c>
      <c r="W156" s="7">
        <f>SUMIFS('Trade Log'!$N$7:$N$371,'Trade Log'!$A$7:$A$371,"B",'Trade Log'!$C$7:$C$371,A156)</f>
        <v>-10.335999999993078</v>
      </c>
      <c r="X156" s="7">
        <f>SUMIFS('Trade Log'!$N$7:$N$371,'Trade Log'!$A$7:$A$371,"C",'Trade Log'!$C$7:$C$371,A156)</f>
        <v>-33.591999999977588</v>
      </c>
      <c r="Y156" s="7">
        <f t="shared" si="12"/>
        <v>6.8496319727273658E-12</v>
      </c>
      <c r="Z156" s="7">
        <f t="shared" si="13"/>
        <v>6.9224626031427761E-12</v>
      </c>
      <c r="AA156" s="7">
        <f t="shared" si="14"/>
        <v>2.241051788587356E-11</v>
      </c>
    </row>
    <row r="157" spans="1:27">
      <c r="A157" s="10">
        <v>45966</v>
      </c>
      <c r="B157" s="7">
        <v>102766.8688</v>
      </c>
      <c r="C157" s="7">
        <v>-114.76</v>
      </c>
      <c r="D157" s="7">
        <v>1.359</v>
      </c>
      <c r="E157" s="7">
        <v>-116.119</v>
      </c>
      <c r="F157" s="7">
        <v>102650.74980000001</v>
      </c>
      <c r="G157" s="6">
        <v>-1.1299264E-3</v>
      </c>
      <c r="H157" s="7">
        <v>103448.68950000009</v>
      </c>
      <c r="I157" s="7">
        <v>215.84</v>
      </c>
      <c r="J157" s="7">
        <v>1.3680000000000001</v>
      </c>
      <c r="K157" s="7">
        <v>214.47200000000001</v>
      </c>
      <c r="L157" s="7">
        <v>103663.1615000001</v>
      </c>
      <c r="M157" s="6">
        <v>2.0732210000000001E-3</v>
      </c>
      <c r="N157" s="7">
        <v>108654.69590000009</v>
      </c>
      <c r="O157" s="7">
        <v>610.6</v>
      </c>
      <c r="P157" s="7">
        <v>3.87</v>
      </c>
      <c r="Q157" s="7">
        <v>606.73</v>
      </c>
      <c r="R157" s="7">
        <v>109261.4259</v>
      </c>
      <c r="S157" s="6">
        <v>5.5840200000000003E-3</v>
      </c>
      <c r="T157" s="6">
        <v>3.4654345E-3</v>
      </c>
      <c r="U157" s="7">
        <v>121480.2235617633</v>
      </c>
      <c r="V157" s="7">
        <f>SUMIFS('Trade Log'!$N$7:$N$371,'Trade Log'!$A$7:$A$371,"A",'Trade Log'!$C$7:$C$371,A157)</f>
        <v>-116.11899999999862</v>
      </c>
      <c r="W157" s="7">
        <f>SUMIFS('Trade Log'!$N$7:$N$371,'Trade Log'!$A$7:$A$371,"B",'Trade Log'!$C$7:$C$371,A157)</f>
        <v>214.47199999999378</v>
      </c>
      <c r="X157" s="7">
        <f>SUMIFS('Trade Log'!$N$7:$N$371,'Trade Log'!$A$7:$A$371,"C",'Trade Log'!$C$7:$C$371,A157)</f>
        <v>606.7299999999824</v>
      </c>
      <c r="Y157" s="7">
        <f t="shared" si="12"/>
        <v>1.3784529073745944E-12</v>
      </c>
      <c r="Z157" s="7">
        <f t="shared" si="13"/>
        <v>-6.2243543652584776E-12</v>
      </c>
      <c r="AA157" s="7">
        <f t="shared" si="14"/>
        <v>-1.7621459846850485E-11</v>
      </c>
    </row>
    <row r="158" spans="1:27">
      <c r="A158" s="10">
        <v>45967</v>
      </c>
      <c r="B158" s="7">
        <v>102650.74980000001</v>
      </c>
      <c r="C158" s="7">
        <v>91.2</v>
      </c>
      <c r="D158" s="7">
        <v>1.3680000000000001</v>
      </c>
      <c r="E158" s="7">
        <v>89.831999999999994</v>
      </c>
      <c r="F158" s="7">
        <v>102740.5818</v>
      </c>
      <c r="G158" s="6">
        <v>8.7512270000000001E-4</v>
      </c>
      <c r="H158" s="7">
        <v>103663.1615000001</v>
      </c>
      <c r="I158" s="7">
        <v>-380.97</v>
      </c>
      <c r="J158" s="7">
        <v>1.377</v>
      </c>
      <c r="K158" s="7">
        <v>-382.34699999999998</v>
      </c>
      <c r="L158" s="7">
        <v>103280.81450000009</v>
      </c>
      <c r="M158" s="6">
        <v>-3.6883594000000001E-3</v>
      </c>
      <c r="N158" s="7">
        <v>109261.4259</v>
      </c>
      <c r="O158" s="7">
        <v>-1135.44</v>
      </c>
      <c r="P158" s="7">
        <v>4.1040000000000001</v>
      </c>
      <c r="Q158" s="7">
        <v>-1139.5440000000001</v>
      </c>
      <c r="R158" s="7">
        <v>108121.88189999999</v>
      </c>
      <c r="S158" s="6">
        <v>-1.0429517899999999E-2</v>
      </c>
      <c r="T158" s="6">
        <v>-1.07293604E-2</v>
      </c>
      <c r="U158" s="7">
        <v>120176.8184652521</v>
      </c>
      <c r="V158" s="7">
        <f>SUMIFS('Trade Log'!$N$7:$N$371,'Trade Log'!$A$7:$A$371,"A",'Trade Log'!$C$7:$C$371,A158)</f>
        <v>89.832000000003461</v>
      </c>
      <c r="W158" s="7">
        <f>SUMIFS('Trade Log'!$N$7:$N$371,'Trade Log'!$A$7:$A$371,"B",'Trade Log'!$C$7:$C$371,A158)</f>
        <v>-382.3470000000014</v>
      </c>
      <c r="X158" s="7">
        <f>SUMIFS('Trade Log'!$N$7:$N$371,'Trade Log'!$A$7:$A$371,"C",'Trade Log'!$C$7:$C$371,A158)</f>
        <v>-1139.5440000000042</v>
      </c>
      <c r="Y158" s="7">
        <f t="shared" si="12"/>
        <v>3.4674485505092889E-12</v>
      </c>
      <c r="Z158" s="7">
        <f t="shared" si="13"/>
        <v>-1.4210854715202004E-12</v>
      </c>
      <c r="AA158" s="7">
        <f t="shared" si="14"/>
        <v>-4.0927261579781771E-12</v>
      </c>
    </row>
    <row r="159" spans="1:27">
      <c r="A159" s="10">
        <v>45968</v>
      </c>
      <c r="B159" s="7">
        <v>102740.5818</v>
      </c>
      <c r="C159" s="7">
        <v>-1171.94</v>
      </c>
      <c r="D159" s="7">
        <v>1.3859999999999999</v>
      </c>
      <c r="E159" s="7">
        <v>-1173.326</v>
      </c>
      <c r="F159" s="7">
        <v>101567.2558</v>
      </c>
      <c r="G159" s="6">
        <v>-1.1420277899999999E-2</v>
      </c>
      <c r="H159" s="7">
        <v>103280.81450000009</v>
      </c>
      <c r="I159" s="7">
        <v>-298.76</v>
      </c>
      <c r="J159" s="7">
        <v>1.3859999999999999</v>
      </c>
      <c r="K159" s="7">
        <v>-300.14600000000002</v>
      </c>
      <c r="L159" s="7">
        <v>102980.6685000001</v>
      </c>
      <c r="M159" s="6">
        <v>-2.9061157000000002E-3</v>
      </c>
      <c r="N159" s="7">
        <v>108121.88189999999</v>
      </c>
      <c r="O159" s="7">
        <v>-810.92</v>
      </c>
      <c r="P159" s="7">
        <v>3.762</v>
      </c>
      <c r="Q159" s="7">
        <v>-814.68200000000002</v>
      </c>
      <c r="R159" s="7">
        <v>107307.19990000009</v>
      </c>
      <c r="S159" s="6">
        <v>-7.5348485E-3</v>
      </c>
      <c r="T159" s="6">
        <v>9.8461909999999998E-4</v>
      </c>
      <c r="U159" s="7">
        <v>120295.14685090521</v>
      </c>
      <c r="V159" s="7">
        <f>SUMIFS('Trade Log'!$N$7:$N$371,'Trade Log'!$A$7:$A$371,"A",'Trade Log'!$C$7:$C$371,A159)</f>
        <v>-1173.3260000000021</v>
      </c>
      <c r="W159" s="7">
        <f>SUMIFS('Trade Log'!$N$7:$N$371,'Trade Log'!$A$7:$A$371,"B",'Trade Log'!$C$7:$C$371,A159)</f>
        <v>-300.14599999999092</v>
      </c>
      <c r="X159" s="7">
        <f>SUMIFS('Trade Log'!$N$7:$N$371,'Trade Log'!$A$7:$A$371,"C",'Trade Log'!$C$7:$C$371,A159)</f>
        <v>-814.68199999997523</v>
      </c>
      <c r="Y159" s="7">
        <f t="shared" si="12"/>
        <v>-2.0463630789890885E-12</v>
      </c>
      <c r="Z159" s="7">
        <f t="shared" si="13"/>
        <v>9.0949470177292824E-12</v>
      </c>
      <c r="AA159" s="7">
        <f t="shared" si="14"/>
        <v>2.4783730623312294E-11</v>
      </c>
    </row>
    <row r="160" spans="1:27">
      <c r="A160" s="10">
        <v>45971</v>
      </c>
      <c r="B160" s="7">
        <v>101567.2558</v>
      </c>
      <c r="C160" s="7">
        <v>102.065</v>
      </c>
      <c r="D160" s="7">
        <v>1.341</v>
      </c>
      <c r="E160" s="7">
        <v>100.724</v>
      </c>
      <c r="F160" s="7">
        <v>101667.9798</v>
      </c>
      <c r="G160" s="6">
        <v>9.9169759999999992E-4</v>
      </c>
      <c r="H160" s="7">
        <v>102980.6685000001</v>
      </c>
      <c r="I160" s="7">
        <v>103.435</v>
      </c>
      <c r="J160" s="7">
        <v>1.359</v>
      </c>
      <c r="K160" s="7">
        <v>102.07599999999999</v>
      </c>
      <c r="L160" s="7">
        <v>103082.7445000001</v>
      </c>
      <c r="M160" s="6">
        <v>9.912152E-4</v>
      </c>
      <c r="N160" s="7">
        <v>107307.19990000009</v>
      </c>
      <c r="O160" s="7">
        <v>299.34500000000003</v>
      </c>
      <c r="P160" s="7">
        <v>3.9329999999999998</v>
      </c>
      <c r="Q160" s="7">
        <v>295.41199999999998</v>
      </c>
      <c r="R160" s="7">
        <v>107602.61190000011</v>
      </c>
      <c r="S160" s="6">
        <v>2.752956E-3</v>
      </c>
      <c r="T160" s="6">
        <v>1.56042744E-2</v>
      </c>
      <c r="U160" s="7">
        <v>122172.2653324006</v>
      </c>
      <c r="V160" s="7">
        <f>SUMIFS('Trade Log'!$N$7:$N$371,'Trade Log'!$A$7:$A$371,"A",'Trade Log'!$C$7:$C$371,A160)</f>
        <v>100.72400000000881</v>
      </c>
      <c r="W160" s="7">
        <f>SUMIFS('Trade Log'!$N$7:$N$371,'Trade Log'!$A$7:$A$371,"B",'Trade Log'!$C$7:$C$371,A160)</f>
        <v>102.07600000000893</v>
      </c>
      <c r="X160" s="7">
        <f>SUMIFS('Trade Log'!$N$7:$N$371,'Trade Log'!$A$7:$A$371,"C",'Trade Log'!$C$7:$C$371,A160)</f>
        <v>295.41200000002584</v>
      </c>
      <c r="Y160" s="7">
        <f t="shared" si="12"/>
        <v>8.8107299234252423E-12</v>
      </c>
      <c r="Z160" s="7">
        <f t="shared" si="13"/>
        <v>8.9386276158620603E-12</v>
      </c>
      <c r="AA160" s="7">
        <f t="shared" si="14"/>
        <v>2.5863755581667647E-11</v>
      </c>
    </row>
    <row r="161" spans="1:27">
      <c r="A161" s="10">
        <v>45972</v>
      </c>
      <c r="B161" s="7">
        <v>101667.9798</v>
      </c>
      <c r="C161" s="7">
        <v>-541.61500000000001</v>
      </c>
      <c r="D161" s="7">
        <v>1.341</v>
      </c>
      <c r="E161" s="7">
        <v>-542.95600000000002</v>
      </c>
      <c r="F161" s="7">
        <v>101125.0238</v>
      </c>
      <c r="G161" s="6">
        <v>-5.3404817999999996E-3</v>
      </c>
      <c r="H161" s="7">
        <v>103082.7445000001</v>
      </c>
      <c r="I161" s="7">
        <v>-50.585000000000001</v>
      </c>
      <c r="J161" s="7">
        <v>1.359</v>
      </c>
      <c r="K161" s="7">
        <v>-51.944000000000003</v>
      </c>
      <c r="L161" s="7">
        <v>103030.8005000001</v>
      </c>
      <c r="M161" s="6">
        <v>-5.039059E-4</v>
      </c>
      <c r="N161" s="7">
        <v>107602.61190000011</v>
      </c>
      <c r="O161" s="7">
        <v>-126.63</v>
      </c>
      <c r="P161" s="7">
        <v>3.4020000000000001</v>
      </c>
      <c r="Q161" s="7">
        <v>-130.03200000000001</v>
      </c>
      <c r="R161" s="7">
        <v>107472.5799000001</v>
      </c>
      <c r="S161" s="6">
        <v>-1.2084464999999999E-3</v>
      </c>
      <c r="T161" s="6">
        <v>2.2892697999999999E-3</v>
      </c>
      <c r="U161" s="7">
        <v>122451.95060758039</v>
      </c>
      <c r="V161" s="7">
        <f>SUMIFS('Trade Log'!$N$7:$N$371,'Trade Log'!$A$7:$A$371,"A",'Trade Log'!$C$7:$C$371,A161)</f>
        <v>-542.95599999999865</v>
      </c>
      <c r="W161" s="7">
        <f>SUMIFS('Trade Log'!$N$7:$N$371,'Trade Log'!$A$7:$A$371,"B",'Trade Log'!$C$7:$C$371,A161)</f>
        <v>-51.944000000005495</v>
      </c>
      <c r="X161" s="7">
        <f>SUMIFS('Trade Log'!$N$7:$N$371,'Trade Log'!$A$7:$A$371,"C",'Trade Log'!$C$7:$C$371,A161)</f>
        <v>-130.03200000001374</v>
      </c>
      <c r="Y161" s="7">
        <f t="shared" si="12"/>
        <v>1.3642420526593924E-12</v>
      </c>
      <c r="Z161" s="7">
        <f t="shared" si="13"/>
        <v>-5.4924953474255744E-12</v>
      </c>
      <c r="AA161" s="7">
        <f t="shared" si="14"/>
        <v>-1.3727685654885136E-11</v>
      </c>
    </row>
    <row r="162" spans="1:27">
      <c r="A162" s="10">
        <v>45973</v>
      </c>
      <c r="B162" s="7">
        <v>101125.0238</v>
      </c>
      <c r="C162" s="7">
        <v>0</v>
      </c>
      <c r="D162" s="7">
        <v>0</v>
      </c>
      <c r="E162" s="7">
        <v>0</v>
      </c>
      <c r="F162" s="7">
        <v>101125.0238</v>
      </c>
      <c r="G162" s="6">
        <v>0</v>
      </c>
      <c r="H162" s="7">
        <v>103030.8005000001</v>
      </c>
      <c r="I162" s="7">
        <v>0</v>
      </c>
      <c r="J162" s="7">
        <v>0</v>
      </c>
      <c r="K162" s="7">
        <v>0</v>
      </c>
      <c r="L162" s="7">
        <v>103030.8005000001</v>
      </c>
      <c r="M162" s="6">
        <v>0</v>
      </c>
      <c r="N162" s="7">
        <v>107472.5799000001</v>
      </c>
      <c r="O162" s="7">
        <v>0</v>
      </c>
      <c r="P162" s="7">
        <v>0</v>
      </c>
      <c r="Q162" s="7">
        <v>0</v>
      </c>
      <c r="R162" s="7">
        <v>107472.5799000001</v>
      </c>
      <c r="S162" s="6">
        <v>0</v>
      </c>
      <c r="T162" s="6">
        <v>5.5636900000000003E-4</v>
      </c>
      <c r="U162" s="7">
        <v>122520.0790720473</v>
      </c>
      <c r="V162" s="7">
        <f>SUMIFS('Trade Log'!$N$7:$N$371,'Trade Log'!$A$7:$A$371,"A",'Trade Log'!$C$7:$C$371,A162)</f>
        <v>0</v>
      </c>
      <c r="W162" s="7">
        <f>SUMIFS('Trade Log'!$N$7:$N$371,'Trade Log'!$A$7:$A$371,"B",'Trade Log'!$C$7:$C$371,A162)</f>
        <v>0</v>
      </c>
      <c r="X162" s="7">
        <f>SUMIFS('Trade Log'!$N$7:$N$371,'Trade Log'!$A$7:$A$371,"C",'Trade Log'!$C$7:$C$371,A162)</f>
        <v>0</v>
      </c>
      <c r="Y162" s="7">
        <f t="shared" si="12"/>
        <v>0</v>
      </c>
      <c r="Z162" s="7">
        <f t="shared" si="13"/>
        <v>0</v>
      </c>
      <c r="AA162" s="7">
        <f t="shared" si="14"/>
        <v>0</v>
      </c>
    </row>
    <row r="163" spans="1:27">
      <c r="A163" s="10">
        <v>45974</v>
      </c>
      <c r="B163" s="7">
        <v>101125.0238</v>
      </c>
      <c r="C163" s="7">
        <v>630.48</v>
      </c>
      <c r="D163" s="7">
        <v>1.3320000000000001</v>
      </c>
      <c r="E163" s="7">
        <v>629.14800000000002</v>
      </c>
      <c r="F163" s="7">
        <v>101754.1718</v>
      </c>
      <c r="G163" s="6">
        <v>6.2214868000000003E-3</v>
      </c>
      <c r="H163" s="7">
        <v>103030.8005000001</v>
      </c>
      <c r="I163" s="7">
        <v>643.26</v>
      </c>
      <c r="J163" s="7">
        <v>1.359</v>
      </c>
      <c r="K163" s="7">
        <v>641.90099999999995</v>
      </c>
      <c r="L163" s="7">
        <v>103672.7015000001</v>
      </c>
      <c r="M163" s="6">
        <v>6.2301854999999998E-3</v>
      </c>
      <c r="N163" s="7">
        <v>107472.5799000001</v>
      </c>
      <c r="O163" s="7">
        <v>1674.18</v>
      </c>
      <c r="P163" s="7">
        <v>3.5369999999999999</v>
      </c>
      <c r="Q163" s="7">
        <v>1670.643</v>
      </c>
      <c r="R163" s="7">
        <v>109143.2229000001</v>
      </c>
      <c r="S163" s="6">
        <v>1.55448301E-2</v>
      </c>
      <c r="T163" s="6">
        <v>-1.6593988699999999E-2</v>
      </c>
      <c r="U163" s="7">
        <v>120486.9822640093</v>
      </c>
      <c r="V163" s="7">
        <f>SUMIFS('Trade Log'!$N$7:$N$371,'Trade Log'!$A$7:$A$371,"A",'Trade Log'!$C$7:$C$371,A163)</f>
        <v>629.14799999999866</v>
      </c>
      <c r="W163" s="7">
        <f>SUMIFS('Trade Log'!$N$7:$N$371,'Trade Log'!$A$7:$A$371,"B",'Trade Log'!$C$7:$C$371,A163)</f>
        <v>641.90099999999859</v>
      </c>
      <c r="X163" s="7">
        <f>SUMIFS('Trade Log'!$N$7:$N$371,'Trade Log'!$A$7:$A$371,"C",'Trade Log'!$C$7:$C$371,A163)</f>
        <v>1670.6429999999964</v>
      </c>
      <c r="Y163" s="7">
        <f t="shared" si="12"/>
        <v>-1.3642420526593924E-12</v>
      </c>
      <c r="Z163" s="7">
        <f t="shared" si="13"/>
        <v>-1.3642420526593924E-12</v>
      </c>
      <c r="AA163" s="7">
        <f t="shared" si="14"/>
        <v>-3.637978807091713E-12</v>
      </c>
    </row>
    <row r="164" spans="1:27">
      <c r="A164" s="10">
        <v>45975</v>
      </c>
      <c r="B164" s="7">
        <v>101754.1718</v>
      </c>
      <c r="C164" s="7">
        <v>-387.6</v>
      </c>
      <c r="D164" s="7">
        <v>1.3680000000000001</v>
      </c>
      <c r="E164" s="7">
        <v>-388.96800000000002</v>
      </c>
      <c r="F164" s="7">
        <v>101365.2038</v>
      </c>
      <c r="G164" s="6">
        <v>-3.8226245999999999E-3</v>
      </c>
      <c r="H164" s="7">
        <v>103672.7015000001</v>
      </c>
      <c r="I164" s="7">
        <v>-475.8655</v>
      </c>
      <c r="J164" s="7">
        <v>2.79</v>
      </c>
      <c r="K164" s="7">
        <v>-478.65550000000002</v>
      </c>
      <c r="L164" s="7">
        <v>103194.0460000001</v>
      </c>
      <c r="M164" s="6">
        <v>-4.6169868999999999E-3</v>
      </c>
      <c r="N164" s="7">
        <v>109143.2229000001</v>
      </c>
      <c r="O164" s="7">
        <v>-1102.1659</v>
      </c>
      <c r="P164" s="7">
        <v>6.4619999999999997</v>
      </c>
      <c r="Q164" s="7">
        <v>-1108.6279</v>
      </c>
      <c r="R164" s="7">
        <v>108034.5950000001</v>
      </c>
      <c r="S164" s="6">
        <v>-1.0157551399999999E-2</v>
      </c>
      <c r="T164" s="6">
        <v>-1.636807E-4</v>
      </c>
      <c r="U164" s="7">
        <v>120467.26086640039</v>
      </c>
      <c r="V164" s="7">
        <f>SUMIFS('Trade Log'!$N$7:$N$371,'Trade Log'!$A$7:$A$371,"A",'Trade Log'!$C$7:$C$371,A164)</f>
        <v>-388.96800000001036</v>
      </c>
      <c r="W164" s="7">
        <f>SUMIFS('Trade Log'!$N$7:$N$371,'Trade Log'!$A$7:$A$371,"B",'Trade Log'!$C$7:$C$371,A164)</f>
        <v>-478.65550000000388</v>
      </c>
      <c r="X164" s="7">
        <f>SUMIFS('Trade Log'!$N$7:$N$371,'Trade Log'!$A$7:$A$371,"C",'Trade Log'!$C$7:$C$371,A164)</f>
        <v>-1108.627900000009</v>
      </c>
      <c r="Y164" s="7">
        <f t="shared" si="12"/>
        <v>-1.0345502232667059E-11</v>
      </c>
      <c r="Z164" s="7">
        <f t="shared" si="13"/>
        <v>-3.865352482534945E-12</v>
      </c>
      <c r="AA164" s="7">
        <f t="shared" si="14"/>
        <v>-9.0949470177292824E-12</v>
      </c>
    </row>
    <row r="165" spans="1:27">
      <c r="A165" s="10">
        <v>45978</v>
      </c>
      <c r="B165" s="7">
        <v>101365.2038</v>
      </c>
      <c r="C165" s="7">
        <v>534.45000000000005</v>
      </c>
      <c r="D165" s="7">
        <v>1.35</v>
      </c>
      <c r="E165" s="7">
        <v>533.1</v>
      </c>
      <c r="F165" s="7">
        <v>101898.30379999999</v>
      </c>
      <c r="G165" s="6">
        <v>5.2592011999999999E-3</v>
      </c>
      <c r="H165" s="7">
        <v>103194.0460000001</v>
      </c>
      <c r="I165" s="7">
        <v>545.13900000000001</v>
      </c>
      <c r="J165" s="7">
        <v>1.377</v>
      </c>
      <c r="K165" s="7">
        <v>543.76199999999994</v>
      </c>
      <c r="L165" s="7">
        <v>103737.80800000011</v>
      </c>
      <c r="M165" s="6">
        <v>5.2693156000000003E-3</v>
      </c>
      <c r="N165" s="7">
        <v>108034.5950000001</v>
      </c>
      <c r="O165" s="7">
        <v>1364.6289999999999</v>
      </c>
      <c r="P165" s="7">
        <v>3.4470000000000001</v>
      </c>
      <c r="Q165" s="7">
        <v>1361.182</v>
      </c>
      <c r="R165" s="7">
        <v>109395.7770000001</v>
      </c>
      <c r="S165" s="6">
        <v>1.25995011E-2</v>
      </c>
      <c r="T165" s="6">
        <v>-9.3164466999999997E-3</v>
      </c>
      <c r="U165" s="7">
        <v>119344.9340570249</v>
      </c>
      <c r="V165" s="7">
        <f>SUMIFS('Trade Log'!$N$7:$N$371,'Trade Log'!$A$7:$A$371,"A",'Trade Log'!$C$7:$C$371,A165)</f>
        <v>533.0999999999982</v>
      </c>
      <c r="W165" s="7">
        <f>SUMIFS('Trade Log'!$N$7:$N$371,'Trade Log'!$A$7:$A$371,"B",'Trade Log'!$C$7:$C$371,A165)</f>
        <v>543.76199999999824</v>
      </c>
      <c r="X165" s="7">
        <f>SUMIFS('Trade Log'!$N$7:$N$371,'Trade Log'!$A$7:$A$371,"C",'Trade Log'!$C$7:$C$371,A165)</f>
        <v>1361.1819999999955</v>
      </c>
      <c r="Y165" s="7">
        <f t="shared" si="12"/>
        <v>-1.8189894035458565E-12</v>
      </c>
      <c r="Z165" s="7">
        <f t="shared" si="13"/>
        <v>-1.7053025658242404E-12</v>
      </c>
      <c r="AA165" s="7">
        <f t="shared" si="14"/>
        <v>-4.5474735088646412E-12</v>
      </c>
    </row>
    <row r="166" spans="1:27">
      <c r="A166" s="10">
        <v>45979</v>
      </c>
      <c r="B166" s="7">
        <v>101898.30379999999</v>
      </c>
      <c r="C166" s="7">
        <v>0</v>
      </c>
      <c r="D166" s="7">
        <v>0</v>
      </c>
      <c r="E166" s="7">
        <v>0</v>
      </c>
      <c r="F166" s="7">
        <v>101898.30379999999</v>
      </c>
      <c r="G166" s="6">
        <v>0</v>
      </c>
      <c r="H166" s="7">
        <v>103737.80800000011</v>
      </c>
      <c r="I166" s="7">
        <v>0</v>
      </c>
      <c r="J166" s="7">
        <v>0</v>
      </c>
      <c r="K166" s="7">
        <v>0</v>
      </c>
      <c r="L166" s="7">
        <v>103737.80800000011</v>
      </c>
      <c r="M166" s="6">
        <v>0</v>
      </c>
      <c r="N166" s="7">
        <v>109395.7770000001</v>
      </c>
      <c r="O166" s="7">
        <v>0</v>
      </c>
      <c r="P166" s="7">
        <v>0</v>
      </c>
      <c r="Q166" s="7">
        <v>0</v>
      </c>
      <c r="R166" s="7">
        <v>109395.7770000001</v>
      </c>
      <c r="S166" s="6">
        <v>0</v>
      </c>
      <c r="T166" s="6">
        <v>-8.3975543000000003E-3</v>
      </c>
      <c r="U166" s="7">
        <v>118342.72848763059</v>
      </c>
      <c r="V166" s="7">
        <f>SUMIFS('Trade Log'!$N$7:$N$371,'Trade Log'!$A$7:$A$371,"A",'Trade Log'!$C$7:$C$371,A166)</f>
        <v>0</v>
      </c>
      <c r="W166" s="7">
        <f>SUMIFS('Trade Log'!$N$7:$N$371,'Trade Log'!$A$7:$A$371,"B",'Trade Log'!$C$7:$C$371,A166)</f>
        <v>0</v>
      </c>
      <c r="X166" s="7">
        <f>SUMIFS('Trade Log'!$N$7:$N$371,'Trade Log'!$A$7:$A$371,"C",'Trade Log'!$C$7:$C$371,A166)</f>
        <v>0</v>
      </c>
      <c r="Y166" s="7">
        <f t="shared" si="12"/>
        <v>0</v>
      </c>
      <c r="Z166" s="7">
        <f t="shared" si="13"/>
        <v>0</v>
      </c>
      <c r="AA166" s="7">
        <f t="shared" si="14"/>
        <v>0</v>
      </c>
    </row>
    <row r="167" spans="1:27">
      <c r="A167" s="10">
        <v>45980</v>
      </c>
      <c r="B167" s="7">
        <v>101898.30379999999</v>
      </c>
      <c r="C167" s="7">
        <v>0</v>
      </c>
      <c r="D167" s="7">
        <v>0</v>
      </c>
      <c r="E167" s="7">
        <v>0</v>
      </c>
      <c r="F167" s="7">
        <v>101898.30379999999</v>
      </c>
      <c r="G167" s="6">
        <v>0</v>
      </c>
      <c r="H167" s="7">
        <v>103737.80800000011</v>
      </c>
      <c r="I167" s="7">
        <v>0</v>
      </c>
      <c r="J167" s="7">
        <v>0</v>
      </c>
      <c r="K167" s="7">
        <v>0</v>
      </c>
      <c r="L167" s="7">
        <v>103737.80800000011</v>
      </c>
      <c r="M167" s="6">
        <v>0</v>
      </c>
      <c r="N167" s="7">
        <v>109395.7770000001</v>
      </c>
      <c r="O167" s="7">
        <v>0</v>
      </c>
      <c r="P167" s="7">
        <v>0</v>
      </c>
      <c r="Q167" s="7">
        <v>0</v>
      </c>
      <c r="R167" s="7">
        <v>109395.7770000001</v>
      </c>
      <c r="S167" s="6">
        <v>0</v>
      </c>
      <c r="T167" s="6">
        <v>3.8631681000000002E-3</v>
      </c>
      <c r="U167" s="7">
        <v>118799.9063412899</v>
      </c>
      <c r="V167" s="7">
        <f>SUMIFS('Trade Log'!$N$7:$N$371,'Trade Log'!$A$7:$A$371,"A",'Trade Log'!$C$7:$C$371,A167)</f>
        <v>0</v>
      </c>
      <c r="W167" s="7">
        <f>SUMIFS('Trade Log'!$N$7:$N$371,'Trade Log'!$A$7:$A$371,"B",'Trade Log'!$C$7:$C$371,A167)</f>
        <v>0</v>
      </c>
      <c r="X167" s="7">
        <f>SUMIFS('Trade Log'!$N$7:$N$371,'Trade Log'!$A$7:$A$371,"C",'Trade Log'!$C$7:$C$371,A167)</f>
        <v>0</v>
      </c>
      <c r="Y167" s="7">
        <f t="shared" ref="Y167:Y174" si="15">V167-E167</f>
        <v>0</v>
      </c>
      <c r="Z167" s="7">
        <f t="shared" ref="Z167:Z174" si="16">W167-K167</f>
        <v>0</v>
      </c>
      <c r="AA167" s="7">
        <f t="shared" ref="AA167:AA174" si="17">X167-Q167</f>
        <v>0</v>
      </c>
    </row>
    <row r="168" spans="1:27">
      <c r="A168" s="10">
        <v>45981</v>
      </c>
      <c r="B168" s="7">
        <v>101898.30379999999</v>
      </c>
      <c r="C168" s="7">
        <v>1083</v>
      </c>
      <c r="D168" s="7">
        <v>1.35</v>
      </c>
      <c r="E168" s="7">
        <v>1081.6500000000001</v>
      </c>
      <c r="F168" s="7">
        <v>102979.9538</v>
      </c>
      <c r="G168" s="6">
        <v>1.06149951E-2</v>
      </c>
      <c r="H168" s="7">
        <v>103737.80800000011</v>
      </c>
      <c r="I168" s="7">
        <v>1104.6600000000001</v>
      </c>
      <c r="J168" s="7">
        <v>1.377</v>
      </c>
      <c r="K168" s="7">
        <v>1103.2829999999999</v>
      </c>
      <c r="L168" s="7">
        <v>104841.0910000001</v>
      </c>
      <c r="M168" s="6">
        <v>1.06353028E-2</v>
      </c>
      <c r="N168" s="7">
        <v>109395.7770000001</v>
      </c>
      <c r="O168" s="7">
        <v>2758.04</v>
      </c>
      <c r="P168" s="7">
        <v>3.4380000000000002</v>
      </c>
      <c r="Q168" s="7">
        <v>2754.6019999999999</v>
      </c>
      <c r="R168" s="7">
        <v>112150.3790000001</v>
      </c>
      <c r="S168" s="6">
        <v>2.5180149299999999E-2</v>
      </c>
      <c r="T168" s="6">
        <v>-1.5242292100000001E-2</v>
      </c>
      <c r="U168" s="7">
        <v>116989.1234699333</v>
      </c>
      <c r="V168" s="7">
        <f>SUMIFS('Trade Log'!$N$7:$N$371,'Trade Log'!$A$7:$A$371,"A",'Trade Log'!$C$7:$C$371,A168)</f>
        <v>1081.6500000000042</v>
      </c>
      <c r="W168" s="7">
        <f>SUMIFS('Trade Log'!$N$7:$N$371,'Trade Log'!$A$7:$A$371,"B",'Trade Log'!$C$7:$C$371,A168)</f>
        <v>1103.2830000000042</v>
      </c>
      <c r="X168" s="7">
        <f>SUMIFS('Trade Log'!$N$7:$N$371,'Trade Log'!$A$7:$A$371,"C",'Trade Log'!$C$7:$C$371,A168)</f>
        <v>2754.6020000000103</v>
      </c>
      <c r="Y168" s="7">
        <f t="shared" si="15"/>
        <v>4.0927261579781771E-12</v>
      </c>
      <c r="Z168" s="7">
        <f t="shared" si="16"/>
        <v>4.3200998334214091E-12</v>
      </c>
      <c r="AA168" s="7">
        <f t="shared" si="17"/>
        <v>1.0459189070388675E-11</v>
      </c>
    </row>
    <row r="169" spans="1:27">
      <c r="A169" s="10">
        <v>45982</v>
      </c>
      <c r="B169" s="7">
        <v>102979.9538</v>
      </c>
      <c r="C169" s="7">
        <v>-281.02999999999997</v>
      </c>
      <c r="D169" s="7">
        <v>1.413</v>
      </c>
      <c r="E169" s="7">
        <v>-282.44299999999998</v>
      </c>
      <c r="F169" s="7">
        <v>102697.5108</v>
      </c>
      <c r="G169" s="6">
        <v>-2.7426987999999999E-3</v>
      </c>
      <c r="H169" s="7">
        <v>104841.0910000001</v>
      </c>
      <c r="I169" s="7">
        <v>-952</v>
      </c>
      <c r="J169" s="7">
        <v>2.88</v>
      </c>
      <c r="K169" s="7">
        <v>-954.88</v>
      </c>
      <c r="L169" s="7">
        <v>103886.2110000001</v>
      </c>
      <c r="M169" s="6">
        <v>-9.1078792999999998E-3</v>
      </c>
      <c r="N169" s="7">
        <v>112150.3790000001</v>
      </c>
      <c r="O169" s="7">
        <v>-2249.1</v>
      </c>
      <c r="P169" s="7">
        <v>6.8040000000000003</v>
      </c>
      <c r="Q169" s="7">
        <v>-2255.904</v>
      </c>
      <c r="R169" s="7">
        <v>109894.47500000009</v>
      </c>
      <c r="S169" s="6">
        <v>-2.0114992200000001E-2</v>
      </c>
      <c r="T169" s="6">
        <v>9.9612277999999999E-3</v>
      </c>
      <c r="U169" s="7">
        <v>118154.4787831826</v>
      </c>
      <c r="V169" s="7">
        <f>SUMIFS('Trade Log'!$N$7:$N$371,'Trade Log'!$A$7:$A$371,"A",'Trade Log'!$C$7:$C$371,A169)</f>
        <v>-282.44300000001215</v>
      </c>
      <c r="W169" s="7">
        <f>SUMIFS('Trade Log'!$N$7:$N$371,'Trade Log'!$A$7:$A$371,"B",'Trade Log'!$C$7:$C$371,A169)</f>
        <v>-954.88000000000739</v>
      </c>
      <c r="X169" s="7">
        <f>SUMIFS('Trade Log'!$N$7:$N$371,'Trade Log'!$A$7:$A$371,"C",'Trade Log'!$C$7:$C$371,A169)</f>
        <v>-2255.9040000000173</v>
      </c>
      <c r="Y169" s="7">
        <f t="shared" si="15"/>
        <v>-1.2164491636212915E-11</v>
      </c>
      <c r="Z169" s="7">
        <f t="shared" si="16"/>
        <v>-7.3896444519050419E-12</v>
      </c>
      <c r="AA169" s="7">
        <f t="shared" si="17"/>
        <v>-1.7280399333685637E-11</v>
      </c>
    </row>
    <row r="170" spans="1:27">
      <c r="A170" s="10">
        <v>45985</v>
      </c>
      <c r="B170" s="7">
        <v>102697.5108</v>
      </c>
      <c r="C170" s="7">
        <v>507.43</v>
      </c>
      <c r="D170" s="7">
        <v>1.3859999999999999</v>
      </c>
      <c r="E170" s="7">
        <v>506.04399999999998</v>
      </c>
      <c r="F170" s="7">
        <v>103203.5548</v>
      </c>
      <c r="G170" s="6">
        <v>4.9275196000000002E-3</v>
      </c>
      <c r="H170" s="7">
        <v>103886.2110000001</v>
      </c>
      <c r="I170" s="7">
        <v>406.38</v>
      </c>
      <c r="J170" s="7">
        <v>4.2119999999999997</v>
      </c>
      <c r="K170" s="7">
        <v>402.16800000000001</v>
      </c>
      <c r="L170" s="7">
        <v>104288.3790000001</v>
      </c>
      <c r="M170" s="6">
        <v>3.8712356E-3</v>
      </c>
      <c r="N170" s="7">
        <v>109894.47500000009</v>
      </c>
      <c r="O170" s="7">
        <v>893.51499999999999</v>
      </c>
      <c r="P170" s="7">
        <v>9.2609999999999992</v>
      </c>
      <c r="Q170" s="7">
        <v>884.25400000000002</v>
      </c>
      <c r="R170" s="7">
        <v>110778.72900000009</v>
      </c>
      <c r="S170" s="6">
        <v>8.0463918000000002E-3</v>
      </c>
      <c r="T170" s="6">
        <v>1.4718601600000001E-2</v>
      </c>
      <c r="U170" s="7">
        <v>119893.5474814162</v>
      </c>
      <c r="V170" s="7">
        <f>SUMIFS('Trade Log'!$N$7:$N$371,'Trade Log'!$A$7:$A$371,"A",'Trade Log'!$C$7:$C$371,A170)</f>
        <v>506.04400000001118</v>
      </c>
      <c r="W170" s="7">
        <f>SUMIFS('Trade Log'!$N$7:$N$371,'Trade Log'!$A$7:$A$371,"B",'Trade Log'!$C$7:$C$371,A170)</f>
        <v>402.16800000002058</v>
      </c>
      <c r="X170" s="7">
        <f>SUMIFS('Trade Log'!$N$7:$N$371,'Trade Log'!$A$7:$A$371,"C",'Trade Log'!$C$7:$C$371,A170)</f>
        <v>884.25400000004527</v>
      </c>
      <c r="Y170" s="7">
        <f t="shared" si="15"/>
        <v>1.1198153515579179E-11</v>
      </c>
      <c r="Z170" s="7">
        <f t="shared" si="16"/>
        <v>2.0577317627612501E-11</v>
      </c>
      <c r="AA170" s="7">
        <f t="shared" si="17"/>
        <v>4.524736141320318E-11</v>
      </c>
    </row>
    <row r="171" spans="1:27">
      <c r="A171" s="10">
        <v>45986</v>
      </c>
      <c r="B171" s="7">
        <v>103203.5548</v>
      </c>
      <c r="C171" s="7">
        <v>260.26</v>
      </c>
      <c r="D171" s="7">
        <v>1.3859999999999999</v>
      </c>
      <c r="E171" s="7">
        <v>258.87400000000002</v>
      </c>
      <c r="F171" s="7">
        <v>103462.42879999999</v>
      </c>
      <c r="G171" s="6">
        <v>2.5083826000000002E-3</v>
      </c>
      <c r="H171" s="7">
        <v>104288.3790000001</v>
      </c>
      <c r="I171" s="7">
        <v>79.05</v>
      </c>
      <c r="J171" s="7">
        <v>2.79</v>
      </c>
      <c r="K171" s="7">
        <v>76.260000000000005</v>
      </c>
      <c r="L171" s="7">
        <v>104364.6390000001</v>
      </c>
      <c r="M171" s="6">
        <v>7.3124159999999998E-4</v>
      </c>
      <c r="N171" s="7">
        <v>110778.72900000009</v>
      </c>
      <c r="O171" s="7">
        <v>164.73</v>
      </c>
      <c r="P171" s="7">
        <v>5.8140000000000001</v>
      </c>
      <c r="Q171" s="7">
        <v>158.916</v>
      </c>
      <c r="R171" s="7">
        <v>110937.64500000011</v>
      </c>
      <c r="S171" s="6">
        <v>1.4345352999999999E-3</v>
      </c>
      <c r="T171" s="6">
        <v>9.4058887999999997E-3</v>
      </c>
      <c r="U171" s="7">
        <v>121021.25285377591</v>
      </c>
      <c r="V171" s="7">
        <f>SUMIFS('Trade Log'!$N$7:$N$371,'Trade Log'!$A$7:$A$371,"A",'Trade Log'!$C$7:$C$371,A171)</f>
        <v>258.87399999999087</v>
      </c>
      <c r="W171" s="7">
        <f>SUMIFS('Trade Log'!$N$7:$N$371,'Trade Log'!$A$7:$A$371,"B",'Trade Log'!$C$7:$C$371,A171)</f>
        <v>76.259999999998598</v>
      </c>
      <c r="X171" s="7">
        <f>SUMIFS('Trade Log'!$N$7:$N$371,'Trade Log'!$A$7:$A$371,"C",'Trade Log'!$C$7:$C$371,A171)</f>
        <v>158.91599999999704</v>
      </c>
      <c r="Y171" s="7">
        <f t="shared" si="15"/>
        <v>-9.1517904365900904E-12</v>
      </c>
      <c r="Z171" s="7">
        <f t="shared" si="16"/>
        <v>-1.4068746168049984E-12</v>
      </c>
      <c r="AA171" s="7">
        <f t="shared" si="17"/>
        <v>-2.9558577807620168E-12</v>
      </c>
    </row>
    <row r="172" spans="1:27">
      <c r="A172" s="10">
        <v>45987</v>
      </c>
      <c r="B172" s="7">
        <v>103462.42879999999</v>
      </c>
      <c r="C172" s="7">
        <v>224.96</v>
      </c>
      <c r="D172" s="7">
        <v>1.3680000000000001</v>
      </c>
      <c r="E172" s="7">
        <v>223.59200000000001</v>
      </c>
      <c r="F172" s="7">
        <v>103686.0208</v>
      </c>
      <c r="G172" s="6">
        <v>2.1610937E-3</v>
      </c>
      <c r="H172" s="7">
        <v>104364.6390000001</v>
      </c>
      <c r="I172" s="7">
        <v>426.58</v>
      </c>
      <c r="J172" s="7">
        <v>1.3859999999999999</v>
      </c>
      <c r="K172" s="7">
        <v>425.19400000000002</v>
      </c>
      <c r="L172" s="7">
        <v>104789.8330000001</v>
      </c>
      <c r="M172" s="6">
        <v>4.0741194000000003E-3</v>
      </c>
      <c r="N172" s="7">
        <v>110937.64500000011</v>
      </c>
      <c r="O172" s="7">
        <v>858.7</v>
      </c>
      <c r="P172" s="7">
        <v>2.79</v>
      </c>
      <c r="Q172" s="7">
        <v>855.91</v>
      </c>
      <c r="R172" s="7">
        <v>111793.55500000009</v>
      </c>
      <c r="S172" s="6">
        <v>7.715235E-3</v>
      </c>
      <c r="T172" s="6">
        <v>6.9034991999999996E-3</v>
      </c>
      <c r="U172" s="7">
        <v>121856.7229706592</v>
      </c>
      <c r="V172" s="7">
        <f>SUMIFS('Trade Log'!$N$7:$N$371,'Trade Log'!$A$7:$A$371,"A",'Trade Log'!$C$7:$C$371,A172)</f>
        <v>223.59199999998549</v>
      </c>
      <c r="W172" s="7">
        <f>SUMIFS('Trade Log'!$N$7:$N$371,'Trade Log'!$A$7:$A$371,"B",'Trade Log'!$C$7:$C$371,A172)</f>
        <v>425.19399999999717</v>
      </c>
      <c r="X172" s="7">
        <f>SUMIFS('Trade Log'!$N$7:$N$371,'Trade Log'!$A$7:$A$371,"C",'Trade Log'!$C$7:$C$371,A172)</f>
        <v>855.9099999999944</v>
      </c>
      <c r="Y172" s="7">
        <f t="shared" si="15"/>
        <v>-1.4523493518936448E-11</v>
      </c>
      <c r="Z172" s="7">
        <f t="shared" si="16"/>
        <v>-2.8421709430404007E-12</v>
      </c>
      <c r="AA172" s="7">
        <f t="shared" si="17"/>
        <v>-5.5706550483591855E-12</v>
      </c>
    </row>
    <row r="173" spans="1:27">
      <c r="A173" s="10">
        <v>45989</v>
      </c>
      <c r="B173" s="7">
        <v>103686.0208</v>
      </c>
      <c r="C173" s="7">
        <v>0</v>
      </c>
      <c r="D173" s="7">
        <v>0</v>
      </c>
      <c r="E173" s="7">
        <v>0</v>
      </c>
      <c r="F173" s="7">
        <v>103686.0208</v>
      </c>
      <c r="G173" s="6">
        <v>0</v>
      </c>
      <c r="H173" s="7">
        <v>104789.8330000001</v>
      </c>
      <c r="I173" s="7">
        <v>0</v>
      </c>
      <c r="J173" s="7">
        <v>0</v>
      </c>
      <c r="K173" s="7">
        <v>0</v>
      </c>
      <c r="L173" s="7">
        <v>104789.8330000001</v>
      </c>
      <c r="M173" s="6">
        <v>0</v>
      </c>
      <c r="N173" s="7">
        <v>111793.55500000009</v>
      </c>
      <c r="O173" s="7">
        <v>0</v>
      </c>
      <c r="P173" s="7">
        <v>0</v>
      </c>
      <c r="Q173" s="7">
        <v>0</v>
      </c>
      <c r="R173" s="7">
        <v>111793.55500000009</v>
      </c>
      <c r="S173" s="6">
        <v>0</v>
      </c>
      <c r="T173" s="6">
        <v>5.4584509999999996E-3</v>
      </c>
      <c r="U173" s="7">
        <v>122521.8719263754</v>
      </c>
      <c r="V173" s="7">
        <f>SUMIFS('Trade Log'!$N$7:$N$371,'Trade Log'!$A$7:$A$371,"A",'Trade Log'!$C$7:$C$371,A173)</f>
        <v>0</v>
      </c>
      <c r="W173" s="7">
        <f>SUMIFS('Trade Log'!$N$7:$N$371,'Trade Log'!$A$7:$A$371,"B",'Trade Log'!$C$7:$C$371,A173)</f>
        <v>0</v>
      </c>
      <c r="X173" s="7">
        <f>SUMIFS('Trade Log'!$N$7:$N$371,'Trade Log'!$A$7:$A$371,"C",'Trade Log'!$C$7:$C$371,A173)</f>
        <v>0</v>
      </c>
      <c r="Y173" s="7">
        <f t="shared" si="15"/>
        <v>0</v>
      </c>
      <c r="Z173" s="7">
        <f t="shared" si="16"/>
        <v>0</v>
      </c>
      <c r="AA173" s="7">
        <f t="shared" si="17"/>
        <v>0</v>
      </c>
    </row>
    <row r="174" spans="1:27">
      <c r="A174" s="10">
        <v>45992</v>
      </c>
      <c r="B174" s="7">
        <v>103686.0208</v>
      </c>
      <c r="C174" s="7">
        <v>-90.44</v>
      </c>
      <c r="D174" s="7">
        <v>1.3680000000000001</v>
      </c>
      <c r="E174" s="7">
        <v>-91.808000000000007</v>
      </c>
      <c r="F174" s="7">
        <v>103594.21279999999</v>
      </c>
      <c r="G174" s="6">
        <v>-8.8544239999999998E-4</v>
      </c>
      <c r="H174" s="7">
        <v>104789.8330000001</v>
      </c>
      <c r="I174" s="7">
        <v>-314.41500000000002</v>
      </c>
      <c r="J174" s="7">
        <v>1.377</v>
      </c>
      <c r="K174" s="7">
        <v>-315.79199999999997</v>
      </c>
      <c r="L174" s="7">
        <v>104474.0410000001</v>
      </c>
      <c r="M174" s="6">
        <v>-3.0135748E-3</v>
      </c>
      <c r="N174" s="7">
        <v>111793.55500000009</v>
      </c>
      <c r="O174" s="7">
        <v>-651.43499999999995</v>
      </c>
      <c r="P174" s="7">
        <v>2.8530000000000002</v>
      </c>
      <c r="Q174" s="7">
        <v>-654.28800000000001</v>
      </c>
      <c r="R174" s="7">
        <v>111139.26700000009</v>
      </c>
      <c r="S174" s="6">
        <v>-5.8526450999999997E-3</v>
      </c>
      <c r="T174" s="6">
        <v>-4.5654750999999999E-3</v>
      </c>
      <c r="U174" s="7">
        <v>121962.5013760157</v>
      </c>
      <c r="V174" s="7">
        <f>SUMIFS('Trade Log'!$N$7:$N$371,'Trade Log'!$A$7:$A$371,"A",'Trade Log'!$C$7:$C$371,A174)</f>
        <v>-91.808000000004142</v>
      </c>
      <c r="W174" s="7">
        <f>SUMIFS('Trade Log'!$N$7:$N$371,'Trade Log'!$A$7:$A$371,"B",'Trade Log'!$C$7:$C$371,A174)</f>
        <v>-315.79200000000975</v>
      </c>
      <c r="X174" s="7">
        <f>SUMIFS('Trade Log'!$N$7:$N$371,'Trade Log'!$A$7:$A$371,"C",'Trade Log'!$C$7:$C$371,A174)</f>
        <v>-654.28800000002013</v>
      </c>
      <c r="Y174" s="7">
        <f t="shared" si="15"/>
        <v>-4.1353587221237831E-12</v>
      </c>
      <c r="Z174" s="7">
        <f t="shared" si="16"/>
        <v>-9.7770680440589786E-12</v>
      </c>
      <c r="AA174" s="7">
        <f t="shared" si="17"/>
        <v>-2.0122570276726037E-11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71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4"/>
  <cols>
    <col min="1" max="1" width="11" customWidth="1"/>
    <col min="2" max="2" width="10" customWidth="1"/>
    <col min="3" max="3" width="14" customWidth="1"/>
    <col min="4" max="5" width="21" customWidth="1"/>
    <col min="6" max="7" width="11" customWidth="1"/>
    <col min="8" max="9" width="17" customWidth="1"/>
    <col min="10" max="10" width="18" customWidth="1"/>
    <col min="11" max="13" width="17" customWidth="1"/>
    <col min="14" max="14" width="18" customWidth="1"/>
    <col min="15" max="20" width="17" customWidth="1"/>
    <col min="21" max="21" width="20" customWidth="1"/>
  </cols>
  <sheetData>
    <row r="1" spans="1:22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" customHeight="1">
      <c r="A2" s="2" t="s">
        <v>62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2" customHeight="1">
      <c r="A3" s="3" t="s">
        <v>63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38" customHeight="1">
      <c r="A6" s="5" t="s">
        <v>64</v>
      </c>
      <c r="B6" s="5" t="s">
        <v>65</v>
      </c>
      <c r="C6" s="5" t="s">
        <v>35</v>
      </c>
      <c r="D6" s="5" t="s">
        <v>66</v>
      </c>
      <c r="E6" s="5" t="s">
        <v>67</v>
      </c>
      <c r="F6" s="5" t="s">
        <v>68</v>
      </c>
      <c r="G6" s="5" t="s">
        <v>69</v>
      </c>
      <c r="H6" s="5" t="s">
        <v>70</v>
      </c>
      <c r="I6" s="5" t="s">
        <v>71</v>
      </c>
      <c r="J6" s="5" t="s">
        <v>72</v>
      </c>
      <c r="K6" s="5" t="s">
        <v>73</v>
      </c>
      <c r="L6" s="5" t="s">
        <v>74</v>
      </c>
      <c r="M6" s="5" t="s">
        <v>75</v>
      </c>
      <c r="N6" s="5" t="s">
        <v>76</v>
      </c>
      <c r="O6" s="5" t="s">
        <v>77</v>
      </c>
      <c r="P6" s="5" t="s">
        <v>78</v>
      </c>
      <c r="Q6" s="5" t="s">
        <v>79</v>
      </c>
      <c r="R6" s="5" t="s">
        <v>80</v>
      </c>
      <c r="S6" s="5" t="s">
        <v>81</v>
      </c>
      <c r="T6" s="5" t="s">
        <v>82</v>
      </c>
      <c r="U6" s="5" t="s">
        <v>83</v>
      </c>
    </row>
    <row r="7" spans="1:22">
      <c r="A7" t="s">
        <v>84</v>
      </c>
      <c r="B7">
        <v>1</v>
      </c>
      <c r="C7" s="10">
        <v>45749</v>
      </c>
      <c r="D7" s="11">
        <v>45749.479166666664</v>
      </c>
      <c r="E7" s="11">
        <v>45749.666666666664</v>
      </c>
      <c r="F7">
        <v>1</v>
      </c>
      <c r="G7">
        <v>180</v>
      </c>
      <c r="H7" s="7">
        <v>560.08669999999995</v>
      </c>
      <c r="I7" s="7">
        <v>561.29970000000003</v>
      </c>
      <c r="J7" s="7">
        <f t="shared" ref="J7:J70" si="0">F7*G7*(I7-H7)</f>
        <v>218.34000000001424</v>
      </c>
      <c r="K7" s="7">
        <f>2*G7*'Method Notes'!$B$8</f>
        <v>1.26</v>
      </c>
      <c r="L7" s="7">
        <f>2*G7*'Method Notes'!$B$9</f>
        <v>0.36</v>
      </c>
      <c r="M7" s="7">
        <f t="shared" ref="M7:M70" si="1">K7+L7</f>
        <v>1.62</v>
      </c>
      <c r="N7" s="7">
        <f t="shared" ref="N7:N70" si="2">J7-M7</f>
        <v>216.72000000001424</v>
      </c>
      <c r="O7" s="7">
        <v>559.54864381289997</v>
      </c>
      <c r="P7" s="7">
        <v>553.61246595590001</v>
      </c>
      <c r="Q7" s="7">
        <v>557.4300935791</v>
      </c>
      <c r="R7" s="7">
        <v>561.22147236019998</v>
      </c>
      <c r="S7" s="7">
        <v>551.94679365160005</v>
      </c>
      <c r="T7" s="7">
        <v>559.69858487780004</v>
      </c>
      <c r="U7" t="s">
        <v>85</v>
      </c>
    </row>
    <row r="8" spans="1:22">
      <c r="A8" t="s">
        <v>84</v>
      </c>
      <c r="B8">
        <v>2</v>
      </c>
      <c r="C8" s="10">
        <v>45750</v>
      </c>
      <c r="D8" s="11">
        <v>45750.4375</v>
      </c>
      <c r="E8" s="11">
        <v>45750.666666666664</v>
      </c>
      <c r="F8">
        <v>-1</v>
      </c>
      <c r="G8">
        <v>185</v>
      </c>
      <c r="H8" s="7">
        <v>539.87260000000003</v>
      </c>
      <c r="I8" s="7">
        <v>533.63840000000005</v>
      </c>
      <c r="J8" s="7">
        <f t="shared" si="0"/>
        <v>1153.3269999999975</v>
      </c>
      <c r="K8" s="7">
        <f>2*G8*'Method Notes'!$B$8</f>
        <v>1.2949999999999999</v>
      </c>
      <c r="L8" s="7">
        <f>2*G8*'Method Notes'!$B$9</f>
        <v>0.37</v>
      </c>
      <c r="M8" s="7">
        <f t="shared" si="1"/>
        <v>1.665</v>
      </c>
      <c r="N8" s="7">
        <f t="shared" si="2"/>
        <v>1151.6619999999975</v>
      </c>
      <c r="O8" s="7">
        <v>562.42341006940001</v>
      </c>
      <c r="P8" s="7">
        <v>539.95765424989997</v>
      </c>
      <c r="Q8" s="7">
        <v>540.57172269780006</v>
      </c>
      <c r="R8" s="7">
        <v>564.95842808750001</v>
      </c>
      <c r="S8" s="7">
        <v>537.51413045640004</v>
      </c>
      <c r="T8" s="7">
        <v>537.86789182790005</v>
      </c>
      <c r="U8" t="s">
        <v>85</v>
      </c>
    </row>
    <row r="9" spans="1:22">
      <c r="A9" t="s">
        <v>84</v>
      </c>
      <c r="B9">
        <v>3</v>
      </c>
      <c r="C9" s="10">
        <v>45751</v>
      </c>
      <c r="D9" s="11">
        <v>45751.4375</v>
      </c>
      <c r="E9" s="11">
        <v>45751.666666666664</v>
      </c>
      <c r="F9">
        <v>-1</v>
      </c>
      <c r="G9">
        <v>194</v>
      </c>
      <c r="H9" s="7">
        <v>513.20069999999998</v>
      </c>
      <c r="I9" s="7">
        <v>502.39760000000001</v>
      </c>
      <c r="J9" s="7">
        <f t="shared" si="0"/>
        <v>2095.8013999999948</v>
      </c>
      <c r="K9" s="7">
        <f>2*G9*'Method Notes'!$B$8</f>
        <v>1.3580000000000001</v>
      </c>
      <c r="L9" s="7">
        <f>2*G9*'Method Notes'!$B$9</f>
        <v>0.38800000000000001</v>
      </c>
      <c r="M9" s="7">
        <f t="shared" si="1"/>
        <v>1.746</v>
      </c>
      <c r="N9" s="7">
        <f t="shared" si="2"/>
        <v>2094.0553999999947</v>
      </c>
      <c r="O9" s="7">
        <v>534.78861002890005</v>
      </c>
      <c r="P9" s="7">
        <v>518.8558410329</v>
      </c>
      <c r="Q9" s="7">
        <v>517.50886119769996</v>
      </c>
      <c r="R9" s="7">
        <v>537.2345141577</v>
      </c>
      <c r="S9" s="7">
        <v>516.47255325089998</v>
      </c>
      <c r="T9" s="7">
        <v>509.55477975159999</v>
      </c>
      <c r="U9" t="s">
        <v>85</v>
      </c>
    </row>
    <row r="10" spans="1:22">
      <c r="A10" t="s">
        <v>84</v>
      </c>
      <c r="B10">
        <v>4</v>
      </c>
      <c r="C10" s="10">
        <v>45754</v>
      </c>
      <c r="D10" s="11">
        <v>45754.583333333336</v>
      </c>
      <c r="E10" s="11">
        <v>45754.666666666664</v>
      </c>
      <c r="F10">
        <v>1</v>
      </c>
      <c r="G10">
        <v>210</v>
      </c>
      <c r="H10" s="7">
        <v>506.30520000000001</v>
      </c>
      <c r="I10" s="7">
        <v>501.50279999999998</v>
      </c>
      <c r="J10" s="7">
        <f t="shared" si="0"/>
        <v>-1008.5040000000072</v>
      </c>
      <c r="K10" s="7">
        <f>2*G10*'Method Notes'!$B$8</f>
        <v>1.47</v>
      </c>
      <c r="L10" s="7">
        <f>2*G10*'Method Notes'!$B$9</f>
        <v>0.42</v>
      </c>
      <c r="M10" s="7">
        <f t="shared" si="1"/>
        <v>1.89</v>
      </c>
      <c r="N10" s="7">
        <f t="shared" si="2"/>
        <v>-1010.3940000000072</v>
      </c>
      <c r="O10" s="7">
        <v>505.09717605510002</v>
      </c>
      <c r="P10" s="7">
        <v>489.97167062810001</v>
      </c>
      <c r="Q10" s="7">
        <v>496.59523573849998</v>
      </c>
      <c r="R10" s="7">
        <v>506.88636098299997</v>
      </c>
      <c r="S10" s="7">
        <v>488.21731052040002</v>
      </c>
      <c r="T10" s="7">
        <v>497.44855627039999</v>
      </c>
      <c r="U10" t="s">
        <v>85</v>
      </c>
    </row>
    <row r="11" spans="1:22">
      <c r="A11" t="s">
        <v>84</v>
      </c>
      <c r="B11">
        <v>5</v>
      </c>
      <c r="C11" s="10">
        <v>45755</v>
      </c>
      <c r="D11" s="11">
        <v>45755.645833333336</v>
      </c>
      <c r="E11" s="11">
        <v>45755.666666666664</v>
      </c>
      <c r="F11">
        <v>-1</v>
      </c>
      <c r="G11">
        <v>197</v>
      </c>
      <c r="H11" s="7">
        <v>494.4271</v>
      </c>
      <c r="I11" s="7">
        <v>493.64789999999999</v>
      </c>
      <c r="J11" s="7">
        <f t="shared" si="0"/>
        <v>153.50240000000059</v>
      </c>
      <c r="K11" s="7">
        <f>2*G11*'Method Notes'!$B$8</f>
        <v>1.379</v>
      </c>
      <c r="L11" s="7">
        <f>2*G11*'Method Notes'!$B$9</f>
        <v>0.39400000000000002</v>
      </c>
      <c r="M11" s="7">
        <f t="shared" si="1"/>
        <v>1.7730000000000001</v>
      </c>
      <c r="N11" s="7">
        <f t="shared" si="2"/>
        <v>151.7294000000006</v>
      </c>
      <c r="O11" s="7">
        <v>524.08276777959998</v>
      </c>
      <c r="P11" s="7">
        <v>497.6197818123</v>
      </c>
      <c r="Q11" s="7">
        <v>507.39754010310003</v>
      </c>
      <c r="R11" s="7">
        <v>525.35520704630005</v>
      </c>
      <c r="S11" s="7">
        <v>496.3927385083</v>
      </c>
      <c r="T11" s="7">
        <v>504.27580488349997</v>
      </c>
      <c r="U11" t="s">
        <v>85</v>
      </c>
    </row>
    <row r="12" spans="1:22">
      <c r="A12" t="s">
        <v>84</v>
      </c>
      <c r="B12">
        <v>6</v>
      </c>
      <c r="C12" s="10">
        <v>45756</v>
      </c>
      <c r="D12" s="11">
        <v>45756.458333333336</v>
      </c>
      <c r="E12" s="11">
        <v>45756.5625</v>
      </c>
      <c r="F12">
        <v>-1</v>
      </c>
      <c r="G12">
        <v>206</v>
      </c>
      <c r="H12" s="7">
        <v>490.31700000000001</v>
      </c>
      <c r="I12" s="7">
        <v>521.77650000000006</v>
      </c>
      <c r="J12" s="7">
        <f t="shared" si="0"/>
        <v>-6480.6570000000102</v>
      </c>
      <c r="K12" s="7">
        <f>2*G12*'Method Notes'!$B$8</f>
        <v>1.4419999999999999</v>
      </c>
      <c r="L12" s="7">
        <f>2*G12*'Method Notes'!$B$9</f>
        <v>0.41200000000000003</v>
      </c>
      <c r="M12" s="7">
        <f t="shared" si="1"/>
        <v>1.8540000000000001</v>
      </c>
      <c r="N12" s="7">
        <f t="shared" si="2"/>
        <v>-6482.5110000000104</v>
      </c>
      <c r="O12" s="7">
        <v>500.56817538220002</v>
      </c>
      <c r="P12" s="7">
        <v>490.44998498529998</v>
      </c>
      <c r="Q12" s="7">
        <v>495.30708028359999</v>
      </c>
      <c r="R12" s="7">
        <v>502.47450922519999</v>
      </c>
      <c r="S12" s="7">
        <v>488.55782944150002</v>
      </c>
      <c r="T12" s="7">
        <v>506.47916999130001</v>
      </c>
      <c r="U12" t="s">
        <v>86</v>
      </c>
    </row>
    <row r="13" spans="1:22">
      <c r="A13" t="s">
        <v>84</v>
      </c>
      <c r="B13">
        <v>7</v>
      </c>
      <c r="C13" s="10">
        <v>45756</v>
      </c>
      <c r="D13" s="11">
        <v>45756.5625</v>
      </c>
      <c r="E13" s="11">
        <v>45756.666666666664</v>
      </c>
      <c r="F13">
        <v>1</v>
      </c>
      <c r="G13">
        <v>206</v>
      </c>
      <c r="H13" s="7">
        <v>521.77650000000006</v>
      </c>
      <c r="I13" s="7">
        <v>545.49040000000002</v>
      </c>
      <c r="J13" s="7">
        <f t="shared" si="0"/>
        <v>4885.0633999999936</v>
      </c>
      <c r="K13" s="7">
        <f>2*G13*'Method Notes'!$B$8</f>
        <v>1.4419999999999999</v>
      </c>
      <c r="L13" s="7">
        <f>2*G13*'Method Notes'!$B$9</f>
        <v>0.41200000000000003</v>
      </c>
      <c r="M13" s="7">
        <f t="shared" si="1"/>
        <v>1.8540000000000001</v>
      </c>
      <c r="N13" s="7">
        <f t="shared" si="2"/>
        <v>4883.2093999999934</v>
      </c>
      <c r="O13" s="7">
        <v>502.47450922519999</v>
      </c>
      <c r="P13" s="7">
        <v>488.55782944150002</v>
      </c>
      <c r="Q13" s="7">
        <v>506.47916999130001</v>
      </c>
      <c r="R13" s="7">
        <v>504.02787899139997</v>
      </c>
      <c r="S13" s="7">
        <v>487.0160128151</v>
      </c>
      <c r="T13" s="7">
        <v>523.88149199019995</v>
      </c>
      <c r="U13" t="s">
        <v>85</v>
      </c>
    </row>
    <row r="14" spans="1:22">
      <c r="A14" t="s">
        <v>84</v>
      </c>
      <c r="B14">
        <v>8</v>
      </c>
      <c r="C14" s="10">
        <v>45757</v>
      </c>
      <c r="D14" s="11">
        <v>45757.479166666664</v>
      </c>
      <c r="E14" s="11">
        <v>45757.666666666664</v>
      </c>
      <c r="F14">
        <v>-1</v>
      </c>
      <c r="G14">
        <v>192</v>
      </c>
      <c r="H14" s="7">
        <v>520.81200000000001</v>
      </c>
      <c r="I14" s="7">
        <v>521.58759999999995</v>
      </c>
      <c r="J14" s="7">
        <f t="shared" si="0"/>
        <v>-148.91519999998854</v>
      </c>
      <c r="K14" s="7">
        <f>2*G14*'Method Notes'!$B$8</f>
        <v>1.3440000000000001</v>
      </c>
      <c r="L14" s="7">
        <f>2*G14*'Method Notes'!$B$9</f>
        <v>0.38400000000000001</v>
      </c>
      <c r="M14" s="7">
        <f t="shared" si="1"/>
        <v>1.7280000000000002</v>
      </c>
      <c r="N14" s="7">
        <f t="shared" si="2"/>
        <v>-150.64319999998855</v>
      </c>
      <c r="O14" s="7">
        <v>548.48380842580002</v>
      </c>
      <c r="P14" s="7">
        <v>523.00037572669999</v>
      </c>
      <c r="Q14" s="7">
        <v>524.32108434539998</v>
      </c>
      <c r="R14" s="7">
        <v>556.51293874500004</v>
      </c>
      <c r="S14" s="7">
        <v>515.25979589839994</v>
      </c>
      <c r="T14" s="7">
        <v>519.65236082260003</v>
      </c>
      <c r="U14" t="s">
        <v>85</v>
      </c>
    </row>
    <row r="15" spans="1:22">
      <c r="A15" t="s">
        <v>84</v>
      </c>
      <c r="B15">
        <v>9</v>
      </c>
      <c r="C15" s="10">
        <v>45758</v>
      </c>
      <c r="D15" s="11">
        <v>45758.4375</v>
      </c>
      <c r="E15" s="11">
        <v>45758.541666666664</v>
      </c>
      <c r="F15">
        <v>-1</v>
      </c>
      <c r="G15">
        <v>193</v>
      </c>
      <c r="H15" s="7">
        <v>517.5607</v>
      </c>
      <c r="I15" s="7">
        <v>528.78629999999998</v>
      </c>
      <c r="J15" s="7">
        <f t="shared" si="0"/>
        <v>-2166.540799999997</v>
      </c>
      <c r="K15" s="7">
        <f>2*G15*'Method Notes'!$B$8</f>
        <v>1.351</v>
      </c>
      <c r="L15" s="7">
        <f>2*G15*'Method Notes'!$B$9</f>
        <v>0.38600000000000001</v>
      </c>
      <c r="M15" s="7">
        <f t="shared" si="1"/>
        <v>1.7370000000000001</v>
      </c>
      <c r="N15" s="7">
        <f t="shared" si="2"/>
        <v>-2168.2777999999971</v>
      </c>
      <c r="O15" s="7">
        <v>523.82764540220001</v>
      </c>
      <c r="P15" s="7">
        <v>519.90785482909996</v>
      </c>
      <c r="Q15" s="7">
        <v>519.99486563619996</v>
      </c>
      <c r="R15" s="7">
        <v>526.66127550019996</v>
      </c>
      <c r="S15" s="7">
        <v>517.07725890430004</v>
      </c>
      <c r="T15" s="7">
        <v>521.79019514319998</v>
      </c>
      <c r="U15" t="s">
        <v>86</v>
      </c>
    </row>
    <row r="16" spans="1:22">
      <c r="A16" t="s">
        <v>84</v>
      </c>
      <c r="B16">
        <v>10</v>
      </c>
      <c r="C16" s="10">
        <v>45758</v>
      </c>
      <c r="D16" s="11">
        <v>45758.541666666664</v>
      </c>
      <c r="E16" s="11">
        <v>45758.666666666664</v>
      </c>
      <c r="F16">
        <v>1</v>
      </c>
      <c r="G16">
        <v>193</v>
      </c>
      <c r="H16" s="7">
        <v>528.78629999999998</v>
      </c>
      <c r="I16" s="7">
        <v>530.89419999999996</v>
      </c>
      <c r="J16" s="7">
        <f t="shared" si="0"/>
        <v>406.82469999999466</v>
      </c>
      <c r="K16" s="7">
        <f>2*G16*'Method Notes'!$B$8</f>
        <v>1.351</v>
      </c>
      <c r="L16" s="7">
        <f>2*G16*'Method Notes'!$B$9</f>
        <v>0.38600000000000001</v>
      </c>
      <c r="M16" s="7">
        <f t="shared" si="1"/>
        <v>1.7370000000000001</v>
      </c>
      <c r="N16" s="7">
        <f t="shared" si="2"/>
        <v>405.08769999999464</v>
      </c>
      <c r="O16" s="7">
        <v>526.66127550019996</v>
      </c>
      <c r="P16" s="7">
        <v>517.07725890430004</v>
      </c>
      <c r="Q16" s="7">
        <v>521.79019514319998</v>
      </c>
      <c r="R16" s="7">
        <v>532.7325785283</v>
      </c>
      <c r="S16" s="7">
        <v>511.01245686039999</v>
      </c>
      <c r="T16" s="7">
        <v>525.91875868620002</v>
      </c>
      <c r="U16" t="s">
        <v>85</v>
      </c>
    </row>
    <row r="17" spans="1:21">
      <c r="A17" t="s">
        <v>84</v>
      </c>
      <c r="B17">
        <v>11</v>
      </c>
      <c r="C17" s="10">
        <v>45768</v>
      </c>
      <c r="D17" s="11">
        <v>45768.479166666664</v>
      </c>
      <c r="E17" s="11">
        <v>45768.666666666664</v>
      </c>
      <c r="F17">
        <v>-1</v>
      </c>
      <c r="G17">
        <v>192</v>
      </c>
      <c r="H17" s="7">
        <v>510.14319999999998</v>
      </c>
      <c r="I17" s="7">
        <v>510.9486</v>
      </c>
      <c r="J17" s="7">
        <f t="shared" si="0"/>
        <v>-154.63680000000386</v>
      </c>
      <c r="K17" s="7">
        <f>2*G17*'Method Notes'!$B$8</f>
        <v>1.3440000000000001</v>
      </c>
      <c r="L17" s="7">
        <f>2*G17*'Method Notes'!$B$9</f>
        <v>0.38400000000000001</v>
      </c>
      <c r="M17" s="7">
        <f t="shared" si="1"/>
        <v>1.7280000000000002</v>
      </c>
      <c r="N17" s="7">
        <f t="shared" si="2"/>
        <v>-156.36480000000387</v>
      </c>
      <c r="O17" s="7">
        <v>526.91823026530005</v>
      </c>
      <c r="P17" s="7">
        <v>510.98743451889999</v>
      </c>
      <c r="Q17" s="7">
        <v>512.440768693</v>
      </c>
      <c r="R17" s="7">
        <v>534.43047349350002</v>
      </c>
      <c r="S17" s="7">
        <v>503.60390959950001</v>
      </c>
      <c r="T17" s="7">
        <v>509.6615207561</v>
      </c>
      <c r="U17" t="s">
        <v>85</v>
      </c>
    </row>
    <row r="18" spans="1:21">
      <c r="A18" t="s">
        <v>84</v>
      </c>
      <c r="B18">
        <v>12</v>
      </c>
      <c r="C18" s="10">
        <v>45769</v>
      </c>
      <c r="D18" s="11">
        <v>45769.5</v>
      </c>
      <c r="E18" s="11">
        <v>45769.666666666664</v>
      </c>
      <c r="F18">
        <v>1</v>
      </c>
      <c r="G18">
        <v>190</v>
      </c>
      <c r="H18" s="7">
        <v>523.20830000000001</v>
      </c>
      <c r="I18" s="7">
        <v>524.2423</v>
      </c>
      <c r="J18" s="7">
        <f t="shared" si="0"/>
        <v>196.45999999999844</v>
      </c>
      <c r="K18" s="7">
        <f>2*G18*'Method Notes'!$B$8</f>
        <v>1.33</v>
      </c>
      <c r="L18" s="7">
        <f>2*G18*'Method Notes'!$B$9</f>
        <v>0.38</v>
      </c>
      <c r="M18" s="7">
        <f t="shared" si="1"/>
        <v>1.71</v>
      </c>
      <c r="N18" s="7">
        <f t="shared" si="2"/>
        <v>194.74999999999844</v>
      </c>
      <c r="O18" s="7">
        <v>523.1512204572</v>
      </c>
      <c r="P18" s="7">
        <v>506.80471170070001</v>
      </c>
      <c r="Q18" s="7">
        <v>521.04227744139996</v>
      </c>
      <c r="R18" s="7">
        <v>529.47201809160003</v>
      </c>
      <c r="S18" s="7">
        <v>500.58128580409999</v>
      </c>
      <c r="T18" s="7">
        <v>522.20381469500001</v>
      </c>
      <c r="U18" t="s">
        <v>85</v>
      </c>
    </row>
    <row r="19" spans="1:21">
      <c r="A19" t="s">
        <v>84</v>
      </c>
      <c r="B19">
        <v>13</v>
      </c>
      <c r="C19" s="10">
        <v>45771</v>
      </c>
      <c r="D19" s="11">
        <v>45771.4375</v>
      </c>
      <c r="E19" s="11">
        <v>45771.666666666664</v>
      </c>
      <c r="F19">
        <v>1</v>
      </c>
      <c r="G19">
        <v>184</v>
      </c>
      <c r="H19" s="7">
        <v>539.03880000000004</v>
      </c>
      <c r="I19" s="7">
        <v>543.57140000000004</v>
      </c>
      <c r="J19" s="7">
        <f t="shared" si="0"/>
        <v>833.9984000000004</v>
      </c>
      <c r="K19" s="7">
        <f>2*G19*'Method Notes'!$B$8</f>
        <v>1.288</v>
      </c>
      <c r="L19" s="7">
        <f>2*G19*'Method Notes'!$B$9</f>
        <v>0.36799999999999999</v>
      </c>
      <c r="M19" s="7">
        <f t="shared" si="1"/>
        <v>1.6560000000000001</v>
      </c>
      <c r="N19" s="7">
        <f t="shared" si="2"/>
        <v>832.34240000000045</v>
      </c>
      <c r="O19" s="7">
        <v>538.61639015239996</v>
      </c>
      <c r="P19" s="7">
        <v>530.16697618410001</v>
      </c>
      <c r="Q19" s="7">
        <v>537.73591460240004</v>
      </c>
      <c r="R19" s="7">
        <v>547.62266715450005</v>
      </c>
      <c r="S19" s="7">
        <v>521.22845934379995</v>
      </c>
      <c r="T19" s="7">
        <v>541.12485760300001</v>
      </c>
      <c r="U19" t="s">
        <v>85</v>
      </c>
    </row>
    <row r="20" spans="1:21">
      <c r="A20" t="s">
        <v>84</v>
      </c>
      <c r="B20">
        <v>14</v>
      </c>
      <c r="C20" s="10">
        <v>45778</v>
      </c>
      <c r="D20" s="11">
        <v>45778.458333333336</v>
      </c>
      <c r="E20" s="11">
        <v>45778.666666666664</v>
      </c>
      <c r="F20">
        <v>1</v>
      </c>
      <c r="G20">
        <v>179</v>
      </c>
      <c r="H20" s="7">
        <v>560.17610000000002</v>
      </c>
      <c r="I20" s="7">
        <v>555.28420000000006</v>
      </c>
      <c r="J20" s="7">
        <f t="shared" si="0"/>
        <v>-875.65009999999359</v>
      </c>
      <c r="K20" s="7">
        <f>2*G20*'Method Notes'!$B$8</f>
        <v>1.2530000000000001</v>
      </c>
      <c r="L20" s="7">
        <f>2*G20*'Method Notes'!$B$9</f>
        <v>0.35799999999999998</v>
      </c>
      <c r="M20" s="7">
        <f t="shared" si="1"/>
        <v>1.6110000000000002</v>
      </c>
      <c r="N20" s="7">
        <f t="shared" si="2"/>
        <v>-877.26109999999358</v>
      </c>
      <c r="O20" s="7">
        <v>559.723150949</v>
      </c>
      <c r="P20" s="7">
        <v>548.97175107019996</v>
      </c>
      <c r="Q20" s="7">
        <v>558.46022632589995</v>
      </c>
      <c r="R20" s="7">
        <v>562.6253332412</v>
      </c>
      <c r="S20" s="7">
        <v>546.10037876540002</v>
      </c>
      <c r="T20" s="7">
        <v>557.64670188419996</v>
      </c>
      <c r="U20" t="s">
        <v>85</v>
      </c>
    </row>
    <row r="21" spans="1:21">
      <c r="A21" t="s">
        <v>84</v>
      </c>
      <c r="B21">
        <v>15</v>
      </c>
      <c r="C21" s="10">
        <v>45779</v>
      </c>
      <c r="D21" s="11">
        <v>45779.4375</v>
      </c>
      <c r="E21" s="11">
        <v>45779.666666666664</v>
      </c>
      <c r="F21">
        <v>1</v>
      </c>
      <c r="G21">
        <v>176</v>
      </c>
      <c r="H21" s="7">
        <v>563.06209999999999</v>
      </c>
      <c r="I21" s="7">
        <v>563.52700000000004</v>
      </c>
      <c r="J21" s="7">
        <f t="shared" si="0"/>
        <v>81.82240000001002</v>
      </c>
      <c r="K21" s="7">
        <f>2*G21*'Method Notes'!$B$8</f>
        <v>1.232</v>
      </c>
      <c r="L21" s="7">
        <f>2*G21*'Method Notes'!$B$9</f>
        <v>0.35199999999999998</v>
      </c>
      <c r="M21" s="7">
        <f t="shared" si="1"/>
        <v>1.5840000000000001</v>
      </c>
      <c r="N21" s="7">
        <f t="shared" si="2"/>
        <v>80.238400000010017</v>
      </c>
      <c r="O21" s="7">
        <v>562.37263327070002</v>
      </c>
      <c r="P21" s="7">
        <v>553.19570140969995</v>
      </c>
      <c r="Q21" s="7">
        <v>561.287103763</v>
      </c>
      <c r="R21" s="7">
        <v>565.44377934670001</v>
      </c>
      <c r="S21" s="7">
        <v>550.15186242029995</v>
      </c>
      <c r="T21" s="7">
        <v>563.11187093889998</v>
      </c>
      <c r="U21" t="s">
        <v>85</v>
      </c>
    </row>
    <row r="22" spans="1:21">
      <c r="A22" t="s">
        <v>84</v>
      </c>
      <c r="B22">
        <v>16</v>
      </c>
      <c r="C22" s="10">
        <v>45785</v>
      </c>
      <c r="D22" s="11">
        <v>45785.5</v>
      </c>
      <c r="E22" s="11">
        <v>45785.666666666664</v>
      </c>
      <c r="F22">
        <v>1</v>
      </c>
      <c r="G22">
        <v>176</v>
      </c>
      <c r="H22" s="7">
        <v>565.1277</v>
      </c>
      <c r="I22" s="7">
        <v>561.83659999999998</v>
      </c>
      <c r="J22" s="7">
        <f t="shared" si="0"/>
        <v>-579.23360000000503</v>
      </c>
      <c r="K22" s="7">
        <f>2*G22*'Method Notes'!$B$8</f>
        <v>1.232</v>
      </c>
      <c r="L22" s="7">
        <f>2*G22*'Method Notes'!$B$9</f>
        <v>0.35199999999999998</v>
      </c>
      <c r="M22" s="7">
        <f t="shared" si="1"/>
        <v>1.5840000000000001</v>
      </c>
      <c r="N22" s="7">
        <f t="shared" si="2"/>
        <v>-580.81760000000497</v>
      </c>
      <c r="O22" s="7">
        <v>564.1482895373</v>
      </c>
      <c r="P22" s="7">
        <v>554.66977419809996</v>
      </c>
      <c r="Q22" s="7">
        <v>562.30683878089997</v>
      </c>
      <c r="R22" s="7">
        <v>565.02603455899998</v>
      </c>
      <c r="S22" s="7">
        <v>553.79657336820003</v>
      </c>
      <c r="T22" s="7">
        <v>563.27859073269997</v>
      </c>
      <c r="U22" t="s">
        <v>85</v>
      </c>
    </row>
    <row r="23" spans="1:21">
      <c r="A23" t="s">
        <v>84</v>
      </c>
      <c r="B23">
        <v>17</v>
      </c>
      <c r="C23" s="10">
        <v>45793</v>
      </c>
      <c r="D23" s="11">
        <v>45793.645833333336</v>
      </c>
      <c r="E23" s="11">
        <v>45793.666666666664</v>
      </c>
      <c r="F23">
        <v>1</v>
      </c>
      <c r="G23">
        <v>167</v>
      </c>
      <c r="H23" s="7">
        <v>590.40269999999998</v>
      </c>
      <c r="I23" s="7">
        <v>590.81039999999996</v>
      </c>
      <c r="J23" s="7">
        <f t="shared" si="0"/>
        <v>68.085899999996172</v>
      </c>
      <c r="K23" s="7">
        <f>2*G23*'Method Notes'!$B$8</f>
        <v>1.169</v>
      </c>
      <c r="L23" s="7">
        <f>2*G23*'Method Notes'!$B$9</f>
        <v>0.33400000000000002</v>
      </c>
      <c r="M23" s="7">
        <f t="shared" si="1"/>
        <v>1.5030000000000001</v>
      </c>
      <c r="N23" s="7">
        <f t="shared" si="2"/>
        <v>66.582899999996172</v>
      </c>
      <c r="O23" s="7">
        <v>590.37734522740004</v>
      </c>
      <c r="P23" s="7">
        <v>583.97585323390001</v>
      </c>
      <c r="Q23" s="7">
        <v>588.54969016519999</v>
      </c>
      <c r="R23" s="7">
        <v>590.09954132749999</v>
      </c>
      <c r="S23" s="7">
        <v>584.25357704639998</v>
      </c>
      <c r="T23" s="7">
        <v>589.08443369739996</v>
      </c>
      <c r="U23" t="s">
        <v>85</v>
      </c>
    </row>
    <row r="24" spans="1:21">
      <c r="A24" t="s">
        <v>84</v>
      </c>
      <c r="B24">
        <v>18</v>
      </c>
      <c r="C24" s="10">
        <v>45798</v>
      </c>
      <c r="D24" s="11">
        <v>45798.5625</v>
      </c>
      <c r="E24" s="11">
        <v>45798.666666666664</v>
      </c>
      <c r="F24">
        <v>-1</v>
      </c>
      <c r="G24">
        <v>168</v>
      </c>
      <c r="H24" s="7">
        <v>581.13589999999999</v>
      </c>
      <c r="I24" s="7">
        <v>579.53510000000006</v>
      </c>
      <c r="J24" s="7">
        <f t="shared" si="0"/>
        <v>268.93439999998918</v>
      </c>
      <c r="K24" s="7">
        <f>2*G24*'Method Notes'!$B$8</f>
        <v>1.1759999999999999</v>
      </c>
      <c r="L24" s="7">
        <f>2*G24*'Method Notes'!$B$9</f>
        <v>0.33600000000000002</v>
      </c>
      <c r="M24" s="7">
        <f t="shared" si="1"/>
        <v>1.512</v>
      </c>
      <c r="N24" s="7">
        <f t="shared" si="2"/>
        <v>267.42239999998918</v>
      </c>
      <c r="O24" s="7">
        <v>591.94661845300004</v>
      </c>
      <c r="P24" s="7">
        <v>584.15763849309997</v>
      </c>
      <c r="Q24" s="7">
        <v>585.73321335289995</v>
      </c>
      <c r="R24" s="7">
        <v>591.49845488079995</v>
      </c>
      <c r="S24" s="7">
        <v>584.60364019509996</v>
      </c>
      <c r="T24" s="7">
        <v>583.0727492259</v>
      </c>
      <c r="U24" t="s">
        <v>85</v>
      </c>
    </row>
    <row r="25" spans="1:21">
      <c r="A25" t="s">
        <v>84</v>
      </c>
      <c r="B25">
        <v>19</v>
      </c>
      <c r="C25" s="10">
        <v>45804</v>
      </c>
      <c r="D25" s="11">
        <v>45804.4375</v>
      </c>
      <c r="E25" s="11">
        <v>45804.666666666664</v>
      </c>
      <c r="F25">
        <v>1</v>
      </c>
      <c r="G25">
        <v>169</v>
      </c>
      <c r="H25" s="7">
        <v>584.52560000000005</v>
      </c>
      <c r="I25" s="7">
        <v>587.77779999999996</v>
      </c>
      <c r="J25" s="7">
        <f t="shared" si="0"/>
        <v>549.62179999998352</v>
      </c>
      <c r="K25" s="7">
        <f>2*G25*'Method Notes'!$B$8</f>
        <v>1.1830000000000001</v>
      </c>
      <c r="L25" s="7">
        <f>2*G25*'Method Notes'!$B$9</f>
        <v>0.33800000000000002</v>
      </c>
      <c r="M25" s="7">
        <f t="shared" si="1"/>
        <v>1.5210000000000001</v>
      </c>
      <c r="N25" s="7">
        <f t="shared" si="2"/>
        <v>548.10079999998356</v>
      </c>
      <c r="O25" s="7">
        <v>583.90554975270004</v>
      </c>
      <c r="P25" s="7">
        <v>574.86780245190005</v>
      </c>
      <c r="Q25" s="7">
        <v>583.61959368750001</v>
      </c>
      <c r="R25" s="7">
        <v>585.31230067340005</v>
      </c>
      <c r="S25" s="7">
        <v>573.47830328489999</v>
      </c>
      <c r="T25" s="7">
        <v>586.05813061610002</v>
      </c>
      <c r="U25" t="s">
        <v>85</v>
      </c>
    </row>
    <row r="26" spans="1:21">
      <c r="A26" t="s">
        <v>84</v>
      </c>
      <c r="B26">
        <v>20</v>
      </c>
      <c r="C26" s="10">
        <v>45805</v>
      </c>
      <c r="D26" s="11">
        <v>45805.458333333336</v>
      </c>
      <c r="E26" s="11">
        <v>45805.666666666664</v>
      </c>
      <c r="F26">
        <v>-1</v>
      </c>
      <c r="G26">
        <v>169</v>
      </c>
      <c r="H26" s="7">
        <v>585.98310000000004</v>
      </c>
      <c r="I26" s="7">
        <v>584.37729999999999</v>
      </c>
      <c r="J26" s="7">
        <f t="shared" si="0"/>
        <v>271.38020000000756</v>
      </c>
      <c r="K26" s="7">
        <f>2*G26*'Method Notes'!$B$8</f>
        <v>1.1830000000000001</v>
      </c>
      <c r="L26" s="7">
        <f>2*G26*'Method Notes'!$B$9</f>
        <v>0.33800000000000002</v>
      </c>
      <c r="M26" s="7">
        <f t="shared" si="1"/>
        <v>1.5210000000000001</v>
      </c>
      <c r="N26" s="7">
        <f t="shared" si="2"/>
        <v>269.85920000000755</v>
      </c>
      <c r="O26" s="7">
        <v>588.75974584820005</v>
      </c>
      <c r="P26" s="7">
        <v>586.40850181129997</v>
      </c>
      <c r="Q26" s="7">
        <v>586.91767772189996</v>
      </c>
      <c r="R26" s="7">
        <v>590.39889210700005</v>
      </c>
      <c r="S26" s="7">
        <v>584.77043645979995</v>
      </c>
      <c r="T26" s="7">
        <v>586.01807987790005</v>
      </c>
      <c r="U26" t="s">
        <v>85</v>
      </c>
    </row>
    <row r="27" spans="1:21">
      <c r="A27" t="s">
        <v>84</v>
      </c>
      <c r="B27">
        <v>21</v>
      </c>
      <c r="C27" s="10">
        <v>45807</v>
      </c>
      <c r="D27" s="11">
        <v>45807.520833333336</v>
      </c>
      <c r="E27" s="11">
        <v>45807.666666666664</v>
      </c>
      <c r="F27">
        <v>-1</v>
      </c>
      <c r="G27">
        <v>170</v>
      </c>
      <c r="H27" s="7">
        <v>581.75239999999997</v>
      </c>
      <c r="I27" s="7">
        <v>586.02779999999996</v>
      </c>
      <c r="J27" s="7">
        <f t="shared" si="0"/>
        <v>-726.81799999999839</v>
      </c>
      <c r="K27" s="7">
        <f>2*G27*'Method Notes'!$B$8</f>
        <v>1.19</v>
      </c>
      <c r="L27" s="7">
        <f>2*G27*'Method Notes'!$B$9</f>
        <v>0.34</v>
      </c>
      <c r="M27" s="7">
        <f t="shared" si="1"/>
        <v>1.53</v>
      </c>
      <c r="N27" s="7">
        <f t="shared" si="2"/>
        <v>-728.34799999999836</v>
      </c>
      <c r="O27" s="7">
        <v>588.35674346400003</v>
      </c>
      <c r="P27" s="7">
        <v>582.40361241820005</v>
      </c>
      <c r="Q27" s="7">
        <v>584.2875594546</v>
      </c>
      <c r="R27" s="7">
        <v>589.50716790180002</v>
      </c>
      <c r="S27" s="7">
        <v>581.25831512850004</v>
      </c>
      <c r="T27" s="7">
        <v>584.53257435800003</v>
      </c>
      <c r="U27" t="s">
        <v>85</v>
      </c>
    </row>
    <row r="28" spans="1:21">
      <c r="A28" t="s">
        <v>84</v>
      </c>
      <c r="B28">
        <v>22</v>
      </c>
      <c r="C28" s="10">
        <v>45810</v>
      </c>
      <c r="D28" s="11">
        <v>45810.645833333336</v>
      </c>
      <c r="E28" s="11">
        <v>45810.666666666664</v>
      </c>
      <c r="F28">
        <v>1</v>
      </c>
      <c r="G28">
        <v>169</v>
      </c>
      <c r="H28" s="7">
        <v>588.93119999999999</v>
      </c>
      <c r="I28" s="7">
        <v>589.32889999999998</v>
      </c>
      <c r="J28" s="7">
        <f t="shared" si="0"/>
        <v>67.211299999997664</v>
      </c>
      <c r="K28" s="7">
        <f>2*G28*'Method Notes'!$B$8</f>
        <v>1.1830000000000001</v>
      </c>
      <c r="L28" s="7">
        <f>2*G28*'Method Notes'!$B$9</f>
        <v>0.33800000000000002</v>
      </c>
      <c r="M28" s="7">
        <f t="shared" si="1"/>
        <v>1.5210000000000001</v>
      </c>
      <c r="N28" s="7">
        <f t="shared" si="2"/>
        <v>65.690299999997663</v>
      </c>
      <c r="O28" s="7">
        <v>588.84359245749999</v>
      </c>
      <c r="P28" s="7">
        <v>580.18392646799998</v>
      </c>
      <c r="Q28" s="7">
        <v>585.97825452560005</v>
      </c>
      <c r="R28" s="7">
        <v>588.80063775830001</v>
      </c>
      <c r="S28" s="7">
        <v>580.22665817250004</v>
      </c>
      <c r="T28" s="7">
        <v>586.67392263349996</v>
      </c>
      <c r="U28" t="s">
        <v>85</v>
      </c>
    </row>
    <row r="29" spans="1:21">
      <c r="A29" t="s">
        <v>84</v>
      </c>
      <c r="B29">
        <v>23</v>
      </c>
      <c r="C29" s="10">
        <v>45811</v>
      </c>
      <c r="D29" s="11">
        <v>45811.4375</v>
      </c>
      <c r="E29" s="11">
        <v>45811.666666666664</v>
      </c>
      <c r="F29">
        <v>1</v>
      </c>
      <c r="G29">
        <v>168</v>
      </c>
      <c r="H29" s="7">
        <v>590.44749999999999</v>
      </c>
      <c r="I29" s="7">
        <v>592.68960000000004</v>
      </c>
      <c r="J29" s="7">
        <f t="shared" si="0"/>
        <v>376.67280000000846</v>
      </c>
      <c r="K29" s="7">
        <f>2*G29*'Method Notes'!$B$8</f>
        <v>1.1759999999999999</v>
      </c>
      <c r="L29" s="7">
        <f>2*G29*'Method Notes'!$B$9</f>
        <v>0.33600000000000002</v>
      </c>
      <c r="M29" s="7">
        <f t="shared" si="1"/>
        <v>1.512</v>
      </c>
      <c r="N29" s="7">
        <f t="shared" si="2"/>
        <v>375.16080000000846</v>
      </c>
      <c r="O29" s="7">
        <v>590.2985131575</v>
      </c>
      <c r="P29" s="7">
        <v>588.14074641119998</v>
      </c>
      <c r="Q29" s="7">
        <v>589.72069426890005</v>
      </c>
      <c r="R29" s="7">
        <v>592.27797279260005</v>
      </c>
      <c r="S29" s="7">
        <v>586.16202068220002</v>
      </c>
      <c r="T29" s="7">
        <v>592.04488410240003</v>
      </c>
      <c r="U29" t="s">
        <v>85</v>
      </c>
    </row>
    <row r="30" spans="1:21">
      <c r="A30" t="s">
        <v>84</v>
      </c>
      <c r="B30">
        <v>24</v>
      </c>
      <c r="C30" s="10">
        <v>45813</v>
      </c>
      <c r="D30" s="11">
        <v>45813.458333333336</v>
      </c>
      <c r="E30" s="11">
        <v>45813.666666666664</v>
      </c>
      <c r="F30">
        <v>1</v>
      </c>
      <c r="G30">
        <v>168</v>
      </c>
      <c r="H30" s="7">
        <v>593.95240000000001</v>
      </c>
      <c r="I30" s="7">
        <v>589.66690000000006</v>
      </c>
      <c r="J30" s="7">
        <f t="shared" si="0"/>
        <v>-719.96399999999267</v>
      </c>
      <c r="K30" s="7">
        <f>2*G30*'Method Notes'!$B$8</f>
        <v>1.1759999999999999</v>
      </c>
      <c r="L30" s="7">
        <f>2*G30*'Method Notes'!$B$9</f>
        <v>0.33600000000000002</v>
      </c>
      <c r="M30" s="7">
        <f t="shared" si="1"/>
        <v>1.512</v>
      </c>
      <c r="N30" s="7">
        <f t="shared" si="2"/>
        <v>-721.47599999999261</v>
      </c>
      <c r="O30" s="7">
        <v>593.55211580340006</v>
      </c>
      <c r="P30" s="7">
        <v>589.84116444890003</v>
      </c>
      <c r="Q30" s="7">
        <v>592.55999709440005</v>
      </c>
      <c r="R30" s="7">
        <v>595.6971426412</v>
      </c>
      <c r="S30" s="7">
        <v>587.70218392439995</v>
      </c>
      <c r="T30" s="7">
        <v>591.75585241960005</v>
      </c>
      <c r="U30" t="s">
        <v>85</v>
      </c>
    </row>
    <row r="31" spans="1:21">
      <c r="A31" t="s">
        <v>84</v>
      </c>
      <c r="B31">
        <v>25</v>
      </c>
      <c r="C31" s="10">
        <v>45819</v>
      </c>
      <c r="D31" s="11">
        <v>45819.604166666664</v>
      </c>
      <c r="E31" s="11">
        <v>45819.666666666664</v>
      </c>
      <c r="F31">
        <v>-1</v>
      </c>
      <c r="G31">
        <v>164</v>
      </c>
      <c r="H31" s="7">
        <v>597.15409999999997</v>
      </c>
      <c r="I31" s="7">
        <v>597.92960000000005</v>
      </c>
      <c r="J31" s="7">
        <f t="shared" si="0"/>
        <v>-127.18200000001298</v>
      </c>
      <c r="K31" s="7">
        <f>2*G31*'Method Notes'!$B$8</f>
        <v>1.1480000000000001</v>
      </c>
      <c r="L31" s="7">
        <f>2*G31*'Method Notes'!$B$9</f>
        <v>0.32800000000000001</v>
      </c>
      <c r="M31" s="7">
        <f t="shared" si="1"/>
        <v>1.4760000000000002</v>
      </c>
      <c r="N31" s="7">
        <f t="shared" si="2"/>
        <v>-128.65800000001298</v>
      </c>
      <c r="O31" s="7">
        <v>602.5781638126</v>
      </c>
      <c r="P31" s="7">
        <v>597.25031683079999</v>
      </c>
      <c r="Q31" s="7">
        <v>599.63917396229999</v>
      </c>
      <c r="R31" s="7">
        <v>602.96415563029996</v>
      </c>
      <c r="S31" s="7">
        <v>596.86467699239995</v>
      </c>
      <c r="T31" s="7">
        <v>598.92043939569999</v>
      </c>
      <c r="U31" t="s">
        <v>85</v>
      </c>
    </row>
    <row r="32" spans="1:21">
      <c r="A32" t="s">
        <v>84</v>
      </c>
      <c r="B32">
        <v>26</v>
      </c>
      <c r="C32" s="10">
        <v>45821</v>
      </c>
      <c r="D32" s="11">
        <v>45821.4375</v>
      </c>
      <c r="E32" s="11">
        <v>45821.666666666664</v>
      </c>
      <c r="F32">
        <v>-1</v>
      </c>
      <c r="G32">
        <v>165</v>
      </c>
      <c r="H32" s="7">
        <v>593.44529999999997</v>
      </c>
      <c r="I32" s="7">
        <v>593.59439999999995</v>
      </c>
      <c r="J32" s="7">
        <f t="shared" si="0"/>
        <v>-24.601499999996008</v>
      </c>
      <c r="K32" s="7">
        <f>2*G32*'Method Notes'!$B$8</f>
        <v>1.155</v>
      </c>
      <c r="L32" s="7">
        <f>2*G32*'Method Notes'!$B$9</f>
        <v>0.33</v>
      </c>
      <c r="M32" s="7">
        <f t="shared" si="1"/>
        <v>1.4850000000000001</v>
      </c>
      <c r="N32" s="7">
        <f t="shared" si="2"/>
        <v>-26.086499999996008</v>
      </c>
      <c r="O32" s="7">
        <v>601.6168954044</v>
      </c>
      <c r="P32" s="7">
        <v>594.06389766480004</v>
      </c>
      <c r="Q32" s="7">
        <v>594.61821508929995</v>
      </c>
      <c r="R32" s="7">
        <v>602.84404309889999</v>
      </c>
      <c r="S32" s="7">
        <v>592.84685120309996</v>
      </c>
      <c r="T32" s="7">
        <v>594.77759103890003</v>
      </c>
      <c r="U32" t="s">
        <v>85</v>
      </c>
    </row>
    <row r="33" spans="1:21">
      <c r="A33" t="s">
        <v>84</v>
      </c>
      <c r="B33">
        <v>27</v>
      </c>
      <c r="C33" s="10">
        <v>45825</v>
      </c>
      <c r="D33" s="11">
        <v>45825.5625</v>
      </c>
      <c r="E33" s="11">
        <v>45825.666666666664</v>
      </c>
      <c r="F33">
        <v>-1</v>
      </c>
      <c r="G33">
        <v>164</v>
      </c>
      <c r="H33" s="7">
        <v>595.39409999999998</v>
      </c>
      <c r="I33" s="7">
        <v>594.12149999999997</v>
      </c>
      <c r="J33" s="7">
        <f t="shared" si="0"/>
        <v>208.70640000000185</v>
      </c>
      <c r="K33" s="7">
        <f>2*G33*'Method Notes'!$B$8</f>
        <v>1.1480000000000001</v>
      </c>
      <c r="L33" s="7">
        <f>2*G33*'Method Notes'!$B$9</f>
        <v>0.32800000000000001</v>
      </c>
      <c r="M33" s="7">
        <f t="shared" si="1"/>
        <v>1.4760000000000002</v>
      </c>
      <c r="N33" s="7">
        <f t="shared" si="2"/>
        <v>207.23040000000185</v>
      </c>
      <c r="O33" s="7">
        <v>600.93697833440001</v>
      </c>
      <c r="P33" s="7">
        <v>595.87117473629996</v>
      </c>
      <c r="Q33" s="7">
        <v>596.99869615959994</v>
      </c>
      <c r="R33" s="7">
        <v>601.41166152760002</v>
      </c>
      <c r="S33" s="7">
        <v>595.39782249619998</v>
      </c>
      <c r="T33" s="7">
        <v>595.61994164580005</v>
      </c>
      <c r="U33" t="s">
        <v>85</v>
      </c>
    </row>
    <row r="34" spans="1:21">
      <c r="A34" t="s">
        <v>84</v>
      </c>
      <c r="B34">
        <v>28</v>
      </c>
      <c r="C34" s="10">
        <v>45826</v>
      </c>
      <c r="D34" s="11">
        <v>45826.4375</v>
      </c>
      <c r="E34" s="11">
        <v>45826.666666666664</v>
      </c>
      <c r="F34">
        <v>1</v>
      </c>
      <c r="G34">
        <v>165</v>
      </c>
      <c r="H34" s="7">
        <v>597.31510000000003</v>
      </c>
      <c r="I34" s="7">
        <v>594.03189999999995</v>
      </c>
      <c r="J34" s="7">
        <f t="shared" si="0"/>
        <v>-541.72800000001303</v>
      </c>
      <c r="K34" s="7">
        <f>2*G34*'Method Notes'!$B$8</f>
        <v>1.155</v>
      </c>
      <c r="L34" s="7">
        <f>2*G34*'Method Notes'!$B$9</f>
        <v>0.33</v>
      </c>
      <c r="M34" s="7">
        <f t="shared" si="1"/>
        <v>1.4850000000000001</v>
      </c>
      <c r="N34" s="7">
        <f t="shared" si="2"/>
        <v>-543.21300000001304</v>
      </c>
      <c r="O34" s="7">
        <v>597.0489628194</v>
      </c>
      <c r="P34" s="7">
        <v>592.83578282359997</v>
      </c>
      <c r="Q34" s="7">
        <v>596.46294557420003</v>
      </c>
      <c r="R34" s="7">
        <v>597.9439752449</v>
      </c>
      <c r="S34" s="7">
        <v>591.94323237330002</v>
      </c>
      <c r="T34" s="7">
        <v>595.1294923877</v>
      </c>
      <c r="U34" t="s">
        <v>85</v>
      </c>
    </row>
    <row r="35" spans="1:21">
      <c r="A35" t="s">
        <v>84</v>
      </c>
      <c r="B35">
        <v>29</v>
      </c>
      <c r="C35" s="10">
        <v>45828</v>
      </c>
      <c r="D35" s="11">
        <v>45828.458333333336</v>
      </c>
      <c r="E35" s="11">
        <v>45828.666666666664</v>
      </c>
      <c r="F35">
        <v>-1</v>
      </c>
      <c r="G35">
        <v>164</v>
      </c>
      <c r="H35" s="7">
        <v>592.59699999999998</v>
      </c>
      <c r="I35" s="7">
        <v>592.63689999999997</v>
      </c>
      <c r="J35" s="7">
        <f t="shared" si="0"/>
        <v>-6.5435999999981505</v>
      </c>
      <c r="K35" s="7">
        <f>2*G35*'Method Notes'!$B$8</f>
        <v>1.1480000000000001</v>
      </c>
      <c r="L35" s="7">
        <f>2*G35*'Method Notes'!$B$9</f>
        <v>0.32800000000000001</v>
      </c>
      <c r="M35" s="7">
        <f t="shared" si="1"/>
        <v>1.4760000000000002</v>
      </c>
      <c r="N35" s="7">
        <f t="shared" si="2"/>
        <v>-8.0195999999981513</v>
      </c>
      <c r="O35" s="7">
        <v>596.92555170599996</v>
      </c>
      <c r="P35" s="7">
        <v>592.70833919580002</v>
      </c>
      <c r="Q35" s="7">
        <v>594.42711123890001</v>
      </c>
      <c r="R35" s="7">
        <v>597.8245265255</v>
      </c>
      <c r="S35" s="7">
        <v>591.81172954869999</v>
      </c>
      <c r="T35" s="7">
        <v>593.16331344050002</v>
      </c>
      <c r="U35" t="s">
        <v>85</v>
      </c>
    </row>
    <row r="36" spans="1:21">
      <c r="A36" t="s">
        <v>84</v>
      </c>
      <c r="B36">
        <v>30</v>
      </c>
      <c r="C36" s="10">
        <v>45831</v>
      </c>
      <c r="D36" s="11">
        <v>45831.645833333336</v>
      </c>
      <c r="E36" s="11">
        <v>45831.666666666664</v>
      </c>
      <c r="F36">
        <v>1</v>
      </c>
      <c r="G36">
        <v>165</v>
      </c>
      <c r="H36" s="7">
        <v>597.56320000000005</v>
      </c>
      <c r="I36" s="7">
        <v>598.49069999999995</v>
      </c>
      <c r="J36" s="7">
        <f t="shared" si="0"/>
        <v>153.03749999998274</v>
      </c>
      <c r="K36" s="7">
        <f>2*G36*'Method Notes'!$B$8</f>
        <v>1.155</v>
      </c>
      <c r="L36" s="7">
        <f>2*G36*'Method Notes'!$B$9</f>
        <v>0.33</v>
      </c>
      <c r="M36" s="7">
        <f t="shared" si="1"/>
        <v>1.4850000000000001</v>
      </c>
      <c r="N36" s="7">
        <f t="shared" si="2"/>
        <v>151.55249999998273</v>
      </c>
      <c r="O36" s="7">
        <v>597.56149673770005</v>
      </c>
      <c r="P36" s="7">
        <v>590.18549173279996</v>
      </c>
      <c r="Q36" s="7">
        <v>595.07835826849998</v>
      </c>
      <c r="R36" s="7">
        <v>597.39279335549998</v>
      </c>
      <c r="S36" s="7">
        <v>590.35349682859999</v>
      </c>
      <c r="T36" s="7">
        <v>595.61287413390005</v>
      </c>
      <c r="U36" t="s">
        <v>85</v>
      </c>
    </row>
    <row r="37" spans="1:21">
      <c r="A37" t="s">
        <v>84</v>
      </c>
      <c r="B37">
        <v>31</v>
      </c>
      <c r="C37" s="10">
        <v>45832</v>
      </c>
      <c r="D37" s="11">
        <v>45832.479166666664</v>
      </c>
      <c r="E37" s="11">
        <v>45832.666666666664</v>
      </c>
      <c r="F37">
        <v>1</v>
      </c>
      <c r="G37">
        <v>163</v>
      </c>
      <c r="H37" s="7">
        <v>604.10509999999999</v>
      </c>
      <c r="I37" s="7">
        <v>605.10239999999999</v>
      </c>
      <c r="J37" s="7">
        <f t="shared" si="0"/>
        <v>162.55989999999929</v>
      </c>
      <c r="K37" s="7">
        <f>2*G37*'Method Notes'!$B$8</f>
        <v>1.141</v>
      </c>
      <c r="L37" s="7">
        <f>2*G37*'Method Notes'!$B$9</f>
        <v>0.32600000000000001</v>
      </c>
      <c r="M37" s="7">
        <f t="shared" si="1"/>
        <v>1.4670000000000001</v>
      </c>
      <c r="N37" s="7">
        <f t="shared" si="2"/>
        <v>161.09289999999928</v>
      </c>
      <c r="O37" s="7">
        <v>603.49880293959995</v>
      </c>
      <c r="P37" s="7">
        <v>597.21005581559996</v>
      </c>
      <c r="Q37" s="7">
        <v>602.91799702059996</v>
      </c>
      <c r="R37" s="7">
        <v>604.30751786760004</v>
      </c>
      <c r="S37" s="7">
        <v>596.40633611429996</v>
      </c>
      <c r="T37" s="7">
        <v>604.30846066610002</v>
      </c>
      <c r="U37" t="s">
        <v>85</v>
      </c>
    </row>
    <row r="38" spans="1:21">
      <c r="A38" t="s">
        <v>84</v>
      </c>
      <c r="B38">
        <v>32</v>
      </c>
      <c r="C38" s="10">
        <v>45834</v>
      </c>
      <c r="D38" s="11">
        <v>45834.520833333336</v>
      </c>
      <c r="E38" s="11">
        <v>45834.666666666664</v>
      </c>
      <c r="F38">
        <v>1</v>
      </c>
      <c r="G38">
        <v>162</v>
      </c>
      <c r="H38" s="7">
        <v>609.20100000000002</v>
      </c>
      <c r="I38" s="7">
        <v>610.17819999999995</v>
      </c>
      <c r="J38" s="7">
        <f t="shared" si="0"/>
        <v>158.30639999998789</v>
      </c>
      <c r="K38" s="7">
        <f>2*G38*'Method Notes'!$B$8</f>
        <v>1.1340000000000001</v>
      </c>
      <c r="L38" s="7">
        <f>2*G38*'Method Notes'!$B$9</f>
        <v>0.32400000000000001</v>
      </c>
      <c r="M38" s="7">
        <f t="shared" si="1"/>
        <v>1.4580000000000002</v>
      </c>
      <c r="N38" s="7">
        <f t="shared" si="2"/>
        <v>156.84839999998789</v>
      </c>
      <c r="O38" s="7">
        <v>609.0937288033</v>
      </c>
      <c r="P38" s="7">
        <v>603.88844247580005</v>
      </c>
      <c r="Q38" s="7">
        <v>608.32328420600004</v>
      </c>
      <c r="R38" s="7">
        <v>609.61125469030003</v>
      </c>
      <c r="S38" s="7">
        <v>603.37270052199995</v>
      </c>
      <c r="T38" s="7">
        <v>609.28205231530001</v>
      </c>
      <c r="U38" t="s">
        <v>85</v>
      </c>
    </row>
    <row r="39" spans="1:21">
      <c r="A39" t="s">
        <v>84</v>
      </c>
      <c r="B39">
        <v>33</v>
      </c>
      <c r="C39" s="10">
        <v>45835</v>
      </c>
      <c r="D39" s="11">
        <v>45835.5</v>
      </c>
      <c r="E39" s="11">
        <v>45835.666666666664</v>
      </c>
      <c r="F39">
        <v>1</v>
      </c>
      <c r="G39">
        <v>161</v>
      </c>
      <c r="H39" s="7">
        <v>614.19709999999998</v>
      </c>
      <c r="I39" s="7">
        <v>613.20979999999997</v>
      </c>
      <c r="J39" s="7">
        <f t="shared" si="0"/>
        <v>-158.95530000000076</v>
      </c>
      <c r="K39" s="7">
        <f>2*G39*'Method Notes'!$B$8</f>
        <v>1.127</v>
      </c>
      <c r="L39" s="7">
        <f>2*G39*'Method Notes'!$B$9</f>
        <v>0.32200000000000001</v>
      </c>
      <c r="M39" s="7">
        <f t="shared" si="1"/>
        <v>1.4490000000000001</v>
      </c>
      <c r="N39" s="7">
        <f t="shared" si="2"/>
        <v>-160.40430000000077</v>
      </c>
      <c r="O39" s="7">
        <v>613.93466185320005</v>
      </c>
      <c r="P39" s="7">
        <v>608.99970761459997</v>
      </c>
      <c r="Q39" s="7">
        <v>613.25316714439998</v>
      </c>
      <c r="R39" s="7">
        <v>614.94677364869995</v>
      </c>
      <c r="S39" s="7">
        <v>607.99184577189999</v>
      </c>
      <c r="T39" s="7">
        <v>612.30100703289997</v>
      </c>
      <c r="U39" t="s">
        <v>85</v>
      </c>
    </row>
    <row r="40" spans="1:21">
      <c r="A40" t="s">
        <v>84</v>
      </c>
      <c r="B40">
        <v>34</v>
      </c>
      <c r="C40" s="10">
        <v>45840</v>
      </c>
      <c r="D40" s="11">
        <v>45840.4375</v>
      </c>
      <c r="E40" s="11">
        <v>45840.666666666664</v>
      </c>
      <c r="F40">
        <v>1</v>
      </c>
      <c r="G40">
        <v>160</v>
      </c>
      <c r="H40" s="7">
        <v>616.93949999999995</v>
      </c>
      <c r="I40" s="7">
        <v>618.7346</v>
      </c>
      <c r="J40" s="7">
        <f t="shared" si="0"/>
        <v>287.21600000000763</v>
      </c>
      <c r="K40" s="7">
        <f>2*G40*'Method Notes'!$B$8</f>
        <v>1.1200000000000001</v>
      </c>
      <c r="L40" s="7">
        <f>2*G40*'Method Notes'!$B$9</f>
        <v>0.32</v>
      </c>
      <c r="M40" s="7">
        <f t="shared" si="1"/>
        <v>1.4400000000000002</v>
      </c>
      <c r="N40" s="7">
        <f t="shared" si="2"/>
        <v>285.77600000000763</v>
      </c>
      <c r="O40" s="7">
        <v>616.83306457790002</v>
      </c>
      <c r="P40" s="7">
        <v>614.70284019630003</v>
      </c>
      <c r="Q40" s="7">
        <v>616.26159339150001</v>
      </c>
      <c r="R40" s="7">
        <v>617.99439720309999</v>
      </c>
      <c r="S40" s="7">
        <v>613.54216559559995</v>
      </c>
      <c r="T40" s="7">
        <v>617.56293703270001</v>
      </c>
      <c r="U40" t="s">
        <v>85</v>
      </c>
    </row>
    <row r="41" spans="1:21">
      <c r="A41" t="s">
        <v>84</v>
      </c>
      <c r="B41">
        <v>35</v>
      </c>
      <c r="C41" s="10">
        <v>45841</v>
      </c>
      <c r="D41" s="11">
        <v>45841.458333333336</v>
      </c>
      <c r="E41" s="11">
        <v>45841.541666666664</v>
      </c>
      <c r="F41">
        <v>1</v>
      </c>
      <c r="G41">
        <v>158</v>
      </c>
      <c r="H41" s="7">
        <v>623.5711</v>
      </c>
      <c r="I41" s="7">
        <v>623.61099999999999</v>
      </c>
      <c r="J41" s="7">
        <f t="shared" si="0"/>
        <v>6.3041999999982181</v>
      </c>
      <c r="K41" s="7">
        <f>2*G41*'Method Notes'!$B$8</f>
        <v>1.1060000000000001</v>
      </c>
      <c r="L41" s="7">
        <f>2*G41*'Method Notes'!$B$9</f>
        <v>0.316</v>
      </c>
      <c r="M41" s="7">
        <f t="shared" si="1"/>
        <v>1.4220000000000002</v>
      </c>
      <c r="N41" s="7">
        <f t="shared" si="2"/>
        <v>4.8821999999982175</v>
      </c>
      <c r="O41" s="7">
        <v>623.55998768469999</v>
      </c>
      <c r="P41" s="7">
        <v>617.69476304010004</v>
      </c>
      <c r="Q41" s="7">
        <v>622.96996815770001</v>
      </c>
      <c r="R41" s="7">
        <v>624.04862359039998</v>
      </c>
      <c r="S41" s="7">
        <v>617.20909389220003</v>
      </c>
      <c r="T41" s="7">
        <v>623.44028029260005</v>
      </c>
      <c r="U41" t="s">
        <v>85</v>
      </c>
    </row>
    <row r="42" spans="1:21">
      <c r="A42" t="s">
        <v>84</v>
      </c>
      <c r="B42">
        <v>36</v>
      </c>
      <c r="C42" s="10">
        <v>45845</v>
      </c>
      <c r="D42" s="11">
        <v>45845.458333333336</v>
      </c>
      <c r="E42" s="11">
        <v>45845.666666666664</v>
      </c>
      <c r="F42">
        <v>-1</v>
      </c>
      <c r="G42">
        <v>158</v>
      </c>
      <c r="H42" s="7">
        <v>620.37990000000002</v>
      </c>
      <c r="I42" s="7">
        <v>618.96389999999997</v>
      </c>
      <c r="J42" s="7">
        <f t="shared" si="0"/>
        <v>223.72800000000848</v>
      </c>
      <c r="K42" s="7">
        <f>2*G42*'Method Notes'!$B$8</f>
        <v>1.1060000000000001</v>
      </c>
      <c r="L42" s="7">
        <f>2*G42*'Method Notes'!$B$9</f>
        <v>0.316</v>
      </c>
      <c r="M42" s="7">
        <f t="shared" si="1"/>
        <v>1.4220000000000002</v>
      </c>
      <c r="N42" s="7">
        <f t="shared" si="2"/>
        <v>222.30600000000848</v>
      </c>
      <c r="O42" s="7">
        <v>624.5943417551</v>
      </c>
      <c r="P42" s="7">
        <v>620.8951943971</v>
      </c>
      <c r="Q42" s="7">
        <v>621.25774506760001</v>
      </c>
      <c r="R42" s="7">
        <v>625.67822695159998</v>
      </c>
      <c r="S42" s="7">
        <v>619.81432511529999</v>
      </c>
      <c r="T42" s="7">
        <v>619.00166425290001</v>
      </c>
      <c r="U42" t="s">
        <v>85</v>
      </c>
    </row>
    <row r="43" spans="1:21">
      <c r="A43" t="s">
        <v>84</v>
      </c>
      <c r="B43">
        <v>37</v>
      </c>
      <c r="C43" s="10">
        <v>45848</v>
      </c>
      <c r="D43" s="11">
        <v>45848.479166666664</v>
      </c>
      <c r="E43" s="11">
        <v>45848.666666666664</v>
      </c>
      <c r="F43">
        <v>1</v>
      </c>
      <c r="G43">
        <v>159</v>
      </c>
      <c r="H43" s="7">
        <v>623.78060000000005</v>
      </c>
      <c r="I43" s="7">
        <v>624.08969999999999</v>
      </c>
      <c r="J43" s="7">
        <f t="shared" si="0"/>
        <v>49.146899999991092</v>
      </c>
      <c r="K43" s="7">
        <f>2*G43*'Method Notes'!$B$8</f>
        <v>1.113</v>
      </c>
      <c r="L43" s="7">
        <f>2*G43*'Method Notes'!$B$9</f>
        <v>0.318</v>
      </c>
      <c r="M43" s="7">
        <f t="shared" si="1"/>
        <v>1.431</v>
      </c>
      <c r="N43" s="7">
        <f t="shared" si="2"/>
        <v>47.715899999991095</v>
      </c>
      <c r="O43" s="7">
        <v>623.44597228309999</v>
      </c>
      <c r="P43" s="7">
        <v>620.5262743257</v>
      </c>
      <c r="Q43" s="7">
        <v>622.47535658499999</v>
      </c>
      <c r="R43" s="7">
        <v>624.20055755450005</v>
      </c>
      <c r="S43" s="7">
        <v>619.77253538449997</v>
      </c>
      <c r="T43" s="7">
        <v>623.63258017450005</v>
      </c>
      <c r="U43" t="s">
        <v>85</v>
      </c>
    </row>
    <row r="44" spans="1:21">
      <c r="A44" t="s">
        <v>84</v>
      </c>
      <c r="B44">
        <v>38</v>
      </c>
      <c r="C44" s="10">
        <v>45853</v>
      </c>
      <c r="D44" s="11">
        <v>45853.541666666664</v>
      </c>
      <c r="E44" s="11">
        <v>45853.666666666664</v>
      </c>
      <c r="F44">
        <v>-1</v>
      </c>
      <c r="G44">
        <v>158</v>
      </c>
      <c r="H44" s="7">
        <v>621.447</v>
      </c>
      <c r="I44" s="7">
        <v>620.41989999999998</v>
      </c>
      <c r="J44" s="7">
        <f t="shared" si="0"/>
        <v>162.28180000000293</v>
      </c>
      <c r="K44" s="7">
        <f>2*G44*'Method Notes'!$B$8</f>
        <v>1.1060000000000001</v>
      </c>
      <c r="L44" s="7">
        <f>2*G44*'Method Notes'!$B$9</f>
        <v>0.316</v>
      </c>
      <c r="M44" s="7">
        <f t="shared" si="1"/>
        <v>1.4220000000000002</v>
      </c>
      <c r="N44" s="7">
        <f t="shared" si="2"/>
        <v>160.85980000000293</v>
      </c>
      <c r="O44" s="7">
        <v>625.56275177290001</v>
      </c>
      <c r="P44" s="7">
        <v>621.49191392329999</v>
      </c>
      <c r="Q44" s="7">
        <v>622.99899845820005</v>
      </c>
      <c r="R44" s="7">
        <v>625.57397586230002</v>
      </c>
      <c r="S44" s="7">
        <v>621.48070580019998</v>
      </c>
      <c r="T44" s="7">
        <v>622.24247704920003</v>
      </c>
      <c r="U44" t="s">
        <v>85</v>
      </c>
    </row>
    <row r="45" spans="1:21">
      <c r="A45" t="s">
        <v>84</v>
      </c>
      <c r="B45">
        <v>39</v>
      </c>
      <c r="C45" s="10">
        <v>45854</v>
      </c>
      <c r="D45" s="11">
        <v>45854.625</v>
      </c>
      <c r="E45" s="11">
        <v>45854.666666666664</v>
      </c>
      <c r="F45">
        <v>1</v>
      </c>
      <c r="G45">
        <v>160</v>
      </c>
      <c r="H45" s="7">
        <v>622.60379999999998</v>
      </c>
      <c r="I45" s="7">
        <v>622.4941</v>
      </c>
      <c r="J45" s="7">
        <f t="shared" si="0"/>
        <v>-17.551999999996042</v>
      </c>
      <c r="K45" s="7">
        <f>2*G45*'Method Notes'!$B$8</f>
        <v>1.1200000000000001</v>
      </c>
      <c r="L45" s="7">
        <f>2*G45*'Method Notes'!$B$9</f>
        <v>0.32</v>
      </c>
      <c r="M45" s="7">
        <f t="shared" si="1"/>
        <v>1.4400000000000002</v>
      </c>
      <c r="N45" s="7">
        <f t="shared" si="2"/>
        <v>-18.991999999996043</v>
      </c>
      <c r="O45" s="7">
        <v>622.30286872470003</v>
      </c>
      <c r="P45" s="7">
        <v>618.44730352850002</v>
      </c>
      <c r="Q45" s="7">
        <v>620.43848780810004</v>
      </c>
      <c r="R45" s="7">
        <v>622.05698436759997</v>
      </c>
      <c r="S45" s="7">
        <v>618.69315233580005</v>
      </c>
      <c r="T45" s="7">
        <v>620.72906325830002</v>
      </c>
      <c r="U45" t="s">
        <v>85</v>
      </c>
    </row>
    <row r="46" spans="1:21">
      <c r="A46" t="s">
        <v>84</v>
      </c>
      <c r="B46">
        <v>40</v>
      </c>
      <c r="C46" s="10">
        <v>45855</v>
      </c>
      <c r="D46" s="11">
        <v>45855.5</v>
      </c>
      <c r="E46" s="11">
        <v>45855.666666666664</v>
      </c>
      <c r="F46">
        <v>1</v>
      </c>
      <c r="G46">
        <v>159</v>
      </c>
      <c r="H46" s="7">
        <v>625.48080000000004</v>
      </c>
      <c r="I46" s="7">
        <v>626.30349999999999</v>
      </c>
      <c r="J46" s="7">
        <f t="shared" si="0"/>
        <v>130.80929999999057</v>
      </c>
      <c r="K46" s="7">
        <f>2*G46*'Method Notes'!$B$8</f>
        <v>1.113</v>
      </c>
      <c r="L46" s="7">
        <f>2*G46*'Method Notes'!$B$9</f>
        <v>0.318</v>
      </c>
      <c r="M46" s="7">
        <f t="shared" si="1"/>
        <v>1.431</v>
      </c>
      <c r="N46" s="7">
        <f t="shared" si="2"/>
        <v>129.37829999999056</v>
      </c>
      <c r="O46" s="7">
        <v>625.31235213590003</v>
      </c>
      <c r="P46" s="7">
        <v>621.32424000649996</v>
      </c>
      <c r="Q46" s="7">
        <v>624.41869644070005</v>
      </c>
      <c r="R46" s="7">
        <v>625.86952091579997</v>
      </c>
      <c r="S46" s="7">
        <v>620.76854016300001</v>
      </c>
      <c r="T46" s="7">
        <v>625.40575317540004</v>
      </c>
      <c r="U46" t="s">
        <v>85</v>
      </c>
    </row>
    <row r="47" spans="1:21">
      <c r="A47" t="s">
        <v>84</v>
      </c>
      <c r="B47">
        <v>41</v>
      </c>
      <c r="C47" s="10">
        <v>45856</v>
      </c>
      <c r="D47" s="11">
        <v>45856.4375</v>
      </c>
      <c r="E47" s="11">
        <v>45856.666666666664</v>
      </c>
      <c r="F47">
        <v>-1</v>
      </c>
      <c r="G47">
        <v>158</v>
      </c>
      <c r="H47" s="7">
        <v>625.64530000000002</v>
      </c>
      <c r="I47" s="7">
        <v>625.84479999999996</v>
      </c>
      <c r="J47" s="7">
        <f t="shared" si="0"/>
        <v>-31.520999999991091</v>
      </c>
      <c r="K47" s="7">
        <f>2*G47*'Method Notes'!$B$8</f>
        <v>1.1060000000000001</v>
      </c>
      <c r="L47" s="7">
        <f>2*G47*'Method Notes'!$B$9</f>
        <v>0.316</v>
      </c>
      <c r="M47" s="7">
        <f t="shared" si="1"/>
        <v>1.4220000000000002</v>
      </c>
      <c r="N47" s="7">
        <f t="shared" si="2"/>
        <v>-32.942999999991088</v>
      </c>
      <c r="O47" s="7">
        <v>628.04323011389999</v>
      </c>
      <c r="P47" s="7">
        <v>625.76150549390002</v>
      </c>
      <c r="Q47" s="7">
        <v>626.62694202299997</v>
      </c>
      <c r="R47" s="7">
        <v>629.19692921700005</v>
      </c>
      <c r="S47" s="7">
        <v>624.61000660009995</v>
      </c>
      <c r="T47" s="7">
        <v>625.8178794552</v>
      </c>
      <c r="U47" t="s">
        <v>85</v>
      </c>
    </row>
    <row r="48" spans="1:21">
      <c r="A48" t="s">
        <v>84</v>
      </c>
      <c r="B48">
        <v>42</v>
      </c>
      <c r="C48" s="10">
        <v>45861</v>
      </c>
      <c r="D48" s="11">
        <v>45861.4375</v>
      </c>
      <c r="E48" s="11">
        <v>45861.666666666664</v>
      </c>
      <c r="F48">
        <v>1</v>
      </c>
      <c r="G48">
        <v>158</v>
      </c>
      <c r="H48" s="7">
        <v>628.99609999999996</v>
      </c>
      <c r="I48" s="7">
        <v>632.45650000000001</v>
      </c>
      <c r="J48" s="7">
        <f t="shared" si="0"/>
        <v>546.74320000000785</v>
      </c>
      <c r="K48" s="7">
        <f>2*G48*'Method Notes'!$B$8</f>
        <v>1.1060000000000001</v>
      </c>
      <c r="L48" s="7">
        <f>2*G48*'Method Notes'!$B$9</f>
        <v>0.316</v>
      </c>
      <c r="M48" s="7">
        <f t="shared" si="1"/>
        <v>1.4220000000000002</v>
      </c>
      <c r="N48" s="7">
        <f t="shared" si="2"/>
        <v>545.32120000000782</v>
      </c>
      <c r="O48" s="7">
        <v>628.88232014790003</v>
      </c>
      <c r="P48" s="7">
        <v>626.45833947530002</v>
      </c>
      <c r="Q48" s="7">
        <v>628.50008092079997</v>
      </c>
      <c r="R48" s="7">
        <v>630.17072247780004</v>
      </c>
      <c r="S48" s="7">
        <v>625.17218716929995</v>
      </c>
      <c r="T48" s="7">
        <v>630.48267975889996</v>
      </c>
      <c r="U48" t="s">
        <v>85</v>
      </c>
    </row>
    <row r="49" spans="1:21">
      <c r="A49" t="s">
        <v>84</v>
      </c>
      <c r="B49">
        <v>43</v>
      </c>
      <c r="C49" s="10">
        <v>45863</v>
      </c>
      <c r="D49" s="11">
        <v>45863.520833333336</v>
      </c>
      <c r="E49" s="11">
        <v>45863.666666666664</v>
      </c>
      <c r="F49">
        <v>1</v>
      </c>
      <c r="G49">
        <v>157</v>
      </c>
      <c r="H49" s="7">
        <v>635.00450000000001</v>
      </c>
      <c r="I49" s="7">
        <v>635.33839999999998</v>
      </c>
      <c r="J49" s="7">
        <f t="shared" si="0"/>
        <v>52.422299999995516</v>
      </c>
      <c r="K49" s="7">
        <f>2*G49*'Method Notes'!$B$8</f>
        <v>1.099</v>
      </c>
      <c r="L49" s="7">
        <f>2*G49*'Method Notes'!$B$9</f>
        <v>0.314</v>
      </c>
      <c r="M49" s="7">
        <f t="shared" si="1"/>
        <v>1.413</v>
      </c>
      <c r="N49" s="7">
        <f t="shared" si="2"/>
        <v>51.00929999999552</v>
      </c>
      <c r="O49" s="7">
        <v>634.88155851819999</v>
      </c>
      <c r="P49" s="7">
        <v>631.31948773390002</v>
      </c>
      <c r="Q49" s="7">
        <v>634.08592780740003</v>
      </c>
      <c r="R49" s="7">
        <v>635.48523126120006</v>
      </c>
      <c r="S49" s="7">
        <v>630.71664169780001</v>
      </c>
      <c r="T49" s="7">
        <v>634.79679535809998</v>
      </c>
      <c r="U49" t="s">
        <v>85</v>
      </c>
    </row>
    <row r="50" spans="1:21">
      <c r="A50" t="s">
        <v>84</v>
      </c>
      <c r="B50">
        <v>44</v>
      </c>
      <c r="C50" s="10">
        <v>45867</v>
      </c>
      <c r="D50" s="11">
        <v>45867.479166666664</v>
      </c>
      <c r="E50" s="11">
        <v>45867.666666666664</v>
      </c>
      <c r="F50">
        <v>-1</v>
      </c>
      <c r="G50">
        <v>157</v>
      </c>
      <c r="H50" s="7">
        <v>633.48360000000002</v>
      </c>
      <c r="I50" s="7">
        <v>633.50360000000001</v>
      </c>
      <c r="J50" s="7">
        <f t="shared" si="0"/>
        <v>-3.1399999999971442</v>
      </c>
      <c r="K50" s="7">
        <f>2*G50*'Method Notes'!$B$8</f>
        <v>1.099</v>
      </c>
      <c r="L50" s="7">
        <f>2*G50*'Method Notes'!$B$9</f>
        <v>0.314</v>
      </c>
      <c r="M50" s="7">
        <f t="shared" si="1"/>
        <v>1.413</v>
      </c>
      <c r="N50" s="7">
        <f t="shared" si="2"/>
        <v>-4.5529999999971444</v>
      </c>
      <c r="O50" s="7">
        <v>637.21822542519999</v>
      </c>
      <c r="P50" s="7">
        <v>634.2182036506</v>
      </c>
      <c r="Q50" s="7">
        <v>635.20084299730001</v>
      </c>
      <c r="R50" s="7">
        <v>638.14583741570004</v>
      </c>
      <c r="S50" s="7">
        <v>633.29216213430004</v>
      </c>
      <c r="T50" s="7">
        <v>634.25546008590004</v>
      </c>
      <c r="U50" t="s">
        <v>85</v>
      </c>
    </row>
    <row r="51" spans="1:21">
      <c r="A51" t="s">
        <v>84</v>
      </c>
      <c r="B51">
        <v>45</v>
      </c>
      <c r="C51" s="10">
        <v>45868</v>
      </c>
      <c r="D51" s="11">
        <v>45868.4375</v>
      </c>
      <c r="E51" s="11">
        <v>45868.625</v>
      </c>
      <c r="F51">
        <v>1</v>
      </c>
      <c r="G51">
        <v>157</v>
      </c>
      <c r="H51" s="7">
        <v>634.6105</v>
      </c>
      <c r="I51" s="7">
        <v>630.98050000000001</v>
      </c>
      <c r="J51" s="7">
        <f t="shared" si="0"/>
        <v>-569.90999999999929</v>
      </c>
      <c r="K51" s="7">
        <f>2*G51*'Method Notes'!$B$8</f>
        <v>1.099</v>
      </c>
      <c r="L51" s="7">
        <f>2*G51*'Method Notes'!$B$9</f>
        <v>0.314</v>
      </c>
      <c r="M51" s="7">
        <f t="shared" si="1"/>
        <v>1.413</v>
      </c>
      <c r="N51" s="7">
        <f t="shared" si="2"/>
        <v>-571.3229999999993</v>
      </c>
      <c r="O51" s="7">
        <v>634.44776607680001</v>
      </c>
      <c r="P51" s="7">
        <v>633.00838468330005</v>
      </c>
      <c r="Q51" s="7">
        <v>634.19817326190002</v>
      </c>
      <c r="R51" s="7">
        <v>635.94832371769996</v>
      </c>
      <c r="S51" s="7">
        <v>631.50888934679995</v>
      </c>
      <c r="T51" s="7">
        <v>633.4921286407</v>
      </c>
      <c r="U51" t="s">
        <v>86</v>
      </c>
    </row>
    <row r="52" spans="1:21">
      <c r="A52" t="s">
        <v>84</v>
      </c>
      <c r="B52">
        <v>46</v>
      </c>
      <c r="C52" s="10">
        <v>45868</v>
      </c>
      <c r="D52" s="11">
        <v>45868.625</v>
      </c>
      <c r="E52" s="11">
        <v>45868.666666666664</v>
      </c>
      <c r="F52">
        <v>-1</v>
      </c>
      <c r="G52">
        <v>157</v>
      </c>
      <c r="H52" s="7">
        <v>630.98050000000001</v>
      </c>
      <c r="I52" s="7">
        <v>632.70579999999995</v>
      </c>
      <c r="J52" s="7">
        <f t="shared" si="0"/>
        <v>-270.87209999999175</v>
      </c>
      <c r="K52" s="7">
        <f>2*G52*'Method Notes'!$B$8</f>
        <v>1.099</v>
      </c>
      <c r="L52" s="7">
        <f>2*G52*'Method Notes'!$B$9</f>
        <v>0.314</v>
      </c>
      <c r="M52" s="7">
        <f t="shared" si="1"/>
        <v>1.413</v>
      </c>
      <c r="N52" s="7">
        <f t="shared" si="2"/>
        <v>-272.28509999999176</v>
      </c>
      <c r="O52" s="7">
        <v>635.94832371769996</v>
      </c>
      <c r="P52" s="7">
        <v>631.50888934679995</v>
      </c>
      <c r="Q52" s="7">
        <v>633.4921286407</v>
      </c>
      <c r="R52" s="7">
        <v>636.01812601159997</v>
      </c>
      <c r="S52" s="7">
        <v>631.43913646860005</v>
      </c>
      <c r="T52" s="7">
        <v>632.77469066419997</v>
      </c>
      <c r="U52" t="s">
        <v>85</v>
      </c>
    </row>
    <row r="53" spans="1:21">
      <c r="A53" t="s">
        <v>84</v>
      </c>
      <c r="B53">
        <v>47</v>
      </c>
      <c r="C53" s="10">
        <v>45874</v>
      </c>
      <c r="D53" s="11">
        <v>45874.4375</v>
      </c>
      <c r="E53" s="11">
        <v>45874.666666666664</v>
      </c>
      <c r="F53">
        <v>-1</v>
      </c>
      <c r="G53">
        <v>157</v>
      </c>
      <c r="H53" s="7">
        <v>628.10850000000005</v>
      </c>
      <c r="I53" s="7">
        <v>626.2337</v>
      </c>
      <c r="J53" s="7">
        <f t="shared" si="0"/>
        <v>294.34360000000788</v>
      </c>
      <c r="K53" s="7">
        <f>2*G53*'Method Notes'!$B$8</f>
        <v>1.099</v>
      </c>
      <c r="L53" s="7">
        <f>2*G53*'Method Notes'!$B$9</f>
        <v>0.314</v>
      </c>
      <c r="M53" s="7">
        <f t="shared" si="1"/>
        <v>1.413</v>
      </c>
      <c r="N53" s="7">
        <f t="shared" si="2"/>
        <v>292.93060000000787</v>
      </c>
      <c r="O53" s="7">
        <v>630.14410782050004</v>
      </c>
      <c r="P53" s="7">
        <v>628.77546429059998</v>
      </c>
      <c r="Q53" s="7">
        <v>628.7967247025</v>
      </c>
      <c r="R53" s="7">
        <v>631.72126262749998</v>
      </c>
      <c r="S53" s="7">
        <v>627.19848461319998</v>
      </c>
      <c r="T53" s="7">
        <v>627.11433180029996</v>
      </c>
      <c r="U53" t="s">
        <v>85</v>
      </c>
    </row>
    <row r="54" spans="1:21">
      <c r="A54" t="s">
        <v>84</v>
      </c>
      <c r="B54">
        <v>48</v>
      </c>
      <c r="C54" s="10">
        <v>45875</v>
      </c>
      <c r="D54" s="11">
        <v>45875.458333333336</v>
      </c>
      <c r="E54" s="11">
        <v>45875.666666666664</v>
      </c>
      <c r="F54">
        <v>1</v>
      </c>
      <c r="G54">
        <v>158</v>
      </c>
      <c r="H54" s="7">
        <v>629.23540000000003</v>
      </c>
      <c r="I54" s="7">
        <v>631.03049999999996</v>
      </c>
      <c r="J54" s="7">
        <f t="shared" si="0"/>
        <v>283.62579999998957</v>
      </c>
      <c r="K54" s="7">
        <f>2*G54*'Method Notes'!$B$8</f>
        <v>1.1060000000000001</v>
      </c>
      <c r="L54" s="7">
        <f>2*G54*'Method Notes'!$B$9</f>
        <v>0.316</v>
      </c>
      <c r="M54" s="7">
        <f t="shared" si="1"/>
        <v>1.4220000000000002</v>
      </c>
      <c r="N54" s="7">
        <f t="shared" si="2"/>
        <v>282.20379999998954</v>
      </c>
      <c r="O54" s="7">
        <v>628.21444655499999</v>
      </c>
      <c r="P54" s="7">
        <v>625.23181714700002</v>
      </c>
      <c r="Q54" s="7">
        <v>627.68212717480003</v>
      </c>
      <c r="R54" s="7">
        <v>629.50538296349998</v>
      </c>
      <c r="S54" s="7">
        <v>623.94289264539998</v>
      </c>
      <c r="T54" s="7">
        <v>629.89443884529999</v>
      </c>
      <c r="U54" t="s">
        <v>85</v>
      </c>
    </row>
    <row r="55" spans="1:21">
      <c r="A55" t="s">
        <v>84</v>
      </c>
      <c r="B55">
        <v>49</v>
      </c>
      <c r="C55" s="10">
        <v>45876</v>
      </c>
      <c r="D55" s="11">
        <v>45876.541666666664</v>
      </c>
      <c r="E55" s="11">
        <v>45876.666666666664</v>
      </c>
      <c r="F55">
        <v>-1</v>
      </c>
      <c r="G55">
        <v>156</v>
      </c>
      <c r="H55" s="7">
        <v>629.49469999999997</v>
      </c>
      <c r="I55" s="7">
        <v>630.50189999999998</v>
      </c>
      <c r="J55" s="7">
        <f t="shared" si="0"/>
        <v>-157.12320000000182</v>
      </c>
      <c r="K55" s="7">
        <f>2*G55*'Method Notes'!$B$8</f>
        <v>1.0920000000000001</v>
      </c>
      <c r="L55" s="7">
        <f>2*G55*'Method Notes'!$B$9</f>
        <v>0.312</v>
      </c>
      <c r="M55" s="7">
        <f t="shared" si="1"/>
        <v>1.4040000000000001</v>
      </c>
      <c r="N55" s="7">
        <f t="shared" si="2"/>
        <v>-158.52720000000181</v>
      </c>
      <c r="O55" s="7">
        <v>636.20115968289997</v>
      </c>
      <c r="P55" s="7">
        <v>629.63746097190005</v>
      </c>
      <c r="Q55" s="7">
        <v>631.56682644049999</v>
      </c>
      <c r="R55" s="7">
        <v>637.24094611839996</v>
      </c>
      <c r="S55" s="7">
        <v>628.6038492102</v>
      </c>
      <c r="T55" s="7">
        <v>630.54592956390002</v>
      </c>
      <c r="U55" t="s">
        <v>85</v>
      </c>
    </row>
    <row r="56" spans="1:21">
      <c r="A56" t="s">
        <v>84</v>
      </c>
      <c r="B56">
        <v>50</v>
      </c>
      <c r="C56" s="10">
        <v>45881</v>
      </c>
      <c r="D56" s="11">
        <v>45881.4375</v>
      </c>
      <c r="E56" s="11">
        <v>45881.666666666664</v>
      </c>
      <c r="F56">
        <v>1</v>
      </c>
      <c r="G56">
        <v>156</v>
      </c>
      <c r="H56" s="7">
        <v>637.56230000000005</v>
      </c>
      <c r="I56" s="7">
        <v>640.91300000000001</v>
      </c>
      <c r="J56" s="7">
        <f t="shared" si="0"/>
        <v>522.70919999999387</v>
      </c>
      <c r="K56" s="7">
        <f>2*G56*'Method Notes'!$B$8</f>
        <v>1.0920000000000001</v>
      </c>
      <c r="L56" s="7">
        <f>2*G56*'Method Notes'!$B$9</f>
        <v>0.312</v>
      </c>
      <c r="M56" s="7">
        <f t="shared" si="1"/>
        <v>1.4040000000000001</v>
      </c>
      <c r="N56" s="7">
        <f t="shared" si="2"/>
        <v>521.30519999999387</v>
      </c>
      <c r="O56" s="7">
        <v>636.19278418809995</v>
      </c>
      <c r="P56" s="7">
        <v>633.3787548821</v>
      </c>
      <c r="Q56" s="7">
        <v>636.13115499410003</v>
      </c>
      <c r="R56" s="7">
        <v>637.95765260630003</v>
      </c>
      <c r="S56" s="7">
        <v>631.61734893829998</v>
      </c>
      <c r="T56" s="7">
        <v>638.87106395199999</v>
      </c>
      <c r="U56" t="s">
        <v>85</v>
      </c>
    </row>
    <row r="57" spans="1:21">
      <c r="A57" t="s">
        <v>84</v>
      </c>
      <c r="B57">
        <v>51</v>
      </c>
      <c r="C57" s="10">
        <v>45888</v>
      </c>
      <c r="D57" s="11">
        <v>45888.458333333336</v>
      </c>
      <c r="E57" s="11">
        <v>45888.666666666664</v>
      </c>
      <c r="F57">
        <v>-1</v>
      </c>
      <c r="G57">
        <v>156</v>
      </c>
      <c r="H57" s="7">
        <v>639.48199999999997</v>
      </c>
      <c r="I57" s="7">
        <v>638.04100000000005</v>
      </c>
      <c r="J57" s="7">
        <f t="shared" si="0"/>
        <v>224.79599999998709</v>
      </c>
      <c r="K57" s="7">
        <f>2*G57*'Method Notes'!$B$8</f>
        <v>1.0920000000000001</v>
      </c>
      <c r="L57" s="7">
        <f>2*G57*'Method Notes'!$B$9</f>
        <v>0.312</v>
      </c>
      <c r="M57" s="7">
        <f t="shared" si="1"/>
        <v>1.4040000000000001</v>
      </c>
      <c r="N57" s="7">
        <f t="shared" si="2"/>
        <v>223.39199999998709</v>
      </c>
      <c r="O57" s="7">
        <v>642.97805377170005</v>
      </c>
      <c r="P57" s="7">
        <v>639.64669723099996</v>
      </c>
      <c r="Q57" s="7">
        <v>640.58670796989998</v>
      </c>
      <c r="R57" s="7">
        <v>643.92192114579996</v>
      </c>
      <c r="S57" s="7">
        <v>638.70344603540002</v>
      </c>
      <c r="T57" s="7">
        <v>638.87439333769998</v>
      </c>
      <c r="U57" t="s">
        <v>85</v>
      </c>
    </row>
    <row r="58" spans="1:21">
      <c r="A58" t="s">
        <v>84</v>
      </c>
      <c r="B58">
        <v>52</v>
      </c>
      <c r="C58" s="10">
        <v>45889</v>
      </c>
      <c r="D58" s="11">
        <v>45889.4375</v>
      </c>
      <c r="E58" s="11">
        <v>45889.666666666664</v>
      </c>
      <c r="F58">
        <v>-1</v>
      </c>
      <c r="G58">
        <v>158</v>
      </c>
      <c r="H58" s="7">
        <v>632.18730000000005</v>
      </c>
      <c r="I58" s="7">
        <v>636.34569999999997</v>
      </c>
      <c r="J58" s="7">
        <f t="shared" si="0"/>
        <v>-657.02719999998658</v>
      </c>
      <c r="K58" s="7">
        <f>2*G58*'Method Notes'!$B$8</f>
        <v>1.1060000000000001</v>
      </c>
      <c r="L58" s="7">
        <f>2*G58*'Method Notes'!$B$9</f>
        <v>0.316</v>
      </c>
      <c r="M58" s="7">
        <f t="shared" si="1"/>
        <v>1.4220000000000002</v>
      </c>
      <c r="N58" s="7">
        <f t="shared" si="2"/>
        <v>-658.4491999999866</v>
      </c>
      <c r="O58" s="7">
        <v>638.98867689320002</v>
      </c>
      <c r="P58" s="7">
        <v>632.61248835260005</v>
      </c>
      <c r="Q58" s="7">
        <v>632.98813804470001</v>
      </c>
      <c r="R58" s="7">
        <v>640.55662194770002</v>
      </c>
      <c r="S58" s="7">
        <v>631.05557104299999</v>
      </c>
      <c r="T58" s="7">
        <v>634.24204567139998</v>
      </c>
      <c r="U58" t="s">
        <v>85</v>
      </c>
    </row>
    <row r="59" spans="1:21">
      <c r="A59" t="s">
        <v>84</v>
      </c>
      <c r="B59">
        <v>53</v>
      </c>
      <c r="C59" s="10">
        <v>45891</v>
      </c>
      <c r="D59" s="11">
        <v>45891.4375</v>
      </c>
      <c r="E59" s="11">
        <v>45891.666666666664</v>
      </c>
      <c r="F59">
        <v>1</v>
      </c>
      <c r="G59">
        <v>156</v>
      </c>
      <c r="H59" s="7">
        <v>642.4683</v>
      </c>
      <c r="I59" s="7">
        <v>643.5258</v>
      </c>
      <c r="J59" s="7">
        <f t="shared" si="0"/>
        <v>164.97000000000071</v>
      </c>
      <c r="K59" s="7">
        <f>2*G59*'Method Notes'!$B$8</f>
        <v>1.0920000000000001</v>
      </c>
      <c r="L59" s="7">
        <f>2*G59*'Method Notes'!$B$9</f>
        <v>0.312</v>
      </c>
      <c r="M59" s="7">
        <f t="shared" si="1"/>
        <v>1.4040000000000001</v>
      </c>
      <c r="N59" s="7">
        <f t="shared" si="2"/>
        <v>163.56600000000071</v>
      </c>
      <c r="O59" s="7">
        <v>638.18155971919998</v>
      </c>
      <c r="P59" s="7">
        <v>632.76009953840003</v>
      </c>
      <c r="Q59" s="7">
        <v>640.98642363490001</v>
      </c>
      <c r="R59" s="7">
        <v>639.3268022538</v>
      </c>
      <c r="S59" s="7">
        <v>631.62087994629997</v>
      </c>
      <c r="T59" s="7">
        <v>642.81313309459995</v>
      </c>
      <c r="U59" t="s">
        <v>85</v>
      </c>
    </row>
    <row r="60" spans="1:21">
      <c r="A60" t="s">
        <v>84</v>
      </c>
      <c r="B60">
        <v>54</v>
      </c>
      <c r="C60" s="10">
        <v>45897</v>
      </c>
      <c r="D60" s="11">
        <v>45897.604166666664</v>
      </c>
      <c r="E60" s="11">
        <v>45897.666666666664</v>
      </c>
      <c r="F60">
        <v>1</v>
      </c>
      <c r="G60">
        <v>154</v>
      </c>
      <c r="H60" s="7">
        <v>646.85659999999996</v>
      </c>
      <c r="I60" s="7">
        <v>647.12580000000003</v>
      </c>
      <c r="J60" s="7">
        <f t="shared" si="0"/>
        <v>41.456800000010617</v>
      </c>
      <c r="K60" s="7">
        <f>2*G60*'Method Notes'!$B$8</f>
        <v>1.0780000000000001</v>
      </c>
      <c r="L60" s="7">
        <f>2*G60*'Method Notes'!$B$9</f>
        <v>0.308</v>
      </c>
      <c r="M60" s="7">
        <f t="shared" si="1"/>
        <v>1.3860000000000001</v>
      </c>
      <c r="N60" s="7">
        <f t="shared" si="2"/>
        <v>40.070800000010614</v>
      </c>
      <c r="O60" s="7">
        <v>646.62180719729997</v>
      </c>
      <c r="P60" s="7">
        <v>642.49546134879995</v>
      </c>
      <c r="Q60" s="7">
        <v>645.2110495595</v>
      </c>
      <c r="R60" s="7">
        <v>646.95155300210001</v>
      </c>
      <c r="S60" s="7">
        <v>642.1660061494</v>
      </c>
      <c r="T60" s="7">
        <v>645.90020434899998</v>
      </c>
      <c r="U60" t="s">
        <v>85</v>
      </c>
    </row>
    <row r="61" spans="1:21">
      <c r="A61" t="s">
        <v>84</v>
      </c>
      <c r="B61">
        <v>55</v>
      </c>
      <c r="C61" s="10">
        <v>45898</v>
      </c>
      <c r="D61" s="11">
        <v>45898.458333333336</v>
      </c>
      <c r="E61" s="11">
        <v>45898.666666666664</v>
      </c>
      <c r="F61">
        <v>-1</v>
      </c>
      <c r="G61">
        <v>155</v>
      </c>
      <c r="H61" s="7">
        <v>641.95510000000002</v>
      </c>
      <c r="I61" s="7">
        <v>643.26649999999995</v>
      </c>
      <c r="J61" s="7">
        <f t="shared" si="0"/>
        <v>-203.26699999998993</v>
      </c>
      <c r="K61" s="7">
        <f>2*G61*'Method Notes'!$B$8</f>
        <v>1.085</v>
      </c>
      <c r="L61" s="7">
        <f>2*G61*'Method Notes'!$B$9</f>
        <v>0.31</v>
      </c>
      <c r="M61" s="7">
        <f t="shared" si="1"/>
        <v>1.395</v>
      </c>
      <c r="N61" s="7">
        <f t="shared" si="2"/>
        <v>-204.66199999998994</v>
      </c>
      <c r="O61" s="7">
        <v>648.66819449549996</v>
      </c>
      <c r="P61" s="7">
        <v>642.17844052279997</v>
      </c>
      <c r="Q61" s="7">
        <v>642.9827050463</v>
      </c>
      <c r="R61" s="7">
        <v>649.3579460661</v>
      </c>
      <c r="S61" s="7">
        <v>641.49232665839997</v>
      </c>
      <c r="T61" s="7">
        <v>642.9327725764</v>
      </c>
      <c r="U61" t="s">
        <v>85</v>
      </c>
    </row>
    <row r="62" spans="1:21">
      <c r="A62" t="s">
        <v>84</v>
      </c>
      <c r="B62">
        <v>56</v>
      </c>
      <c r="C62" s="10">
        <v>45902</v>
      </c>
      <c r="D62" s="11">
        <v>45902.458333333336</v>
      </c>
      <c r="E62" s="11">
        <v>45902.666666666664</v>
      </c>
      <c r="F62">
        <v>-1</v>
      </c>
      <c r="G62">
        <v>156</v>
      </c>
      <c r="H62" s="7">
        <v>635.88699999999994</v>
      </c>
      <c r="I62" s="7">
        <v>638.49980000000005</v>
      </c>
      <c r="J62" s="7">
        <f t="shared" si="0"/>
        <v>-407.59680000001663</v>
      </c>
      <c r="K62" s="7">
        <f>2*G62*'Method Notes'!$B$8</f>
        <v>1.0920000000000001</v>
      </c>
      <c r="L62" s="7">
        <f>2*G62*'Method Notes'!$B$9</f>
        <v>0.312</v>
      </c>
      <c r="M62" s="7">
        <f t="shared" si="1"/>
        <v>1.4040000000000001</v>
      </c>
      <c r="N62" s="7">
        <f t="shared" si="2"/>
        <v>-409.00080000001662</v>
      </c>
      <c r="O62" s="7">
        <v>644.85743672429999</v>
      </c>
      <c r="P62" s="7">
        <v>635.98537163360004</v>
      </c>
      <c r="Q62" s="7">
        <v>637.24883816090005</v>
      </c>
      <c r="R62" s="7">
        <v>645.38893572860002</v>
      </c>
      <c r="S62" s="7">
        <v>635.45858564319997</v>
      </c>
      <c r="T62" s="7">
        <v>636.7630690236</v>
      </c>
      <c r="U62" t="s">
        <v>85</v>
      </c>
    </row>
    <row r="63" spans="1:21">
      <c r="A63" t="s">
        <v>84</v>
      </c>
      <c r="B63">
        <v>57</v>
      </c>
      <c r="C63" s="10">
        <v>45903</v>
      </c>
      <c r="D63" s="11">
        <v>45903.458333333336</v>
      </c>
      <c r="E63" s="11">
        <v>45903.666666666664</v>
      </c>
      <c r="F63">
        <v>1</v>
      </c>
      <c r="G63">
        <v>154</v>
      </c>
      <c r="H63" s="7">
        <v>642.20939999999996</v>
      </c>
      <c r="I63" s="7">
        <v>641.96010000000001</v>
      </c>
      <c r="J63" s="7">
        <f t="shared" si="0"/>
        <v>-38.392199999992044</v>
      </c>
      <c r="K63" s="7">
        <f>2*G63*'Method Notes'!$B$8</f>
        <v>1.0780000000000001</v>
      </c>
      <c r="L63" s="7">
        <f>2*G63*'Method Notes'!$B$9</f>
        <v>0.308</v>
      </c>
      <c r="M63" s="7">
        <f t="shared" si="1"/>
        <v>1.3860000000000001</v>
      </c>
      <c r="N63" s="7">
        <f t="shared" si="2"/>
        <v>-39.778199999992047</v>
      </c>
      <c r="O63" s="7">
        <v>641.78915880500006</v>
      </c>
      <c r="P63" s="7">
        <v>636.99443773619998</v>
      </c>
      <c r="Q63" s="7">
        <v>640.83733642029995</v>
      </c>
      <c r="R63" s="7">
        <v>642.06352342989999</v>
      </c>
      <c r="S63" s="7">
        <v>636.72083594009996</v>
      </c>
      <c r="T63" s="7">
        <v>640.6604367891</v>
      </c>
      <c r="U63" t="s">
        <v>85</v>
      </c>
    </row>
    <row r="64" spans="1:21">
      <c r="A64" t="s">
        <v>84</v>
      </c>
      <c r="B64">
        <v>58</v>
      </c>
      <c r="C64" s="10">
        <v>45904</v>
      </c>
      <c r="D64" s="11">
        <v>45904.5625</v>
      </c>
      <c r="E64" s="11">
        <v>45904.666666666664</v>
      </c>
      <c r="F64">
        <v>1</v>
      </c>
      <c r="G64">
        <v>154</v>
      </c>
      <c r="H64" s="7">
        <v>645.09019999999998</v>
      </c>
      <c r="I64" s="7">
        <v>647.32529999999997</v>
      </c>
      <c r="J64" s="7">
        <f t="shared" si="0"/>
        <v>344.20539999999824</v>
      </c>
      <c r="K64" s="7">
        <f>2*G64*'Method Notes'!$B$8</f>
        <v>1.0780000000000001</v>
      </c>
      <c r="L64" s="7">
        <f>2*G64*'Method Notes'!$B$9</f>
        <v>0.308</v>
      </c>
      <c r="M64" s="7">
        <f t="shared" si="1"/>
        <v>1.3860000000000001</v>
      </c>
      <c r="N64" s="7">
        <f t="shared" si="2"/>
        <v>342.81939999999821</v>
      </c>
      <c r="O64" s="7">
        <v>644.8428584536</v>
      </c>
      <c r="P64" s="7">
        <v>640.35552839369996</v>
      </c>
      <c r="Q64" s="7">
        <v>643.82850511369998</v>
      </c>
      <c r="R64" s="7">
        <v>645.09781171839995</v>
      </c>
      <c r="S64" s="7">
        <v>640.10108048899997</v>
      </c>
      <c r="T64" s="7">
        <v>645.11155126899996</v>
      </c>
      <c r="U64" t="s">
        <v>85</v>
      </c>
    </row>
    <row r="65" spans="1:21">
      <c r="A65" t="s">
        <v>84</v>
      </c>
      <c r="B65">
        <v>59</v>
      </c>
      <c r="C65" s="10">
        <v>45905</v>
      </c>
      <c r="D65" s="11">
        <v>45905.4375</v>
      </c>
      <c r="E65" s="11">
        <v>45905.666666666664</v>
      </c>
      <c r="F65">
        <v>-1</v>
      </c>
      <c r="G65">
        <v>153</v>
      </c>
      <c r="H65" s="7">
        <v>644.71749999999997</v>
      </c>
      <c r="I65" s="7">
        <v>645.45039999999995</v>
      </c>
      <c r="J65" s="7">
        <f t="shared" si="0"/>
        <v>-112.13369999999577</v>
      </c>
      <c r="K65" s="7">
        <f>2*G65*'Method Notes'!$B$8</f>
        <v>1.071</v>
      </c>
      <c r="L65" s="7">
        <f>2*G65*'Method Notes'!$B$9</f>
        <v>0.30599999999999999</v>
      </c>
      <c r="M65" s="7">
        <f t="shared" si="1"/>
        <v>1.377</v>
      </c>
      <c r="N65" s="7">
        <f t="shared" si="2"/>
        <v>-113.51069999999577</v>
      </c>
      <c r="O65" s="7">
        <v>650.24699092130004</v>
      </c>
      <c r="P65" s="7">
        <v>646.34105046599996</v>
      </c>
      <c r="Q65" s="7">
        <v>646.97050796940005</v>
      </c>
      <c r="R65" s="7">
        <v>651.37144159290006</v>
      </c>
      <c r="S65" s="7">
        <v>645.21995049370003</v>
      </c>
      <c r="T65" s="7">
        <v>644.93508787220003</v>
      </c>
      <c r="U65" t="s">
        <v>85</v>
      </c>
    </row>
    <row r="66" spans="1:21">
      <c r="A66" t="s">
        <v>84</v>
      </c>
      <c r="B66">
        <v>60</v>
      </c>
      <c r="C66" s="10">
        <v>45911</v>
      </c>
      <c r="D66" s="11">
        <v>45911.479166666664</v>
      </c>
      <c r="E66" s="11">
        <v>45911.666666666664</v>
      </c>
      <c r="F66">
        <v>1</v>
      </c>
      <c r="G66">
        <v>151</v>
      </c>
      <c r="H66" s="7">
        <v>655.63229999999999</v>
      </c>
      <c r="I66" s="7">
        <v>655.81169999999997</v>
      </c>
      <c r="J66" s="7">
        <f t="shared" si="0"/>
        <v>27.089399999998022</v>
      </c>
      <c r="K66" s="7">
        <f>2*G66*'Method Notes'!$B$8</f>
        <v>1.0569999999999999</v>
      </c>
      <c r="L66" s="7">
        <f>2*G66*'Method Notes'!$B$9</f>
        <v>0.30199999999999999</v>
      </c>
      <c r="M66" s="7">
        <f t="shared" si="1"/>
        <v>1.359</v>
      </c>
      <c r="N66" s="7">
        <f t="shared" si="2"/>
        <v>25.730399999998021</v>
      </c>
      <c r="O66" s="7">
        <v>655.49247382520002</v>
      </c>
      <c r="P66" s="7">
        <v>648.72520455200004</v>
      </c>
      <c r="Q66" s="7">
        <v>654.40606447899995</v>
      </c>
      <c r="R66" s="7">
        <v>655.95492025659996</v>
      </c>
      <c r="S66" s="7">
        <v>648.26515996190005</v>
      </c>
      <c r="T66" s="7">
        <v>655.17284369799995</v>
      </c>
      <c r="U66" t="s">
        <v>85</v>
      </c>
    </row>
    <row r="67" spans="1:21">
      <c r="A67" t="s">
        <v>84</v>
      </c>
      <c r="B67">
        <v>61</v>
      </c>
      <c r="C67" s="10">
        <v>45917</v>
      </c>
      <c r="D67" s="11">
        <v>45917.4375</v>
      </c>
      <c r="E67" s="11">
        <v>45917.666666666664</v>
      </c>
      <c r="F67">
        <v>-1</v>
      </c>
      <c r="G67">
        <v>151</v>
      </c>
      <c r="H67" s="7">
        <v>657.34749999999997</v>
      </c>
      <c r="I67" s="7">
        <v>657.35739999999998</v>
      </c>
      <c r="J67" s="7">
        <f t="shared" si="0"/>
        <v>-1.4949000000024171</v>
      </c>
      <c r="K67" s="7">
        <f>2*G67*'Method Notes'!$B$8</f>
        <v>1.0569999999999999</v>
      </c>
      <c r="L67" s="7">
        <f>2*G67*'Method Notes'!$B$9</f>
        <v>0.30199999999999999</v>
      </c>
      <c r="M67" s="7">
        <f t="shared" si="1"/>
        <v>1.359</v>
      </c>
      <c r="N67" s="7">
        <f t="shared" si="2"/>
        <v>-2.8539000000024171</v>
      </c>
      <c r="O67" s="7">
        <v>658.81261217669999</v>
      </c>
      <c r="P67" s="7">
        <v>657.45296986419999</v>
      </c>
      <c r="Q67" s="7">
        <v>657.79438013590004</v>
      </c>
      <c r="R67" s="7">
        <v>659.69178471700002</v>
      </c>
      <c r="S67" s="7">
        <v>656.57391046379996</v>
      </c>
      <c r="T67" s="7">
        <v>657.41499797489996</v>
      </c>
      <c r="U67" t="s">
        <v>85</v>
      </c>
    </row>
    <row r="68" spans="1:21">
      <c r="A68" t="s">
        <v>84</v>
      </c>
      <c r="B68">
        <v>62</v>
      </c>
      <c r="C68" s="10">
        <v>45918</v>
      </c>
      <c r="D68" s="11">
        <v>45918.4375</v>
      </c>
      <c r="E68" s="11">
        <v>45918.666666666664</v>
      </c>
      <c r="F68">
        <v>1</v>
      </c>
      <c r="G68">
        <v>150</v>
      </c>
      <c r="H68" s="7">
        <v>662.65279999999996</v>
      </c>
      <c r="I68" s="7">
        <v>660.42899999999997</v>
      </c>
      <c r="J68" s="7">
        <f t="shared" si="0"/>
        <v>-333.56999999999744</v>
      </c>
      <c r="K68" s="7">
        <f>2*G68*'Method Notes'!$B$8</f>
        <v>1.05</v>
      </c>
      <c r="L68" s="7">
        <f>2*G68*'Method Notes'!$B$9</f>
        <v>0.3</v>
      </c>
      <c r="M68" s="7">
        <f t="shared" si="1"/>
        <v>1.35</v>
      </c>
      <c r="N68" s="7">
        <f t="shared" si="2"/>
        <v>-334.91999999999746</v>
      </c>
      <c r="O68" s="7">
        <v>660.89425392759995</v>
      </c>
      <c r="P68" s="7">
        <v>656.72533640910001</v>
      </c>
      <c r="Q68" s="7">
        <v>661.19211677010003</v>
      </c>
      <c r="R68" s="7">
        <v>661.73822893659997</v>
      </c>
      <c r="S68" s="7">
        <v>655.88507087480002</v>
      </c>
      <c r="T68" s="7">
        <v>661.04243955230004</v>
      </c>
      <c r="U68" t="s">
        <v>85</v>
      </c>
    </row>
    <row r="69" spans="1:21">
      <c r="A69" t="s">
        <v>84</v>
      </c>
      <c r="B69">
        <v>63</v>
      </c>
      <c r="C69" s="10">
        <v>45919</v>
      </c>
      <c r="D69" s="11">
        <v>45919.645833333336</v>
      </c>
      <c r="E69" s="11">
        <v>45919.666666666664</v>
      </c>
      <c r="F69">
        <v>1</v>
      </c>
      <c r="G69">
        <v>149</v>
      </c>
      <c r="H69" s="7">
        <v>663.85</v>
      </c>
      <c r="I69" s="7">
        <v>663.7</v>
      </c>
      <c r="J69" s="7">
        <f t="shared" si="0"/>
        <v>-22.349999999996612</v>
      </c>
      <c r="K69" s="7">
        <f>2*G69*'Method Notes'!$B$8</f>
        <v>1.0429999999999999</v>
      </c>
      <c r="L69" s="7">
        <f>2*G69*'Method Notes'!$B$9</f>
        <v>0.29799999999999999</v>
      </c>
      <c r="M69" s="7">
        <f t="shared" si="1"/>
        <v>1.341</v>
      </c>
      <c r="N69" s="7">
        <f t="shared" si="2"/>
        <v>-23.690999999996613</v>
      </c>
      <c r="O69" s="7">
        <v>663.39113206139996</v>
      </c>
      <c r="P69" s="7">
        <v>659.16591145489997</v>
      </c>
      <c r="Q69" s="7">
        <v>662.32309012250005</v>
      </c>
      <c r="R69" s="7">
        <v>663.41078989870005</v>
      </c>
      <c r="S69" s="7">
        <v>659.14630397609994</v>
      </c>
      <c r="T69" s="7">
        <v>662.67117351779996</v>
      </c>
      <c r="U69" t="s">
        <v>85</v>
      </c>
    </row>
    <row r="70" spans="1:21">
      <c r="A70" t="s">
        <v>84</v>
      </c>
      <c r="B70">
        <v>64</v>
      </c>
      <c r="C70" s="10">
        <v>45922</v>
      </c>
      <c r="D70" s="11">
        <v>45922.458333333336</v>
      </c>
      <c r="E70" s="11">
        <v>45922.666666666664</v>
      </c>
      <c r="F70">
        <v>1</v>
      </c>
      <c r="G70">
        <v>149</v>
      </c>
      <c r="H70" s="7">
        <v>664.96</v>
      </c>
      <c r="I70" s="7">
        <v>666.84</v>
      </c>
      <c r="J70" s="7">
        <f t="shared" si="0"/>
        <v>280.11999999999932</v>
      </c>
      <c r="K70" s="7">
        <f>2*G70*'Method Notes'!$B$8</f>
        <v>1.0429999999999999</v>
      </c>
      <c r="L70" s="7">
        <f>2*G70*'Method Notes'!$B$9</f>
        <v>0.29799999999999999</v>
      </c>
      <c r="M70" s="7">
        <f t="shared" si="1"/>
        <v>1.341</v>
      </c>
      <c r="N70" s="7">
        <f t="shared" si="2"/>
        <v>278.77899999999931</v>
      </c>
      <c r="O70" s="7">
        <v>664.9431044849</v>
      </c>
      <c r="P70" s="7">
        <v>662.18740122279996</v>
      </c>
      <c r="Q70" s="7">
        <v>664.00973277100002</v>
      </c>
      <c r="R70" s="7">
        <v>665.06874762070004</v>
      </c>
      <c r="S70" s="7">
        <v>662.06180919990004</v>
      </c>
      <c r="T70" s="7">
        <v>665.63604221690002</v>
      </c>
      <c r="U70" t="s">
        <v>85</v>
      </c>
    </row>
    <row r="71" spans="1:21">
      <c r="A71" t="s">
        <v>84</v>
      </c>
      <c r="B71">
        <v>65</v>
      </c>
      <c r="C71" s="10">
        <v>45923</v>
      </c>
      <c r="D71" s="11">
        <v>45923.5</v>
      </c>
      <c r="E71" s="11">
        <v>45923.666666666664</v>
      </c>
      <c r="F71">
        <v>-1</v>
      </c>
      <c r="G71">
        <v>148</v>
      </c>
      <c r="H71" s="7">
        <v>665.57069999999999</v>
      </c>
      <c r="I71" s="7">
        <v>663.21</v>
      </c>
      <c r="J71" s="7">
        <f t="shared" ref="J71:J134" si="3">F71*G71*(I71-H71)</f>
        <v>349.38359999999284</v>
      </c>
      <c r="K71" s="7">
        <f>2*G71*'Method Notes'!$B$8</f>
        <v>1.036</v>
      </c>
      <c r="L71" s="7">
        <f>2*G71*'Method Notes'!$B$9</f>
        <v>0.29599999999999999</v>
      </c>
      <c r="M71" s="7">
        <f t="shared" ref="M71:M134" si="4">K71+L71</f>
        <v>1.3320000000000001</v>
      </c>
      <c r="N71" s="7">
        <f t="shared" ref="N71:N134" si="5">J71-M71</f>
        <v>348.05159999999285</v>
      </c>
      <c r="O71" s="7">
        <v>667.8536830173</v>
      </c>
      <c r="P71" s="7">
        <v>665.76640819040006</v>
      </c>
      <c r="Q71" s="7">
        <v>666.43339372200001</v>
      </c>
      <c r="R71" s="7">
        <v>668.39000723929996</v>
      </c>
      <c r="S71" s="7">
        <v>665.23013222509996</v>
      </c>
      <c r="T71" s="7">
        <v>664.32810369849994</v>
      </c>
      <c r="U71" t="s">
        <v>85</v>
      </c>
    </row>
    <row r="72" spans="1:21">
      <c r="A72" t="s">
        <v>84</v>
      </c>
      <c r="B72">
        <v>66</v>
      </c>
      <c r="C72" s="10">
        <v>45924</v>
      </c>
      <c r="D72" s="11">
        <v>45924.5</v>
      </c>
      <c r="E72" s="11">
        <v>45924.666666666664</v>
      </c>
      <c r="F72">
        <v>-1</v>
      </c>
      <c r="G72">
        <v>150</v>
      </c>
      <c r="H72" s="7">
        <v>660.38</v>
      </c>
      <c r="I72" s="7">
        <v>661.1</v>
      </c>
      <c r="J72" s="7">
        <f t="shared" si="3"/>
        <v>-108.00000000000409</v>
      </c>
      <c r="K72" s="7">
        <f>2*G72*'Method Notes'!$B$8</f>
        <v>1.05</v>
      </c>
      <c r="L72" s="7">
        <f>2*G72*'Method Notes'!$B$9</f>
        <v>0.3</v>
      </c>
      <c r="M72" s="7">
        <f t="shared" si="4"/>
        <v>1.35</v>
      </c>
      <c r="N72" s="7">
        <f t="shared" si="5"/>
        <v>-109.35000000000409</v>
      </c>
      <c r="O72" s="7">
        <v>664.28452637520002</v>
      </c>
      <c r="P72" s="7">
        <v>661.94078956190003</v>
      </c>
      <c r="Q72" s="7">
        <v>662.41881930839997</v>
      </c>
      <c r="R72" s="7">
        <v>664.88088462109999</v>
      </c>
      <c r="S72" s="7">
        <v>661.34460665990002</v>
      </c>
      <c r="T72" s="7">
        <v>661.50044949380003</v>
      </c>
      <c r="U72" t="s">
        <v>85</v>
      </c>
    </row>
    <row r="73" spans="1:21">
      <c r="A73" t="s">
        <v>84</v>
      </c>
      <c r="B73">
        <v>67</v>
      </c>
      <c r="C73" s="10">
        <v>45930</v>
      </c>
      <c r="D73" s="11">
        <v>45930.645833333336</v>
      </c>
      <c r="E73" s="11">
        <v>45930.666666666664</v>
      </c>
      <c r="F73">
        <v>1</v>
      </c>
      <c r="G73">
        <v>150</v>
      </c>
      <c r="H73" s="7">
        <v>665.40499999999997</v>
      </c>
      <c r="I73" s="7">
        <v>666.18</v>
      </c>
      <c r="J73" s="7">
        <f t="shared" si="3"/>
        <v>116.24999999999659</v>
      </c>
      <c r="K73" s="7">
        <f>2*G73*'Method Notes'!$B$8</f>
        <v>1.05</v>
      </c>
      <c r="L73" s="7">
        <f>2*G73*'Method Notes'!$B$9</f>
        <v>0.3</v>
      </c>
      <c r="M73" s="7">
        <f t="shared" si="4"/>
        <v>1.35</v>
      </c>
      <c r="N73" s="7">
        <f t="shared" si="5"/>
        <v>114.8999999999966</v>
      </c>
      <c r="O73" s="7">
        <v>665.29428213430003</v>
      </c>
      <c r="P73" s="7">
        <v>661.45221374250002</v>
      </c>
      <c r="Q73" s="7">
        <v>663.3506120024</v>
      </c>
      <c r="R73" s="7">
        <v>664.99636711740004</v>
      </c>
      <c r="S73" s="7">
        <v>661.74985269599995</v>
      </c>
      <c r="T73" s="7">
        <v>664.31106298069994</v>
      </c>
      <c r="U73" t="s">
        <v>85</v>
      </c>
    </row>
    <row r="74" spans="1:21">
      <c r="A74" t="s">
        <v>84</v>
      </c>
      <c r="B74">
        <v>68</v>
      </c>
      <c r="C74" s="10">
        <v>45931</v>
      </c>
      <c r="D74" s="11">
        <v>45931.5625</v>
      </c>
      <c r="E74" s="11">
        <v>45931.666666666664</v>
      </c>
      <c r="F74">
        <v>1</v>
      </c>
      <c r="G74">
        <v>150</v>
      </c>
      <c r="H74" s="7">
        <v>667.99869999999999</v>
      </c>
      <c r="I74" s="7">
        <v>668.45</v>
      </c>
      <c r="J74" s="7">
        <f t="shared" si="3"/>
        <v>67.695000000009031</v>
      </c>
      <c r="K74" s="7">
        <f>2*G74*'Method Notes'!$B$8</f>
        <v>1.05</v>
      </c>
      <c r="L74" s="7">
        <f>2*G74*'Method Notes'!$B$9</f>
        <v>0.3</v>
      </c>
      <c r="M74" s="7">
        <f t="shared" si="4"/>
        <v>1.35</v>
      </c>
      <c r="N74" s="7">
        <f t="shared" si="5"/>
        <v>66.345000000009037</v>
      </c>
      <c r="O74" s="7">
        <v>667.48899663520001</v>
      </c>
      <c r="P74" s="7">
        <v>662.37831097239996</v>
      </c>
      <c r="Q74" s="7">
        <v>665.6464478721</v>
      </c>
      <c r="R74" s="7">
        <v>667.62646146489999</v>
      </c>
      <c r="S74" s="7">
        <v>662.24136151710002</v>
      </c>
      <c r="T74" s="7">
        <v>666.87834276449996</v>
      </c>
      <c r="U74" t="s">
        <v>85</v>
      </c>
    </row>
    <row r="75" spans="1:21">
      <c r="A75" t="s">
        <v>84</v>
      </c>
      <c r="B75">
        <v>69</v>
      </c>
      <c r="C75" s="10">
        <v>45933</v>
      </c>
      <c r="D75" s="11">
        <v>45933.458333333336</v>
      </c>
      <c r="E75" s="11">
        <v>45933.666666666664</v>
      </c>
      <c r="F75">
        <v>1</v>
      </c>
      <c r="G75">
        <v>148</v>
      </c>
      <c r="H75" s="7">
        <v>672.1</v>
      </c>
      <c r="I75" s="7">
        <v>669.21</v>
      </c>
      <c r="J75" s="7">
        <f t="shared" si="3"/>
        <v>-427.71999999999798</v>
      </c>
      <c r="K75" s="7">
        <f>2*G75*'Method Notes'!$B$8</f>
        <v>1.036</v>
      </c>
      <c r="L75" s="7">
        <f>2*G75*'Method Notes'!$B$9</f>
        <v>0.29599999999999999</v>
      </c>
      <c r="M75" s="7">
        <f t="shared" si="4"/>
        <v>1.3320000000000001</v>
      </c>
      <c r="N75" s="7">
        <f t="shared" si="5"/>
        <v>-429.05199999999797</v>
      </c>
      <c r="O75" s="7">
        <v>671.7319760826</v>
      </c>
      <c r="P75" s="7">
        <v>668.16031992789999</v>
      </c>
      <c r="Q75" s="7">
        <v>671.24897690110004</v>
      </c>
      <c r="R75" s="7">
        <v>672.31207653460001</v>
      </c>
      <c r="S75" s="7">
        <v>667.58147366289995</v>
      </c>
      <c r="T75" s="7">
        <v>670.5199925316</v>
      </c>
      <c r="U75" t="s">
        <v>85</v>
      </c>
    </row>
    <row r="76" spans="1:21">
      <c r="A76" t="s">
        <v>84</v>
      </c>
      <c r="B76">
        <v>70</v>
      </c>
      <c r="C76" s="10">
        <v>45936</v>
      </c>
      <c r="D76" s="11">
        <v>45936.5</v>
      </c>
      <c r="E76" s="11">
        <v>45936.666666666664</v>
      </c>
      <c r="F76">
        <v>1</v>
      </c>
      <c r="G76">
        <v>148</v>
      </c>
      <c r="H76" s="7">
        <v>671.83</v>
      </c>
      <c r="I76" s="7">
        <v>671.61</v>
      </c>
      <c r="J76" s="7">
        <f t="shared" si="3"/>
        <v>-32.560000000004038</v>
      </c>
      <c r="K76" s="7">
        <f>2*G76*'Method Notes'!$B$8</f>
        <v>1.036</v>
      </c>
      <c r="L76" s="7">
        <f>2*G76*'Method Notes'!$B$9</f>
        <v>0.29599999999999999</v>
      </c>
      <c r="M76" s="7">
        <f t="shared" si="4"/>
        <v>1.3320000000000001</v>
      </c>
      <c r="N76" s="7">
        <f t="shared" si="5"/>
        <v>-33.892000000004039</v>
      </c>
      <c r="O76" s="7">
        <v>671.44573716779996</v>
      </c>
      <c r="P76" s="7">
        <v>667.71591496370002</v>
      </c>
      <c r="Q76" s="7">
        <v>670.55558501919995</v>
      </c>
      <c r="R76" s="7">
        <v>671.68073184340005</v>
      </c>
      <c r="S76" s="7">
        <v>667.48117985390002</v>
      </c>
      <c r="T76" s="7">
        <v>671.24554322070003</v>
      </c>
      <c r="U76" t="s">
        <v>85</v>
      </c>
    </row>
    <row r="77" spans="1:21">
      <c r="A77" t="s">
        <v>84</v>
      </c>
      <c r="B77">
        <v>71</v>
      </c>
      <c r="C77" s="10">
        <v>45937</v>
      </c>
      <c r="D77" s="11">
        <v>45937.479166666664</v>
      </c>
      <c r="E77" s="11">
        <v>45937.666666666664</v>
      </c>
      <c r="F77">
        <v>-1</v>
      </c>
      <c r="G77">
        <v>147</v>
      </c>
      <c r="H77" s="7">
        <v>669.23</v>
      </c>
      <c r="I77" s="7">
        <v>669.12</v>
      </c>
      <c r="J77" s="7">
        <f t="shared" si="3"/>
        <v>16.170000000002005</v>
      </c>
      <c r="K77" s="7">
        <f>2*G77*'Method Notes'!$B$8</f>
        <v>1.0289999999999999</v>
      </c>
      <c r="L77" s="7">
        <f>2*G77*'Method Notes'!$B$9</f>
        <v>0.29399999999999998</v>
      </c>
      <c r="M77" s="7">
        <f t="shared" si="4"/>
        <v>1.323</v>
      </c>
      <c r="N77" s="7">
        <f t="shared" si="5"/>
        <v>14.847000000002005</v>
      </c>
      <c r="O77" s="7">
        <v>673.41471522660004</v>
      </c>
      <c r="P77" s="7">
        <v>670.2912371118</v>
      </c>
      <c r="Q77" s="7">
        <v>670.58700342110001</v>
      </c>
      <c r="R77" s="7">
        <v>673.9356845689</v>
      </c>
      <c r="S77" s="7">
        <v>669.77064371359995</v>
      </c>
      <c r="T77" s="7">
        <v>669.40221292490003</v>
      </c>
      <c r="U77" t="s">
        <v>85</v>
      </c>
    </row>
    <row r="78" spans="1:21">
      <c r="A78" t="s">
        <v>84</v>
      </c>
      <c r="B78">
        <v>72</v>
      </c>
      <c r="C78" s="10">
        <v>45938</v>
      </c>
      <c r="D78" s="11">
        <v>45938.4375</v>
      </c>
      <c r="E78" s="11">
        <v>45938.666666666664</v>
      </c>
      <c r="F78">
        <v>1</v>
      </c>
      <c r="G78">
        <v>148</v>
      </c>
      <c r="H78" s="7">
        <v>671.91</v>
      </c>
      <c r="I78" s="7">
        <v>673.11</v>
      </c>
      <c r="J78" s="7">
        <f t="shared" si="3"/>
        <v>177.60000000000673</v>
      </c>
      <c r="K78" s="7">
        <f>2*G78*'Method Notes'!$B$8</f>
        <v>1.036</v>
      </c>
      <c r="L78" s="7">
        <f>2*G78*'Method Notes'!$B$9</f>
        <v>0.29599999999999999</v>
      </c>
      <c r="M78" s="7">
        <f t="shared" si="4"/>
        <v>1.3320000000000001</v>
      </c>
      <c r="N78" s="7">
        <f t="shared" si="5"/>
        <v>176.26800000000674</v>
      </c>
      <c r="O78" s="7">
        <v>671.40482756409995</v>
      </c>
      <c r="P78" s="7">
        <v>668.10209682540005</v>
      </c>
      <c r="Q78" s="7">
        <v>671.00160537980003</v>
      </c>
      <c r="R78" s="7">
        <v>672.3796253946</v>
      </c>
      <c r="S78" s="7">
        <v>667.12913841449995</v>
      </c>
      <c r="T78" s="7">
        <v>672.27716954940001</v>
      </c>
      <c r="U78" t="s">
        <v>85</v>
      </c>
    </row>
    <row r="79" spans="1:21">
      <c r="A79" t="s">
        <v>84</v>
      </c>
      <c r="B79">
        <v>73</v>
      </c>
      <c r="C79" s="10">
        <v>45939</v>
      </c>
      <c r="D79" s="11">
        <v>45939.541666666664</v>
      </c>
      <c r="E79" s="11">
        <v>45939.666666666664</v>
      </c>
      <c r="F79">
        <v>-1</v>
      </c>
      <c r="G79">
        <v>148</v>
      </c>
      <c r="H79" s="7">
        <v>669.76</v>
      </c>
      <c r="I79" s="7">
        <v>671.16</v>
      </c>
      <c r="J79" s="7">
        <f t="shared" si="3"/>
        <v>-207.19999999999663</v>
      </c>
      <c r="K79" s="7">
        <f>2*G79*'Method Notes'!$B$8</f>
        <v>1.036</v>
      </c>
      <c r="L79" s="7">
        <f>2*G79*'Method Notes'!$B$9</f>
        <v>0.29599999999999999</v>
      </c>
      <c r="M79" s="7">
        <f t="shared" si="4"/>
        <v>1.3320000000000001</v>
      </c>
      <c r="N79" s="7">
        <f t="shared" si="5"/>
        <v>-208.53199999999663</v>
      </c>
      <c r="O79" s="7">
        <v>674.92758540780005</v>
      </c>
      <c r="P79" s="7">
        <v>669.91614097850004</v>
      </c>
      <c r="Q79" s="7">
        <v>671.21776956279996</v>
      </c>
      <c r="R79" s="7">
        <v>675.29581718600002</v>
      </c>
      <c r="S79" s="7">
        <v>669.54866414349999</v>
      </c>
      <c r="T79" s="7">
        <v>670.86859615440005</v>
      </c>
      <c r="U79" t="s">
        <v>85</v>
      </c>
    </row>
    <row r="80" spans="1:21">
      <c r="A80" t="s">
        <v>84</v>
      </c>
      <c r="B80">
        <v>74</v>
      </c>
      <c r="C80" s="10">
        <v>45940</v>
      </c>
      <c r="D80" s="11">
        <v>45940.458333333336</v>
      </c>
      <c r="E80" s="11">
        <v>45940.666666666664</v>
      </c>
      <c r="F80">
        <v>-1</v>
      </c>
      <c r="G80">
        <v>147</v>
      </c>
      <c r="H80" s="7">
        <v>668.72500000000002</v>
      </c>
      <c r="I80" s="7">
        <v>653.02</v>
      </c>
      <c r="J80" s="7">
        <f t="shared" si="3"/>
        <v>2308.6350000000061</v>
      </c>
      <c r="K80" s="7">
        <f>2*G80*'Method Notes'!$B$8</f>
        <v>1.0289999999999999</v>
      </c>
      <c r="L80" s="7">
        <f>2*G80*'Method Notes'!$B$9</f>
        <v>0.29399999999999998</v>
      </c>
      <c r="M80" s="7">
        <f t="shared" si="4"/>
        <v>1.323</v>
      </c>
      <c r="N80" s="7">
        <f t="shared" si="5"/>
        <v>2307.3120000000063</v>
      </c>
      <c r="O80" s="7">
        <v>674.43125578290005</v>
      </c>
      <c r="P80" s="7">
        <v>669.90251016649995</v>
      </c>
      <c r="Q80" s="7">
        <v>671.40110267789998</v>
      </c>
      <c r="R80" s="7">
        <v>675.28243696380002</v>
      </c>
      <c r="S80" s="7">
        <v>669.05387050429999</v>
      </c>
      <c r="T80" s="7">
        <v>660.93212764409998</v>
      </c>
      <c r="U80" t="s">
        <v>85</v>
      </c>
    </row>
    <row r="81" spans="1:21">
      <c r="A81" t="s">
        <v>84</v>
      </c>
      <c r="B81">
        <v>75</v>
      </c>
      <c r="C81" s="10">
        <v>45946</v>
      </c>
      <c r="D81" s="11">
        <v>45946.583333333336</v>
      </c>
      <c r="E81" s="11">
        <v>45946.666666666664</v>
      </c>
      <c r="F81">
        <v>-1</v>
      </c>
      <c r="G81">
        <v>152</v>
      </c>
      <c r="H81" s="7">
        <v>661.81</v>
      </c>
      <c r="I81" s="7">
        <v>660.64</v>
      </c>
      <c r="J81" s="7">
        <f t="shared" si="3"/>
        <v>177.83999999999378</v>
      </c>
      <c r="K81" s="7">
        <f>2*G81*'Method Notes'!$B$8</f>
        <v>1.0640000000000001</v>
      </c>
      <c r="L81" s="7">
        <f>2*G81*'Method Notes'!$B$9</f>
        <v>0.30399999999999999</v>
      </c>
      <c r="M81" s="7">
        <f t="shared" si="4"/>
        <v>1.3680000000000001</v>
      </c>
      <c r="N81" s="7">
        <f t="shared" si="5"/>
        <v>176.47199999999378</v>
      </c>
      <c r="O81" s="7">
        <v>669.89078126699997</v>
      </c>
      <c r="P81" s="7">
        <v>661.95145256549995</v>
      </c>
      <c r="Q81" s="7">
        <v>664.66242217959996</v>
      </c>
      <c r="R81" s="7">
        <v>670.03164667119995</v>
      </c>
      <c r="S81" s="7">
        <v>661.81090305279997</v>
      </c>
      <c r="T81" s="7">
        <v>662.80307974389996</v>
      </c>
      <c r="U81" t="s">
        <v>85</v>
      </c>
    </row>
    <row r="82" spans="1:21">
      <c r="A82" t="s">
        <v>84</v>
      </c>
      <c r="B82">
        <v>76</v>
      </c>
      <c r="C82" s="10">
        <v>45947</v>
      </c>
      <c r="D82" s="11">
        <v>45947.4375</v>
      </c>
      <c r="E82" s="11">
        <v>45947.666666666664</v>
      </c>
      <c r="F82">
        <v>1</v>
      </c>
      <c r="G82">
        <v>153</v>
      </c>
      <c r="H82" s="7">
        <v>662.4</v>
      </c>
      <c r="I82" s="7">
        <v>664.39</v>
      </c>
      <c r="J82" s="7">
        <f t="shared" si="3"/>
        <v>304.47000000000139</v>
      </c>
      <c r="K82" s="7">
        <f>2*G82*'Method Notes'!$B$8</f>
        <v>1.071</v>
      </c>
      <c r="L82" s="7">
        <f>2*G82*'Method Notes'!$B$9</f>
        <v>0.30599999999999999</v>
      </c>
      <c r="M82" s="7">
        <f t="shared" si="4"/>
        <v>1.377</v>
      </c>
      <c r="N82" s="7">
        <f t="shared" si="5"/>
        <v>303.09300000000138</v>
      </c>
      <c r="O82" s="7">
        <v>661.64563398409996</v>
      </c>
      <c r="P82" s="7">
        <v>659.64438108640002</v>
      </c>
      <c r="Q82" s="7">
        <v>661.22370587529997</v>
      </c>
      <c r="R82" s="7">
        <v>664.41203224929995</v>
      </c>
      <c r="S82" s="7">
        <v>656.87802469509995</v>
      </c>
      <c r="T82" s="7">
        <v>662.29460136190005</v>
      </c>
      <c r="U82" t="s">
        <v>85</v>
      </c>
    </row>
    <row r="83" spans="1:21">
      <c r="A83" t="s">
        <v>84</v>
      </c>
      <c r="B83">
        <v>77</v>
      </c>
      <c r="C83" s="10">
        <v>45950</v>
      </c>
      <c r="D83" s="11">
        <v>45950.4375</v>
      </c>
      <c r="E83" s="11">
        <v>45950.666666666664</v>
      </c>
      <c r="F83">
        <v>1</v>
      </c>
      <c r="G83">
        <v>152</v>
      </c>
      <c r="H83" s="7">
        <v>670.3</v>
      </c>
      <c r="I83" s="7">
        <v>671.3</v>
      </c>
      <c r="J83" s="7">
        <f t="shared" si="3"/>
        <v>152</v>
      </c>
      <c r="K83" s="7">
        <f>2*G83*'Method Notes'!$B$8</f>
        <v>1.0640000000000001</v>
      </c>
      <c r="L83" s="7">
        <f>2*G83*'Method Notes'!$B$9</f>
        <v>0.30399999999999999</v>
      </c>
      <c r="M83" s="7">
        <f t="shared" si="4"/>
        <v>1.3680000000000001</v>
      </c>
      <c r="N83" s="7">
        <f t="shared" si="5"/>
        <v>150.63200000000001</v>
      </c>
      <c r="O83" s="7">
        <v>669.88360946190005</v>
      </c>
      <c r="P83" s="7">
        <v>663.27373274360002</v>
      </c>
      <c r="Q83" s="7">
        <v>669.35279147469998</v>
      </c>
      <c r="R83" s="7">
        <v>672.77179304089998</v>
      </c>
      <c r="S83" s="7">
        <v>660.40442194740001</v>
      </c>
      <c r="T83" s="7">
        <v>670.81268142399995</v>
      </c>
      <c r="U83" t="s">
        <v>85</v>
      </c>
    </row>
    <row r="84" spans="1:21">
      <c r="A84" t="s">
        <v>84</v>
      </c>
      <c r="B84">
        <v>78</v>
      </c>
      <c r="C84" s="10">
        <v>45952</v>
      </c>
      <c r="D84" s="11">
        <v>45952.4375</v>
      </c>
      <c r="E84" s="11">
        <v>45952.666666666664</v>
      </c>
      <c r="F84">
        <v>-1</v>
      </c>
      <c r="G84">
        <v>152</v>
      </c>
      <c r="H84" s="7">
        <v>669.33749999999998</v>
      </c>
      <c r="I84" s="7">
        <v>667.8</v>
      </c>
      <c r="J84" s="7">
        <f t="shared" si="3"/>
        <v>233.70000000000346</v>
      </c>
      <c r="K84" s="7">
        <f>2*G84*'Method Notes'!$B$8</f>
        <v>1.0640000000000001</v>
      </c>
      <c r="L84" s="7">
        <f>2*G84*'Method Notes'!$B$9</f>
        <v>0.30399999999999999</v>
      </c>
      <c r="M84" s="7">
        <f t="shared" si="4"/>
        <v>1.3680000000000001</v>
      </c>
      <c r="N84" s="7">
        <f t="shared" si="5"/>
        <v>232.33200000000346</v>
      </c>
      <c r="O84" s="7">
        <v>672.37887855880001</v>
      </c>
      <c r="P84" s="7">
        <v>670.1262430964</v>
      </c>
      <c r="Q84" s="7">
        <v>670.39811205520004</v>
      </c>
      <c r="R84" s="7">
        <v>674.98014665189999</v>
      </c>
      <c r="S84" s="7">
        <v>667.52526563039999</v>
      </c>
      <c r="T84" s="7">
        <v>667.7749560149</v>
      </c>
      <c r="U84" t="s">
        <v>85</v>
      </c>
    </row>
    <row r="85" spans="1:21">
      <c r="A85" t="s">
        <v>84</v>
      </c>
      <c r="B85">
        <v>79</v>
      </c>
      <c r="C85" s="10">
        <v>45960</v>
      </c>
      <c r="D85" s="11">
        <v>45960.4375</v>
      </c>
      <c r="E85" s="11">
        <v>45960.666666666664</v>
      </c>
      <c r="F85">
        <v>-1</v>
      </c>
      <c r="G85">
        <v>149</v>
      </c>
      <c r="H85" s="7">
        <v>683.44</v>
      </c>
      <c r="I85" s="7">
        <v>679.83</v>
      </c>
      <c r="J85" s="7">
        <f t="shared" si="3"/>
        <v>537.89000000000203</v>
      </c>
      <c r="K85" s="7">
        <f>2*G85*'Method Notes'!$B$8</f>
        <v>1.0429999999999999</v>
      </c>
      <c r="L85" s="7">
        <f>2*G85*'Method Notes'!$B$9</f>
        <v>0.29799999999999999</v>
      </c>
      <c r="M85" s="7">
        <f t="shared" si="4"/>
        <v>1.341</v>
      </c>
      <c r="N85" s="7">
        <f t="shared" si="5"/>
        <v>536.54900000000202</v>
      </c>
      <c r="O85" s="7">
        <v>688.48993574270003</v>
      </c>
      <c r="P85" s="7">
        <v>683.95380863770004</v>
      </c>
      <c r="Q85" s="7">
        <v>684.48701690680002</v>
      </c>
      <c r="R85" s="7">
        <v>691.26768114970002</v>
      </c>
      <c r="S85" s="7">
        <v>681.18551917900004</v>
      </c>
      <c r="T85" s="7">
        <v>682.95646095860002</v>
      </c>
      <c r="U85" t="s">
        <v>85</v>
      </c>
    </row>
    <row r="86" spans="1:21">
      <c r="A86" t="s">
        <v>84</v>
      </c>
      <c r="B86">
        <v>80</v>
      </c>
      <c r="C86" s="10">
        <v>45964</v>
      </c>
      <c r="D86" s="11">
        <v>45964.4375</v>
      </c>
      <c r="E86" s="11">
        <v>45964.666666666664</v>
      </c>
      <c r="F86">
        <v>-1</v>
      </c>
      <c r="G86">
        <v>150</v>
      </c>
      <c r="H86" s="7">
        <v>680.38990000000001</v>
      </c>
      <c r="I86" s="7">
        <v>683.34</v>
      </c>
      <c r="J86" s="7">
        <f t="shared" si="3"/>
        <v>-442.51500000000306</v>
      </c>
      <c r="K86" s="7">
        <f>2*G86*'Method Notes'!$B$8</f>
        <v>1.05</v>
      </c>
      <c r="L86" s="7">
        <f>2*G86*'Method Notes'!$B$9</f>
        <v>0.3</v>
      </c>
      <c r="M86" s="7">
        <f t="shared" si="4"/>
        <v>1.35</v>
      </c>
      <c r="N86" s="7">
        <f t="shared" si="5"/>
        <v>-443.86500000000308</v>
      </c>
      <c r="O86" s="7">
        <v>683.55718801370006</v>
      </c>
      <c r="P86" s="7">
        <v>681.02351102290004</v>
      </c>
      <c r="Q86" s="7">
        <v>681.63184732510001</v>
      </c>
      <c r="R86" s="7">
        <v>685.37691312790002</v>
      </c>
      <c r="S86" s="7">
        <v>679.20501235409995</v>
      </c>
      <c r="T86" s="7">
        <v>682.71117670269996</v>
      </c>
      <c r="U86" t="s">
        <v>85</v>
      </c>
    </row>
    <row r="87" spans="1:21">
      <c r="A87" t="s">
        <v>84</v>
      </c>
      <c r="B87">
        <v>81</v>
      </c>
      <c r="C87" s="10">
        <v>45965</v>
      </c>
      <c r="D87" s="11">
        <v>45965.520833333336</v>
      </c>
      <c r="E87" s="11">
        <v>45965.666666666664</v>
      </c>
      <c r="F87">
        <v>-1</v>
      </c>
      <c r="G87">
        <v>151</v>
      </c>
      <c r="H87" s="7">
        <v>676.94</v>
      </c>
      <c r="I87" s="7">
        <v>675.24</v>
      </c>
      <c r="J87" s="7">
        <f t="shared" si="3"/>
        <v>256.70000000000687</v>
      </c>
      <c r="K87" s="7">
        <f>2*G87*'Method Notes'!$B$8</f>
        <v>1.0569999999999999</v>
      </c>
      <c r="L87" s="7">
        <f>2*G87*'Method Notes'!$B$9</f>
        <v>0.30199999999999999</v>
      </c>
      <c r="M87" s="7">
        <f t="shared" si="4"/>
        <v>1.359</v>
      </c>
      <c r="N87" s="7">
        <f t="shared" si="5"/>
        <v>255.34100000000686</v>
      </c>
      <c r="O87" s="7">
        <v>684.95452796070003</v>
      </c>
      <c r="P87" s="7">
        <v>677.19619870090003</v>
      </c>
      <c r="Q87" s="7">
        <v>678.38625947000003</v>
      </c>
      <c r="R87" s="7">
        <v>685.85545761770004</v>
      </c>
      <c r="S87" s="7">
        <v>676.30125467419998</v>
      </c>
      <c r="T87" s="7">
        <v>676.8789495533</v>
      </c>
      <c r="U87" t="s">
        <v>85</v>
      </c>
    </row>
    <row r="88" spans="1:21">
      <c r="A88" t="s">
        <v>84</v>
      </c>
      <c r="B88">
        <v>82</v>
      </c>
      <c r="C88" s="10">
        <v>45966</v>
      </c>
      <c r="D88" s="11">
        <v>45966.479166666664</v>
      </c>
      <c r="E88" s="11">
        <v>45966.666666666664</v>
      </c>
      <c r="F88">
        <v>1</v>
      </c>
      <c r="G88">
        <v>151</v>
      </c>
      <c r="H88" s="7">
        <v>678.34</v>
      </c>
      <c r="I88" s="7">
        <v>677.58</v>
      </c>
      <c r="J88" s="7">
        <f t="shared" si="3"/>
        <v>-114.75999999999863</v>
      </c>
      <c r="K88" s="7">
        <f>2*G88*'Method Notes'!$B$8</f>
        <v>1.0569999999999999</v>
      </c>
      <c r="L88" s="7">
        <f>2*G88*'Method Notes'!$B$9</f>
        <v>0.30199999999999999</v>
      </c>
      <c r="M88" s="7">
        <f t="shared" si="4"/>
        <v>1.359</v>
      </c>
      <c r="N88" s="7">
        <f t="shared" si="5"/>
        <v>-116.11899999999862</v>
      </c>
      <c r="O88" s="7">
        <v>678.11960855079997</v>
      </c>
      <c r="P88" s="7">
        <v>674.29309792540005</v>
      </c>
      <c r="Q88" s="7">
        <v>677.55040512979997</v>
      </c>
      <c r="R88" s="7">
        <v>679.68192257810006</v>
      </c>
      <c r="S88" s="7">
        <v>672.73523664419997</v>
      </c>
      <c r="T88" s="7">
        <v>678.47470574780004</v>
      </c>
      <c r="U88" t="s">
        <v>85</v>
      </c>
    </row>
    <row r="89" spans="1:21">
      <c r="A89" t="s">
        <v>84</v>
      </c>
      <c r="B89">
        <v>83</v>
      </c>
      <c r="C89" s="10">
        <v>45967</v>
      </c>
      <c r="D89" s="11">
        <v>45967.458333333336</v>
      </c>
      <c r="E89" s="11">
        <v>45967.666666666664</v>
      </c>
      <c r="F89">
        <v>-1</v>
      </c>
      <c r="G89">
        <v>152</v>
      </c>
      <c r="H89" s="7">
        <v>670.91</v>
      </c>
      <c r="I89" s="7">
        <v>670.31</v>
      </c>
      <c r="J89" s="7">
        <f t="shared" si="3"/>
        <v>91.200000000003456</v>
      </c>
      <c r="K89" s="7">
        <f>2*G89*'Method Notes'!$B$8</f>
        <v>1.0640000000000001</v>
      </c>
      <c r="L89" s="7">
        <f>2*G89*'Method Notes'!$B$9</f>
        <v>0.30399999999999999</v>
      </c>
      <c r="M89" s="7">
        <f t="shared" si="4"/>
        <v>1.3680000000000001</v>
      </c>
      <c r="N89" s="7">
        <f t="shared" si="5"/>
        <v>89.832000000003461</v>
      </c>
      <c r="O89" s="7">
        <v>678.46799375679996</v>
      </c>
      <c r="P89" s="7">
        <v>673.16663243929997</v>
      </c>
      <c r="Q89" s="7">
        <v>673.18105446660002</v>
      </c>
      <c r="R89" s="7">
        <v>679.68534371199996</v>
      </c>
      <c r="S89" s="7">
        <v>671.95562453280002</v>
      </c>
      <c r="T89" s="7">
        <v>671.72273696139996</v>
      </c>
      <c r="U89" t="s">
        <v>85</v>
      </c>
    </row>
    <row r="90" spans="1:21">
      <c r="A90" t="s">
        <v>84</v>
      </c>
      <c r="B90">
        <v>84</v>
      </c>
      <c r="C90" s="10">
        <v>45968</v>
      </c>
      <c r="D90" s="11">
        <v>45968.458333333336</v>
      </c>
      <c r="E90" s="11">
        <v>45968.666666666664</v>
      </c>
      <c r="F90">
        <v>-1</v>
      </c>
      <c r="G90">
        <v>154</v>
      </c>
      <c r="H90" s="7">
        <v>663.36</v>
      </c>
      <c r="I90" s="7">
        <v>670.97</v>
      </c>
      <c r="J90" s="7">
        <f t="shared" si="3"/>
        <v>-1171.9400000000021</v>
      </c>
      <c r="K90" s="7">
        <f>2*G90*'Method Notes'!$B$8</f>
        <v>1.0780000000000001</v>
      </c>
      <c r="L90" s="7">
        <f>2*G90*'Method Notes'!$B$9</f>
        <v>0.308</v>
      </c>
      <c r="M90" s="7">
        <f t="shared" si="4"/>
        <v>1.3860000000000001</v>
      </c>
      <c r="N90" s="7">
        <f t="shared" si="5"/>
        <v>-1173.3260000000021</v>
      </c>
      <c r="O90" s="7">
        <v>671.33323656849996</v>
      </c>
      <c r="P90" s="7">
        <v>665.32781605340006</v>
      </c>
      <c r="Q90" s="7">
        <v>665.41627858109996</v>
      </c>
      <c r="R90" s="7">
        <v>672.38736631220002</v>
      </c>
      <c r="S90" s="7">
        <v>664.2799216702</v>
      </c>
      <c r="T90" s="7">
        <v>666.35471556009998</v>
      </c>
      <c r="U90" t="s">
        <v>85</v>
      </c>
    </row>
    <row r="91" spans="1:21">
      <c r="A91" t="s">
        <v>84</v>
      </c>
      <c r="B91">
        <v>85</v>
      </c>
      <c r="C91" s="10">
        <v>45971</v>
      </c>
      <c r="D91" s="11">
        <v>45971.604166666664</v>
      </c>
      <c r="E91" s="11">
        <v>45971.666666666664</v>
      </c>
      <c r="F91">
        <v>1</v>
      </c>
      <c r="G91">
        <v>149</v>
      </c>
      <c r="H91" s="7">
        <v>680.755</v>
      </c>
      <c r="I91" s="7">
        <v>681.44</v>
      </c>
      <c r="J91" s="7">
        <f t="shared" si="3"/>
        <v>102.06500000000881</v>
      </c>
      <c r="K91" s="7">
        <f>2*G91*'Method Notes'!$B$8</f>
        <v>1.0429999999999999</v>
      </c>
      <c r="L91" s="7">
        <f>2*G91*'Method Notes'!$B$9</f>
        <v>0.29799999999999999</v>
      </c>
      <c r="M91" s="7">
        <f t="shared" si="4"/>
        <v>1.341</v>
      </c>
      <c r="N91" s="7">
        <f t="shared" si="5"/>
        <v>100.72400000000881</v>
      </c>
      <c r="O91" s="7">
        <v>680.34725822589996</v>
      </c>
      <c r="P91" s="7">
        <v>669.16803160999996</v>
      </c>
      <c r="Q91" s="7">
        <v>678.08747553260002</v>
      </c>
      <c r="R91" s="7">
        <v>680.78014347730004</v>
      </c>
      <c r="S91" s="7">
        <v>668.73996629600003</v>
      </c>
      <c r="T91" s="7">
        <v>679.1472405961</v>
      </c>
      <c r="U91" t="s">
        <v>85</v>
      </c>
    </row>
    <row r="92" spans="1:21">
      <c r="A92" t="s">
        <v>84</v>
      </c>
      <c r="B92">
        <v>86</v>
      </c>
      <c r="C92" s="10">
        <v>45972</v>
      </c>
      <c r="D92" s="11">
        <v>45972.4375</v>
      </c>
      <c r="E92" s="11">
        <v>45972.666666666664</v>
      </c>
      <c r="F92">
        <v>-1</v>
      </c>
      <c r="G92">
        <v>149</v>
      </c>
      <c r="H92" s="7">
        <v>679.36500000000001</v>
      </c>
      <c r="I92" s="7">
        <v>683</v>
      </c>
      <c r="J92" s="7">
        <f t="shared" si="3"/>
        <v>-541.61499999999864</v>
      </c>
      <c r="K92" s="7">
        <f>2*G92*'Method Notes'!$B$8</f>
        <v>1.0429999999999999</v>
      </c>
      <c r="L92" s="7">
        <f>2*G92*'Method Notes'!$B$9</f>
        <v>0.29799999999999999</v>
      </c>
      <c r="M92" s="7">
        <f t="shared" si="4"/>
        <v>1.341</v>
      </c>
      <c r="N92" s="7">
        <f t="shared" si="5"/>
        <v>-542.95599999999865</v>
      </c>
      <c r="O92" s="7">
        <v>682.201765464</v>
      </c>
      <c r="P92" s="7">
        <v>679.88412324750004</v>
      </c>
      <c r="Q92" s="7">
        <v>680.10247133220003</v>
      </c>
      <c r="R92" s="7">
        <v>683.86240495319998</v>
      </c>
      <c r="S92" s="7">
        <v>678.22542113860004</v>
      </c>
      <c r="T92" s="7">
        <v>681.69063016739995</v>
      </c>
      <c r="U92" t="s">
        <v>85</v>
      </c>
    </row>
    <row r="93" spans="1:21">
      <c r="A93" t="s">
        <v>84</v>
      </c>
      <c r="B93">
        <v>87</v>
      </c>
      <c r="C93" s="10">
        <v>45974</v>
      </c>
      <c r="D93" s="11">
        <v>45974.458333333336</v>
      </c>
      <c r="E93" s="11">
        <v>45974.666666666664</v>
      </c>
      <c r="F93">
        <v>-1</v>
      </c>
      <c r="G93">
        <v>148</v>
      </c>
      <c r="H93" s="7">
        <v>676.3</v>
      </c>
      <c r="I93" s="7">
        <v>672.04</v>
      </c>
      <c r="J93" s="7">
        <f t="shared" si="3"/>
        <v>630.47999999999865</v>
      </c>
      <c r="K93" s="7">
        <f>2*G93*'Method Notes'!$B$8</f>
        <v>1.036</v>
      </c>
      <c r="L93" s="7">
        <f>2*G93*'Method Notes'!$B$9</f>
        <v>0.29599999999999999</v>
      </c>
      <c r="M93" s="7">
        <f t="shared" si="4"/>
        <v>1.3320000000000001</v>
      </c>
      <c r="N93" s="7">
        <f t="shared" si="5"/>
        <v>629.14799999999866</v>
      </c>
      <c r="O93" s="7">
        <v>684.58794795159997</v>
      </c>
      <c r="P93" s="7">
        <v>677.52028910169997</v>
      </c>
      <c r="Q93" s="7">
        <v>677.93765824319996</v>
      </c>
      <c r="R93" s="7">
        <v>685.62668743380004</v>
      </c>
      <c r="S93" s="7">
        <v>676.48863283230003</v>
      </c>
      <c r="T93" s="7">
        <v>674.41437908939997</v>
      </c>
      <c r="U93" t="s">
        <v>85</v>
      </c>
    </row>
    <row r="94" spans="1:21">
      <c r="A94" t="s">
        <v>84</v>
      </c>
      <c r="B94">
        <v>88</v>
      </c>
      <c r="C94" s="10">
        <v>45975</v>
      </c>
      <c r="D94" s="11">
        <v>45975.479166666664</v>
      </c>
      <c r="E94" s="11">
        <v>45975.666666666664</v>
      </c>
      <c r="F94">
        <v>1</v>
      </c>
      <c r="G94">
        <v>152</v>
      </c>
      <c r="H94" s="7">
        <v>674.48</v>
      </c>
      <c r="I94" s="7">
        <v>671.93</v>
      </c>
      <c r="J94" s="7">
        <f t="shared" si="3"/>
        <v>-387.60000000001037</v>
      </c>
      <c r="K94" s="7">
        <f>2*G94*'Method Notes'!$B$8</f>
        <v>1.0640000000000001</v>
      </c>
      <c r="L94" s="7">
        <f>2*G94*'Method Notes'!$B$9</f>
        <v>0.30399999999999999</v>
      </c>
      <c r="M94" s="7">
        <f t="shared" si="4"/>
        <v>1.3680000000000001</v>
      </c>
      <c r="N94" s="7">
        <f t="shared" si="5"/>
        <v>-388.96800000001036</v>
      </c>
      <c r="O94" s="7">
        <v>673.41905589739997</v>
      </c>
      <c r="P94" s="7">
        <v>667.3776953286</v>
      </c>
      <c r="Q94" s="7">
        <v>670.61807095059999</v>
      </c>
      <c r="R94" s="7">
        <v>674.70626438459999</v>
      </c>
      <c r="S94" s="7">
        <v>666.09678842450001</v>
      </c>
      <c r="T94" s="7">
        <v>672.15997790280005</v>
      </c>
      <c r="U94" t="s">
        <v>85</v>
      </c>
    </row>
    <row r="95" spans="1:21">
      <c r="A95" t="s">
        <v>84</v>
      </c>
      <c r="B95">
        <v>89</v>
      </c>
      <c r="C95" s="10">
        <v>45978</v>
      </c>
      <c r="D95" s="11">
        <v>45978.541666666664</v>
      </c>
      <c r="E95" s="11">
        <v>45978.666666666664</v>
      </c>
      <c r="F95">
        <v>-1</v>
      </c>
      <c r="G95">
        <v>150</v>
      </c>
      <c r="H95" s="7">
        <v>669.23299999999995</v>
      </c>
      <c r="I95" s="7">
        <v>665.67</v>
      </c>
      <c r="J95" s="7">
        <f t="shared" si="3"/>
        <v>534.44999999999823</v>
      </c>
      <c r="K95" s="7">
        <f>2*G95*'Method Notes'!$B$8</f>
        <v>1.05</v>
      </c>
      <c r="L95" s="7">
        <f>2*G95*'Method Notes'!$B$9</f>
        <v>0.3</v>
      </c>
      <c r="M95" s="7">
        <f t="shared" si="4"/>
        <v>1.35</v>
      </c>
      <c r="N95" s="7">
        <f t="shared" si="5"/>
        <v>533.0999999999982</v>
      </c>
      <c r="O95" s="7">
        <v>675.01109891060003</v>
      </c>
      <c r="P95" s="7">
        <v>669.74179945449998</v>
      </c>
      <c r="Q95" s="7">
        <v>671.60577250300003</v>
      </c>
      <c r="R95" s="7">
        <v>675.57050304920006</v>
      </c>
      <c r="S95" s="7">
        <v>669.18313529049999</v>
      </c>
      <c r="T95" s="7">
        <v>667.96508228590005</v>
      </c>
      <c r="U95" t="s">
        <v>85</v>
      </c>
    </row>
    <row r="96" spans="1:21">
      <c r="A96" t="s">
        <v>84</v>
      </c>
      <c r="B96">
        <v>90</v>
      </c>
      <c r="C96" s="10">
        <v>45981</v>
      </c>
      <c r="D96" s="11">
        <v>45981.5</v>
      </c>
      <c r="E96" s="11">
        <v>45981.666666666664</v>
      </c>
      <c r="F96">
        <v>-1</v>
      </c>
      <c r="G96">
        <v>150</v>
      </c>
      <c r="H96" s="7">
        <v>659.75</v>
      </c>
      <c r="I96" s="7">
        <v>652.53</v>
      </c>
      <c r="J96" s="7">
        <f t="shared" si="3"/>
        <v>1083.0000000000041</v>
      </c>
      <c r="K96" s="7">
        <f>2*G96*'Method Notes'!$B$8</f>
        <v>1.05</v>
      </c>
      <c r="L96" s="7">
        <f>2*G96*'Method Notes'!$B$9</f>
        <v>0.3</v>
      </c>
      <c r="M96" s="7">
        <f t="shared" si="4"/>
        <v>1.35</v>
      </c>
      <c r="N96" s="7">
        <f t="shared" si="5"/>
        <v>1081.6500000000042</v>
      </c>
      <c r="O96" s="7">
        <v>677.58553996850003</v>
      </c>
      <c r="P96" s="7">
        <v>660.20012404600004</v>
      </c>
      <c r="Q96" s="7">
        <v>668.35007427970004</v>
      </c>
      <c r="R96" s="7">
        <v>678.10841128130005</v>
      </c>
      <c r="S96" s="7">
        <v>659.68691839170003</v>
      </c>
      <c r="T96" s="7">
        <v>660.94844387440003</v>
      </c>
      <c r="U96" t="s">
        <v>85</v>
      </c>
    </row>
    <row r="97" spans="1:21">
      <c r="A97" t="s">
        <v>84</v>
      </c>
      <c r="B97">
        <v>91</v>
      </c>
      <c r="C97" s="10">
        <v>45982</v>
      </c>
      <c r="D97" s="11">
        <v>45982.5</v>
      </c>
      <c r="E97" s="11">
        <v>45982.666666666664</v>
      </c>
      <c r="F97">
        <v>1</v>
      </c>
      <c r="G97">
        <v>157</v>
      </c>
      <c r="H97" s="7">
        <v>660.82</v>
      </c>
      <c r="I97" s="7">
        <v>659.03</v>
      </c>
      <c r="J97" s="7">
        <f t="shared" si="3"/>
        <v>-281.03000000001214</v>
      </c>
      <c r="K97" s="7">
        <f>2*G97*'Method Notes'!$B$8</f>
        <v>1.099</v>
      </c>
      <c r="L97" s="7">
        <f>2*G97*'Method Notes'!$B$9</f>
        <v>0.314</v>
      </c>
      <c r="M97" s="7">
        <f t="shared" si="4"/>
        <v>1.413</v>
      </c>
      <c r="N97" s="7">
        <f t="shared" si="5"/>
        <v>-282.44300000001215</v>
      </c>
      <c r="O97" s="7">
        <v>658.19349475119998</v>
      </c>
      <c r="P97" s="7">
        <v>649.17831905989999</v>
      </c>
      <c r="Q97" s="7">
        <v>655.2402900024</v>
      </c>
      <c r="R97" s="7">
        <v>659.20088185580005</v>
      </c>
      <c r="S97" s="7">
        <v>648.17447026349998</v>
      </c>
      <c r="T97" s="7">
        <v>658.13040770099997</v>
      </c>
      <c r="U97" t="s">
        <v>85</v>
      </c>
    </row>
    <row r="98" spans="1:21">
      <c r="A98" t="s">
        <v>84</v>
      </c>
      <c r="B98">
        <v>92</v>
      </c>
      <c r="C98" s="10">
        <v>45985</v>
      </c>
      <c r="D98" s="11">
        <v>45985.4375</v>
      </c>
      <c r="E98" s="11">
        <v>45985.666666666664</v>
      </c>
      <c r="F98">
        <v>1</v>
      </c>
      <c r="G98">
        <v>154</v>
      </c>
      <c r="H98" s="7">
        <v>665.43499999999995</v>
      </c>
      <c r="I98" s="7">
        <v>668.73</v>
      </c>
      <c r="J98" s="7">
        <f t="shared" si="3"/>
        <v>507.4300000000112</v>
      </c>
      <c r="K98" s="7">
        <f>2*G98*'Method Notes'!$B$8</f>
        <v>1.0780000000000001</v>
      </c>
      <c r="L98" s="7">
        <f>2*G98*'Method Notes'!$B$9</f>
        <v>0.308</v>
      </c>
      <c r="M98" s="7">
        <f t="shared" si="4"/>
        <v>1.3860000000000001</v>
      </c>
      <c r="N98" s="7">
        <f t="shared" si="5"/>
        <v>506.04400000001118</v>
      </c>
      <c r="O98" s="7">
        <v>664.83744500549994</v>
      </c>
      <c r="P98" s="7">
        <v>658.41737950979996</v>
      </c>
      <c r="Q98" s="7">
        <v>664.71933623270002</v>
      </c>
      <c r="R98" s="7">
        <v>668.90085944340001</v>
      </c>
      <c r="S98" s="7">
        <v>654.38571527659997</v>
      </c>
      <c r="T98" s="7">
        <v>667.49507416250003</v>
      </c>
      <c r="U98" t="s">
        <v>85</v>
      </c>
    </row>
    <row r="99" spans="1:21">
      <c r="A99" t="s">
        <v>84</v>
      </c>
      <c r="B99">
        <v>93</v>
      </c>
      <c r="C99" s="10">
        <v>45986</v>
      </c>
      <c r="D99" s="11">
        <v>45986.520833333336</v>
      </c>
      <c r="E99" s="11">
        <v>45986.666666666664</v>
      </c>
      <c r="F99">
        <v>1</v>
      </c>
      <c r="G99">
        <v>154</v>
      </c>
      <c r="H99" s="7">
        <v>673.33</v>
      </c>
      <c r="I99" s="7">
        <v>675.02</v>
      </c>
      <c r="J99" s="7">
        <f t="shared" si="3"/>
        <v>260.2599999999909</v>
      </c>
      <c r="K99" s="7">
        <f>2*G99*'Method Notes'!$B$8</f>
        <v>1.0780000000000001</v>
      </c>
      <c r="L99" s="7">
        <f>2*G99*'Method Notes'!$B$9</f>
        <v>0.308</v>
      </c>
      <c r="M99" s="7">
        <f t="shared" si="4"/>
        <v>1.3860000000000001</v>
      </c>
      <c r="N99" s="7">
        <f t="shared" si="5"/>
        <v>258.87399999999087</v>
      </c>
      <c r="O99" s="7">
        <v>672.60824500930005</v>
      </c>
      <c r="P99" s="7">
        <v>664.93220931949998</v>
      </c>
      <c r="Q99" s="7">
        <v>669.90336674859998</v>
      </c>
      <c r="R99" s="7">
        <v>673.59703149890004</v>
      </c>
      <c r="S99" s="7">
        <v>663.94354110400002</v>
      </c>
      <c r="T99" s="7">
        <v>671.97859804960001</v>
      </c>
      <c r="U99" t="s">
        <v>85</v>
      </c>
    </row>
    <row r="100" spans="1:21">
      <c r="A100" t="s">
        <v>84</v>
      </c>
      <c r="B100">
        <v>94</v>
      </c>
      <c r="C100" s="10">
        <v>45987</v>
      </c>
      <c r="D100" s="11">
        <v>45987.4375</v>
      </c>
      <c r="E100" s="11">
        <v>45987.666666666664</v>
      </c>
      <c r="F100">
        <v>1</v>
      </c>
      <c r="G100">
        <v>152</v>
      </c>
      <c r="H100" s="7">
        <v>678.2</v>
      </c>
      <c r="I100" s="7">
        <v>679.68</v>
      </c>
      <c r="J100" s="7">
        <f t="shared" si="3"/>
        <v>224.95999999998548</v>
      </c>
      <c r="K100" s="7">
        <f>2*G100*'Method Notes'!$B$8</f>
        <v>1.0640000000000001</v>
      </c>
      <c r="L100" s="7">
        <f>2*G100*'Method Notes'!$B$9</f>
        <v>0.30399999999999999</v>
      </c>
      <c r="M100" s="7">
        <f t="shared" si="4"/>
        <v>1.3680000000000001</v>
      </c>
      <c r="N100" s="7">
        <f t="shared" si="5"/>
        <v>223.59199999998549</v>
      </c>
      <c r="O100" s="7">
        <v>677.87478758700001</v>
      </c>
      <c r="P100" s="7">
        <v>674.32742857589994</v>
      </c>
      <c r="Q100" s="7">
        <v>677.55403661050002</v>
      </c>
      <c r="R100" s="7">
        <v>682.44677654730003</v>
      </c>
      <c r="S100" s="7">
        <v>669.77002288170002</v>
      </c>
      <c r="T100" s="7">
        <v>679.92593192849995</v>
      </c>
      <c r="U100" t="s">
        <v>85</v>
      </c>
    </row>
    <row r="101" spans="1:21">
      <c r="A101" t="s">
        <v>84</v>
      </c>
      <c r="B101">
        <v>95</v>
      </c>
      <c r="C101" s="10">
        <v>45992</v>
      </c>
      <c r="D101" s="11">
        <v>45992.4375</v>
      </c>
      <c r="E101" s="11">
        <v>45992.666666666664</v>
      </c>
      <c r="F101">
        <v>-1</v>
      </c>
      <c r="G101">
        <v>152</v>
      </c>
      <c r="H101" s="7">
        <v>679.67499999999995</v>
      </c>
      <c r="I101" s="7">
        <v>680.27</v>
      </c>
      <c r="J101" s="7">
        <f t="shared" si="3"/>
        <v>-90.440000000004147</v>
      </c>
      <c r="K101" s="7">
        <f>2*G101*'Method Notes'!$B$8</f>
        <v>1.0640000000000001</v>
      </c>
      <c r="L101" s="7">
        <f>2*G101*'Method Notes'!$B$9</f>
        <v>0.30399999999999999</v>
      </c>
      <c r="M101" s="7">
        <f t="shared" si="4"/>
        <v>1.3680000000000001</v>
      </c>
      <c r="N101" s="7">
        <f t="shared" si="5"/>
        <v>-91.808000000004142</v>
      </c>
      <c r="O101" s="7">
        <v>684.12087625230004</v>
      </c>
      <c r="P101" s="7">
        <v>680.82109160259995</v>
      </c>
      <c r="Q101" s="7">
        <v>680.83389950050002</v>
      </c>
      <c r="R101" s="7">
        <v>688.6514495701</v>
      </c>
      <c r="S101" s="7">
        <v>676.30271667049999</v>
      </c>
      <c r="T101" s="7">
        <v>680.91970744809998</v>
      </c>
      <c r="U101" t="s">
        <v>85</v>
      </c>
    </row>
    <row r="102" spans="1:21">
      <c r="A102" t="s">
        <v>87</v>
      </c>
      <c r="B102">
        <v>1</v>
      </c>
      <c r="C102" s="10">
        <v>45749</v>
      </c>
      <c r="D102" s="11">
        <v>45749.479166666664</v>
      </c>
      <c r="E102" s="11">
        <v>45749.5</v>
      </c>
      <c r="F102">
        <v>1</v>
      </c>
      <c r="G102">
        <v>180</v>
      </c>
      <c r="H102" s="7">
        <v>560.08669999999995</v>
      </c>
      <c r="I102" s="7">
        <v>559.13220000000001</v>
      </c>
      <c r="J102" s="7">
        <f t="shared" si="3"/>
        <v>-171.80999999998903</v>
      </c>
      <c r="K102" s="7">
        <f>2*G102*'Method Notes'!$B$8</f>
        <v>1.26</v>
      </c>
      <c r="L102" s="7">
        <f>2*G102*'Method Notes'!$B$9</f>
        <v>0.36</v>
      </c>
      <c r="M102" s="7">
        <f t="shared" si="4"/>
        <v>1.62</v>
      </c>
      <c r="N102" s="7">
        <f t="shared" si="5"/>
        <v>-173.42999999998904</v>
      </c>
      <c r="O102" s="7">
        <v>559.54864381289997</v>
      </c>
      <c r="P102" s="7">
        <v>553.61246595590001</v>
      </c>
      <c r="Q102" s="7">
        <v>557.4300935791</v>
      </c>
      <c r="R102" s="7">
        <v>560.00378763000003</v>
      </c>
      <c r="S102" s="7">
        <v>553.15926921200003</v>
      </c>
      <c r="T102" s="7">
        <v>557.72998803509995</v>
      </c>
      <c r="U102" t="s">
        <v>88</v>
      </c>
    </row>
    <row r="103" spans="1:21">
      <c r="A103" t="s">
        <v>87</v>
      </c>
      <c r="B103">
        <v>2</v>
      </c>
      <c r="C103" s="10">
        <v>45749</v>
      </c>
      <c r="D103" s="11">
        <v>45749.520833333336</v>
      </c>
      <c r="E103" s="11">
        <v>45749.604166666664</v>
      </c>
      <c r="F103">
        <v>1</v>
      </c>
      <c r="G103">
        <v>180</v>
      </c>
      <c r="H103" s="7">
        <v>561.10090000000002</v>
      </c>
      <c r="I103" s="7">
        <v>557.7998</v>
      </c>
      <c r="J103" s="7">
        <f t="shared" si="3"/>
        <v>-594.1980000000035</v>
      </c>
      <c r="K103" s="7">
        <f>2*G103*'Method Notes'!$B$8</f>
        <v>1.26</v>
      </c>
      <c r="L103" s="7">
        <f>2*G103*'Method Notes'!$B$9</f>
        <v>0.36</v>
      </c>
      <c r="M103" s="7">
        <f t="shared" si="4"/>
        <v>1.62</v>
      </c>
      <c r="N103" s="7">
        <f t="shared" si="5"/>
        <v>-595.81800000000351</v>
      </c>
      <c r="O103" s="7">
        <v>559.92788137599996</v>
      </c>
      <c r="P103" s="7">
        <v>553.23485074439998</v>
      </c>
      <c r="Q103" s="7">
        <v>558.10635377949995</v>
      </c>
      <c r="R103" s="7">
        <v>560.21433813930003</v>
      </c>
      <c r="S103" s="7">
        <v>552.94961942309999</v>
      </c>
      <c r="T103" s="7">
        <v>559.31226130109997</v>
      </c>
      <c r="U103" t="s">
        <v>88</v>
      </c>
    </row>
    <row r="104" spans="1:21">
      <c r="A104" t="s">
        <v>87</v>
      </c>
      <c r="B104">
        <v>3</v>
      </c>
      <c r="C104" s="10">
        <v>45750</v>
      </c>
      <c r="D104" s="11">
        <v>45750.4375</v>
      </c>
      <c r="E104" s="11">
        <v>45750.5</v>
      </c>
      <c r="F104">
        <v>-1</v>
      </c>
      <c r="G104">
        <v>183</v>
      </c>
      <c r="H104" s="7">
        <v>539.87260000000003</v>
      </c>
      <c r="I104" s="7">
        <v>540.49900000000002</v>
      </c>
      <c r="J104" s="7">
        <f t="shared" si="3"/>
        <v>-114.6311999999981</v>
      </c>
      <c r="K104" s="7">
        <f>2*G104*'Method Notes'!$B$8</f>
        <v>1.2809999999999999</v>
      </c>
      <c r="L104" s="7">
        <f>2*G104*'Method Notes'!$B$9</f>
        <v>0.36599999999999999</v>
      </c>
      <c r="M104" s="7">
        <f t="shared" si="4"/>
        <v>1.6469999999999998</v>
      </c>
      <c r="N104" s="7">
        <f t="shared" si="5"/>
        <v>-116.27819999999811</v>
      </c>
      <c r="O104" s="7">
        <v>562.42341006940001</v>
      </c>
      <c r="P104" s="7">
        <v>539.95765424989997</v>
      </c>
      <c r="Q104" s="7">
        <v>540.57172269780006</v>
      </c>
      <c r="R104" s="7">
        <v>563.65895502069998</v>
      </c>
      <c r="S104" s="7">
        <v>538.76670275970002</v>
      </c>
      <c r="T104" s="7">
        <v>539.69409277759996</v>
      </c>
      <c r="U104" t="s">
        <v>88</v>
      </c>
    </row>
    <row r="105" spans="1:21">
      <c r="A105" t="s">
        <v>87</v>
      </c>
      <c r="B105">
        <v>4</v>
      </c>
      <c r="C105" s="10">
        <v>45750</v>
      </c>
      <c r="D105" s="11">
        <v>45750.604166666664</v>
      </c>
      <c r="E105" s="11">
        <v>45750.625</v>
      </c>
      <c r="F105">
        <v>-1</v>
      </c>
      <c r="G105">
        <v>183</v>
      </c>
      <c r="H105" s="7">
        <v>537.66030000000001</v>
      </c>
      <c r="I105" s="7">
        <v>538.70929999999998</v>
      </c>
      <c r="J105" s="7">
        <f t="shared" si="3"/>
        <v>-191.96699999999601</v>
      </c>
      <c r="K105" s="7">
        <f>2*G105*'Method Notes'!$B$8</f>
        <v>1.2809999999999999</v>
      </c>
      <c r="L105" s="7">
        <f>2*G105*'Method Notes'!$B$9</f>
        <v>0.36599999999999999</v>
      </c>
      <c r="M105" s="7">
        <f t="shared" si="4"/>
        <v>1.6469999999999998</v>
      </c>
      <c r="N105" s="7">
        <f t="shared" si="5"/>
        <v>-193.613999999996</v>
      </c>
      <c r="O105" s="7">
        <v>563.81293429159996</v>
      </c>
      <c r="P105" s="7">
        <v>538.61828093019994</v>
      </c>
      <c r="Q105" s="7">
        <v>539.7735395569</v>
      </c>
      <c r="R105" s="7">
        <v>564.38980507400004</v>
      </c>
      <c r="S105" s="7">
        <v>538.06223064870005</v>
      </c>
      <c r="T105" s="7">
        <v>539.69769368660002</v>
      </c>
      <c r="U105" t="s">
        <v>88</v>
      </c>
    </row>
    <row r="106" spans="1:21">
      <c r="A106" t="s">
        <v>87</v>
      </c>
      <c r="B106">
        <v>5</v>
      </c>
      <c r="C106" s="10">
        <v>45750</v>
      </c>
      <c r="D106" s="11">
        <v>45750.645833333336</v>
      </c>
      <c r="E106" s="11">
        <v>45750.666666666664</v>
      </c>
      <c r="F106">
        <v>-1</v>
      </c>
      <c r="G106">
        <v>183</v>
      </c>
      <c r="H106" s="7">
        <v>536.11419999999998</v>
      </c>
      <c r="I106" s="7">
        <v>533.63840000000005</v>
      </c>
      <c r="J106" s="7">
        <f t="shared" si="3"/>
        <v>453.07139999998822</v>
      </c>
      <c r="K106" s="7">
        <f>2*G106*'Method Notes'!$B$8</f>
        <v>1.2809999999999999</v>
      </c>
      <c r="L106" s="7">
        <f>2*G106*'Method Notes'!$B$9</f>
        <v>0.36599999999999999</v>
      </c>
      <c r="M106" s="7">
        <f t="shared" si="4"/>
        <v>1.6469999999999998</v>
      </c>
      <c r="N106" s="7">
        <f t="shared" si="5"/>
        <v>451.42439999998822</v>
      </c>
      <c r="O106" s="7">
        <v>564.52394343449998</v>
      </c>
      <c r="P106" s="7">
        <v>537.93293362860004</v>
      </c>
      <c r="Q106" s="7">
        <v>539.37496063549997</v>
      </c>
      <c r="R106" s="7">
        <v>564.95842808750001</v>
      </c>
      <c r="S106" s="7">
        <v>537.51413045640004</v>
      </c>
      <c r="T106" s="7">
        <v>537.86789182790005</v>
      </c>
      <c r="U106" t="s">
        <v>85</v>
      </c>
    </row>
    <row r="107" spans="1:21">
      <c r="A107" t="s">
        <v>87</v>
      </c>
      <c r="B107">
        <v>6</v>
      </c>
      <c r="C107" s="10">
        <v>45751</v>
      </c>
      <c r="D107" s="11">
        <v>45751.4375</v>
      </c>
      <c r="E107" s="11">
        <v>45751.666666666664</v>
      </c>
      <c r="F107">
        <v>-1</v>
      </c>
      <c r="G107">
        <v>191</v>
      </c>
      <c r="H107" s="7">
        <v>513.20069999999998</v>
      </c>
      <c r="I107" s="7">
        <v>502.39760000000001</v>
      </c>
      <c r="J107" s="7">
        <f t="shared" si="3"/>
        <v>2063.3920999999946</v>
      </c>
      <c r="K107" s="7">
        <f>2*G107*'Method Notes'!$B$8</f>
        <v>1.337</v>
      </c>
      <c r="L107" s="7">
        <f>2*G107*'Method Notes'!$B$9</f>
        <v>0.38200000000000001</v>
      </c>
      <c r="M107" s="7">
        <f t="shared" si="4"/>
        <v>1.7189999999999999</v>
      </c>
      <c r="N107" s="7">
        <f t="shared" si="5"/>
        <v>2061.6730999999945</v>
      </c>
      <c r="O107" s="7">
        <v>534.78861002890005</v>
      </c>
      <c r="P107" s="7">
        <v>518.8558410329</v>
      </c>
      <c r="Q107" s="7">
        <v>517.50886119769996</v>
      </c>
      <c r="R107" s="7">
        <v>537.2345141577</v>
      </c>
      <c r="S107" s="7">
        <v>516.47255325089998</v>
      </c>
      <c r="T107" s="7">
        <v>509.55477975159999</v>
      </c>
      <c r="U107" t="s">
        <v>85</v>
      </c>
    </row>
    <row r="108" spans="1:21">
      <c r="A108" t="s">
        <v>87</v>
      </c>
      <c r="B108">
        <v>7</v>
      </c>
      <c r="C108" s="10">
        <v>45754</v>
      </c>
      <c r="D108" s="11">
        <v>45754.583333333336</v>
      </c>
      <c r="E108" s="11">
        <v>45754.604166666664</v>
      </c>
      <c r="F108">
        <v>1</v>
      </c>
      <c r="G108">
        <v>205</v>
      </c>
      <c r="H108" s="7">
        <v>506.30520000000001</v>
      </c>
      <c r="I108" s="7">
        <v>502.28829999999999</v>
      </c>
      <c r="J108" s="7">
        <f t="shared" si="3"/>
        <v>-823.46450000000436</v>
      </c>
      <c r="K108" s="7">
        <f>2*G108*'Method Notes'!$B$8</f>
        <v>1.4350000000000001</v>
      </c>
      <c r="L108" s="7">
        <f>2*G108*'Method Notes'!$B$9</f>
        <v>0.41000000000000003</v>
      </c>
      <c r="M108" s="7">
        <f t="shared" si="4"/>
        <v>1.8450000000000002</v>
      </c>
      <c r="N108" s="7">
        <f t="shared" si="5"/>
        <v>-825.30950000000439</v>
      </c>
      <c r="O108" s="7">
        <v>505.09717605510002</v>
      </c>
      <c r="P108" s="7">
        <v>489.97167062810001</v>
      </c>
      <c r="Q108" s="7">
        <v>496.59523573849998</v>
      </c>
      <c r="R108" s="7">
        <v>505.38901514439999</v>
      </c>
      <c r="S108" s="7">
        <v>489.68551191509999</v>
      </c>
      <c r="T108" s="7">
        <v>496.84862268090001</v>
      </c>
      <c r="U108" t="s">
        <v>88</v>
      </c>
    </row>
    <row r="109" spans="1:21">
      <c r="A109" t="s">
        <v>87</v>
      </c>
      <c r="B109">
        <v>8</v>
      </c>
      <c r="C109" s="10">
        <v>45755</v>
      </c>
      <c r="D109" s="11">
        <v>45755.645833333336</v>
      </c>
      <c r="E109" s="11">
        <v>45755.666666666664</v>
      </c>
      <c r="F109">
        <v>-1</v>
      </c>
      <c r="G109">
        <v>193</v>
      </c>
      <c r="H109" s="7">
        <v>494.4271</v>
      </c>
      <c r="I109" s="7">
        <v>493.64789999999999</v>
      </c>
      <c r="J109" s="7">
        <f t="shared" si="3"/>
        <v>150.38560000000058</v>
      </c>
      <c r="K109" s="7">
        <f>2*G109*'Method Notes'!$B$8</f>
        <v>1.351</v>
      </c>
      <c r="L109" s="7">
        <f>2*G109*'Method Notes'!$B$9</f>
        <v>0.38600000000000001</v>
      </c>
      <c r="M109" s="7">
        <f t="shared" si="4"/>
        <v>1.7370000000000001</v>
      </c>
      <c r="N109" s="7">
        <f t="shared" si="5"/>
        <v>148.64860000000058</v>
      </c>
      <c r="O109" s="7">
        <v>524.08276777959998</v>
      </c>
      <c r="P109" s="7">
        <v>497.6197818123</v>
      </c>
      <c r="Q109" s="7">
        <v>507.39754010310003</v>
      </c>
      <c r="R109" s="7">
        <v>525.35520704630005</v>
      </c>
      <c r="S109" s="7">
        <v>496.3927385083</v>
      </c>
      <c r="T109" s="7">
        <v>504.27580488349997</v>
      </c>
      <c r="U109" t="s">
        <v>85</v>
      </c>
    </row>
    <row r="110" spans="1:21">
      <c r="A110" t="s">
        <v>87</v>
      </c>
      <c r="B110">
        <v>9</v>
      </c>
      <c r="C110" s="10">
        <v>45756</v>
      </c>
      <c r="D110" s="11">
        <v>45756.458333333336</v>
      </c>
      <c r="E110" s="11">
        <v>45756.479166666664</v>
      </c>
      <c r="F110">
        <v>-1</v>
      </c>
      <c r="G110">
        <v>202</v>
      </c>
      <c r="H110" s="7">
        <v>490.31700000000001</v>
      </c>
      <c r="I110" s="7">
        <v>495.35809999999998</v>
      </c>
      <c r="J110" s="7">
        <f t="shared" si="3"/>
        <v>-1018.3021999999943</v>
      </c>
      <c r="K110" s="7">
        <f>2*G110*'Method Notes'!$B$8</f>
        <v>1.4139999999999999</v>
      </c>
      <c r="L110" s="7">
        <f>2*G110*'Method Notes'!$B$9</f>
        <v>0.40400000000000003</v>
      </c>
      <c r="M110" s="7">
        <f t="shared" si="4"/>
        <v>1.8180000000000001</v>
      </c>
      <c r="N110" s="7">
        <f t="shared" si="5"/>
        <v>-1020.1201999999943</v>
      </c>
      <c r="O110" s="7">
        <v>500.56817538220002</v>
      </c>
      <c r="P110" s="7">
        <v>490.44998498529998</v>
      </c>
      <c r="Q110" s="7">
        <v>495.30708028359999</v>
      </c>
      <c r="R110" s="7">
        <v>500.07817236509999</v>
      </c>
      <c r="S110" s="7">
        <v>490.93634362009999</v>
      </c>
      <c r="T110" s="7">
        <v>495.31457667879999</v>
      </c>
      <c r="U110" t="s">
        <v>88</v>
      </c>
    </row>
    <row r="111" spans="1:21">
      <c r="A111" t="s">
        <v>87</v>
      </c>
      <c r="B111">
        <v>10</v>
      </c>
      <c r="C111" s="10">
        <v>45756</v>
      </c>
      <c r="D111" s="11">
        <v>45756.5625</v>
      </c>
      <c r="E111" s="11">
        <v>45756.666666666664</v>
      </c>
      <c r="F111">
        <v>1</v>
      </c>
      <c r="G111">
        <v>202</v>
      </c>
      <c r="H111" s="7">
        <v>521.77650000000006</v>
      </c>
      <c r="I111" s="7">
        <v>545.49040000000002</v>
      </c>
      <c r="J111" s="7">
        <f t="shared" si="3"/>
        <v>4790.2077999999929</v>
      </c>
      <c r="K111" s="7">
        <f>2*G111*'Method Notes'!$B$8</f>
        <v>1.4139999999999999</v>
      </c>
      <c r="L111" s="7">
        <f>2*G111*'Method Notes'!$B$9</f>
        <v>0.40400000000000003</v>
      </c>
      <c r="M111" s="7">
        <f t="shared" si="4"/>
        <v>1.8180000000000001</v>
      </c>
      <c r="N111" s="7">
        <f t="shared" si="5"/>
        <v>4788.3897999999926</v>
      </c>
      <c r="O111" s="7">
        <v>502.47450922519999</v>
      </c>
      <c r="P111" s="7">
        <v>488.55782944150002</v>
      </c>
      <c r="Q111" s="7">
        <v>506.47916999130001</v>
      </c>
      <c r="R111" s="7">
        <v>504.02787899139997</v>
      </c>
      <c r="S111" s="7">
        <v>487.0160128151</v>
      </c>
      <c r="T111" s="7">
        <v>523.88149199019995</v>
      </c>
      <c r="U111" t="s">
        <v>85</v>
      </c>
    </row>
    <row r="112" spans="1:21">
      <c r="A112" t="s">
        <v>87</v>
      </c>
      <c r="B112">
        <v>11</v>
      </c>
      <c r="C112" s="10">
        <v>45757</v>
      </c>
      <c r="D112" s="11">
        <v>45757.479166666664</v>
      </c>
      <c r="E112" s="11">
        <v>45757.583333333336</v>
      </c>
      <c r="F112">
        <v>-1</v>
      </c>
      <c r="G112">
        <v>198</v>
      </c>
      <c r="H112" s="7">
        <v>520.81200000000001</v>
      </c>
      <c r="I112" s="7">
        <v>521.19979999999998</v>
      </c>
      <c r="J112" s="7">
        <f t="shared" si="3"/>
        <v>-76.784399999994093</v>
      </c>
      <c r="K112" s="7">
        <f>2*G112*'Method Notes'!$B$8</f>
        <v>1.3860000000000001</v>
      </c>
      <c r="L112" s="7">
        <f>2*G112*'Method Notes'!$B$9</f>
        <v>0.39600000000000002</v>
      </c>
      <c r="M112" s="7">
        <f t="shared" si="4"/>
        <v>1.782</v>
      </c>
      <c r="N112" s="7">
        <f t="shared" si="5"/>
        <v>-78.56639999999409</v>
      </c>
      <c r="O112" s="7">
        <v>548.48380842580002</v>
      </c>
      <c r="P112" s="7">
        <v>523.00037572669999</v>
      </c>
      <c r="Q112" s="7">
        <v>524.32108434539998</v>
      </c>
      <c r="R112" s="7">
        <v>553.29312729339995</v>
      </c>
      <c r="S112" s="7">
        <v>518.36389392420006</v>
      </c>
      <c r="T112" s="7">
        <v>518.3352502898</v>
      </c>
      <c r="U112" t="s">
        <v>88</v>
      </c>
    </row>
    <row r="113" spans="1:21">
      <c r="A113" t="s">
        <v>87</v>
      </c>
      <c r="B113">
        <v>12</v>
      </c>
      <c r="C113" s="10">
        <v>45758</v>
      </c>
      <c r="D113" s="11">
        <v>45758.4375</v>
      </c>
      <c r="E113" s="11">
        <v>45758.458333333336</v>
      </c>
      <c r="F113">
        <v>-1</v>
      </c>
      <c r="G113">
        <v>200</v>
      </c>
      <c r="H113" s="7">
        <v>517.5607</v>
      </c>
      <c r="I113" s="7">
        <v>519.93700000000001</v>
      </c>
      <c r="J113" s="7">
        <f t="shared" si="3"/>
        <v>-475.26000000000295</v>
      </c>
      <c r="K113" s="7">
        <f>2*G113*'Method Notes'!$B$8</f>
        <v>1.4000000000000001</v>
      </c>
      <c r="L113" s="7">
        <f>2*G113*'Method Notes'!$B$9</f>
        <v>0.4</v>
      </c>
      <c r="M113" s="7">
        <f t="shared" si="4"/>
        <v>1.8000000000000003</v>
      </c>
      <c r="N113" s="7">
        <f t="shared" si="5"/>
        <v>-477.06000000000296</v>
      </c>
      <c r="O113" s="7">
        <v>523.82764540220001</v>
      </c>
      <c r="P113" s="7">
        <v>519.90785482909996</v>
      </c>
      <c r="Q113" s="7">
        <v>519.99486563619996</v>
      </c>
      <c r="R113" s="7">
        <v>525.93634756949996</v>
      </c>
      <c r="S113" s="7">
        <v>517.80141060209996</v>
      </c>
      <c r="T113" s="7">
        <v>519.98202372469996</v>
      </c>
      <c r="U113" t="s">
        <v>88</v>
      </c>
    </row>
    <row r="114" spans="1:21">
      <c r="A114" t="s">
        <v>87</v>
      </c>
      <c r="B114">
        <v>13</v>
      </c>
      <c r="C114" s="10">
        <v>45758</v>
      </c>
      <c r="D114" s="11">
        <v>45758.541666666664</v>
      </c>
      <c r="E114" s="11">
        <v>45758.5625</v>
      </c>
      <c r="F114">
        <v>1</v>
      </c>
      <c r="G114">
        <v>200</v>
      </c>
      <c r="H114" s="7">
        <v>528.78629999999998</v>
      </c>
      <c r="I114" s="7">
        <v>526.80269999999996</v>
      </c>
      <c r="J114" s="7">
        <f t="shared" si="3"/>
        <v>-396.7200000000048</v>
      </c>
      <c r="K114" s="7">
        <f>2*G114*'Method Notes'!$B$8</f>
        <v>1.4000000000000001</v>
      </c>
      <c r="L114" s="7">
        <f>2*G114*'Method Notes'!$B$9</f>
        <v>0.4</v>
      </c>
      <c r="M114" s="7">
        <f t="shared" si="4"/>
        <v>1.8000000000000003</v>
      </c>
      <c r="N114" s="7">
        <f t="shared" si="5"/>
        <v>-398.52000000000481</v>
      </c>
      <c r="O114" s="7">
        <v>526.66127550019996</v>
      </c>
      <c r="P114" s="7">
        <v>517.07725890430004</v>
      </c>
      <c r="Q114" s="7">
        <v>521.79019514319998</v>
      </c>
      <c r="R114" s="7">
        <v>529.79821633380004</v>
      </c>
      <c r="S114" s="7">
        <v>513.94367702060003</v>
      </c>
      <c r="T114" s="7">
        <v>522.20396479119995</v>
      </c>
      <c r="U114" t="s">
        <v>88</v>
      </c>
    </row>
    <row r="115" spans="1:21">
      <c r="A115" t="s">
        <v>87</v>
      </c>
      <c r="B115">
        <v>14</v>
      </c>
      <c r="C115" s="10">
        <v>45758</v>
      </c>
      <c r="D115" s="11">
        <v>45758.583333333336</v>
      </c>
      <c r="E115" s="11">
        <v>45758.625</v>
      </c>
      <c r="F115">
        <v>1</v>
      </c>
      <c r="G115">
        <v>200</v>
      </c>
      <c r="H115" s="7">
        <v>531.66970000000003</v>
      </c>
      <c r="I115" s="7">
        <v>529.13419999999996</v>
      </c>
      <c r="J115" s="7">
        <f t="shared" si="3"/>
        <v>-507.10000000001401</v>
      </c>
      <c r="K115" s="7">
        <f>2*G115*'Method Notes'!$B$8</f>
        <v>1.4000000000000001</v>
      </c>
      <c r="L115" s="7">
        <f>2*G115*'Method Notes'!$B$9</f>
        <v>0.4</v>
      </c>
      <c r="M115" s="7">
        <f t="shared" si="4"/>
        <v>1.8000000000000003</v>
      </c>
      <c r="N115" s="7">
        <f t="shared" si="5"/>
        <v>-508.90000000001402</v>
      </c>
      <c r="O115" s="7">
        <v>529.75032881039999</v>
      </c>
      <c r="P115" s="7">
        <v>513.99151326740002</v>
      </c>
      <c r="Q115" s="7">
        <v>523.4489113221</v>
      </c>
      <c r="R115" s="7">
        <v>529.68387985089998</v>
      </c>
      <c r="S115" s="7">
        <v>514.05789107520002</v>
      </c>
      <c r="T115" s="7">
        <v>524.24135086269996</v>
      </c>
      <c r="U115" t="s">
        <v>88</v>
      </c>
    </row>
    <row r="116" spans="1:21">
      <c r="A116" t="s">
        <v>87</v>
      </c>
      <c r="B116">
        <v>15</v>
      </c>
      <c r="C116" s="10">
        <v>45758</v>
      </c>
      <c r="D116" s="11">
        <v>45758.645833333336</v>
      </c>
      <c r="E116" s="11">
        <v>45758.666666666664</v>
      </c>
      <c r="F116">
        <v>1</v>
      </c>
      <c r="G116">
        <v>200</v>
      </c>
      <c r="H116" s="7">
        <v>531.44100000000003</v>
      </c>
      <c r="I116" s="7">
        <v>530.89419999999996</v>
      </c>
      <c r="J116" s="7">
        <f t="shared" si="3"/>
        <v>-109.36000000001513</v>
      </c>
      <c r="K116" s="7">
        <f>2*G116*'Method Notes'!$B$8</f>
        <v>1.4000000000000001</v>
      </c>
      <c r="L116" s="7">
        <f>2*G116*'Method Notes'!$B$9</f>
        <v>0.4</v>
      </c>
      <c r="M116" s="7">
        <f t="shared" si="4"/>
        <v>1.8000000000000003</v>
      </c>
      <c r="N116" s="7">
        <f t="shared" si="5"/>
        <v>-111.16000000001513</v>
      </c>
      <c r="O116" s="7">
        <v>531.0477206393</v>
      </c>
      <c r="P116" s="7">
        <v>512.69551064990003</v>
      </c>
      <c r="Q116" s="7">
        <v>524.79000829309996</v>
      </c>
      <c r="R116" s="7">
        <v>532.7325785283</v>
      </c>
      <c r="S116" s="7">
        <v>511.01245686039999</v>
      </c>
      <c r="T116" s="7">
        <v>525.91875868620002</v>
      </c>
      <c r="U116" t="s">
        <v>85</v>
      </c>
    </row>
    <row r="117" spans="1:21">
      <c r="A117" t="s">
        <v>87</v>
      </c>
      <c r="B117">
        <v>16</v>
      </c>
      <c r="C117" s="10">
        <v>45768</v>
      </c>
      <c r="D117" s="11">
        <v>45768.479166666664</v>
      </c>
      <c r="E117" s="11">
        <v>45768.5625</v>
      </c>
      <c r="F117">
        <v>-1</v>
      </c>
      <c r="G117">
        <v>200</v>
      </c>
      <c r="H117" s="7">
        <v>510.14319999999998</v>
      </c>
      <c r="I117" s="7">
        <v>507.00130000000001</v>
      </c>
      <c r="J117" s="7">
        <f t="shared" si="3"/>
        <v>628.37999999999283</v>
      </c>
      <c r="K117" s="7">
        <f>2*G117*'Method Notes'!$B$8</f>
        <v>1.4000000000000001</v>
      </c>
      <c r="L117" s="7">
        <f>2*G117*'Method Notes'!$B$9</f>
        <v>0.4</v>
      </c>
      <c r="M117" s="7">
        <f t="shared" si="4"/>
        <v>1.8000000000000003</v>
      </c>
      <c r="N117" s="7">
        <f t="shared" si="5"/>
        <v>626.57999999999288</v>
      </c>
      <c r="O117" s="7">
        <v>526.91823026530005</v>
      </c>
      <c r="P117" s="7">
        <v>510.98743451889999</v>
      </c>
      <c r="Q117" s="7">
        <v>512.440768693</v>
      </c>
      <c r="R117" s="7">
        <v>531.11887113980004</v>
      </c>
      <c r="S117" s="7">
        <v>506.85876940089997</v>
      </c>
      <c r="T117" s="7">
        <v>510.30653389539998</v>
      </c>
      <c r="U117" t="s">
        <v>88</v>
      </c>
    </row>
    <row r="118" spans="1:21">
      <c r="A118" t="s">
        <v>87</v>
      </c>
      <c r="B118">
        <v>17</v>
      </c>
      <c r="C118" s="10">
        <v>45768</v>
      </c>
      <c r="D118" s="11">
        <v>45768.583333333336</v>
      </c>
      <c r="E118" s="11">
        <v>45768.604166666664</v>
      </c>
      <c r="F118">
        <v>-1</v>
      </c>
      <c r="G118">
        <v>200</v>
      </c>
      <c r="H118" s="7">
        <v>506.09350000000001</v>
      </c>
      <c r="I118" s="7">
        <v>507.03100000000001</v>
      </c>
      <c r="J118" s="7">
        <f t="shared" si="3"/>
        <v>-187.5</v>
      </c>
      <c r="K118" s="7">
        <f>2*G118*'Method Notes'!$B$8</f>
        <v>1.4000000000000001</v>
      </c>
      <c r="L118" s="7">
        <f>2*G118*'Method Notes'!$B$9</f>
        <v>0.4</v>
      </c>
      <c r="M118" s="7">
        <f t="shared" si="4"/>
        <v>1.8000000000000003</v>
      </c>
      <c r="N118" s="7">
        <f t="shared" si="5"/>
        <v>-189.3</v>
      </c>
      <c r="O118" s="7">
        <v>531.52496738050002</v>
      </c>
      <c r="P118" s="7">
        <v>506.45963140420002</v>
      </c>
      <c r="Q118" s="7">
        <v>510.01118954639998</v>
      </c>
      <c r="R118" s="7">
        <v>531.64248327140001</v>
      </c>
      <c r="S118" s="7">
        <v>506.34412908590002</v>
      </c>
      <c r="T118" s="7">
        <v>509.74257229969999</v>
      </c>
      <c r="U118" t="s">
        <v>88</v>
      </c>
    </row>
    <row r="119" spans="1:21">
      <c r="A119" t="s">
        <v>87</v>
      </c>
      <c r="B119">
        <v>18</v>
      </c>
      <c r="C119" s="10">
        <v>45768</v>
      </c>
      <c r="D119" s="11">
        <v>45768.625</v>
      </c>
      <c r="E119" s="11">
        <v>45768.645833333336</v>
      </c>
      <c r="F119">
        <v>-1</v>
      </c>
      <c r="G119">
        <v>200</v>
      </c>
      <c r="H119" s="7">
        <v>505.86770000000001</v>
      </c>
      <c r="I119" s="7">
        <v>507.50830000000002</v>
      </c>
      <c r="J119" s="7">
        <f t="shared" si="3"/>
        <v>-328.12000000000126</v>
      </c>
      <c r="K119" s="7">
        <f>2*G119*'Method Notes'!$B$8</f>
        <v>1.4000000000000001</v>
      </c>
      <c r="L119" s="7">
        <f>2*G119*'Method Notes'!$B$9</f>
        <v>0.4</v>
      </c>
      <c r="M119" s="7">
        <f t="shared" si="4"/>
        <v>1.8000000000000003</v>
      </c>
      <c r="N119" s="7">
        <f t="shared" si="5"/>
        <v>-329.92000000000127</v>
      </c>
      <c r="O119" s="7">
        <v>531.14059498170002</v>
      </c>
      <c r="P119" s="7">
        <v>506.83741778550001</v>
      </c>
      <c r="Q119" s="7">
        <v>509.4192125335</v>
      </c>
      <c r="R119" s="7">
        <v>532.89990248590004</v>
      </c>
      <c r="S119" s="7">
        <v>505.1082550836</v>
      </c>
      <c r="T119" s="7">
        <v>509.23221881630002</v>
      </c>
      <c r="U119" t="s">
        <v>88</v>
      </c>
    </row>
    <row r="120" spans="1:21">
      <c r="A120" t="s">
        <v>87</v>
      </c>
      <c r="B120">
        <v>19</v>
      </c>
      <c r="C120" s="10">
        <v>45769</v>
      </c>
      <c r="D120" s="11">
        <v>45769.5</v>
      </c>
      <c r="E120" s="11">
        <v>45769.5625</v>
      </c>
      <c r="F120">
        <v>1</v>
      </c>
      <c r="G120">
        <v>198</v>
      </c>
      <c r="H120" s="7">
        <v>523.20830000000001</v>
      </c>
      <c r="I120" s="7">
        <v>519.60389999999995</v>
      </c>
      <c r="J120" s="7">
        <f t="shared" si="3"/>
        <v>-713.67120000001091</v>
      </c>
      <c r="K120" s="7">
        <f>2*G120*'Method Notes'!$B$8</f>
        <v>1.3860000000000001</v>
      </c>
      <c r="L120" s="7">
        <f>2*G120*'Method Notes'!$B$9</f>
        <v>0.39600000000000002</v>
      </c>
      <c r="M120" s="7">
        <f t="shared" si="4"/>
        <v>1.782</v>
      </c>
      <c r="N120" s="7">
        <f t="shared" si="5"/>
        <v>-715.45320000001095</v>
      </c>
      <c r="O120" s="7">
        <v>523.1512204572</v>
      </c>
      <c r="P120" s="7">
        <v>506.80471170070001</v>
      </c>
      <c r="Q120" s="7">
        <v>521.04227744139996</v>
      </c>
      <c r="R120" s="7">
        <v>526.85952727150004</v>
      </c>
      <c r="S120" s="7">
        <v>503.15353126510001</v>
      </c>
      <c r="T120" s="7">
        <v>521.90915189069995</v>
      </c>
      <c r="U120" t="s">
        <v>88</v>
      </c>
    </row>
    <row r="121" spans="1:21">
      <c r="A121" t="s">
        <v>87</v>
      </c>
      <c r="B121">
        <v>20</v>
      </c>
      <c r="C121" s="10">
        <v>45771</v>
      </c>
      <c r="D121" s="11">
        <v>45771.4375</v>
      </c>
      <c r="E121" s="11">
        <v>45771.458333333336</v>
      </c>
      <c r="F121">
        <v>1</v>
      </c>
      <c r="G121">
        <v>190</v>
      </c>
      <c r="H121" s="7">
        <v>539.03880000000004</v>
      </c>
      <c r="I121" s="7">
        <v>539.3954</v>
      </c>
      <c r="J121" s="7">
        <f t="shared" si="3"/>
        <v>67.753999999991947</v>
      </c>
      <c r="K121" s="7">
        <f>2*G121*'Method Notes'!$B$8</f>
        <v>1.33</v>
      </c>
      <c r="L121" s="7">
        <f>2*G121*'Method Notes'!$B$9</f>
        <v>0.38</v>
      </c>
      <c r="M121" s="7">
        <f t="shared" si="4"/>
        <v>1.71</v>
      </c>
      <c r="N121" s="7">
        <f t="shared" si="5"/>
        <v>66.043999999991954</v>
      </c>
      <c r="O121" s="7">
        <v>538.61639015239996</v>
      </c>
      <c r="P121" s="7">
        <v>530.16697618410001</v>
      </c>
      <c r="Q121" s="7">
        <v>537.73591460240004</v>
      </c>
      <c r="R121" s="7">
        <v>540.46280450560005</v>
      </c>
      <c r="S121" s="7">
        <v>528.33445362379996</v>
      </c>
      <c r="T121" s="7">
        <v>538.29364669630002</v>
      </c>
      <c r="U121" t="s">
        <v>88</v>
      </c>
    </row>
    <row r="122" spans="1:21">
      <c r="A122" t="s">
        <v>87</v>
      </c>
      <c r="B122">
        <v>21</v>
      </c>
      <c r="C122" s="10">
        <v>45771</v>
      </c>
      <c r="D122" s="11">
        <v>45771.541666666664</v>
      </c>
      <c r="E122" s="11">
        <v>45771.5625</v>
      </c>
      <c r="F122">
        <v>1</v>
      </c>
      <c r="G122">
        <v>190</v>
      </c>
      <c r="H122" s="7">
        <v>542.33849999999995</v>
      </c>
      <c r="I122" s="7">
        <v>541.86320000000001</v>
      </c>
      <c r="J122" s="7">
        <f t="shared" si="3"/>
        <v>-90.306999999990012</v>
      </c>
      <c r="K122" s="7">
        <f>2*G122*'Method Notes'!$B$8</f>
        <v>1.33</v>
      </c>
      <c r="L122" s="7">
        <f>2*G122*'Method Notes'!$B$9</f>
        <v>0.38</v>
      </c>
      <c r="M122" s="7">
        <f t="shared" si="4"/>
        <v>1.71</v>
      </c>
      <c r="N122" s="7">
        <f t="shared" si="5"/>
        <v>-92.016999999990006</v>
      </c>
      <c r="O122" s="7">
        <v>541.68679723729997</v>
      </c>
      <c r="P122" s="7">
        <v>527.11966979670001</v>
      </c>
      <c r="Q122" s="7">
        <v>539.35782140900005</v>
      </c>
      <c r="R122" s="7">
        <v>544.37431103419999</v>
      </c>
      <c r="S122" s="7">
        <v>524.45237593859997</v>
      </c>
      <c r="T122" s="7">
        <v>539.55160931240005</v>
      </c>
      <c r="U122" t="s">
        <v>88</v>
      </c>
    </row>
    <row r="123" spans="1:21">
      <c r="A123" t="s">
        <v>87</v>
      </c>
      <c r="B123">
        <v>22</v>
      </c>
      <c r="C123" s="10">
        <v>45778</v>
      </c>
      <c r="D123" s="11">
        <v>45778.458333333336</v>
      </c>
      <c r="E123" s="11">
        <v>45778.479166666664</v>
      </c>
      <c r="F123">
        <v>1</v>
      </c>
      <c r="G123">
        <v>183</v>
      </c>
      <c r="H123" s="7">
        <v>560.17610000000002</v>
      </c>
      <c r="I123" s="7">
        <v>560.15620000000001</v>
      </c>
      <c r="J123" s="7">
        <f t="shared" si="3"/>
        <v>-3.6417000000012649</v>
      </c>
      <c r="K123" s="7">
        <f>2*G123*'Method Notes'!$B$8</f>
        <v>1.2809999999999999</v>
      </c>
      <c r="L123" s="7">
        <f>2*G123*'Method Notes'!$B$9</f>
        <v>0.36599999999999999</v>
      </c>
      <c r="M123" s="7">
        <f t="shared" si="4"/>
        <v>1.6469999999999998</v>
      </c>
      <c r="N123" s="7">
        <f t="shared" si="5"/>
        <v>-5.2887000000012652</v>
      </c>
      <c r="O123" s="7">
        <v>559.723150949</v>
      </c>
      <c r="P123" s="7">
        <v>548.97175107019996</v>
      </c>
      <c r="Q123" s="7">
        <v>558.46022632589995</v>
      </c>
      <c r="R123" s="7">
        <v>560.73438651460003</v>
      </c>
      <c r="S123" s="7">
        <v>547.97125092780004</v>
      </c>
      <c r="T123" s="7">
        <v>558.76951850880005</v>
      </c>
      <c r="U123" t="s">
        <v>88</v>
      </c>
    </row>
    <row r="124" spans="1:21">
      <c r="A124" t="s">
        <v>87</v>
      </c>
      <c r="B124">
        <v>23</v>
      </c>
      <c r="C124" s="10">
        <v>45779</v>
      </c>
      <c r="D124" s="11">
        <v>45779.4375</v>
      </c>
      <c r="E124" s="11">
        <v>45779.458333333336</v>
      </c>
      <c r="F124">
        <v>1</v>
      </c>
      <c r="G124">
        <v>182</v>
      </c>
      <c r="H124" s="7">
        <v>563.06209999999999</v>
      </c>
      <c r="I124" s="7">
        <v>562.53269999999998</v>
      </c>
      <c r="J124" s="7">
        <f t="shared" si="3"/>
        <v>-96.350800000001755</v>
      </c>
      <c r="K124" s="7">
        <f>2*G124*'Method Notes'!$B$8</f>
        <v>1.274</v>
      </c>
      <c r="L124" s="7">
        <f>2*G124*'Method Notes'!$B$9</f>
        <v>0.36399999999999999</v>
      </c>
      <c r="M124" s="7">
        <f t="shared" si="4"/>
        <v>1.6379999999999999</v>
      </c>
      <c r="N124" s="7">
        <f t="shared" si="5"/>
        <v>-97.98880000000176</v>
      </c>
      <c r="O124" s="7">
        <v>562.37263327070002</v>
      </c>
      <c r="P124" s="7">
        <v>553.19570140969995</v>
      </c>
      <c r="Q124" s="7">
        <v>561.287103763</v>
      </c>
      <c r="R124" s="7">
        <v>562.72513429829996</v>
      </c>
      <c r="S124" s="7">
        <v>552.84633464390004</v>
      </c>
      <c r="T124" s="7">
        <v>561.56361863660004</v>
      </c>
      <c r="U124" t="s">
        <v>88</v>
      </c>
    </row>
    <row r="125" spans="1:21">
      <c r="A125" t="s">
        <v>87</v>
      </c>
      <c r="B125">
        <v>24</v>
      </c>
      <c r="C125" s="10">
        <v>45785</v>
      </c>
      <c r="D125" s="11">
        <v>45785.5</v>
      </c>
      <c r="E125" s="11">
        <v>45785.604166666664</v>
      </c>
      <c r="F125">
        <v>1</v>
      </c>
      <c r="G125">
        <v>182</v>
      </c>
      <c r="H125" s="7">
        <v>565.1277</v>
      </c>
      <c r="I125" s="7">
        <v>564.78970000000004</v>
      </c>
      <c r="J125" s="7">
        <f t="shared" si="3"/>
        <v>-61.51599999999371</v>
      </c>
      <c r="K125" s="7">
        <f>2*G125*'Method Notes'!$B$8</f>
        <v>1.274</v>
      </c>
      <c r="L125" s="7">
        <f>2*G125*'Method Notes'!$B$9</f>
        <v>0.36399999999999999</v>
      </c>
      <c r="M125" s="7">
        <f t="shared" si="4"/>
        <v>1.6379999999999999</v>
      </c>
      <c r="N125" s="7">
        <f t="shared" si="5"/>
        <v>-63.153999999993708</v>
      </c>
      <c r="O125" s="7">
        <v>564.1482895373</v>
      </c>
      <c r="P125" s="7">
        <v>554.66977419809996</v>
      </c>
      <c r="Q125" s="7">
        <v>562.30683878089997</v>
      </c>
      <c r="R125" s="7">
        <v>565.21287672369999</v>
      </c>
      <c r="S125" s="7">
        <v>553.6106985079</v>
      </c>
      <c r="T125" s="7">
        <v>563.27469378939998</v>
      </c>
      <c r="U125" t="s">
        <v>88</v>
      </c>
    </row>
    <row r="126" spans="1:21">
      <c r="A126" t="s">
        <v>87</v>
      </c>
      <c r="B126">
        <v>25</v>
      </c>
      <c r="C126" s="10">
        <v>45785</v>
      </c>
      <c r="D126" s="11">
        <v>45785.625</v>
      </c>
      <c r="E126" s="11">
        <v>45785.666666666664</v>
      </c>
      <c r="F126">
        <v>1</v>
      </c>
      <c r="G126">
        <v>182</v>
      </c>
      <c r="H126" s="7">
        <v>565.06809999999996</v>
      </c>
      <c r="I126" s="7">
        <v>561.83659999999998</v>
      </c>
      <c r="J126" s="7">
        <f t="shared" si="3"/>
        <v>-588.13299999999685</v>
      </c>
      <c r="K126" s="7">
        <f>2*G126*'Method Notes'!$B$8</f>
        <v>1.274</v>
      </c>
      <c r="L126" s="7">
        <f>2*G126*'Method Notes'!$B$9</f>
        <v>0.36399999999999999</v>
      </c>
      <c r="M126" s="7">
        <f t="shared" si="4"/>
        <v>1.6379999999999999</v>
      </c>
      <c r="N126" s="7">
        <f t="shared" si="5"/>
        <v>-589.77099999999689</v>
      </c>
      <c r="O126" s="7">
        <v>565.04375454420006</v>
      </c>
      <c r="P126" s="7">
        <v>553.77894512140006</v>
      </c>
      <c r="Q126" s="7">
        <v>563.36726124059999</v>
      </c>
      <c r="R126" s="7">
        <v>565.02603455899998</v>
      </c>
      <c r="S126" s="7">
        <v>553.79657336820003</v>
      </c>
      <c r="T126" s="7">
        <v>563.27859073269997</v>
      </c>
      <c r="U126" t="s">
        <v>85</v>
      </c>
    </row>
    <row r="127" spans="1:21">
      <c r="A127" t="s">
        <v>87</v>
      </c>
      <c r="B127">
        <v>26</v>
      </c>
      <c r="C127" s="10">
        <v>45793</v>
      </c>
      <c r="D127" s="11">
        <v>45793.645833333336</v>
      </c>
      <c r="E127" s="11">
        <v>45793.666666666664</v>
      </c>
      <c r="F127">
        <v>1</v>
      </c>
      <c r="G127">
        <v>172</v>
      </c>
      <c r="H127" s="7">
        <v>590.40269999999998</v>
      </c>
      <c r="I127" s="7">
        <v>590.81039999999996</v>
      </c>
      <c r="J127" s="7">
        <f t="shared" si="3"/>
        <v>70.124399999996058</v>
      </c>
      <c r="K127" s="7">
        <f>2*G127*'Method Notes'!$B$8</f>
        <v>1.204</v>
      </c>
      <c r="L127" s="7">
        <f>2*G127*'Method Notes'!$B$9</f>
        <v>0.34400000000000003</v>
      </c>
      <c r="M127" s="7">
        <f t="shared" si="4"/>
        <v>1.548</v>
      </c>
      <c r="N127" s="7">
        <f t="shared" si="5"/>
        <v>68.576399999996056</v>
      </c>
      <c r="O127" s="7">
        <v>590.37734522740004</v>
      </c>
      <c r="P127" s="7">
        <v>583.97585323390001</v>
      </c>
      <c r="Q127" s="7">
        <v>588.54969016519999</v>
      </c>
      <c r="R127" s="7">
        <v>590.09954132749999</v>
      </c>
      <c r="S127" s="7">
        <v>584.25357704639998</v>
      </c>
      <c r="T127" s="7">
        <v>589.08443369739996</v>
      </c>
      <c r="U127" t="s">
        <v>85</v>
      </c>
    </row>
    <row r="128" spans="1:21">
      <c r="A128" t="s">
        <v>87</v>
      </c>
      <c r="B128">
        <v>27</v>
      </c>
      <c r="C128" s="10">
        <v>45798</v>
      </c>
      <c r="D128" s="11">
        <v>45798.5625</v>
      </c>
      <c r="E128" s="11">
        <v>45798.666666666664</v>
      </c>
      <c r="F128">
        <v>-1</v>
      </c>
      <c r="G128">
        <v>173</v>
      </c>
      <c r="H128" s="7">
        <v>581.13589999999999</v>
      </c>
      <c r="I128" s="7">
        <v>579.53510000000006</v>
      </c>
      <c r="J128" s="7">
        <f t="shared" si="3"/>
        <v>276.93839999998886</v>
      </c>
      <c r="K128" s="7">
        <f>2*G128*'Method Notes'!$B$8</f>
        <v>1.2110000000000001</v>
      </c>
      <c r="L128" s="7">
        <f>2*G128*'Method Notes'!$B$9</f>
        <v>0.34600000000000003</v>
      </c>
      <c r="M128" s="7">
        <f t="shared" si="4"/>
        <v>1.5570000000000002</v>
      </c>
      <c r="N128" s="7">
        <f t="shared" si="5"/>
        <v>275.38139999998884</v>
      </c>
      <c r="O128" s="7">
        <v>591.94661845300004</v>
      </c>
      <c r="P128" s="7">
        <v>584.15763849309997</v>
      </c>
      <c r="Q128" s="7">
        <v>585.73321335289995</v>
      </c>
      <c r="R128" s="7">
        <v>591.49845488079995</v>
      </c>
      <c r="S128" s="7">
        <v>584.60364019509996</v>
      </c>
      <c r="T128" s="7">
        <v>583.0727492259</v>
      </c>
      <c r="U128" t="s">
        <v>85</v>
      </c>
    </row>
    <row r="129" spans="1:21">
      <c r="A129" t="s">
        <v>87</v>
      </c>
      <c r="B129">
        <v>28</v>
      </c>
      <c r="C129" s="10">
        <v>45804</v>
      </c>
      <c r="D129" s="11">
        <v>45804.4375</v>
      </c>
      <c r="E129" s="11">
        <v>45804.666666666664</v>
      </c>
      <c r="F129">
        <v>1</v>
      </c>
      <c r="G129">
        <v>174</v>
      </c>
      <c r="H129" s="7">
        <v>584.52560000000005</v>
      </c>
      <c r="I129" s="7">
        <v>587.77779999999996</v>
      </c>
      <c r="J129" s="7">
        <f t="shared" si="3"/>
        <v>565.88279999998304</v>
      </c>
      <c r="K129" s="7">
        <f>2*G129*'Method Notes'!$B$8</f>
        <v>1.218</v>
      </c>
      <c r="L129" s="7">
        <f>2*G129*'Method Notes'!$B$9</f>
        <v>0.34800000000000003</v>
      </c>
      <c r="M129" s="7">
        <f t="shared" si="4"/>
        <v>1.5660000000000001</v>
      </c>
      <c r="N129" s="7">
        <f t="shared" si="5"/>
        <v>564.316799999983</v>
      </c>
      <c r="O129" s="7">
        <v>583.90554975270004</v>
      </c>
      <c r="P129" s="7">
        <v>574.86780245190005</v>
      </c>
      <c r="Q129" s="7">
        <v>583.61959368750001</v>
      </c>
      <c r="R129" s="7">
        <v>585.31230067340005</v>
      </c>
      <c r="S129" s="7">
        <v>573.47830328489999</v>
      </c>
      <c r="T129" s="7">
        <v>586.05813061610002</v>
      </c>
      <c r="U129" t="s">
        <v>85</v>
      </c>
    </row>
    <row r="130" spans="1:21">
      <c r="A130" t="s">
        <v>87</v>
      </c>
      <c r="B130">
        <v>29</v>
      </c>
      <c r="C130" s="10">
        <v>45805</v>
      </c>
      <c r="D130" s="11">
        <v>45805.458333333336</v>
      </c>
      <c r="E130" s="11">
        <v>45805.479166666664</v>
      </c>
      <c r="F130">
        <v>-1</v>
      </c>
      <c r="G130">
        <v>174</v>
      </c>
      <c r="H130" s="7">
        <v>585.98310000000004</v>
      </c>
      <c r="I130" s="7">
        <v>585.98800000000006</v>
      </c>
      <c r="J130" s="7">
        <f t="shared" si="3"/>
        <v>-0.8526000000035765</v>
      </c>
      <c r="K130" s="7">
        <f>2*G130*'Method Notes'!$B$8</f>
        <v>1.218</v>
      </c>
      <c r="L130" s="7">
        <f>2*G130*'Method Notes'!$B$9</f>
        <v>0.34800000000000003</v>
      </c>
      <c r="M130" s="7">
        <f t="shared" si="4"/>
        <v>1.5660000000000001</v>
      </c>
      <c r="N130" s="7">
        <f t="shared" si="5"/>
        <v>-2.4186000000035763</v>
      </c>
      <c r="O130" s="7">
        <v>588.75974584820005</v>
      </c>
      <c r="P130" s="7">
        <v>586.40850181129997</v>
      </c>
      <c r="Q130" s="7">
        <v>586.91767772189996</v>
      </c>
      <c r="R130" s="7">
        <v>589.3352606743</v>
      </c>
      <c r="S130" s="7">
        <v>585.8333664987</v>
      </c>
      <c r="T130" s="7">
        <v>586.75675749280003</v>
      </c>
      <c r="U130" t="s">
        <v>88</v>
      </c>
    </row>
    <row r="131" spans="1:21">
      <c r="A131" t="s">
        <v>87</v>
      </c>
      <c r="B131">
        <v>30</v>
      </c>
      <c r="C131" s="10">
        <v>45805</v>
      </c>
      <c r="D131" s="11">
        <v>45805.5</v>
      </c>
      <c r="E131" s="11">
        <v>45805.520833333336</v>
      </c>
      <c r="F131">
        <v>-1</v>
      </c>
      <c r="G131">
        <v>174</v>
      </c>
      <c r="H131" s="7">
        <v>585.7296</v>
      </c>
      <c r="I131" s="7">
        <v>586.46529999999996</v>
      </c>
      <c r="J131" s="7">
        <f t="shared" si="3"/>
        <v>-128.01179999999158</v>
      </c>
      <c r="K131" s="7">
        <f>2*G131*'Method Notes'!$B$8</f>
        <v>1.218</v>
      </c>
      <c r="L131" s="7">
        <f>2*G131*'Method Notes'!$B$9</f>
        <v>0.34800000000000003</v>
      </c>
      <c r="M131" s="7">
        <f t="shared" si="4"/>
        <v>1.5660000000000001</v>
      </c>
      <c r="N131" s="7">
        <f t="shared" si="5"/>
        <v>-129.57779999999158</v>
      </c>
      <c r="O131" s="7">
        <v>589.37282988150002</v>
      </c>
      <c r="P131" s="7">
        <v>585.79582206589998</v>
      </c>
      <c r="Q131" s="7">
        <v>586.61903047819999</v>
      </c>
      <c r="R131" s="7">
        <v>589.74230591610001</v>
      </c>
      <c r="S131" s="7">
        <v>585.42658967600005</v>
      </c>
      <c r="T131" s="7">
        <v>586.60374116269998</v>
      </c>
      <c r="U131" t="s">
        <v>88</v>
      </c>
    </row>
    <row r="132" spans="1:21">
      <c r="A132" t="s">
        <v>87</v>
      </c>
      <c r="B132">
        <v>31</v>
      </c>
      <c r="C132" s="10">
        <v>45807</v>
      </c>
      <c r="D132" s="11">
        <v>45807.520833333336</v>
      </c>
      <c r="E132" s="11">
        <v>45807.5625</v>
      </c>
      <c r="F132">
        <v>-1</v>
      </c>
      <c r="G132">
        <v>175</v>
      </c>
      <c r="H132" s="7">
        <v>581.75239999999997</v>
      </c>
      <c r="I132" s="7">
        <v>582.54790000000003</v>
      </c>
      <c r="J132" s="7">
        <f t="shared" si="3"/>
        <v>-139.21250000001066</v>
      </c>
      <c r="K132" s="7">
        <f>2*G132*'Method Notes'!$B$8</f>
        <v>1.2250000000000001</v>
      </c>
      <c r="L132" s="7">
        <f>2*G132*'Method Notes'!$B$9</f>
        <v>0.35000000000000003</v>
      </c>
      <c r="M132" s="7">
        <f t="shared" si="4"/>
        <v>1.5750000000000002</v>
      </c>
      <c r="N132" s="7">
        <f t="shared" si="5"/>
        <v>-140.78750000001065</v>
      </c>
      <c r="O132" s="7">
        <v>588.35674346400003</v>
      </c>
      <c r="P132" s="7">
        <v>582.40361241820005</v>
      </c>
      <c r="Q132" s="7">
        <v>584.2875594546</v>
      </c>
      <c r="R132" s="7">
        <v>589.3583065862</v>
      </c>
      <c r="S132" s="7">
        <v>581.40651300720003</v>
      </c>
      <c r="T132" s="7">
        <v>583.31614697839996</v>
      </c>
      <c r="U132" t="s">
        <v>88</v>
      </c>
    </row>
    <row r="133" spans="1:21">
      <c r="A133" t="s">
        <v>87</v>
      </c>
      <c r="B133">
        <v>32</v>
      </c>
      <c r="C133" s="10">
        <v>45810</v>
      </c>
      <c r="D133" s="11">
        <v>45810.645833333336</v>
      </c>
      <c r="E133" s="11">
        <v>45810.666666666664</v>
      </c>
      <c r="F133">
        <v>1</v>
      </c>
      <c r="G133">
        <v>175</v>
      </c>
      <c r="H133" s="7">
        <v>588.93119999999999</v>
      </c>
      <c r="I133" s="7">
        <v>589.32889999999998</v>
      </c>
      <c r="J133" s="7">
        <f t="shared" si="3"/>
        <v>69.597499999997581</v>
      </c>
      <c r="K133" s="7">
        <f>2*G133*'Method Notes'!$B$8</f>
        <v>1.2250000000000001</v>
      </c>
      <c r="L133" s="7">
        <f>2*G133*'Method Notes'!$B$9</f>
        <v>0.35000000000000003</v>
      </c>
      <c r="M133" s="7">
        <f t="shared" si="4"/>
        <v>1.5750000000000002</v>
      </c>
      <c r="N133" s="7">
        <f t="shared" si="5"/>
        <v>68.022499999997578</v>
      </c>
      <c r="O133" s="7">
        <v>588.84359245749999</v>
      </c>
      <c r="P133" s="7">
        <v>580.18392646799998</v>
      </c>
      <c r="Q133" s="7">
        <v>585.97825452560005</v>
      </c>
      <c r="R133" s="7">
        <v>588.80063775830001</v>
      </c>
      <c r="S133" s="7">
        <v>580.22665817250004</v>
      </c>
      <c r="T133" s="7">
        <v>586.67392263349996</v>
      </c>
      <c r="U133" t="s">
        <v>85</v>
      </c>
    </row>
    <row r="134" spans="1:21">
      <c r="A134" t="s">
        <v>87</v>
      </c>
      <c r="B134">
        <v>33</v>
      </c>
      <c r="C134" s="10">
        <v>45811</v>
      </c>
      <c r="D134" s="11">
        <v>45811.4375</v>
      </c>
      <c r="E134" s="11">
        <v>45811.666666666664</v>
      </c>
      <c r="F134">
        <v>1</v>
      </c>
      <c r="G134">
        <v>173</v>
      </c>
      <c r="H134" s="7">
        <v>590.44749999999999</v>
      </c>
      <c r="I134" s="7">
        <v>592.68960000000004</v>
      </c>
      <c r="J134" s="7">
        <f t="shared" si="3"/>
        <v>387.88330000000872</v>
      </c>
      <c r="K134" s="7">
        <f>2*G134*'Method Notes'!$B$8</f>
        <v>1.2110000000000001</v>
      </c>
      <c r="L134" s="7">
        <f>2*G134*'Method Notes'!$B$9</f>
        <v>0.34600000000000003</v>
      </c>
      <c r="M134" s="7">
        <f t="shared" si="4"/>
        <v>1.5570000000000002</v>
      </c>
      <c r="N134" s="7">
        <f t="shared" si="5"/>
        <v>386.3263000000087</v>
      </c>
      <c r="O134" s="7">
        <v>590.2985131575</v>
      </c>
      <c r="P134" s="7">
        <v>588.14074641119998</v>
      </c>
      <c r="Q134" s="7">
        <v>589.72069426890005</v>
      </c>
      <c r="R134" s="7">
        <v>592.27797279260005</v>
      </c>
      <c r="S134" s="7">
        <v>586.16202068220002</v>
      </c>
      <c r="T134" s="7">
        <v>592.04488410240003</v>
      </c>
      <c r="U134" t="s">
        <v>85</v>
      </c>
    </row>
    <row r="135" spans="1:21">
      <c r="A135" t="s">
        <v>87</v>
      </c>
      <c r="B135">
        <v>34</v>
      </c>
      <c r="C135" s="10">
        <v>45813</v>
      </c>
      <c r="D135" s="11">
        <v>45813.458333333336</v>
      </c>
      <c r="E135" s="11">
        <v>45813.541666666664</v>
      </c>
      <c r="F135">
        <v>1</v>
      </c>
      <c r="G135">
        <v>173</v>
      </c>
      <c r="H135" s="7">
        <v>593.95240000000001</v>
      </c>
      <c r="I135" s="7">
        <v>591.28769999999997</v>
      </c>
      <c r="J135" s="7">
        <f t="shared" ref="J135:J198" si="6">F135*G135*(I135-H135)</f>
        <v>-460.99310000000673</v>
      </c>
      <c r="K135" s="7">
        <f>2*G135*'Method Notes'!$B$8</f>
        <v>1.2110000000000001</v>
      </c>
      <c r="L135" s="7">
        <f>2*G135*'Method Notes'!$B$9</f>
        <v>0.34600000000000003</v>
      </c>
      <c r="M135" s="7">
        <f t="shared" ref="M135:M198" si="7">K135+L135</f>
        <v>1.5570000000000002</v>
      </c>
      <c r="N135" s="7">
        <f t="shared" ref="N135:N198" si="8">J135-M135</f>
        <v>-462.55010000000675</v>
      </c>
      <c r="O135" s="7">
        <v>593.55211580340006</v>
      </c>
      <c r="P135" s="7">
        <v>589.84116444890003</v>
      </c>
      <c r="Q135" s="7">
        <v>592.55999709440005</v>
      </c>
      <c r="R135" s="7">
        <v>594.80696854969995</v>
      </c>
      <c r="S135" s="7">
        <v>588.58984882979996</v>
      </c>
      <c r="T135" s="7">
        <v>593.11243623739995</v>
      </c>
      <c r="U135" t="s">
        <v>88</v>
      </c>
    </row>
    <row r="136" spans="1:21">
      <c r="A136" t="s">
        <v>87</v>
      </c>
      <c r="B136">
        <v>35</v>
      </c>
      <c r="C136" s="10">
        <v>45819</v>
      </c>
      <c r="D136" s="11">
        <v>45819.604166666664</v>
      </c>
      <c r="E136" s="11">
        <v>45819.625</v>
      </c>
      <c r="F136">
        <v>-1</v>
      </c>
      <c r="G136">
        <v>170</v>
      </c>
      <c r="H136" s="7">
        <v>597.15409999999997</v>
      </c>
      <c r="I136" s="7">
        <v>597.31309999999996</v>
      </c>
      <c r="J136" s="7">
        <f t="shared" si="6"/>
        <v>-27.029999999998608</v>
      </c>
      <c r="K136" s="7">
        <f>2*G136*'Method Notes'!$B$8</f>
        <v>1.19</v>
      </c>
      <c r="L136" s="7">
        <f>2*G136*'Method Notes'!$B$9</f>
        <v>0.34</v>
      </c>
      <c r="M136" s="7">
        <f t="shared" si="7"/>
        <v>1.53</v>
      </c>
      <c r="N136" s="7">
        <f t="shared" si="8"/>
        <v>-28.55999999999861</v>
      </c>
      <c r="O136" s="7">
        <v>602.5781638126</v>
      </c>
      <c r="P136" s="7">
        <v>597.25031683079999</v>
      </c>
      <c r="Q136" s="7">
        <v>599.63917396229999</v>
      </c>
      <c r="R136" s="7">
        <v>602.75581572349995</v>
      </c>
      <c r="S136" s="7">
        <v>597.07282691770001</v>
      </c>
      <c r="T136" s="7">
        <v>599.34701762530005</v>
      </c>
      <c r="U136" t="s">
        <v>88</v>
      </c>
    </row>
    <row r="137" spans="1:21">
      <c r="A137" t="s">
        <v>87</v>
      </c>
      <c r="B137">
        <v>36</v>
      </c>
      <c r="C137" s="10">
        <v>45821</v>
      </c>
      <c r="D137" s="11">
        <v>45821.4375</v>
      </c>
      <c r="E137" s="11">
        <v>45821.458333333336</v>
      </c>
      <c r="F137">
        <v>-1</v>
      </c>
      <c r="G137">
        <v>171</v>
      </c>
      <c r="H137" s="7">
        <v>593.44529999999997</v>
      </c>
      <c r="I137" s="7">
        <v>595.78689999999995</v>
      </c>
      <c r="J137" s="7">
        <f t="shared" si="6"/>
        <v>-400.41359999999509</v>
      </c>
      <c r="K137" s="7">
        <f>2*G137*'Method Notes'!$B$8</f>
        <v>1.1970000000000001</v>
      </c>
      <c r="L137" s="7">
        <f>2*G137*'Method Notes'!$B$9</f>
        <v>0.34200000000000003</v>
      </c>
      <c r="M137" s="7">
        <f t="shared" si="7"/>
        <v>1.5390000000000001</v>
      </c>
      <c r="N137" s="7">
        <f t="shared" si="8"/>
        <v>-401.95259999999507</v>
      </c>
      <c r="O137" s="7">
        <v>601.6168954044</v>
      </c>
      <c r="P137" s="7">
        <v>594.06389766480004</v>
      </c>
      <c r="Q137" s="7">
        <v>594.61821508929995</v>
      </c>
      <c r="R137" s="7">
        <v>601.68618907330006</v>
      </c>
      <c r="S137" s="7">
        <v>593.99517438479995</v>
      </c>
      <c r="T137" s="7">
        <v>594.93785695509996</v>
      </c>
      <c r="U137" t="s">
        <v>88</v>
      </c>
    </row>
    <row r="138" spans="1:21">
      <c r="A138" t="s">
        <v>87</v>
      </c>
      <c r="B138">
        <v>37</v>
      </c>
      <c r="C138" s="10">
        <v>45825</v>
      </c>
      <c r="D138" s="11">
        <v>45825.5625</v>
      </c>
      <c r="E138" s="11">
        <v>45825.666666666664</v>
      </c>
      <c r="F138">
        <v>-1</v>
      </c>
      <c r="G138">
        <v>170</v>
      </c>
      <c r="H138" s="7">
        <v>595.39409999999998</v>
      </c>
      <c r="I138" s="7">
        <v>594.12149999999997</v>
      </c>
      <c r="J138" s="7">
        <f t="shared" si="6"/>
        <v>216.34200000000192</v>
      </c>
      <c r="K138" s="7">
        <f>2*G138*'Method Notes'!$B$8</f>
        <v>1.19</v>
      </c>
      <c r="L138" s="7">
        <f>2*G138*'Method Notes'!$B$9</f>
        <v>0.34</v>
      </c>
      <c r="M138" s="7">
        <f t="shared" si="7"/>
        <v>1.53</v>
      </c>
      <c r="N138" s="7">
        <f t="shared" si="8"/>
        <v>214.81200000000192</v>
      </c>
      <c r="O138" s="7">
        <v>600.93697833440001</v>
      </c>
      <c r="P138" s="7">
        <v>595.87117473629996</v>
      </c>
      <c r="Q138" s="7">
        <v>596.99869615959994</v>
      </c>
      <c r="R138" s="7">
        <v>601.41166152760002</v>
      </c>
      <c r="S138" s="7">
        <v>595.39782249619998</v>
      </c>
      <c r="T138" s="7">
        <v>595.61994164580005</v>
      </c>
      <c r="U138" t="s">
        <v>85</v>
      </c>
    </row>
    <row r="139" spans="1:21">
      <c r="A139" t="s">
        <v>87</v>
      </c>
      <c r="B139">
        <v>38</v>
      </c>
      <c r="C139" s="10">
        <v>45826</v>
      </c>
      <c r="D139" s="11">
        <v>45826.4375</v>
      </c>
      <c r="E139" s="11">
        <v>45826.479166666664</v>
      </c>
      <c r="F139">
        <v>1</v>
      </c>
      <c r="G139">
        <v>171</v>
      </c>
      <c r="H139" s="7">
        <v>597.31510000000003</v>
      </c>
      <c r="I139" s="7">
        <v>596.71659999999997</v>
      </c>
      <c r="J139" s="7">
        <f t="shared" si="6"/>
        <v>-102.34350000000995</v>
      </c>
      <c r="K139" s="7">
        <f>2*G139*'Method Notes'!$B$8</f>
        <v>1.1970000000000001</v>
      </c>
      <c r="L139" s="7">
        <f>2*G139*'Method Notes'!$B$9</f>
        <v>0.34200000000000003</v>
      </c>
      <c r="M139" s="7">
        <f t="shared" si="7"/>
        <v>1.5390000000000001</v>
      </c>
      <c r="N139" s="7">
        <f t="shared" si="8"/>
        <v>-103.88250000000995</v>
      </c>
      <c r="O139" s="7">
        <v>597.0489628194</v>
      </c>
      <c r="P139" s="7">
        <v>592.83578282359997</v>
      </c>
      <c r="Q139" s="7">
        <v>596.46294557420003</v>
      </c>
      <c r="R139" s="7">
        <v>597.10192133880003</v>
      </c>
      <c r="S139" s="7">
        <v>592.78296998099995</v>
      </c>
      <c r="T139" s="7">
        <v>596.67613795670002</v>
      </c>
      <c r="U139" t="s">
        <v>88</v>
      </c>
    </row>
    <row r="140" spans="1:21">
      <c r="A140" t="s">
        <v>87</v>
      </c>
      <c r="B140">
        <v>39</v>
      </c>
      <c r="C140" s="10">
        <v>45828</v>
      </c>
      <c r="D140" s="11">
        <v>45828.458333333336</v>
      </c>
      <c r="E140" s="11">
        <v>45828.479166666664</v>
      </c>
      <c r="F140">
        <v>-1</v>
      </c>
      <c r="G140">
        <v>171</v>
      </c>
      <c r="H140" s="7">
        <v>592.59699999999998</v>
      </c>
      <c r="I140" s="7">
        <v>593.46950000000004</v>
      </c>
      <c r="J140" s="7">
        <f t="shared" si="6"/>
        <v>-149.19750000001011</v>
      </c>
      <c r="K140" s="7">
        <f>2*G140*'Method Notes'!$B$8</f>
        <v>1.1970000000000001</v>
      </c>
      <c r="L140" s="7">
        <f>2*G140*'Method Notes'!$B$9</f>
        <v>0.34200000000000003</v>
      </c>
      <c r="M140" s="7">
        <f t="shared" si="7"/>
        <v>1.5390000000000001</v>
      </c>
      <c r="N140" s="7">
        <f t="shared" si="8"/>
        <v>-150.7365000000101</v>
      </c>
      <c r="O140" s="7">
        <v>596.92555170599996</v>
      </c>
      <c r="P140" s="7">
        <v>592.70833919580002</v>
      </c>
      <c r="Q140" s="7">
        <v>594.42711123890001</v>
      </c>
      <c r="R140" s="7">
        <v>596.9743849404</v>
      </c>
      <c r="S140" s="7">
        <v>592.65963444010004</v>
      </c>
      <c r="T140" s="7">
        <v>594.2485326446</v>
      </c>
      <c r="U140" t="s">
        <v>88</v>
      </c>
    </row>
    <row r="141" spans="1:21">
      <c r="A141" t="s">
        <v>87</v>
      </c>
      <c r="B141">
        <v>40</v>
      </c>
      <c r="C141" s="10">
        <v>45828</v>
      </c>
      <c r="D141" s="11">
        <v>45828.5625</v>
      </c>
      <c r="E141" s="11">
        <v>45828.583333333336</v>
      </c>
      <c r="F141">
        <v>-1</v>
      </c>
      <c r="G141">
        <v>171</v>
      </c>
      <c r="H141" s="7">
        <v>591.71939999999995</v>
      </c>
      <c r="I141" s="7">
        <v>592.34770000000003</v>
      </c>
      <c r="J141" s="7">
        <f t="shared" si="6"/>
        <v>-107.43930000001387</v>
      </c>
      <c r="K141" s="7">
        <f>2*G141*'Method Notes'!$B$8</f>
        <v>1.1970000000000001</v>
      </c>
      <c r="L141" s="7">
        <f>2*G141*'Method Notes'!$B$9</f>
        <v>0.34200000000000003</v>
      </c>
      <c r="M141" s="7">
        <f t="shared" si="7"/>
        <v>1.5390000000000001</v>
      </c>
      <c r="N141" s="7">
        <f t="shared" si="8"/>
        <v>-108.97830000001387</v>
      </c>
      <c r="O141" s="7">
        <v>597.29381869830002</v>
      </c>
      <c r="P141" s="7">
        <v>592.34104110149997</v>
      </c>
      <c r="Q141" s="7">
        <v>593.76520741360002</v>
      </c>
      <c r="R141" s="7">
        <v>597.31582136580005</v>
      </c>
      <c r="S141" s="7">
        <v>592.31909632240001</v>
      </c>
      <c r="T141" s="7">
        <v>593.62778684950001</v>
      </c>
      <c r="U141" t="s">
        <v>88</v>
      </c>
    </row>
    <row r="142" spans="1:21">
      <c r="A142" t="s">
        <v>87</v>
      </c>
      <c r="B142">
        <v>41</v>
      </c>
      <c r="C142" s="10">
        <v>45828</v>
      </c>
      <c r="D142" s="11">
        <v>45828.625</v>
      </c>
      <c r="E142" s="11">
        <v>45828.645833333336</v>
      </c>
      <c r="F142">
        <v>-1</v>
      </c>
      <c r="G142">
        <v>171</v>
      </c>
      <c r="H142" s="7">
        <v>591.84910000000002</v>
      </c>
      <c r="I142" s="7">
        <v>591.81920000000002</v>
      </c>
      <c r="J142" s="7">
        <f t="shared" si="6"/>
        <v>5.1128999999996267</v>
      </c>
      <c r="K142" s="7">
        <f>2*G142*'Method Notes'!$B$8</f>
        <v>1.1970000000000001</v>
      </c>
      <c r="L142" s="7">
        <f>2*G142*'Method Notes'!$B$9</f>
        <v>0.34200000000000003</v>
      </c>
      <c r="M142" s="7">
        <f t="shared" si="7"/>
        <v>1.5390000000000001</v>
      </c>
      <c r="N142" s="7">
        <f t="shared" si="8"/>
        <v>3.5738999999996266</v>
      </c>
      <c r="O142" s="7">
        <v>597.68927361960004</v>
      </c>
      <c r="P142" s="7">
        <v>591.94662660879999</v>
      </c>
      <c r="Q142" s="7">
        <v>593.49381483499997</v>
      </c>
      <c r="R142" s="7">
        <v>598.02331733840003</v>
      </c>
      <c r="S142" s="7">
        <v>591.61346174769994</v>
      </c>
      <c r="T142" s="7">
        <v>593.35774411199998</v>
      </c>
      <c r="U142" t="s">
        <v>88</v>
      </c>
    </row>
    <row r="143" spans="1:21">
      <c r="A143" t="s">
        <v>87</v>
      </c>
      <c r="B143">
        <v>42</v>
      </c>
      <c r="C143" s="10">
        <v>45831</v>
      </c>
      <c r="D143" s="11">
        <v>45831.645833333336</v>
      </c>
      <c r="E143" s="11">
        <v>45831.666666666664</v>
      </c>
      <c r="F143">
        <v>1</v>
      </c>
      <c r="G143">
        <v>170</v>
      </c>
      <c r="H143" s="7">
        <v>597.56320000000005</v>
      </c>
      <c r="I143" s="7">
        <v>598.49069999999995</v>
      </c>
      <c r="J143" s="7">
        <f t="shared" si="6"/>
        <v>157.67499999998222</v>
      </c>
      <c r="K143" s="7">
        <f>2*G143*'Method Notes'!$B$8</f>
        <v>1.19</v>
      </c>
      <c r="L143" s="7">
        <f>2*G143*'Method Notes'!$B$9</f>
        <v>0.34</v>
      </c>
      <c r="M143" s="7">
        <f t="shared" si="7"/>
        <v>1.53</v>
      </c>
      <c r="N143" s="7">
        <f t="shared" si="8"/>
        <v>156.14499999998222</v>
      </c>
      <c r="O143" s="7">
        <v>597.56149673770005</v>
      </c>
      <c r="P143" s="7">
        <v>590.18549173279996</v>
      </c>
      <c r="Q143" s="7">
        <v>595.07835826849998</v>
      </c>
      <c r="R143" s="7">
        <v>597.39279335549998</v>
      </c>
      <c r="S143" s="7">
        <v>590.35349682859999</v>
      </c>
      <c r="T143" s="7">
        <v>595.61287413390005</v>
      </c>
      <c r="U143" t="s">
        <v>85</v>
      </c>
    </row>
    <row r="144" spans="1:21">
      <c r="A144" t="s">
        <v>87</v>
      </c>
      <c r="B144">
        <v>43</v>
      </c>
      <c r="C144" s="10">
        <v>45832</v>
      </c>
      <c r="D144" s="11">
        <v>45832.479166666664</v>
      </c>
      <c r="E144" s="11">
        <v>45832.666666666664</v>
      </c>
      <c r="F144">
        <v>1</v>
      </c>
      <c r="G144">
        <v>168</v>
      </c>
      <c r="H144" s="7">
        <v>604.10509999999999</v>
      </c>
      <c r="I144" s="7">
        <v>605.10239999999999</v>
      </c>
      <c r="J144" s="7">
        <f t="shared" si="6"/>
        <v>167.54639999999927</v>
      </c>
      <c r="K144" s="7">
        <f>2*G144*'Method Notes'!$B$8</f>
        <v>1.1759999999999999</v>
      </c>
      <c r="L144" s="7">
        <f>2*G144*'Method Notes'!$B$9</f>
        <v>0.33600000000000002</v>
      </c>
      <c r="M144" s="7">
        <f t="shared" si="7"/>
        <v>1.512</v>
      </c>
      <c r="N144" s="7">
        <f t="shared" si="8"/>
        <v>166.03439999999927</v>
      </c>
      <c r="O144" s="7">
        <v>603.49880293959995</v>
      </c>
      <c r="P144" s="7">
        <v>597.21005581559996</v>
      </c>
      <c r="Q144" s="7">
        <v>602.91799702059996</v>
      </c>
      <c r="R144" s="7">
        <v>604.30751786760004</v>
      </c>
      <c r="S144" s="7">
        <v>596.40633611429996</v>
      </c>
      <c r="T144" s="7">
        <v>604.30846066610002</v>
      </c>
      <c r="U144" t="s">
        <v>85</v>
      </c>
    </row>
    <row r="145" spans="1:21">
      <c r="A145" t="s">
        <v>87</v>
      </c>
      <c r="B145">
        <v>44</v>
      </c>
      <c r="C145" s="10">
        <v>45834</v>
      </c>
      <c r="D145" s="11">
        <v>45834.520833333336</v>
      </c>
      <c r="E145" s="11">
        <v>45834.666666666664</v>
      </c>
      <c r="F145">
        <v>1</v>
      </c>
      <c r="G145">
        <v>167</v>
      </c>
      <c r="H145" s="7">
        <v>609.20100000000002</v>
      </c>
      <c r="I145" s="7">
        <v>610.17819999999995</v>
      </c>
      <c r="J145" s="7">
        <f t="shared" si="6"/>
        <v>163.19239999998752</v>
      </c>
      <c r="K145" s="7">
        <f>2*G145*'Method Notes'!$B$8</f>
        <v>1.169</v>
      </c>
      <c r="L145" s="7">
        <f>2*G145*'Method Notes'!$B$9</f>
        <v>0.33400000000000002</v>
      </c>
      <c r="M145" s="7">
        <f t="shared" si="7"/>
        <v>1.5030000000000001</v>
      </c>
      <c r="N145" s="7">
        <f t="shared" si="8"/>
        <v>161.68939999998753</v>
      </c>
      <c r="O145" s="7">
        <v>609.0937288033</v>
      </c>
      <c r="P145" s="7">
        <v>603.88844247580005</v>
      </c>
      <c r="Q145" s="7">
        <v>608.32328420600004</v>
      </c>
      <c r="R145" s="7">
        <v>609.61125469030003</v>
      </c>
      <c r="S145" s="7">
        <v>603.37270052199995</v>
      </c>
      <c r="T145" s="7">
        <v>609.28205231530001</v>
      </c>
      <c r="U145" t="s">
        <v>85</v>
      </c>
    </row>
    <row r="146" spans="1:21">
      <c r="A146" t="s">
        <v>87</v>
      </c>
      <c r="B146">
        <v>45</v>
      </c>
      <c r="C146" s="10">
        <v>45835</v>
      </c>
      <c r="D146" s="11">
        <v>45835.5</v>
      </c>
      <c r="E146" s="11">
        <v>45835.541666666664</v>
      </c>
      <c r="F146">
        <v>1</v>
      </c>
      <c r="G146">
        <v>166</v>
      </c>
      <c r="H146" s="7">
        <v>614.19709999999998</v>
      </c>
      <c r="I146" s="7">
        <v>614.24199999999996</v>
      </c>
      <c r="J146" s="7">
        <f t="shared" si="6"/>
        <v>7.453399999997373</v>
      </c>
      <c r="K146" s="7">
        <f>2*G146*'Method Notes'!$B$8</f>
        <v>1.1619999999999999</v>
      </c>
      <c r="L146" s="7">
        <f>2*G146*'Method Notes'!$B$9</f>
        <v>0.33200000000000002</v>
      </c>
      <c r="M146" s="7">
        <f t="shared" si="7"/>
        <v>1.494</v>
      </c>
      <c r="N146" s="7">
        <f t="shared" si="8"/>
        <v>5.9593999999973732</v>
      </c>
      <c r="O146" s="7">
        <v>613.93466185320005</v>
      </c>
      <c r="P146" s="7">
        <v>608.99970761459997</v>
      </c>
      <c r="Q146" s="7">
        <v>613.25316714439998</v>
      </c>
      <c r="R146" s="7">
        <v>614.43449806499996</v>
      </c>
      <c r="S146" s="7">
        <v>608.50197026210003</v>
      </c>
      <c r="T146" s="7">
        <v>613.48887903479999</v>
      </c>
      <c r="U146" t="s">
        <v>88</v>
      </c>
    </row>
    <row r="147" spans="1:21">
      <c r="A147" t="s">
        <v>87</v>
      </c>
      <c r="B147">
        <v>46</v>
      </c>
      <c r="C147" s="10">
        <v>45840</v>
      </c>
      <c r="D147" s="11">
        <v>45840.4375</v>
      </c>
      <c r="E147" s="11">
        <v>45840.625</v>
      </c>
      <c r="F147">
        <v>1</v>
      </c>
      <c r="G147">
        <v>165</v>
      </c>
      <c r="H147" s="7">
        <v>616.93949999999995</v>
      </c>
      <c r="I147" s="7">
        <v>618.13400000000001</v>
      </c>
      <c r="J147" s="7">
        <f t="shared" si="6"/>
        <v>197.0925000000102</v>
      </c>
      <c r="K147" s="7">
        <f>2*G147*'Method Notes'!$B$8</f>
        <v>1.155</v>
      </c>
      <c r="L147" s="7">
        <f>2*G147*'Method Notes'!$B$9</f>
        <v>0.33</v>
      </c>
      <c r="M147" s="7">
        <f t="shared" si="7"/>
        <v>1.4850000000000001</v>
      </c>
      <c r="N147" s="7">
        <f t="shared" si="8"/>
        <v>195.60750000001019</v>
      </c>
      <c r="O147" s="7">
        <v>616.83306457790002</v>
      </c>
      <c r="P147" s="7">
        <v>614.70284019630003</v>
      </c>
      <c r="Q147" s="7">
        <v>616.26159339150001</v>
      </c>
      <c r="R147" s="7">
        <v>618.14230572199995</v>
      </c>
      <c r="S147" s="7">
        <v>613.39434088339999</v>
      </c>
      <c r="T147" s="7">
        <v>617.18764718989996</v>
      </c>
      <c r="U147" t="s">
        <v>88</v>
      </c>
    </row>
    <row r="148" spans="1:21">
      <c r="A148" t="s">
        <v>87</v>
      </c>
      <c r="B148">
        <v>47</v>
      </c>
      <c r="C148" s="10">
        <v>45841</v>
      </c>
      <c r="D148" s="11">
        <v>45841.458333333336</v>
      </c>
      <c r="E148" s="11">
        <v>45841.541666666664</v>
      </c>
      <c r="F148">
        <v>1</v>
      </c>
      <c r="G148">
        <v>164</v>
      </c>
      <c r="H148" s="7">
        <v>623.5711</v>
      </c>
      <c r="I148" s="7">
        <v>623.61099999999999</v>
      </c>
      <c r="J148" s="7">
        <f t="shared" si="6"/>
        <v>6.5435999999981505</v>
      </c>
      <c r="K148" s="7">
        <f>2*G148*'Method Notes'!$B$8</f>
        <v>1.1480000000000001</v>
      </c>
      <c r="L148" s="7">
        <f>2*G148*'Method Notes'!$B$9</f>
        <v>0.32800000000000001</v>
      </c>
      <c r="M148" s="7">
        <f t="shared" si="7"/>
        <v>1.4760000000000002</v>
      </c>
      <c r="N148" s="7">
        <f t="shared" si="8"/>
        <v>5.0675999999981505</v>
      </c>
      <c r="O148" s="7">
        <v>623.55998768469999</v>
      </c>
      <c r="P148" s="7">
        <v>617.69476304010004</v>
      </c>
      <c r="Q148" s="7">
        <v>622.96996815770001</v>
      </c>
      <c r="R148" s="7">
        <v>624.04862359039998</v>
      </c>
      <c r="S148" s="7">
        <v>617.20909389220003</v>
      </c>
      <c r="T148" s="7">
        <v>623.44028029260005</v>
      </c>
      <c r="U148" t="s">
        <v>85</v>
      </c>
    </row>
    <row r="149" spans="1:21">
      <c r="A149" t="s">
        <v>87</v>
      </c>
      <c r="B149">
        <v>48</v>
      </c>
      <c r="C149" s="10">
        <v>45845</v>
      </c>
      <c r="D149" s="11">
        <v>45845.458333333336</v>
      </c>
      <c r="E149" s="11">
        <v>45845.666666666664</v>
      </c>
      <c r="F149">
        <v>-1</v>
      </c>
      <c r="G149">
        <v>164</v>
      </c>
      <c r="H149" s="7">
        <v>620.37990000000002</v>
      </c>
      <c r="I149" s="7">
        <v>618.96389999999997</v>
      </c>
      <c r="J149" s="7">
        <f t="shared" si="6"/>
        <v>232.2240000000088</v>
      </c>
      <c r="K149" s="7">
        <f>2*G149*'Method Notes'!$B$8</f>
        <v>1.1480000000000001</v>
      </c>
      <c r="L149" s="7">
        <f>2*G149*'Method Notes'!$B$9</f>
        <v>0.32800000000000001</v>
      </c>
      <c r="M149" s="7">
        <f t="shared" si="7"/>
        <v>1.4760000000000002</v>
      </c>
      <c r="N149" s="7">
        <f t="shared" si="8"/>
        <v>230.7480000000088</v>
      </c>
      <c r="O149" s="7">
        <v>624.5943417551</v>
      </c>
      <c r="P149" s="7">
        <v>620.8951943971</v>
      </c>
      <c r="Q149" s="7">
        <v>621.25774506760001</v>
      </c>
      <c r="R149" s="7">
        <v>625.67822695159998</v>
      </c>
      <c r="S149" s="7">
        <v>619.81432511529999</v>
      </c>
      <c r="T149" s="7">
        <v>619.00166425290001</v>
      </c>
      <c r="U149" t="s">
        <v>85</v>
      </c>
    </row>
    <row r="150" spans="1:21">
      <c r="A150" t="s">
        <v>87</v>
      </c>
      <c r="B150">
        <v>49</v>
      </c>
      <c r="C150" s="10">
        <v>45848</v>
      </c>
      <c r="D150" s="11">
        <v>45848.479166666664</v>
      </c>
      <c r="E150" s="11">
        <v>45848.520833333336</v>
      </c>
      <c r="F150">
        <v>1</v>
      </c>
      <c r="G150">
        <v>164</v>
      </c>
      <c r="H150" s="7">
        <v>623.78060000000005</v>
      </c>
      <c r="I150" s="7">
        <v>623.84040000000005</v>
      </c>
      <c r="J150" s="7">
        <f t="shared" si="6"/>
        <v>9.807199999999284</v>
      </c>
      <c r="K150" s="7">
        <f>2*G150*'Method Notes'!$B$8</f>
        <v>1.1480000000000001</v>
      </c>
      <c r="L150" s="7">
        <f>2*G150*'Method Notes'!$B$9</f>
        <v>0.32800000000000001</v>
      </c>
      <c r="M150" s="7">
        <f t="shared" si="7"/>
        <v>1.4760000000000002</v>
      </c>
      <c r="N150" s="7">
        <f t="shared" si="8"/>
        <v>8.3311999999992832</v>
      </c>
      <c r="O150" s="7">
        <v>623.44597228309999</v>
      </c>
      <c r="P150" s="7">
        <v>620.5262743257</v>
      </c>
      <c r="Q150" s="7">
        <v>622.47535658499999</v>
      </c>
      <c r="R150" s="7">
        <v>623.98888160050001</v>
      </c>
      <c r="S150" s="7">
        <v>619.9839739263</v>
      </c>
      <c r="T150" s="7">
        <v>622.77349170269997</v>
      </c>
      <c r="U150" t="s">
        <v>88</v>
      </c>
    </row>
    <row r="151" spans="1:21">
      <c r="A151" t="s">
        <v>87</v>
      </c>
      <c r="B151">
        <v>50</v>
      </c>
      <c r="C151" s="10">
        <v>45848</v>
      </c>
      <c r="D151" s="11">
        <v>45848.5625</v>
      </c>
      <c r="E151" s="11">
        <v>45848.645833333336</v>
      </c>
      <c r="F151">
        <v>1</v>
      </c>
      <c r="G151">
        <v>164</v>
      </c>
      <c r="H151" s="7">
        <v>624.35889999999995</v>
      </c>
      <c r="I151" s="7">
        <v>624.48850000000004</v>
      </c>
      <c r="J151" s="7">
        <f t="shared" si="6"/>
        <v>21.254400000015721</v>
      </c>
      <c r="K151" s="7">
        <f>2*G151*'Method Notes'!$B$8</f>
        <v>1.1480000000000001</v>
      </c>
      <c r="L151" s="7">
        <f>2*G151*'Method Notes'!$B$9</f>
        <v>0.32800000000000001</v>
      </c>
      <c r="M151" s="7">
        <f t="shared" si="7"/>
        <v>1.4760000000000002</v>
      </c>
      <c r="N151" s="7">
        <f t="shared" si="8"/>
        <v>19.778400000015722</v>
      </c>
      <c r="O151" s="7">
        <v>623.95787212740004</v>
      </c>
      <c r="P151" s="7">
        <v>620.01494861979995</v>
      </c>
      <c r="Q151" s="7">
        <v>622.98061964470003</v>
      </c>
      <c r="R151" s="7">
        <v>624.52648318419995</v>
      </c>
      <c r="S151" s="7">
        <v>619.44697530760004</v>
      </c>
      <c r="T151" s="7">
        <v>623.50548751509996</v>
      </c>
      <c r="U151" t="s">
        <v>88</v>
      </c>
    </row>
    <row r="152" spans="1:21">
      <c r="A152" t="s">
        <v>87</v>
      </c>
      <c r="B152">
        <v>51</v>
      </c>
      <c r="C152" s="10">
        <v>45853</v>
      </c>
      <c r="D152" s="11">
        <v>45853.541666666664</v>
      </c>
      <c r="E152" s="11">
        <v>45853.5625</v>
      </c>
      <c r="F152">
        <v>-1</v>
      </c>
      <c r="G152">
        <v>164</v>
      </c>
      <c r="H152" s="7">
        <v>621.447</v>
      </c>
      <c r="I152" s="7">
        <v>622.12509999999997</v>
      </c>
      <c r="J152" s="7">
        <f t="shared" si="6"/>
        <v>-111.20839999999544</v>
      </c>
      <c r="K152" s="7">
        <f>2*G152*'Method Notes'!$B$8</f>
        <v>1.1480000000000001</v>
      </c>
      <c r="L152" s="7">
        <f>2*G152*'Method Notes'!$B$9</f>
        <v>0.32800000000000001</v>
      </c>
      <c r="M152" s="7">
        <f t="shared" si="7"/>
        <v>1.4760000000000002</v>
      </c>
      <c r="N152" s="7">
        <f t="shared" si="8"/>
        <v>-112.68439999999543</v>
      </c>
      <c r="O152" s="7">
        <v>625.56275177290001</v>
      </c>
      <c r="P152" s="7">
        <v>621.49191392329999</v>
      </c>
      <c r="Q152" s="7">
        <v>622.99899845820005</v>
      </c>
      <c r="R152" s="7">
        <v>625.62725349970003</v>
      </c>
      <c r="S152" s="7">
        <v>621.42750395049995</v>
      </c>
      <c r="T152" s="7">
        <v>622.90586683619995</v>
      </c>
      <c r="U152" t="s">
        <v>88</v>
      </c>
    </row>
    <row r="153" spans="1:21">
      <c r="A153" t="s">
        <v>87</v>
      </c>
      <c r="B153">
        <v>52</v>
      </c>
      <c r="C153" s="10">
        <v>45854</v>
      </c>
      <c r="D153" s="11">
        <v>45854.625</v>
      </c>
      <c r="E153" s="11">
        <v>45854.666666666664</v>
      </c>
      <c r="F153">
        <v>1</v>
      </c>
      <c r="G153">
        <v>165</v>
      </c>
      <c r="H153" s="7">
        <v>622.60379999999998</v>
      </c>
      <c r="I153" s="7">
        <v>622.4941</v>
      </c>
      <c r="J153" s="7">
        <f t="shared" si="6"/>
        <v>-18.100499999995918</v>
      </c>
      <c r="K153" s="7">
        <f>2*G153*'Method Notes'!$B$8</f>
        <v>1.155</v>
      </c>
      <c r="L153" s="7">
        <f>2*G153*'Method Notes'!$B$9</f>
        <v>0.33</v>
      </c>
      <c r="M153" s="7">
        <f t="shared" si="7"/>
        <v>1.4850000000000001</v>
      </c>
      <c r="N153" s="7">
        <f t="shared" si="8"/>
        <v>-19.585499999995918</v>
      </c>
      <c r="O153" s="7">
        <v>622.30286872470003</v>
      </c>
      <c r="P153" s="7">
        <v>618.44730352850002</v>
      </c>
      <c r="Q153" s="7">
        <v>620.43848780810004</v>
      </c>
      <c r="R153" s="7">
        <v>622.05698436759997</v>
      </c>
      <c r="S153" s="7">
        <v>618.69315233580005</v>
      </c>
      <c r="T153" s="7">
        <v>620.72906325830002</v>
      </c>
      <c r="U153" t="s">
        <v>85</v>
      </c>
    </row>
    <row r="154" spans="1:21">
      <c r="A154" t="s">
        <v>87</v>
      </c>
      <c r="B154">
        <v>53</v>
      </c>
      <c r="C154" s="10">
        <v>45855</v>
      </c>
      <c r="D154" s="11">
        <v>45855.5</v>
      </c>
      <c r="E154" s="11">
        <v>45855.520833333336</v>
      </c>
      <c r="F154">
        <v>1</v>
      </c>
      <c r="G154">
        <v>164</v>
      </c>
      <c r="H154" s="7">
        <v>625.48080000000004</v>
      </c>
      <c r="I154" s="7">
        <v>625.1069</v>
      </c>
      <c r="J154" s="7">
        <f t="shared" si="6"/>
        <v>-61.319600000007995</v>
      </c>
      <c r="K154" s="7">
        <f>2*G154*'Method Notes'!$B$8</f>
        <v>1.1480000000000001</v>
      </c>
      <c r="L154" s="7">
        <f>2*G154*'Method Notes'!$B$9</f>
        <v>0.32800000000000001</v>
      </c>
      <c r="M154" s="7">
        <f t="shared" si="7"/>
        <v>1.4760000000000002</v>
      </c>
      <c r="N154" s="7">
        <f t="shared" si="8"/>
        <v>-62.795600000007994</v>
      </c>
      <c r="O154" s="7">
        <v>625.31235213590003</v>
      </c>
      <c r="P154" s="7">
        <v>621.32424000649996</v>
      </c>
      <c r="Q154" s="7">
        <v>624.41869644070005</v>
      </c>
      <c r="R154" s="7">
        <v>625.56203568390004</v>
      </c>
      <c r="S154" s="7">
        <v>621.0752147316</v>
      </c>
      <c r="T154" s="7">
        <v>624.51060359999997</v>
      </c>
      <c r="U154" t="s">
        <v>88</v>
      </c>
    </row>
    <row r="155" spans="1:21">
      <c r="A155" t="s">
        <v>87</v>
      </c>
      <c r="B155">
        <v>54</v>
      </c>
      <c r="C155" s="10">
        <v>45855</v>
      </c>
      <c r="D155" s="11">
        <v>45855.604166666664</v>
      </c>
      <c r="E155" s="11">
        <v>45855.666666666664</v>
      </c>
      <c r="F155">
        <v>1</v>
      </c>
      <c r="G155">
        <v>164</v>
      </c>
      <c r="H155" s="7">
        <v>626.10410000000002</v>
      </c>
      <c r="I155" s="7">
        <v>626.30349999999999</v>
      </c>
      <c r="J155" s="7">
        <f t="shared" si="6"/>
        <v>32.701599999994869</v>
      </c>
      <c r="K155" s="7">
        <f>2*G155*'Method Notes'!$B$8</f>
        <v>1.1480000000000001</v>
      </c>
      <c r="L155" s="7">
        <f>2*G155*'Method Notes'!$B$9</f>
        <v>0.32800000000000001</v>
      </c>
      <c r="M155" s="7">
        <f t="shared" si="7"/>
        <v>1.4760000000000002</v>
      </c>
      <c r="N155" s="7">
        <f t="shared" si="8"/>
        <v>31.22559999999487</v>
      </c>
      <c r="O155" s="7">
        <v>625.99905635990001</v>
      </c>
      <c r="P155" s="7">
        <v>620.63934623</v>
      </c>
      <c r="Q155" s="7">
        <v>624.82256470489995</v>
      </c>
      <c r="R155" s="7">
        <v>625.86952091579997</v>
      </c>
      <c r="S155" s="7">
        <v>620.76854016300001</v>
      </c>
      <c r="T155" s="7">
        <v>625.40575317540004</v>
      </c>
      <c r="U155" t="s">
        <v>85</v>
      </c>
    </row>
    <row r="156" spans="1:21">
      <c r="A156" t="s">
        <v>87</v>
      </c>
      <c r="B156">
        <v>55</v>
      </c>
      <c r="C156" s="10">
        <v>45856</v>
      </c>
      <c r="D156" s="11">
        <v>45856.4375</v>
      </c>
      <c r="E156" s="11">
        <v>45856.458333333336</v>
      </c>
      <c r="F156">
        <v>-1</v>
      </c>
      <c r="G156">
        <v>163</v>
      </c>
      <c r="H156" s="7">
        <v>625.64530000000002</v>
      </c>
      <c r="I156" s="7">
        <v>625.43589999999995</v>
      </c>
      <c r="J156" s="7">
        <f t="shared" si="6"/>
        <v>34.132200000011949</v>
      </c>
      <c r="K156" s="7">
        <f>2*G156*'Method Notes'!$B$8</f>
        <v>1.141</v>
      </c>
      <c r="L156" s="7">
        <f>2*G156*'Method Notes'!$B$9</f>
        <v>0.32600000000000001</v>
      </c>
      <c r="M156" s="7">
        <f t="shared" si="7"/>
        <v>1.4670000000000001</v>
      </c>
      <c r="N156" s="7">
        <f t="shared" si="8"/>
        <v>32.66520000001195</v>
      </c>
      <c r="O156" s="7">
        <v>628.04323011389999</v>
      </c>
      <c r="P156" s="7">
        <v>625.76150549390002</v>
      </c>
      <c r="Q156" s="7">
        <v>626.62694202299997</v>
      </c>
      <c r="R156" s="7">
        <v>628.46648010909996</v>
      </c>
      <c r="S156" s="7">
        <v>625.33906267500004</v>
      </c>
      <c r="T156" s="7">
        <v>626.37361205929994</v>
      </c>
      <c r="U156" t="s">
        <v>88</v>
      </c>
    </row>
    <row r="157" spans="1:21">
      <c r="A157" t="s">
        <v>87</v>
      </c>
      <c r="B157">
        <v>56</v>
      </c>
      <c r="C157" s="10">
        <v>45861</v>
      </c>
      <c r="D157" s="11">
        <v>45861.4375</v>
      </c>
      <c r="E157" s="11">
        <v>45861.458333333336</v>
      </c>
      <c r="F157">
        <v>1</v>
      </c>
      <c r="G157">
        <v>163</v>
      </c>
      <c r="H157" s="7">
        <v>628.99609999999996</v>
      </c>
      <c r="I157" s="7">
        <v>628.98609999999996</v>
      </c>
      <c r="J157" s="7">
        <f t="shared" si="6"/>
        <v>-1.6299999999985175</v>
      </c>
      <c r="K157" s="7">
        <f>2*G157*'Method Notes'!$B$8</f>
        <v>1.141</v>
      </c>
      <c r="L157" s="7">
        <f>2*G157*'Method Notes'!$B$9</f>
        <v>0.32600000000000001</v>
      </c>
      <c r="M157" s="7">
        <f t="shared" si="7"/>
        <v>1.4670000000000001</v>
      </c>
      <c r="N157" s="7">
        <f t="shared" si="8"/>
        <v>-3.0969999999985176</v>
      </c>
      <c r="O157" s="7">
        <v>628.88232014790003</v>
      </c>
      <c r="P157" s="7">
        <v>626.45833947530002</v>
      </c>
      <c r="Q157" s="7">
        <v>628.50008092079997</v>
      </c>
      <c r="R157" s="7">
        <v>629.333154401</v>
      </c>
      <c r="S157" s="7">
        <v>626.00829254450002</v>
      </c>
      <c r="T157" s="7">
        <v>628.59499262869997</v>
      </c>
      <c r="U157" t="s">
        <v>88</v>
      </c>
    </row>
    <row r="158" spans="1:21">
      <c r="A158" t="s">
        <v>87</v>
      </c>
      <c r="B158">
        <v>57</v>
      </c>
      <c r="C158" s="10">
        <v>45861</v>
      </c>
      <c r="D158" s="11">
        <v>45861.5</v>
      </c>
      <c r="E158" s="11">
        <v>45861.666666666664</v>
      </c>
      <c r="F158">
        <v>1</v>
      </c>
      <c r="G158">
        <v>163</v>
      </c>
      <c r="H158" s="7">
        <v>630.22270000000003</v>
      </c>
      <c r="I158" s="7">
        <v>632.45650000000001</v>
      </c>
      <c r="J158" s="7">
        <f t="shared" si="6"/>
        <v>364.10939999999573</v>
      </c>
      <c r="K158" s="7">
        <f>2*G158*'Method Notes'!$B$8</f>
        <v>1.141</v>
      </c>
      <c r="L158" s="7">
        <f>2*G158*'Method Notes'!$B$9</f>
        <v>0.32600000000000001</v>
      </c>
      <c r="M158" s="7">
        <f t="shared" si="7"/>
        <v>1.4670000000000001</v>
      </c>
      <c r="N158" s="7">
        <f t="shared" si="8"/>
        <v>362.64239999999575</v>
      </c>
      <c r="O158" s="7">
        <v>629.44730508639998</v>
      </c>
      <c r="P158" s="7">
        <v>625.89434120809995</v>
      </c>
      <c r="Q158" s="7">
        <v>629.07565195999996</v>
      </c>
      <c r="R158" s="7">
        <v>630.17072247780004</v>
      </c>
      <c r="S158" s="7">
        <v>625.17218716929995</v>
      </c>
      <c r="T158" s="7">
        <v>630.48267975889996</v>
      </c>
      <c r="U158" t="s">
        <v>85</v>
      </c>
    </row>
    <row r="159" spans="1:21">
      <c r="A159" t="s">
        <v>87</v>
      </c>
      <c r="B159">
        <v>58</v>
      </c>
      <c r="C159" s="10">
        <v>45863</v>
      </c>
      <c r="D159" s="11">
        <v>45863.520833333336</v>
      </c>
      <c r="E159" s="11">
        <v>45863.541666666664</v>
      </c>
      <c r="F159">
        <v>1</v>
      </c>
      <c r="G159">
        <v>162</v>
      </c>
      <c r="H159" s="7">
        <v>635.00450000000001</v>
      </c>
      <c r="I159" s="7">
        <v>635.08420000000001</v>
      </c>
      <c r="J159" s="7">
        <f t="shared" si="6"/>
        <v>12.911400000000413</v>
      </c>
      <c r="K159" s="7">
        <f>2*G159*'Method Notes'!$B$8</f>
        <v>1.1340000000000001</v>
      </c>
      <c r="L159" s="7">
        <f>2*G159*'Method Notes'!$B$9</f>
        <v>0.32400000000000001</v>
      </c>
      <c r="M159" s="7">
        <f t="shared" si="7"/>
        <v>1.4580000000000002</v>
      </c>
      <c r="N159" s="7">
        <f t="shared" si="8"/>
        <v>11.453400000000412</v>
      </c>
      <c r="O159" s="7">
        <v>634.88155851819999</v>
      </c>
      <c r="P159" s="7">
        <v>631.31948773390002</v>
      </c>
      <c r="Q159" s="7">
        <v>634.08592780740003</v>
      </c>
      <c r="R159" s="7">
        <v>635.11292187519996</v>
      </c>
      <c r="S159" s="7">
        <v>631.08844122020002</v>
      </c>
      <c r="T159" s="7">
        <v>634.18864282139998</v>
      </c>
      <c r="U159" t="s">
        <v>88</v>
      </c>
    </row>
    <row r="160" spans="1:21">
      <c r="A160" t="s">
        <v>87</v>
      </c>
      <c r="B160">
        <v>59</v>
      </c>
      <c r="C160" s="10">
        <v>45863</v>
      </c>
      <c r="D160" s="11">
        <v>45863.5625</v>
      </c>
      <c r="E160" s="11">
        <v>45863.625</v>
      </c>
      <c r="F160">
        <v>1</v>
      </c>
      <c r="G160">
        <v>162</v>
      </c>
      <c r="H160" s="7">
        <v>635.28359999999998</v>
      </c>
      <c r="I160" s="7">
        <v>635.41830000000004</v>
      </c>
      <c r="J160" s="7">
        <f t="shared" si="6"/>
        <v>21.821400000010726</v>
      </c>
      <c r="K160" s="7">
        <f>2*G160*'Method Notes'!$B$8</f>
        <v>1.1340000000000001</v>
      </c>
      <c r="L160" s="7">
        <f>2*G160*'Method Notes'!$B$9</f>
        <v>0.32400000000000001</v>
      </c>
      <c r="M160" s="7">
        <f t="shared" si="7"/>
        <v>1.4580000000000002</v>
      </c>
      <c r="N160" s="7">
        <f t="shared" si="8"/>
        <v>20.363400000010728</v>
      </c>
      <c r="O160" s="7">
        <v>635.21042054359998</v>
      </c>
      <c r="P160" s="7">
        <v>630.99107607250005</v>
      </c>
      <c r="Q160" s="7">
        <v>634.27490796209997</v>
      </c>
      <c r="R160" s="7">
        <v>635.42658143519998</v>
      </c>
      <c r="S160" s="7">
        <v>630.77521120510005</v>
      </c>
      <c r="T160" s="7">
        <v>634.54951065199998</v>
      </c>
      <c r="U160" t="s">
        <v>88</v>
      </c>
    </row>
    <row r="161" spans="1:21">
      <c r="A161" t="s">
        <v>87</v>
      </c>
      <c r="B161">
        <v>60</v>
      </c>
      <c r="C161" s="10">
        <v>45863</v>
      </c>
      <c r="D161" s="11">
        <v>45863.645833333336</v>
      </c>
      <c r="E161" s="11">
        <v>45863.666666666664</v>
      </c>
      <c r="F161">
        <v>1</v>
      </c>
      <c r="G161">
        <v>162</v>
      </c>
      <c r="H161" s="7">
        <v>635.56790000000001</v>
      </c>
      <c r="I161" s="7">
        <v>635.33839999999998</v>
      </c>
      <c r="J161" s="7">
        <f t="shared" si="6"/>
        <v>-37.179000000004862</v>
      </c>
      <c r="K161" s="7">
        <f>2*G161*'Method Notes'!$B$8</f>
        <v>1.1340000000000001</v>
      </c>
      <c r="L161" s="7">
        <f>2*G161*'Method Notes'!$B$9</f>
        <v>0.32400000000000001</v>
      </c>
      <c r="M161" s="7">
        <f t="shared" si="7"/>
        <v>1.4580000000000002</v>
      </c>
      <c r="N161" s="7">
        <f t="shared" si="8"/>
        <v>-38.637000000004861</v>
      </c>
      <c r="O161" s="7">
        <v>635.47742969540002</v>
      </c>
      <c r="P161" s="7">
        <v>630.72443257969996</v>
      </c>
      <c r="Q161" s="7">
        <v>634.63389012779999</v>
      </c>
      <c r="R161" s="7">
        <v>635.48523126120006</v>
      </c>
      <c r="S161" s="7">
        <v>630.71664169780001</v>
      </c>
      <c r="T161" s="7">
        <v>634.79679535809998</v>
      </c>
      <c r="U161" t="s">
        <v>85</v>
      </c>
    </row>
    <row r="162" spans="1:21">
      <c r="A162" t="s">
        <v>87</v>
      </c>
      <c r="B162">
        <v>61</v>
      </c>
      <c r="C162" s="10">
        <v>45867</v>
      </c>
      <c r="D162" s="11">
        <v>45867.479166666664</v>
      </c>
      <c r="E162" s="11">
        <v>45867.541666666664</v>
      </c>
      <c r="F162">
        <v>-1</v>
      </c>
      <c r="G162">
        <v>161</v>
      </c>
      <c r="H162" s="7">
        <v>633.48360000000002</v>
      </c>
      <c r="I162" s="7">
        <v>634.39589999999998</v>
      </c>
      <c r="J162" s="7">
        <f t="shared" si="6"/>
        <v>-146.88029999999344</v>
      </c>
      <c r="K162" s="7">
        <f>2*G162*'Method Notes'!$B$8</f>
        <v>1.127</v>
      </c>
      <c r="L162" s="7">
        <f>2*G162*'Method Notes'!$B$9</f>
        <v>0.32200000000000001</v>
      </c>
      <c r="M162" s="7">
        <f t="shared" si="7"/>
        <v>1.4490000000000001</v>
      </c>
      <c r="N162" s="7">
        <f t="shared" si="8"/>
        <v>-148.32929999999345</v>
      </c>
      <c r="O162" s="7">
        <v>637.21822542519999</v>
      </c>
      <c r="P162" s="7">
        <v>634.2182036506</v>
      </c>
      <c r="Q162" s="7">
        <v>635.20084299730001</v>
      </c>
      <c r="R162" s="7">
        <v>637.70628250699997</v>
      </c>
      <c r="S162" s="7">
        <v>633.73097286359996</v>
      </c>
      <c r="T162" s="7">
        <v>634.83360078249996</v>
      </c>
      <c r="U162" t="s">
        <v>88</v>
      </c>
    </row>
    <row r="163" spans="1:21">
      <c r="A163" t="s">
        <v>87</v>
      </c>
      <c r="B163">
        <v>62</v>
      </c>
      <c r="C163" s="10">
        <v>45868</v>
      </c>
      <c r="D163" s="11">
        <v>45868.4375</v>
      </c>
      <c r="E163" s="11">
        <v>45868.458333333336</v>
      </c>
      <c r="F163">
        <v>1</v>
      </c>
      <c r="G163">
        <v>161</v>
      </c>
      <c r="H163" s="7">
        <v>634.6105</v>
      </c>
      <c r="I163" s="7">
        <v>634.5009</v>
      </c>
      <c r="J163" s="7">
        <f t="shared" si="6"/>
        <v>-17.645600000000059</v>
      </c>
      <c r="K163" s="7">
        <f>2*G163*'Method Notes'!$B$8</f>
        <v>1.127</v>
      </c>
      <c r="L163" s="7">
        <f>2*G163*'Method Notes'!$B$9</f>
        <v>0.32200000000000001</v>
      </c>
      <c r="M163" s="7">
        <f t="shared" si="7"/>
        <v>1.4490000000000001</v>
      </c>
      <c r="N163" s="7">
        <f t="shared" si="8"/>
        <v>-19.09460000000006</v>
      </c>
      <c r="O163" s="7">
        <v>634.44776607680001</v>
      </c>
      <c r="P163" s="7">
        <v>633.00838468330005</v>
      </c>
      <c r="Q163" s="7">
        <v>634.19817326190002</v>
      </c>
      <c r="R163" s="7">
        <v>634.77235143810003</v>
      </c>
      <c r="S163" s="7">
        <v>632.68402910889995</v>
      </c>
      <c r="T163" s="7">
        <v>634.27037281510002</v>
      </c>
      <c r="U163" t="s">
        <v>88</v>
      </c>
    </row>
    <row r="164" spans="1:21">
      <c r="A164" t="s">
        <v>87</v>
      </c>
      <c r="B164">
        <v>63</v>
      </c>
      <c r="C164" s="10">
        <v>45868</v>
      </c>
      <c r="D164" s="11">
        <v>45868.625</v>
      </c>
      <c r="E164" s="11">
        <v>45868.666666666664</v>
      </c>
      <c r="F164">
        <v>-1</v>
      </c>
      <c r="G164">
        <v>161</v>
      </c>
      <c r="H164" s="7">
        <v>630.98050000000001</v>
      </c>
      <c r="I164" s="7">
        <v>632.70579999999995</v>
      </c>
      <c r="J164" s="7">
        <f t="shared" si="6"/>
        <v>-277.77329999999154</v>
      </c>
      <c r="K164" s="7">
        <f>2*G164*'Method Notes'!$B$8</f>
        <v>1.127</v>
      </c>
      <c r="L164" s="7">
        <f>2*G164*'Method Notes'!$B$9</f>
        <v>0.32200000000000001</v>
      </c>
      <c r="M164" s="7">
        <f t="shared" si="7"/>
        <v>1.4490000000000001</v>
      </c>
      <c r="N164" s="7">
        <f t="shared" si="8"/>
        <v>-279.22229999999155</v>
      </c>
      <c r="O164" s="7">
        <v>635.94832371769996</v>
      </c>
      <c r="P164" s="7">
        <v>631.50888934679995</v>
      </c>
      <c r="Q164" s="7">
        <v>633.4921286407</v>
      </c>
      <c r="R164" s="7">
        <v>636.01812601159997</v>
      </c>
      <c r="S164" s="7">
        <v>631.43913646860005</v>
      </c>
      <c r="T164" s="7">
        <v>632.77469066419997</v>
      </c>
      <c r="U164" t="s">
        <v>85</v>
      </c>
    </row>
    <row r="165" spans="1:21">
      <c r="A165" t="s">
        <v>87</v>
      </c>
      <c r="B165">
        <v>64</v>
      </c>
      <c r="C165" s="10">
        <v>45874</v>
      </c>
      <c r="D165" s="11">
        <v>45874.4375</v>
      </c>
      <c r="E165" s="11">
        <v>45874.5625</v>
      </c>
      <c r="F165">
        <v>-1</v>
      </c>
      <c r="G165">
        <v>162</v>
      </c>
      <c r="H165" s="7">
        <v>628.10850000000005</v>
      </c>
      <c r="I165" s="7">
        <v>627.96690000000001</v>
      </c>
      <c r="J165" s="7">
        <f t="shared" si="6"/>
        <v>22.939200000006394</v>
      </c>
      <c r="K165" s="7">
        <f>2*G165*'Method Notes'!$B$8</f>
        <v>1.1340000000000001</v>
      </c>
      <c r="L165" s="7">
        <f>2*G165*'Method Notes'!$B$9</f>
        <v>0.32400000000000001</v>
      </c>
      <c r="M165" s="7">
        <f t="shared" si="7"/>
        <v>1.4580000000000002</v>
      </c>
      <c r="N165" s="7">
        <f t="shared" si="8"/>
        <v>21.481200000006396</v>
      </c>
      <c r="O165" s="7">
        <v>630.14410782050004</v>
      </c>
      <c r="P165" s="7">
        <v>628.77546429059998</v>
      </c>
      <c r="Q165" s="7">
        <v>628.7967247025</v>
      </c>
      <c r="R165" s="7">
        <v>631.02069218099996</v>
      </c>
      <c r="S165" s="7">
        <v>627.89897726740003</v>
      </c>
      <c r="T165" s="7">
        <v>627.30936498460005</v>
      </c>
      <c r="U165" t="s">
        <v>88</v>
      </c>
    </row>
    <row r="166" spans="1:21">
      <c r="A166" t="s">
        <v>87</v>
      </c>
      <c r="B166">
        <v>65</v>
      </c>
      <c r="C166" s="10">
        <v>45874</v>
      </c>
      <c r="D166" s="11">
        <v>45874.604166666664</v>
      </c>
      <c r="E166" s="11">
        <v>45874.645833333336</v>
      </c>
      <c r="F166">
        <v>-1</v>
      </c>
      <c r="G166">
        <v>162</v>
      </c>
      <c r="H166" s="7">
        <v>626.8021</v>
      </c>
      <c r="I166" s="7">
        <v>627.24090000000001</v>
      </c>
      <c r="J166" s="7">
        <f t="shared" si="6"/>
        <v>-71.085600000002387</v>
      </c>
      <c r="K166" s="7">
        <f>2*G166*'Method Notes'!$B$8</f>
        <v>1.1340000000000001</v>
      </c>
      <c r="L166" s="7">
        <f>2*G166*'Method Notes'!$B$9</f>
        <v>0.32400000000000001</v>
      </c>
      <c r="M166" s="7">
        <f t="shared" si="7"/>
        <v>1.4580000000000002</v>
      </c>
      <c r="N166" s="7">
        <f t="shared" si="8"/>
        <v>-72.543600000002385</v>
      </c>
      <c r="O166" s="7">
        <v>631.29007916969999</v>
      </c>
      <c r="P166" s="7">
        <v>627.62962019179997</v>
      </c>
      <c r="Q166" s="7">
        <v>627.31920353639998</v>
      </c>
      <c r="R166" s="7">
        <v>631.74885548359998</v>
      </c>
      <c r="S166" s="7">
        <v>627.17089482109998</v>
      </c>
      <c r="T166" s="7">
        <v>627.27105602879999</v>
      </c>
      <c r="U166" t="s">
        <v>88</v>
      </c>
    </row>
    <row r="167" spans="1:21">
      <c r="A167" t="s">
        <v>87</v>
      </c>
      <c r="B167">
        <v>66</v>
      </c>
      <c r="C167" s="10">
        <v>45875</v>
      </c>
      <c r="D167" s="11">
        <v>45875.458333333336</v>
      </c>
      <c r="E167" s="11">
        <v>45875.666666666664</v>
      </c>
      <c r="F167">
        <v>1</v>
      </c>
      <c r="G167">
        <v>163</v>
      </c>
      <c r="H167" s="7">
        <v>629.23540000000003</v>
      </c>
      <c r="I167" s="7">
        <v>631.03049999999996</v>
      </c>
      <c r="J167" s="7">
        <f t="shared" si="6"/>
        <v>292.60129999998924</v>
      </c>
      <c r="K167" s="7">
        <f>2*G167*'Method Notes'!$B$8</f>
        <v>1.141</v>
      </c>
      <c r="L167" s="7">
        <f>2*G167*'Method Notes'!$B$9</f>
        <v>0.32600000000000001</v>
      </c>
      <c r="M167" s="7">
        <f t="shared" si="7"/>
        <v>1.4670000000000001</v>
      </c>
      <c r="N167" s="7">
        <f t="shared" si="8"/>
        <v>291.13429999998925</v>
      </c>
      <c r="O167" s="7">
        <v>628.21444655499999</v>
      </c>
      <c r="P167" s="7">
        <v>625.23181714700002</v>
      </c>
      <c r="Q167" s="7">
        <v>627.68212717480003</v>
      </c>
      <c r="R167" s="7">
        <v>629.50538296349998</v>
      </c>
      <c r="S167" s="7">
        <v>623.94289264539998</v>
      </c>
      <c r="T167" s="7">
        <v>629.89443884529999</v>
      </c>
      <c r="U167" t="s">
        <v>85</v>
      </c>
    </row>
    <row r="168" spans="1:21">
      <c r="A168" t="s">
        <v>87</v>
      </c>
      <c r="B168">
        <v>67</v>
      </c>
      <c r="C168" s="10">
        <v>45876</v>
      </c>
      <c r="D168" s="11">
        <v>45876.541666666664</v>
      </c>
      <c r="E168" s="11">
        <v>45876.645833333336</v>
      </c>
      <c r="F168">
        <v>-1</v>
      </c>
      <c r="G168">
        <v>161</v>
      </c>
      <c r="H168" s="7">
        <v>629.49469999999997</v>
      </c>
      <c r="I168" s="7">
        <v>628.62710000000004</v>
      </c>
      <c r="J168" s="7">
        <f t="shared" si="6"/>
        <v>139.6835999999879</v>
      </c>
      <c r="K168" s="7">
        <f>2*G168*'Method Notes'!$B$8</f>
        <v>1.127</v>
      </c>
      <c r="L168" s="7">
        <f>2*G168*'Method Notes'!$B$9</f>
        <v>0.32200000000000001</v>
      </c>
      <c r="M168" s="7">
        <f t="shared" si="7"/>
        <v>1.4490000000000001</v>
      </c>
      <c r="N168" s="7">
        <f t="shared" si="8"/>
        <v>138.23459999998789</v>
      </c>
      <c r="O168" s="7">
        <v>636.20115968289997</v>
      </c>
      <c r="P168" s="7">
        <v>629.63746097190005</v>
      </c>
      <c r="Q168" s="7">
        <v>631.56682644049999</v>
      </c>
      <c r="R168" s="7">
        <v>637.22514948080004</v>
      </c>
      <c r="S168" s="7">
        <v>628.61955204089998</v>
      </c>
      <c r="T168" s="7">
        <v>630.55360980190005</v>
      </c>
      <c r="U168" t="s">
        <v>88</v>
      </c>
    </row>
    <row r="169" spans="1:21">
      <c r="A169" t="s">
        <v>87</v>
      </c>
      <c r="B169">
        <v>68</v>
      </c>
      <c r="C169" s="10">
        <v>45881</v>
      </c>
      <c r="D169" s="11">
        <v>45881.4375</v>
      </c>
      <c r="E169" s="11">
        <v>45881.666666666664</v>
      </c>
      <c r="F169">
        <v>1</v>
      </c>
      <c r="G169">
        <v>161</v>
      </c>
      <c r="H169" s="7">
        <v>637.56230000000005</v>
      </c>
      <c r="I169" s="7">
        <v>640.91300000000001</v>
      </c>
      <c r="J169" s="7">
        <f t="shared" si="6"/>
        <v>539.46269999999367</v>
      </c>
      <c r="K169" s="7">
        <f>2*G169*'Method Notes'!$B$8</f>
        <v>1.127</v>
      </c>
      <c r="L169" s="7">
        <f>2*G169*'Method Notes'!$B$9</f>
        <v>0.32200000000000001</v>
      </c>
      <c r="M169" s="7">
        <f t="shared" si="7"/>
        <v>1.4490000000000001</v>
      </c>
      <c r="N169" s="7">
        <f t="shared" si="8"/>
        <v>538.01369999999372</v>
      </c>
      <c r="O169" s="7">
        <v>636.19278418809995</v>
      </c>
      <c r="P169" s="7">
        <v>633.3787548821</v>
      </c>
      <c r="Q169" s="7">
        <v>636.13115499410003</v>
      </c>
      <c r="R169" s="7">
        <v>637.95765260630003</v>
      </c>
      <c r="S169" s="7">
        <v>631.61734893829998</v>
      </c>
      <c r="T169" s="7">
        <v>638.87106395199999</v>
      </c>
      <c r="U169" t="s">
        <v>85</v>
      </c>
    </row>
    <row r="170" spans="1:21">
      <c r="A170" t="s">
        <v>87</v>
      </c>
      <c r="B170">
        <v>69</v>
      </c>
      <c r="C170" s="10">
        <v>45888</v>
      </c>
      <c r="D170" s="11">
        <v>45888.458333333336</v>
      </c>
      <c r="E170" s="11">
        <v>45888.479166666664</v>
      </c>
      <c r="F170">
        <v>-1</v>
      </c>
      <c r="G170">
        <v>161</v>
      </c>
      <c r="H170" s="7">
        <v>639.48199999999997</v>
      </c>
      <c r="I170" s="7">
        <v>639.79610000000002</v>
      </c>
      <c r="J170" s="7">
        <f t="shared" si="6"/>
        <v>-50.570100000008551</v>
      </c>
      <c r="K170" s="7">
        <f>2*G170*'Method Notes'!$B$8</f>
        <v>1.127</v>
      </c>
      <c r="L170" s="7">
        <f>2*G170*'Method Notes'!$B$9</f>
        <v>0.32200000000000001</v>
      </c>
      <c r="M170" s="7">
        <f t="shared" si="7"/>
        <v>1.4490000000000001</v>
      </c>
      <c r="N170" s="7">
        <f t="shared" si="8"/>
        <v>-52.01910000000855</v>
      </c>
      <c r="O170" s="7">
        <v>642.97805377170005</v>
      </c>
      <c r="P170" s="7">
        <v>639.64669723099996</v>
      </c>
      <c r="Q170" s="7">
        <v>640.58670796989998</v>
      </c>
      <c r="R170" s="7">
        <v>643.09361238290001</v>
      </c>
      <c r="S170" s="7">
        <v>639.53121405909997</v>
      </c>
      <c r="T170" s="7">
        <v>640.43466490909998</v>
      </c>
      <c r="U170" t="s">
        <v>88</v>
      </c>
    </row>
    <row r="171" spans="1:21">
      <c r="A171" t="s">
        <v>87</v>
      </c>
      <c r="B171">
        <v>70</v>
      </c>
      <c r="C171" s="10">
        <v>45888</v>
      </c>
      <c r="D171" s="11">
        <v>45888.5</v>
      </c>
      <c r="E171" s="11">
        <v>45888.666666666664</v>
      </c>
      <c r="F171">
        <v>-1</v>
      </c>
      <c r="G171">
        <v>161</v>
      </c>
      <c r="H171" s="7">
        <v>638.95839999999998</v>
      </c>
      <c r="I171" s="7">
        <v>638.04100000000005</v>
      </c>
      <c r="J171" s="7">
        <f t="shared" si="6"/>
        <v>147.70139999998867</v>
      </c>
      <c r="K171" s="7">
        <f>2*G171*'Method Notes'!$B$8</f>
        <v>1.127</v>
      </c>
      <c r="L171" s="7">
        <f>2*G171*'Method Notes'!$B$9</f>
        <v>0.32200000000000001</v>
      </c>
      <c r="M171" s="7">
        <f t="shared" si="7"/>
        <v>1.4490000000000001</v>
      </c>
      <c r="N171" s="7">
        <f t="shared" si="8"/>
        <v>146.25239999998865</v>
      </c>
      <c r="O171" s="7">
        <v>643.28170545390003</v>
      </c>
      <c r="P171" s="7">
        <v>639.34324377969995</v>
      </c>
      <c r="Q171" s="7">
        <v>640.26065527879996</v>
      </c>
      <c r="R171" s="7">
        <v>643.92192114579996</v>
      </c>
      <c r="S171" s="7">
        <v>638.70344603540002</v>
      </c>
      <c r="T171" s="7">
        <v>638.87439333769998</v>
      </c>
      <c r="U171" t="s">
        <v>85</v>
      </c>
    </row>
    <row r="172" spans="1:21">
      <c r="A172" t="s">
        <v>87</v>
      </c>
      <c r="B172">
        <v>71</v>
      </c>
      <c r="C172" s="10">
        <v>45889</v>
      </c>
      <c r="D172" s="11">
        <v>45889.4375</v>
      </c>
      <c r="E172" s="11">
        <v>45889.479166666664</v>
      </c>
      <c r="F172">
        <v>-1</v>
      </c>
      <c r="G172">
        <v>163</v>
      </c>
      <c r="H172" s="7">
        <v>632.18730000000005</v>
      </c>
      <c r="I172" s="7">
        <v>634.5806</v>
      </c>
      <c r="J172" s="7">
        <f t="shared" si="6"/>
        <v>-390.10789999999247</v>
      </c>
      <c r="K172" s="7">
        <f>2*G172*'Method Notes'!$B$8</f>
        <v>1.141</v>
      </c>
      <c r="L172" s="7">
        <f>2*G172*'Method Notes'!$B$9</f>
        <v>0.32600000000000001</v>
      </c>
      <c r="M172" s="7">
        <f t="shared" si="7"/>
        <v>1.4670000000000001</v>
      </c>
      <c r="N172" s="7">
        <f t="shared" si="8"/>
        <v>-391.57489999999245</v>
      </c>
      <c r="O172" s="7">
        <v>638.98867689320002</v>
      </c>
      <c r="P172" s="7">
        <v>632.61248835260005</v>
      </c>
      <c r="Q172" s="7">
        <v>632.98813804470001</v>
      </c>
      <c r="R172" s="7">
        <v>639.66969341849995</v>
      </c>
      <c r="S172" s="7">
        <v>631.93626158480004</v>
      </c>
      <c r="T172" s="7">
        <v>633.01422723960002</v>
      </c>
      <c r="U172" t="s">
        <v>88</v>
      </c>
    </row>
    <row r="173" spans="1:21">
      <c r="A173" t="s">
        <v>87</v>
      </c>
      <c r="B173">
        <v>72</v>
      </c>
      <c r="C173" s="10">
        <v>45891</v>
      </c>
      <c r="D173" s="11">
        <v>45891.4375</v>
      </c>
      <c r="E173" s="11">
        <v>45891.666666666664</v>
      </c>
      <c r="F173">
        <v>1</v>
      </c>
      <c r="G173">
        <v>161</v>
      </c>
      <c r="H173" s="7">
        <v>642.4683</v>
      </c>
      <c r="I173" s="7">
        <v>643.5258</v>
      </c>
      <c r="J173" s="7">
        <f t="shared" si="6"/>
        <v>170.25750000000073</v>
      </c>
      <c r="K173" s="7">
        <f>2*G173*'Method Notes'!$B$8</f>
        <v>1.127</v>
      </c>
      <c r="L173" s="7">
        <f>2*G173*'Method Notes'!$B$9</f>
        <v>0.32200000000000001</v>
      </c>
      <c r="M173" s="7">
        <f t="shared" si="7"/>
        <v>1.4490000000000001</v>
      </c>
      <c r="N173" s="7">
        <f t="shared" si="8"/>
        <v>168.80850000000072</v>
      </c>
      <c r="O173" s="7">
        <v>638.18155971919998</v>
      </c>
      <c r="P173" s="7">
        <v>632.76009953840003</v>
      </c>
      <c r="Q173" s="7">
        <v>640.98642363490001</v>
      </c>
      <c r="R173" s="7">
        <v>639.3268022538</v>
      </c>
      <c r="S173" s="7">
        <v>631.62087994629997</v>
      </c>
      <c r="T173" s="7">
        <v>642.81313309459995</v>
      </c>
      <c r="U173" t="s">
        <v>85</v>
      </c>
    </row>
    <row r="174" spans="1:21">
      <c r="A174" t="s">
        <v>87</v>
      </c>
      <c r="B174">
        <v>73</v>
      </c>
      <c r="C174" s="10">
        <v>45897</v>
      </c>
      <c r="D174" s="11">
        <v>45897.604166666664</v>
      </c>
      <c r="E174" s="11">
        <v>45897.666666666664</v>
      </c>
      <c r="F174">
        <v>1</v>
      </c>
      <c r="G174">
        <v>160</v>
      </c>
      <c r="H174" s="7">
        <v>646.85659999999996</v>
      </c>
      <c r="I174" s="7">
        <v>647.12580000000003</v>
      </c>
      <c r="J174" s="7">
        <f t="shared" si="6"/>
        <v>43.07200000001103</v>
      </c>
      <c r="K174" s="7">
        <f>2*G174*'Method Notes'!$B$8</f>
        <v>1.1200000000000001</v>
      </c>
      <c r="L174" s="7">
        <f>2*G174*'Method Notes'!$B$9</f>
        <v>0.32</v>
      </c>
      <c r="M174" s="7">
        <f t="shared" si="7"/>
        <v>1.4400000000000002</v>
      </c>
      <c r="N174" s="7">
        <f t="shared" si="8"/>
        <v>41.632000000011033</v>
      </c>
      <c r="O174" s="7">
        <v>646.62180719729997</v>
      </c>
      <c r="P174" s="7">
        <v>642.49546134879995</v>
      </c>
      <c r="Q174" s="7">
        <v>645.2110495595</v>
      </c>
      <c r="R174" s="7">
        <v>646.95155300210001</v>
      </c>
      <c r="S174" s="7">
        <v>642.1660061494</v>
      </c>
      <c r="T174" s="7">
        <v>645.90020434899998</v>
      </c>
      <c r="U174" t="s">
        <v>85</v>
      </c>
    </row>
    <row r="175" spans="1:21">
      <c r="A175" t="s">
        <v>87</v>
      </c>
      <c r="B175">
        <v>74</v>
      </c>
      <c r="C175" s="10">
        <v>45898</v>
      </c>
      <c r="D175" s="11">
        <v>45898.458333333336</v>
      </c>
      <c r="E175" s="11">
        <v>45898.479166666664</v>
      </c>
      <c r="F175">
        <v>-1</v>
      </c>
      <c r="G175">
        <v>160</v>
      </c>
      <c r="H175" s="7">
        <v>641.95510000000002</v>
      </c>
      <c r="I175" s="7">
        <v>642.65729999999996</v>
      </c>
      <c r="J175" s="7">
        <f t="shared" si="6"/>
        <v>-112.35199999999168</v>
      </c>
      <c r="K175" s="7">
        <f>2*G175*'Method Notes'!$B$8</f>
        <v>1.1200000000000001</v>
      </c>
      <c r="L175" s="7">
        <f>2*G175*'Method Notes'!$B$9</f>
        <v>0.32</v>
      </c>
      <c r="M175" s="7">
        <f t="shared" si="7"/>
        <v>1.4400000000000002</v>
      </c>
      <c r="N175" s="7">
        <f t="shared" si="8"/>
        <v>-113.79199999999167</v>
      </c>
      <c r="O175" s="7">
        <v>648.66819449549996</v>
      </c>
      <c r="P175" s="7">
        <v>642.17844052279997</v>
      </c>
      <c r="Q175" s="7">
        <v>642.9827050463</v>
      </c>
      <c r="R175" s="7">
        <v>648.54115338229997</v>
      </c>
      <c r="S175" s="7">
        <v>642.30481162930005</v>
      </c>
      <c r="T175" s="7">
        <v>642.94577415640003</v>
      </c>
      <c r="U175" t="s">
        <v>88</v>
      </c>
    </row>
    <row r="176" spans="1:21">
      <c r="A176" t="s">
        <v>87</v>
      </c>
      <c r="B176">
        <v>75</v>
      </c>
      <c r="C176" s="10">
        <v>45898</v>
      </c>
      <c r="D176" s="11">
        <v>45898.5</v>
      </c>
      <c r="E176" s="11">
        <v>45898.520833333336</v>
      </c>
      <c r="F176">
        <v>-1</v>
      </c>
      <c r="G176">
        <v>160</v>
      </c>
      <c r="H176" s="7">
        <v>641.98009999999999</v>
      </c>
      <c r="I176" s="7">
        <v>642.42880000000002</v>
      </c>
      <c r="J176" s="7">
        <f t="shared" si="6"/>
        <v>-71.792000000004919</v>
      </c>
      <c r="K176" s="7">
        <f>2*G176*'Method Notes'!$B$8</f>
        <v>1.1200000000000001</v>
      </c>
      <c r="L176" s="7">
        <f>2*G176*'Method Notes'!$B$9</f>
        <v>0.32</v>
      </c>
      <c r="M176" s="7">
        <f t="shared" si="7"/>
        <v>1.4400000000000002</v>
      </c>
      <c r="N176" s="7">
        <f t="shared" si="8"/>
        <v>-73.232000000004916</v>
      </c>
      <c r="O176" s="7">
        <v>648.48917794040005</v>
      </c>
      <c r="P176" s="7">
        <v>642.35651295599996</v>
      </c>
      <c r="Q176" s="7">
        <v>642.85525439239996</v>
      </c>
      <c r="R176" s="7">
        <v>648.83317497819996</v>
      </c>
      <c r="S176" s="7">
        <v>642.01433013680003</v>
      </c>
      <c r="T176" s="7">
        <v>642.82205683029997</v>
      </c>
      <c r="U176" t="s">
        <v>88</v>
      </c>
    </row>
    <row r="177" spans="1:21">
      <c r="A177" t="s">
        <v>87</v>
      </c>
      <c r="B177">
        <v>76</v>
      </c>
      <c r="C177" s="10">
        <v>45902</v>
      </c>
      <c r="D177" s="11">
        <v>45902.458333333336</v>
      </c>
      <c r="E177" s="11">
        <v>45902.5625</v>
      </c>
      <c r="F177">
        <v>-1</v>
      </c>
      <c r="G177">
        <v>161</v>
      </c>
      <c r="H177" s="7">
        <v>635.88699999999994</v>
      </c>
      <c r="I177" s="7">
        <v>635.86739999999998</v>
      </c>
      <c r="J177" s="7">
        <f t="shared" si="6"/>
        <v>3.1555999999949336</v>
      </c>
      <c r="K177" s="7">
        <f>2*G177*'Method Notes'!$B$8</f>
        <v>1.127</v>
      </c>
      <c r="L177" s="7">
        <f>2*G177*'Method Notes'!$B$9</f>
        <v>0.32200000000000001</v>
      </c>
      <c r="M177" s="7">
        <f t="shared" si="7"/>
        <v>1.4490000000000001</v>
      </c>
      <c r="N177" s="7">
        <f t="shared" si="8"/>
        <v>1.7065999999949335</v>
      </c>
      <c r="O177" s="7">
        <v>644.85743672429999</v>
      </c>
      <c r="P177" s="7">
        <v>635.98537163360004</v>
      </c>
      <c r="Q177" s="7">
        <v>637.24883816090005</v>
      </c>
      <c r="R177" s="7">
        <v>645.19037158829997</v>
      </c>
      <c r="S177" s="7">
        <v>635.65538903590004</v>
      </c>
      <c r="T177" s="7">
        <v>636.1028795213</v>
      </c>
      <c r="U177" t="s">
        <v>88</v>
      </c>
    </row>
    <row r="178" spans="1:21">
      <c r="A178" t="s">
        <v>87</v>
      </c>
      <c r="B178">
        <v>77</v>
      </c>
      <c r="C178" s="10">
        <v>45903</v>
      </c>
      <c r="D178" s="11">
        <v>45903.458333333336</v>
      </c>
      <c r="E178" s="11">
        <v>45903.479166666664</v>
      </c>
      <c r="F178">
        <v>1</v>
      </c>
      <c r="G178">
        <v>160</v>
      </c>
      <c r="H178" s="7">
        <v>642.20939999999996</v>
      </c>
      <c r="I178" s="7">
        <v>640.67370000000005</v>
      </c>
      <c r="J178" s="7">
        <f t="shared" si="6"/>
        <v>-245.71199999998498</v>
      </c>
      <c r="K178" s="7">
        <f>2*G178*'Method Notes'!$B$8</f>
        <v>1.1200000000000001</v>
      </c>
      <c r="L178" s="7">
        <f>2*G178*'Method Notes'!$B$9</f>
        <v>0.32</v>
      </c>
      <c r="M178" s="7">
        <f t="shared" si="7"/>
        <v>1.4400000000000002</v>
      </c>
      <c r="N178" s="7">
        <f t="shared" si="8"/>
        <v>-247.15199999998498</v>
      </c>
      <c r="O178" s="7">
        <v>641.78915880500006</v>
      </c>
      <c r="P178" s="7">
        <v>636.99443773619998</v>
      </c>
      <c r="Q178" s="7">
        <v>640.83733642029995</v>
      </c>
      <c r="R178" s="7">
        <v>641.67136662550001</v>
      </c>
      <c r="S178" s="7">
        <v>637.11190241259999</v>
      </c>
      <c r="T178" s="7">
        <v>640.80848612679995</v>
      </c>
      <c r="U178" t="s">
        <v>88</v>
      </c>
    </row>
    <row r="179" spans="1:21">
      <c r="A179" t="s">
        <v>87</v>
      </c>
      <c r="B179">
        <v>78</v>
      </c>
      <c r="C179" s="10">
        <v>45904</v>
      </c>
      <c r="D179" s="11">
        <v>45904.5625</v>
      </c>
      <c r="E179" s="11">
        <v>45904.666666666664</v>
      </c>
      <c r="F179">
        <v>1</v>
      </c>
      <c r="G179">
        <v>159</v>
      </c>
      <c r="H179" s="7">
        <v>645.09019999999998</v>
      </c>
      <c r="I179" s="7">
        <v>647.32529999999997</v>
      </c>
      <c r="J179" s="7">
        <f t="shared" si="6"/>
        <v>355.38089999999818</v>
      </c>
      <c r="K179" s="7">
        <f>2*G179*'Method Notes'!$B$8</f>
        <v>1.113</v>
      </c>
      <c r="L179" s="7">
        <f>2*G179*'Method Notes'!$B$9</f>
        <v>0.318</v>
      </c>
      <c r="M179" s="7">
        <f t="shared" si="7"/>
        <v>1.431</v>
      </c>
      <c r="N179" s="7">
        <f t="shared" si="8"/>
        <v>353.94989999999819</v>
      </c>
      <c r="O179" s="7">
        <v>644.8428584536</v>
      </c>
      <c r="P179" s="7">
        <v>640.35552839369996</v>
      </c>
      <c r="Q179" s="7">
        <v>643.82850511369998</v>
      </c>
      <c r="R179" s="7">
        <v>645.09781171839995</v>
      </c>
      <c r="S179" s="7">
        <v>640.10108048899997</v>
      </c>
      <c r="T179" s="7">
        <v>645.11155126899996</v>
      </c>
      <c r="U179" t="s">
        <v>85</v>
      </c>
    </row>
    <row r="180" spans="1:21">
      <c r="A180" t="s">
        <v>87</v>
      </c>
      <c r="B180">
        <v>79</v>
      </c>
      <c r="C180" s="10">
        <v>45905</v>
      </c>
      <c r="D180" s="11">
        <v>45905.4375</v>
      </c>
      <c r="E180" s="11">
        <v>45905.645833333336</v>
      </c>
      <c r="F180">
        <v>-1</v>
      </c>
      <c r="G180">
        <v>158</v>
      </c>
      <c r="H180" s="7">
        <v>644.71749999999997</v>
      </c>
      <c r="I180" s="7">
        <v>645.37869999999998</v>
      </c>
      <c r="J180" s="7">
        <f t="shared" si="6"/>
        <v>-104.46960000000126</v>
      </c>
      <c r="K180" s="7">
        <f>2*G180*'Method Notes'!$B$8</f>
        <v>1.1060000000000001</v>
      </c>
      <c r="L180" s="7">
        <f>2*G180*'Method Notes'!$B$9</f>
        <v>0.316</v>
      </c>
      <c r="M180" s="7">
        <f t="shared" si="7"/>
        <v>1.4220000000000002</v>
      </c>
      <c r="N180" s="7">
        <f t="shared" si="8"/>
        <v>-105.89160000000126</v>
      </c>
      <c r="O180" s="7">
        <v>650.24699092130004</v>
      </c>
      <c r="P180" s="7">
        <v>646.34105046599996</v>
      </c>
      <c r="Q180" s="7">
        <v>646.97050796940005</v>
      </c>
      <c r="R180" s="7">
        <v>651.17158273940004</v>
      </c>
      <c r="S180" s="7">
        <v>645.41921379689995</v>
      </c>
      <c r="T180" s="7">
        <v>644.85131933440005</v>
      </c>
      <c r="U180" t="s">
        <v>88</v>
      </c>
    </row>
    <row r="181" spans="1:21">
      <c r="A181" t="s">
        <v>87</v>
      </c>
      <c r="B181">
        <v>80</v>
      </c>
      <c r="C181" s="10">
        <v>45911</v>
      </c>
      <c r="D181" s="11">
        <v>45911.479166666664</v>
      </c>
      <c r="E181" s="11">
        <v>45911.5</v>
      </c>
      <c r="F181">
        <v>1</v>
      </c>
      <c r="G181">
        <v>157</v>
      </c>
      <c r="H181" s="7">
        <v>655.63229999999999</v>
      </c>
      <c r="I181" s="7">
        <v>655.39290000000005</v>
      </c>
      <c r="J181" s="7">
        <f t="shared" si="6"/>
        <v>-37.585799999989376</v>
      </c>
      <c r="K181" s="7">
        <f>2*G181*'Method Notes'!$B$8</f>
        <v>1.099</v>
      </c>
      <c r="L181" s="7">
        <f>2*G181*'Method Notes'!$B$9</f>
        <v>0.314</v>
      </c>
      <c r="M181" s="7">
        <f t="shared" si="7"/>
        <v>1.413</v>
      </c>
      <c r="N181" s="7">
        <f t="shared" si="8"/>
        <v>-38.998799999989373</v>
      </c>
      <c r="O181" s="7">
        <v>655.49247382520002</v>
      </c>
      <c r="P181" s="7">
        <v>648.72520455200004</v>
      </c>
      <c r="Q181" s="7">
        <v>654.40606447899995</v>
      </c>
      <c r="R181" s="7">
        <v>655.60827331200005</v>
      </c>
      <c r="S181" s="7">
        <v>648.61000650139999</v>
      </c>
      <c r="T181" s="7">
        <v>654.5339842249</v>
      </c>
      <c r="U181" t="s">
        <v>88</v>
      </c>
    </row>
    <row r="182" spans="1:21">
      <c r="A182" t="s">
        <v>87</v>
      </c>
      <c r="B182">
        <v>81</v>
      </c>
      <c r="C182" s="10">
        <v>45911</v>
      </c>
      <c r="D182" s="11">
        <v>45911.520833333336</v>
      </c>
      <c r="E182" s="11">
        <v>45911.5625</v>
      </c>
      <c r="F182">
        <v>1</v>
      </c>
      <c r="G182">
        <v>157</v>
      </c>
      <c r="H182" s="7">
        <v>655.56240000000003</v>
      </c>
      <c r="I182" s="7">
        <v>655.29819999999995</v>
      </c>
      <c r="J182" s="7">
        <f t="shared" si="6"/>
        <v>-41.479400000011537</v>
      </c>
      <c r="K182" s="7">
        <f>2*G182*'Method Notes'!$B$8</f>
        <v>1.099</v>
      </c>
      <c r="L182" s="7">
        <f>2*G182*'Method Notes'!$B$9</f>
        <v>0.314</v>
      </c>
      <c r="M182" s="7">
        <f t="shared" si="7"/>
        <v>1.413</v>
      </c>
      <c r="N182" s="7">
        <f t="shared" si="8"/>
        <v>-42.892400000011534</v>
      </c>
      <c r="O182" s="7">
        <v>655.48045186829995</v>
      </c>
      <c r="P182" s="7">
        <v>648.73716406970004</v>
      </c>
      <c r="Q182" s="7">
        <v>654.62613614099996</v>
      </c>
      <c r="R182" s="7">
        <v>655.62033543890004</v>
      </c>
      <c r="S182" s="7">
        <v>648.5980070224</v>
      </c>
      <c r="T182" s="7">
        <v>654.71203061990002</v>
      </c>
      <c r="U182" t="s">
        <v>88</v>
      </c>
    </row>
    <row r="183" spans="1:21">
      <c r="A183" t="s">
        <v>87</v>
      </c>
      <c r="B183">
        <v>82</v>
      </c>
      <c r="C183" s="10">
        <v>45911</v>
      </c>
      <c r="D183" s="11">
        <v>45911.583333333336</v>
      </c>
      <c r="E183" s="11">
        <v>45911.604166666664</v>
      </c>
      <c r="F183">
        <v>1</v>
      </c>
      <c r="G183">
        <v>157</v>
      </c>
      <c r="H183" s="7">
        <v>655.76189999999997</v>
      </c>
      <c r="I183" s="7">
        <v>655.51260000000002</v>
      </c>
      <c r="J183" s="7">
        <f t="shared" si="6"/>
        <v>-39.140099999991889</v>
      </c>
      <c r="K183" s="7">
        <f>2*G183*'Method Notes'!$B$8</f>
        <v>1.099</v>
      </c>
      <c r="L183" s="7">
        <f>2*G183*'Method Notes'!$B$9</f>
        <v>0.314</v>
      </c>
      <c r="M183" s="7">
        <f t="shared" si="7"/>
        <v>1.413</v>
      </c>
      <c r="N183" s="7">
        <f t="shared" si="8"/>
        <v>-40.553099999991886</v>
      </c>
      <c r="O183" s="7">
        <v>655.66759277680001</v>
      </c>
      <c r="P183" s="7">
        <v>648.55099512840002</v>
      </c>
      <c r="Q183" s="7">
        <v>654.77351781089999</v>
      </c>
      <c r="R183" s="7">
        <v>655.73961218930003</v>
      </c>
      <c r="S183" s="7">
        <v>648.4793497682</v>
      </c>
      <c r="T183" s="7">
        <v>654.84132261540003</v>
      </c>
      <c r="U183" t="s">
        <v>88</v>
      </c>
    </row>
    <row r="184" spans="1:21">
      <c r="A184" t="s">
        <v>87</v>
      </c>
      <c r="B184">
        <v>83</v>
      </c>
      <c r="C184" s="10">
        <v>45911</v>
      </c>
      <c r="D184" s="11">
        <v>45911.645833333336</v>
      </c>
      <c r="E184" s="11">
        <v>45911.666666666664</v>
      </c>
      <c r="F184">
        <v>1</v>
      </c>
      <c r="G184">
        <v>157</v>
      </c>
      <c r="H184" s="7">
        <v>655.92139999999995</v>
      </c>
      <c r="I184" s="7">
        <v>655.81169999999997</v>
      </c>
      <c r="J184" s="7">
        <f t="shared" si="6"/>
        <v>-17.222899999996116</v>
      </c>
      <c r="K184" s="7">
        <f>2*G184*'Method Notes'!$B$8</f>
        <v>1.099</v>
      </c>
      <c r="L184" s="7">
        <f>2*G184*'Method Notes'!$B$9</f>
        <v>0.314</v>
      </c>
      <c r="M184" s="7">
        <f t="shared" si="7"/>
        <v>1.413</v>
      </c>
      <c r="N184" s="7">
        <f t="shared" si="8"/>
        <v>-18.635899999996116</v>
      </c>
      <c r="O184" s="7">
        <v>655.77855676820002</v>
      </c>
      <c r="P184" s="7">
        <v>648.44060745859997</v>
      </c>
      <c r="Q184" s="7">
        <v>654.98323944779997</v>
      </c>
      <c r="R184" s="7">
        <v>655.95492025659996</v>
      </c>
      <c r="S184" s="7">
        <v>648.26515996190005</v>
      </c>
      <c r="T184" s="7">
        <v>655.17284369799995</v>
      </c>
      <c r="U184" t="s">
        <v>85</v>
      </c>
    </row>
    <row r="185" spans="1:21">
      <c r="A185" t="s">
        <v>87</v>
      </c>
      <c r="B185">
        <v>84</v>
      </c>
      <c r="C185" s="10">
        <v>45917</v>
      </c>
      <c r="D185" s="11">
        <v>45917.4375</v>
      </c>
      <c r="E185" s="11">
        <v>45917.458333333336</v>
      </c>
      <c r="F185">
        <v>-1</v>
      </c>
      <c r="G185">
        <v>156</v>
      </c>
      <c r="H185" s="7">
        <v>657.34749999999997</v>
      </c>
      <c r="I185" s="7">
        <v>657.53689999999995</v>
      </c>
      <c r="J185" s="7">
        <f t="shared" si="6"/>
        <v>-29.546399999996538</v>
      </c>
      <c r="K185" s="7">
        <f>2*G185*'Method Notes'!$B$8</f>
        <v>1.0920000000000001</v>
      </c>
      <c r="L185" s="7">
        <f>2*G185*'Method Notes'!$B$9</f>
        <v>0.312</v>
      </c>
      <c r="M185" s="7">
        <f t="shared" si="7"/>
        <v>1.4040000000000001</v>
      </c>
      <c r="N185" s="7">
        <f t="shared" si="8"/>
        <v>-30.950399999996538</v>
      </c>
      <c r="O185" s="7">
        <v>658.81261217669999</v>
      </c>
      <c r="P185" s="7">
        <v>657.45296986419999</v>
      </c>
      <c r="Q185" s="7">
        <v>657.79438013590004</v>
      </c>
      <c r="R185" s="7">
        <v>659.5379777787</v>
      </c>
      <c r="S185" s="7">
        <v>656.72769760890003</v>
      </c>
      <c r="T185" s="7">
        <v>657.74030591389999</v>
      </c>
      <c r="U185" t="s">
        <v>88</v>
      </c>
    </row>
    <row r="186" spans="1:21">
      <c r="A186" t="s">
        <v>87</v>
      </c>
      <c r="B186">
        <v>85</v>
      </c>
      <c r="C186" s="10">
        <v>45917</v>
      </c>
      <c r="D186" s="11">
        <v>45917.541666666664</v>
      </c>
      <c r="E186" s="11">
        <v>45917.5625</v>
      </c>
      <c r="F186">
        <v>-1</v>
      </c>
      <c r="G186">
        <v>156</v>
      </c>
      <c r="H186" s="7">
        <v>656.48990000000003</v>
      </c>
      <c r="I186" s="7">
        <v>656.85080000000005</v>
      </c>
      <c r="J186" s="7">
        <f t="shared" si="6"/>
        <v>-56.300400000002355</v>
      </c>
      <c r="K186" s="7">
        <f>2*G186*'Method Notes'!$B$8</f>
        <v>1.0920000000000001</v>
      </c>
      <c r="L186" s="7">
        <f>2*G186*'Method Notes'!$B$9</f>
        <v>0.312</v>
      </c>
      <c r="M186" s="7">
        <f t="shared" si="7"/>
        <v>1.4040000000000001</v>
      </c>
      <c r="N186" s="7">
        <f t="shared" si="8"/>
        <v>-57.704400000002359</v>
      </c>
      <c r="O186" s="7">
        <v>659.28050780119997</v>
      </c>
      <c r="P186" s="7">
        <v>656.98513445280003</v>
      </c>
      <c r="Q186" s="7">
        <v>657.48449691739995</v>
      </c>
      <c r="R186" s="7">
        <v>659.54114272859999</v>
      </c>
      <c r="S186" s="7">
        <v>656.72453306629995</v>
      </c>
      <c r="T186" s="7">
        <v>657.43602422399999</v>
      </c>
      <c r="U186" t="s">
        <v>88</v>
      </c>
    </row>
    <row r="187" spans="1:21">
      <c r="A187" t="s">
        <v>87</v>
      </c>
      <c r="B187">
        <v>86</v>
      </c>
      <c r="C187" s="10">
        <v>45917</v>
      </c>
      <c r="D187" s="11">
        <v>45917.625</v>
      </c>
      <c r="E187" s="11">
        <v>45917.645833333336</v>
      </c>
      <c r="F187">
        <v>-1</v>
      </c>
      <c r="G187">
        <v>156</v>
      </c>
      <c r="H187" s="7">
        <v>655.89149999999995</v>
      </c>
      <c r="I187" s="7">
        <v>658.245</v>
      </c>
      <c r="J187" s="7">
        <f t="shared" si="6"/>
        <v>-367.14600000000837</v>
      </c>
      <c r="K187" s="7">
        <f>2*G187*'Method Notes'!$B$8</f>
        <v>1.0920000000000001</v>
      </c>
      <c r="L187" s="7">
        <f>2*G187*'Method Notes'!$B$9</f>
        <v>0.312</v>
      </c>
      <c r="M187" s="7">
        <f t="shared" si="7"/>
        <v>1.4040000000000001</v>
      </c>
      <c r="N187" s="7">
        <f t="shared" si="8"/>
        <v>-368.55000000000837</v>
      </c>
      <c r="O187" s="7">
        <v>659.78135726489995</v>
      </c>
      <c r="P187" s="7">
        <v>656.48434944300004</v>
      </c>
      <c r="Q187" s="7">
        <v>657.25743341040004</v>
      </c>
      <c r="R187" s="7">
        <v>659.68919969360002</v>
      </c>
      <c r="S187" s="7">
        <v>656.57649515460002</v>
      </c>
      <c r="T187" s="7">
        <v>657.42625136150002</v>
      </c>
      <c r="U187" t="s">
        <v>88</v>
      </c>
    </row>
    <row r="188" spans="1:21">
      <c r="A188" t="s">
        <v>87</v>
      </c>
      <c r="B188">
        <v>87</v>
      </c>
      <c r="C188" s="10">
        <v>45918</v>
      </c>
      <c r="D188" s="11">
        <v>45918.4375</v>
      </c>
      <c r="E188" s="11">
        <v>45918.458333333336</v>
      </c>
      <c r="F188">
        <v>1</v>
      </c>
      <c r="G188">
        <v>155</v>
      </c>
      <c r="H188" s="7">
        <v>662.65279999999996</v>
      </c>
      <c r="I188" s="7">
        <v>660.92759999999998</v>
      </c>
      <c r="J188" s="7">
        <f t="shared" si="6"/>
        <v>-267.40599999999574</v>
      </c>
      <c r="K188" s="7">
        <f>2*G188*'Method Notes'!$B$8</f>
        <v>1.085</v>
      </c>
      <c r="L188" s="7">
        <f>2*G188*'Method Notes'!$B$9</f>
        <v>0.31</v>
      </c>
      <c r="M188" s="7">
        <f t="shared" si="7"/>
        <v>1.395</v>
      </c>
      <c r="N188" s="7">
        <f t="shared" si="8"/>
        <v>-268.80099999999572</v>
      </c>
      <c r="O188" s="7">
        <v>660.89425392759995</v>
      </c>
      <c r="P188" s="7">
        <v>656.72533640910001</v>
      </c>
      <c r="Q188" s="7">
        <v>661.19211677010003</v>
      </c>
      <c r="R188" s="7">
        <v>661.59921226899996</v>
      </c>
      <c r="S188" s="7">
        <v>656.02347653039999</v>
      </c>
      <c r="T188" s="7">
        <v>661.13510630229996</v>
      </c>
      <c r="U188" t="s">
        <v>88</v>
      </c>
    </row>
    <row r="189" spans="1:21">
      <c r="A189" t="s">
        <v>87</v>
      </c>
      <c r="B189">
        <v>88</v>
      </c>
      <c r="C189" s="10">
        <v>45918</v>
      </c>
      <c r="D189" s="11">
        <v>45918.479166666664</v>
      </c>
      <c r="E189" s="11">
        <v>45918.5</v>
      </c>
      <c r="F189">
        <v>1</v>
      </c>
      <c r="G189">
        <v>155</v>
      </c>
      <c r="H189" s="7">
        <v>661.55579999999998</v>
      </c>
      <c r="I189" s="7">
        <v>660.72810000000004</v>
      </c>
      <c r="J189" s="7">
        <f t="shared" si="6"/>
        <v>-128.2934999999901</v>
      </c>
      <c r="K189" s="7">
        <f>2*G189*'Method Notes'!$B$8</f>
        <v>1.085</v>
      </c>
      <c r="L189" s="7">
        <f>2*G189*'Method Notes'!$B$9</f>
        <v>0.31</v>
      </c>
      <c r="M189" s="7">
        <f t="shared" si="7"/>
        <v>1.395</v>
      </c>
      <c r="N189" s="7">
        <f t="shared" si="8"/>
        <v>-129.68849999999011</v>
      </c>
      <c r="O189" s="7">
        <v>661.47521069100003</v>
      </c>
      <c r="P189" s="7">
        <v>656.14693309150005</v>
      </c>
      <c r="Q189" s="7">
        <v>661.19440339560003</v>
      </c>
      <c r="R189" s="7">
        <v>661.61524099220003</v>
      </c>
      <c r="S189" s="7">
        <v>656.00751825739997</v>
      </c>
      <c r="T189" s="7">
        <v>661.15084683420002</v>
      </c>
      <c r="U189" t="s">
        <v>88</v>
      </c>
    </row>
    <row r="190" spans="1:21">
      <c r="A190" t="s">
        <v>87</v>
      </c>
      <c r="B190">
        <v>89</v>
      </c>
      <c r="C190" s="10">
        <v>45918</v>
      </c>
      <c r="D190" s="11">
        <v>45918.520833333336</v>
      </c>
      <c r="E190" s="11">
        <v>45918.5625</v>
      </c>
      <c r="F190">
        <v>1</v>
      </c>
      <c r="G190">
        <v>155</v>
      </c>
      <c r="H190" s="7">
        <v>661.64549999999997</v>
      </c>
      <c r="I190" s="7">
        <v>661.48599999999999</v>
      </c>
      <c r="J190" s="7">
        <f t="shared" si="6"/>
        <v>-24.722499999996899</v>
      </c>
      <c r="K190" s="7">
        <f>2*G190*'Method Notes'!$B$8</f>
        <v>1.085</v>
      </c>
      <c r="L190" s="7">
        <f>2*G190*'Method Notes'!$B$9</f>
        <v>0.31</v>
      </c>
      <c r="M190" s="7">
        <f t="shared" si="7"/>
        <v>1.395</v>
      </c>
      <c r="N190" s="7">
        <f t="shared" si="8"/>
        <v>-26.117499999996898</v>
      </c>
      <c r="O190" s="7">
        <v>661.61822337119997</v>
      </c>
      <c r="P190" s="7">
        <v>656.0045489867</v>
      </c>
      <c r="Q190" s="7">
        <v>661.18575722809999</v>
      </c>
      <c r="R190" s="7">
        <v>661.63656934230005</v>
      </c>
      <c r="S190" s="7">
        <v>655.98628365059994</v>
      </c>
      <c r="T190" s="7">
        <v>661.2619506218</v>
      </c>
      <c r="U190" t="s">
        <v>88</v>
      </c>
    </row>
    <row r="191" spans="1:21">
      <c r="A191" t="s">
        <v>87</v>
      </c>
      <c r="B191">
        <v>90</v>
      </c>
      <c r="C191" s="10">
        <v>45919</v>
      </c>
      <c r="D191" s="11">
        <v>45919.645833333336</v>
      </c>
      <c r="E191" s="11">
        <v>45919.666666666664</v>
      </c>
      <c r="F191">
        <v>1</v>
      </c>
      <c r="G191">
        <v>153</v>
      </c>
      <c r="H191" s="7">
        <v>663.85</v>
      </c>
      <c r="I191" s="7">
        <v>663.7</v>
      </c>
      <c r="J191" s="7">
        <f t="shared" si="6"/>
        <v>-22.949999999996521</v>
      </c>
      <c r="K191" s="7">
        <f>2*G191*'Method Notes'!$B$8</f>
        <v>1.071</v>
      </c>
      <c r="L191" s="7">
        <f>2*G191*'Method Notes'!$B$9</f>
        <v>0.30599999999999999</v>
      </c>
      <c r="M191" s="7">
        <f t="shared" si="7"/>
        <v>1.377</v>
      </c>
      <c r="N191" s="7">
        <f t="shared" si="8"/>
        <v>-24.32699999999652</v>
      </c>
      <c r="O191" s="7">
        <v>663.39113206139996</v>
      </c>
      <c r="P191" s="7">
        <v>659.16591145489997</v>
      </c>
      <c r="Q191" s="7">
        <v>662.32309012250005</v>
      </c>
      <c r="R191" s="7">
        <v>663.41078989870005</v>
      </c>
      <c r="S191" s="7">
        <v>659.14630397609994</v>
      </c>
      <c r="T191" s="7">
        <v>662.67117351779996</v>
      </c>
      <c r="U191" t="s">
        <v>85</v>
      </c>
    </row>
    <row r="192" spans="1:21">
      <c r="A192" t="s">
        <v>87</v>
      </c>
      <c r="B192">
        <v>91</v>
      </c>
      <c r="C192" s="10">
        <v>45922</v>
      </c>
      <c r="D192" s="11">
        <v>45922.458333333336</v>
      </c>
      <c r="E192" s="11">
        <v>45922.479166666664</v>
      </c>
      <c r="F192">
        <v>1</v>
      </c>
      <c r="G192">
        <v>153</v>
      </c>
      <c r="H192" s="7">
        <v>664.96</v>
      </c>
      <c r="I192" s="7">
        <v>664.93</v>
      </c>
      <c r="J192" s="7">
        <f t="shared" si="6"/>
        <v>-4.5900000000132195</v>
      </c>
      <c r="K192" s="7">
        <f>2*G192*'Method Notes'!$B$8</f>
        <v>1.071</v>
      </c>
      <c r="L192" s="7">
        <f>2*G192*'Method Notes'!$B$9</f>
        <v>0.30599999999999999</v>
      </c>
      <c r="M192" s="7">
        <f t="shared" si="7"/>
        <v>1.377</v>
      </c>
      <c r="N192" s="7">
        <f t="shared" si="8"/>
        <v>-5.9670000000132193</v>
      </c>
      <c r="O192" s="7">
        <v>664.9431044849</v>
      </c>
      <c r="P192" s="7">
        <v>662.18740122279996</v>
      </c>
      <c r="Q192" s="7">
        <v>664.00973277100002</v>
      </c>
      <c r="R192" s="7">
        <v>665.02410734010004</v>
      </c>
      <c r="S192" s="7">
        <v>662.10643132040002</v>
      </c>
      <c r="T192" s="7">
        <v>664.17226220810005</v>
      </c>
      <c r="U192" t="s">
        <v>88</v>
      </c>
    </row>
    <row r="193" spans="1:21">
      <c r="A193" t="s">
        <v>87</v>
      </c>
      <c r="B193">
        <v>92</v>
      </c>
      <c r="C193" s="10">
        <v>45922</v>
      </c>
      <c r="D193" s="11">
        <v>45922.520833333336</v>
      </c>
      <c r="E193" s="11">
        <v>45922.666666666664</v>
      </c>
      <c r="F193">
        <v>1</v>
      </c>
      <c r="G193">
        <v>153</v>
      </c>
      <c r="H193" s="7">
        <v>665.85500000000002</v>
      </c>
      <c r="I193" s="7">
        <v>666.84</v>
      </c>
      <c r="J193" s="7">
        <f t="shared" si="6"/>
        <v>150.70500000000209</v>
      </c>
      <c r="K193" s="7">
        <f>2*G193*'Method Notes'!$B$8</f>
        <v>1.071</v>
      </c>
      <c r="L193" s="7">
        <f>2*G193*'Method Notes'!$B$9</f>
        <v>0.30599999999999999</v>
      </c>
      <c r="M193" s="7">
        <f t="shared" si="7"/>
        <v>1.377</v>
      </c>
      <c r="N193" s="7">
        <f t="shared" si="8"/>
        <v>149.32800000000208</v>
      </c>
      <c r="O193" s="7">
        <v>664.94075467109997</v>
      </c>
      <c r="P193" s="7">
        <v>662.18975008070004</v>
      </c>
      <c r="Q193" s="7">
        <v>664.52443926770002</v>
      </c>
      <c r="R193" s="7">
        <v>665.06874762070004</v>
      </c>
      <c r="S193" s="7">
        <v>662.06180919990004</v>
      </c>
      <c r="T193" s="7">
        <v>665.63604221690002</v>
      </c>
      <c r="U193" t="s">
        <v>85</v>
      </c>
    </row>
    <row r="194" spans="1:21">
      <c r="A194" t="s">
        <v>87</v>
      </c>
      <c r="B194">
        <v>93</v>
      </c>
      <c r="C194" s="10">
        <v>45923</v>
      </c>
      <c r="D194" s="11">
        <v>45923.5</v>
      </c>
      <c r="E194" s="11">
        <v>45923.666666666664</v>
      </c>
      <c r="F194">
        <v>-1</v>
      </c>
      <c r="G194">
        <v>153</v>
      </c>
      <c r="H194" s="7">
        <v>665.57069999999999</v>
      </c>
      <c r="I194" s="7">
        <v>663.21</v>
      </c>
      <c r="J194" s="7">
        <f t="shared" si="6"/>
        <v>361.1870999999926</v>
      </c>
      <c r="K194" s="7">
        <f>2*G194*'Method Notes'!$B$8</f>
        <v>1.071</v>
      </c>
      <c r="L194" s="7">
        <f>2*G194*'Method Notes'!$B$9</f>
        <v>0.30599999999999999</v>
      </c>
      <c r="M194" s="7">
        <f t="shared" si="7"/>
        <v>1.377</v>
      </c>
      <c r="N194" s="7">
        <f t="shared" si="8"/>
        <v>359.81009999999259</v>
      </c>
      <c r="O194" s="7">
        <v>667.8536830173</v>
      </c>
      <c r="P194" s="7">
        <v>665.76640819040006</v>
      </c>
      <c r="Q194" s="7">
        <v>666.43339372200001</v>
      </c>
      <c r="R194" s="7">
        <v>668.39000723929996</v>
      </c>
      <c r="S194" s="7">
        <v>665.23013222509996</v>
      </c>
      <c r="T194" s="7">
        <v>664.32810369849994</v>
      </c>
      <c r="U194" t="s">
        <v>85</v>
      </c>
    </row>
    <row r="195" spans="1:21">
      <c r="A195" t="s">
        <v>87</v>
      </c>
      <c r="B195">
        <v>94</v>
      </c>
      <c r="C195" s="10">
        <v>45924</v>
      </c>
      <c r="D195" s="11">
        <v>45924.5</v>
      </c>
      <c r="E195" s="11">
        <v>45924.625</v>
      </c>
      <c r="F195">
        <v>-1</v>
      </c>
      <c r="G195">
        <v>154</v>
      </c>
      <c r="H195" s="7">
        <v>660.38</v>
      </c>
      <c r="I195" s="7">
        <v>661.11249999999995</v>
      </c>
      <c r="J195" s="7">
        <f t="shared" si="6"/>
        <v>-112.8049999999937</v>
      </c>
      <c r="K195" s="7">
        <f>2*G195*'Method Notes'!$B$8</f>
        <v>1.0780000000000001</v>
      </c>
      <c r="L195" s="7">
        <f>2*G195*'Method Notes'!$B$9</f>
        <v>0.308</v>
      </c>
      <c r="M195" s="7">
        <f t="shared" si="7"/>
        <v>1.3860000000000001</v>
      </c>
      <c r="N195" s="7">
        <f t="shared" si="8"/>
        <v>-114.19099999999369</v>
      </c>
      <c r="O195" s="7">
        <v>664.28452637520002</v>
      </c>
      <c r="P195" s="7">
        <v>661.94078956190003</v>
      </c>
      <c r="Q195" s="7">
        <v>662.41881930839997</v>
      </c>
      <c r="R195" s="7">
        <v>665.11610838950003</v>
      </c>
      <c r="S195" s="7">
        <v>661.10945205309997</v>
      </c>
      <c r="T195" s="7">
        <v>661.63776311460003</v>
      </c>
      <c r="U195" t="s">
        <v>88</v>
      </c>
    </row>
    <row r="196" spans="1:21">
      <c r="A196" t="s">
        <v>87</v>
      </c>
      <c r="B196">
        <v>95</v>
      </c>
      <c r="C196" s="10">
        <v>45924</v>
      </c>
      <c r="D196" s="11">
        <v>45924.645833333336</v>
      </c>
      <c r="E196" s="11">
        <v>45924.666666666664</v>
      </c>
      <c r="F196">
        <v>-1</v>
      </c>
      <c r="G196">
        <v>154</v>
      </c>
      <c r="H196" s="7">
        <v>660.80250000000001</v>
      </c>
      <c r="I196" s="7">
        <v>661.1</v>
      </c>
      <c r="J196" s="7">
        <f t="shared" si="6"/>
        <v>-45.815000000002101</v>
      </c>
      <c r="K196" s="7">
        <f>2*G196*'Method Notes'!$B$8</f>
        <v>1.0780000000000001</v>
      </c>
      <c r="L196" s="7">
        <f>2*G196*'Method Notes'!$B$9</f>
        <v>0.308</v>
      </c>
      <c r="M196" s="7">
        <f t="shared" si="7"/>
        <v>1.3860000000000001</v>
      </c>
      <c r="N196" s="7">
        <f t="shared" si="8"/>
        <v>-47.201000000002104</v>
      </c>
      <c r="O196" s="7">
        <v>665.02395965339997</v>
      </c>
      <c r="P196" s="7">
        <v>661.20157369519995</v>
      </c>
      <c r="Q196" s="7">
        <v>661.59006700800001</v>
      </c>
      <c r="R196" s="7">
        <v>664.88088462109999</v>
      </c>
      <c r="S196" s="7">
        <v>661.34460665990002</v>
      </c>
      <c r="T196" s="7">
        <v>661.50044949380003</v>
      </c>
      <c r="U196" t="s">
        <v>85</v>
      </c>
    </row>
    <row r="197" spans="1:21">
      <c r="A197" t="s">
        <v>87</v>
      </c>
      <c r="B197">
        <v>96</v>
      </c>
      <c r="C197" s="10">
        <v>45930</v>
      </c>
      <c r="D197" s="11">
        <v>45930.645833333336</v>
      </c>
      <c r="E197" s="11">
        <v>45930.666666666664</v>
      </c>
      <c r="F197">
        <v>1</v>
      </c>
      <c r="G197">
        <v>154</v>
      </c>
      <c r="H197" s="7">
        <v>665.40499999999997</v>
      </c>
      <c r="I197" s="7">
        <v>666.18</v>
      </c>
      <c r="J197" s="7">
        <f t="shared" si="6"/>
        <v>119.3499999999965</v>
      </c>
      <c r="K197" s="7">
        <f>2*G197*'Method Notes'!$B$8</f>
        <v>1.0780000000000001</v>
      </c>
      <c r="L197" s="7">
        <f>2*G197*'Method Notes'!$B$9</f>
        <v>0.308</v>
      </c>
      <c r="M197" s="7">
        <f t="shared" si="7"/>
        <v>1.3860000000000001</v>
      </c>
      <c r="N197" s="7">
        <f t="shared" si="8"/>
        <v>117.9639999999965</v>
      </c>
      <c r="O197" s="7">
        <v>665.29428213430003</v>
      </c>
      <c r="P197" s="7">
        <v>661.45221374250002</v>
      </c>
      <c r="Q197" s="7">
        <v>663.3506120024</v>
      </c>
      <c r="R197" s="7">
        <v>664.99636711740004</v>
      </c>
      <c r="S197" s="7">
        <v>661.74985269599995</v>
      </c>
      <c r="T197" s="7">
        <v>664.31106298069994</v>
      </c>
      <c r="U197" t="s">
        <v>85</v>
      </c>
    </row>
    <row r="198" spans="1:21">
      <c r="A198" t="s">
        <v>87</v>
      </c>
      <c r="B198">
        <v>97</v>
      </c>
      <c r="C198" s="10">
        <v>45931</v>
      </c>
      <c r="D198" s="11">
        <v>45931.5625</v>
      </c>
      <c r="E198" s="11">
        <v>45931.666666666664</v>
      </c>
      <c r="F198">
        <v>1</v>
      </c>
      <c r="G198">
        <v>154</v>
      </c>
      <c r="H198" s="7">
        <v>667.99869999999999</v>
      </c>
      <c r="I198" s="7">
        <v>668.45</v>
      </c>
      <c r="J198" s="7">
        <f t="shared" si="6"/>
        <v>69.500200000009272</v>
      </c>
      <c r="K198" s="7">
        <f>2*G198*'Method Notes'!$B$8</f>
        <v>1.0780000000000001</v>
      </c>
      <c r="L198" s="7">
        <f>2*G198*'Method Notes'!$B$9</f>
        <v>0.308</v>
      </c>
      <c r="M198" s="7">
        <f t="shared" si="7"/>
        <v>1.3860000000000001</v>
      </c>
      <c r="N198" s="7">
        <f t="shared" si="8"/>
        <v>68.114200000009276</v>
      </c>
      <c r="O198" s="7">
        <v>667.48899663520001</v>
      </c>
      <c r="P198" s="7">
        <v>662.37831097239996</v>
      </c>
      <c r="Q198" s="7">
        <v>665.6464478721</v>
      </c>
      <c r="R198" s="7">
        <v>667.62646146489999</v>
      </c>
      <c r="S198" s="7">
        <v>662.24136151710002</v>
      </c>
      <c r="T198" s="7">
        <v>666.87834276449996</v>
      </c>
      <c r="U198" t="s">
        <v>85</v>
      </c>
    </row>
    <row r="199" spans="1:21">
      <c r="A199" t="s">
        <v>87</v>
      </c>
      <c r="B199">
        <v>98</v>
      </c>
      <c r="C199" s="10">
        <v>45933</v>
      </c>
      <c r="D199" s="11">
        <v>45933.458333333336</v>
      </c>
      <c r="E199" s="11">
        <v>45933.479166666664</v>
      </c>
      <c r="F199">
        <v>1</v>
      </c>
      <c r="G199">
        <v>152</v>
      </c>
      <c r="H199" s="7">
        <v>672.1</v>
      </c>
      <c r="I199" s="7">
        <v>671.76</v>
      </c>
      <c r="J199" s="7">
        <f t="shared" ref="J199:J262" si="9">F199*G199*(I199-H199)</f>
        <v>-51.680000000004839</v>
      </c>
      <c r="K199" s="7">
        <f>2*G199*'Method Notes'!$B$8</f>
        <v>1.0640000000000001</v>
      </c>
      <c r="L199" s="7">
        <f>2*G199*'Method Notes'!$B$9</f>
        <v>0.30399999999999999</v>
      </c>
      <c r="M199" s="7">
        <f t="shared" ref="M199:M262" si="10">K199+L199</f>
        <v>1.3680000000000001</v>
      </c>
      <c r="N199" s="7">
        <f t="shared" ref="N199:N262" si="11">J199-M199</f>
        <v>-53.048000000004841</v>
      </c>
      <c r="O199" s="7">
        <v>671.7319760826</v>
      </c>
      <c r="P199" s="7">
        <v>668.16031992789999</v>
      </c>
      <c r="Q199" s="7">
        <v>671.24897690110004</v>
      </c>
      <c r="R199" s="7">
        <v>671.89100035609999</v>
      </c>
      <c r="S199" s="7">
        <v>668.00163946759994</v>
      </c>
      <c r="T199" s="7">
        <v>671.33011226730002</v>
      </c>
      <c r="U199" t="s">
        <v>88</v>
      </c>
    </row>
    <row r="200" spans="1:21">
      <c r="A200" t="s">
        <v>87</v>
      </c>
      <c r="B200">
        <v>99</v>
      </c>
      <c r="C200" s="10">
        <v>45933</v>
      </c>
      <c r="D200" s="11">
        <v>45933.5</v>
      </c>
      <c r="E200" s="11">
        <v>45933.5625</v>
      </c>
      <c r="F200">
        <v>1</v>
      </c>
      <c r="G200">
        <v>152</v>
      </c>
      <c r="H200" s="7">
        <v>672.51</v>
      </c>
      <c r="I200" s="7">
        <v>670.26499999999999</v>
      </c>
      <c r="J200" s="7">
        <f t="shared" si="9"/>
        <v>-341.24000000000069</v>
      </c>
      <c r="K200" s="7">
        <f>2*G200*'Method Notes'!$B$8</f>
        <v>1.0640000000000001</v>
      </c>
      <c r="L200" s="7">
        <f>2*G200*'Method Notes'!$B$9</f>
        <v>0.30399999999999999</v>
      </c>
      <c r="M200" s="7">
        <f t="shared" si="10"/>
        <v>1.3680000000000001</v>
      </c>
      <c r="N200" s="7">
        <f t="shared" si="11"/>
        <v>-342.60800000000069</v>
      </c>
      <c r="O200" s="7">
        <v>672.04425536880001</v>
      </c>
      <c r="P200" s="7">
        <v>667.8487157948</v>
      </c>
      <c r="Q200" s="7">
        <v>671.51563071759995</v>
      </c>
      <c r="R200" s="7">
        <v>672.21387727069998</v>
      </c>
      <c r="S200" s="7">
        <v>667.67946061830003</v>
      </c>
      <c r="T200" s="7">
        <v>671.37643629470006</v>
      </c>
      <c r="U200" t="s">
        <v>88</v>
      </c>
    </row>
    <row r="201" spans="1:21">
      <c r="A201" t="s">
        <v>87</v>
      </c>
      <c r="B201">
        <v>100</v>
      </c>
      <c r="C201" s="10">
        <v>45936</v>
      </c>
      <c r="D201" s="11">
        <v>45936.5</v>
      </c>
      <c r="E201" s="11">
        <v>45936.645833333336</v>
      </c>
      <c r="F201">
        <v>1</v>
      </c>
      <c r="G201">
        <v>152</v>
      </c>
      <c r="H201" s="7">
        <v>671.83</v>
      </c>
      <c r="I201" s="7">
        <v>671.73</v>
      </c>
      <c r="J201" s="7">
        <f t="shared" si="9"/>
        <v>-15.200000000003456</v>
      </c>
      <c r="K201" s="7">
        <f>2*G201*'Method Notes'!$B$8</f>
        <v>1.0640000000000001</v>
      </c>
      <c r="L201" s="7">
        <f>2*G201*'Method Notes'!$B$9</f>
        <v>0.30399999999999999</v>
      </c>
      <c r="M201" s="7">
        <f t="shared" si="10"/>
        <v>1.3680000000000001</v>
      </c>
      <c r="N201" s="7">
        <f t="shared" si="11"/>
        <v>-16.568000000003455</v>
      </c>
      <c r="O201" s="7">
        <v>671.44573716779996</v>
      </c>
      <c r="P201" s="7">
        <v>667.71591496370002</v>
      </c>
      <c r="Q201" s="7">
        <v>670.55558501919995</v>
      </c>
      <c r="R201" s="7">
        <v>671.78539952530002</v>
      </c>
      <c r="S201" s="7">
        <v>667.37662778369997</v>
      </c>
      <c r="T201" s="7">
        <v>671.15942197029995</v>
      </c>
      <c r="U201" t="s">
        <v>88</v>
      </c>
    </row>
    <row r="202" spans="1:21">
      <c r="A202" t="s">
        <v>87</v>
      </c>
      <c r="B202">
        <v>101</v>
      </c>
      <c r="C202" s="10">
        <v>45937</v>
      </c>
      <c r="D202" s="11">
        <v>45937.479166666664</v>
      </c>
      <c r="E202" s="11">
        <v>45937.666666666664</v>
      </c>
      <c r="F202">
        <v>-1</v>
      </c>
      <c r="G202">
        <v>151</v>
      </c>
      <c r="H202" s="7">
        <v>669.23</v>
      </c>
      <c r="I202" s="7">
        <v>669.12</v>
      </c>
      <c r="J202" s="7">
        <f t="shared" si="9"/>
        <v>16.61000000000206</v>
      </c>
      <c r="K202" s="7">
        <f>2*G202*'Method Notes'!$B$8</f>
        <v>1.0569999999999999</v>
      </c>
      <c r="L202" s="7">
        <f>2*G202*'Method Notes'!$B$9</f>
        <v>0.30199999999999999</v>
      </c>
      <c r="M202" s="7">
        <f t="shared" si="10"/>
        <v>1.359</v>
      </c>
      <c r="N202" s="7">
        <f t="shared" si="11"/>
        <v>15.25100000000206</v>
      </c>
      <c r="O202" s="7">
        <v>673.41471522660004</v>
      </c>
      <c r="P202" s="7">
        <v>670.2912371118</v>
      </c>
      <c r="Q202" s="7">
        <v>670.58700342110001</v>
      </c>
      <c r="R202" s="7">
        <v>673.9356845689</v>
      </c>
      <c r="S202" s="7">
        <v>669.77064371359995</v>
      </c>
      <c r="T202" s="7">
        <v>669.40221292490003</v>
      </c>
      <c r="U202" t="s">
        <v>85</v>
      </c>
    </row>
    <row r="203" spans="1:21">
      <c r="A203" t="s">
        <v>87</v>
      </c>
      <c r="B203">
        <v>102</v>
      </c>
      <c r="C203" s="10">
        <v>45938</v>
      </c>
      <c r="D203" s="11">
        <v>45938.4375</v>
      </c>
      <c r="E203" s="11">
        <v>45938.625</v>
      </c>
      <c r="F203">
        <v>1</v>
      </c>
      <c r="G203">
        <v>152</v>
      </c>
      <c r="H203" s="7">
        <v>671.91</v>
      </c>
      <c r="I203" s="7">
        <v>672.24069999999995</v>
      </c>
      <c r="J203" s="7">
        <f t="shared" si="9"/>
        <v>50.266399999996793</v>
      </c>
      <c r="K203" s="7">
        <f>2*G203*'Method Notes'!$B$8</f>
        <v>1.0640000000000001</v>
      </c>
      <c r="L203" s="7">
        <f>2*G203*'Method Notes'!$B$9</f>
        <v>0.30399999999999999</v>
      </c>
      <c r="M203" s="7">
        <f t="shared" si="10"/>
        <v>1.3680000000000001</v>
      </c>
      <c r="N203" s="7">
        <f t="shared" si="11"/>
        <v>48.898399999996791</v>
      </c>
      <c r="O203" s="7">
        <v>671.40482756409995</v>
      </c>
      <c r="P203" s="7">
        <v>668.10209682540005</v>
      </c>
      <c r="Q203" s="7">
        <v>671.00160537980003</v>
      </c>
      <c r="R203" s="7">
        <v>672.40805104210006</v>
      </c>
      <c r="S203" s="7">
        <v>667.10076640540001</v>
      </c>
      <c r="T203" s="7">
        <v>671.94990288500003</v>
      </c>
      <c r="U203" t="s">
        <v>88</v>
      </c>
    </row>
    <row r="204" spans="1:21">
      <c r="A204" t="s">
        <v>87</v>
      </c>
      <c r="B204">
        <v>103</v>
      </c>
      <c r="C204" s="10">
        <v>45938</v>
      </c>
      <c r="D204" s="11">
        <v>45938.645833333336</v>
      </c>
      <c r="E204" s="11">
        <v>45938.666666666664</v>
      </c>
      <c r="F204">
        <v>1</v>
      </c>
      <c r="G204">
        <v>152</v>
      </c>
      <c r="H204" s="7">
        <v>672.875</v>
      </c>
      <c r="I204" s="7">
        <v>673.11</v>
      </c>
      <c r="J204" s="7">
        <f t="shared" si="9"/>
        <v>35.720000000002074</v>
      </c>
      <c r="K204" s="7">
        <f>2*G204*'Method Notes'!$B$8</f>
        <v>1.0640000000000001</v>
      </c>
      <c r="L204" s="7">
        <f>2*G204*'Method Notes'!$B$9</f>
        <v>0.30399999999999999</v>
      </c>
      <c r="M204" s="7">
        <f t="shared" si="10"/>
        <v>1.3680000000000001</v>
      </c>
      <c r="N204" s="7">
        <f t="shared" si="11"/>
        <v>34.352000000002072</v>
      </c>
      <c r="O204" s="7">
        <v>672.58617427019999</v>
      </c>
      <c r="P204" s="7">
        <v>666.92297929150004</v>
      </c>
      <c r="Q204" s="7">
        <v>672.03391032770003</v>
      </c>
      <c r="R204" s="7">
        <v>672.3796253946</v>
      </c>
      <c r="S204" s="7">
        <v>667.12913841449995</v>
      </c>
      <c r="T204" s="7">
        <v>672.27716954940001</v>
      </c>
      <c r="U204" t="s">
        <v>85</v>
      </c>
    </row>
    <row r="205" spans="1:21">
      <c r="A205" t="s">
        <v>87</v>
      </c>
      <c r="B205">
        <v>104</v>
      </c>
      <c r="C205" s="10">
        <v>45939</v>
      </c>
      <c r="D205" s="11">
        <v>45939.541666666664</v>
      </c>
      <c r="E205" s="11">
        <v>45939.583333333336</v>
      </c>
      <c r="F205">
        <v>-1</v>
      </c>
      <c r="G205">
        <v>152</v>
      </c>
      <c r="H205" s="7">
        <v>669.76</v>
      </c>
      <c r="I205" s="7">
        <v>670.18</v>
      </c>
      <c r="J205" s="7">
        <f t="shared" si="9"/>
        <v>-63.839999999993779</v>
      </c>
      <c r="K205" s="7">
        <f>2*G205*'Method Notes'!$B$8</f>
        <v>1.0640000000000001</v>
      </c>
      <c r="L205" s="7">
        <f>2*G205*'Method Notes'!$B$9</f>
        <v>0.30399999999999999</v>
      </c>
      <c r="M205" s="7">
        <f t="shared" si="10"/>
        <v>1.3680000000000001</v>
      </c>
      <c r="N205" s="7">
        <f t="shared" si="11"/>
        <v>-65.207999999993774</v>
      </c>
      <c r="O205" s="7">
        <v>674.92758540780005</v>
      </c>
      <c r="P205" s="7">
        <v>669.91614097850004</v>
      </c>
      <c r="Q205" s="7">
        <v>671.21776956279996</v>
      </c>
      <c r="R205" s="7">
        <v>675.06797361500003</v>
      </c>
      <c r="S205" s="7">
        <v>669.77604059309999</v>
      </c>
      <c r="T205" s="7">
        <v>670.95984908790001</v>
      </c>
      <c r="U205" t="s">
        <v>88</v>
      </c>
    </row>
    <row r="206" spans="1:21">
      <c r="A206" t="s">
        <v>87</v>
      </c>
      <c r="B206">
        <v>105</v>
      </c>
      <c r="C206" s="10">
        <v>45940</v>
      </c>
      <c r="D206" s="11">
        <v>45940.458333333336</v>
      </c>
      <c r="E206" s="11">
        <v>45940.666666666664</v>
      </c>
      <c r="F206">
        <v>-1</v>
      </c>
      <c r="G206">
        <v>151</v>
      </c>
      <c r="H206" s="7">
        <v>668.72500000000002</v>
      </c>
      <c r="I206" s="7">
        <v>653.02</v>
      </c>
      <c r="J206" s="7">
        <f t="shared" si="9"/>
        <v>2371.4550000000063</v>
      </c>
      <c r="K206" s="7">
        <f>2*G206*'Method Notes'!$B$8</f>
        <v>1.0569999999999999</v>
      </c>
      <c r="L206" s="7">
        <f>2*G206*'Method Notes'!$B$9</f>
        <v>0.30199999999999999</v>
      </c>
      <c r="M206" s="7">
        <f t="shared" si="10"/>
        <v>1.359</v>
      </c>
      <c r="N206" s="7">
        <f t="shared" si="11"/>
        <v>2370.0960000000064</v>
      </c>
      <c r="O206" s="7">
        <v>674.43125578290005</v>
      </c>
      <c r="P206" s="7">
        <v>669.90251016649995</v>
      </c>
      <c r="Q206" s="7">
        <v>671.40110267789998</v>
      </c>
      <c r="R206" s="7">
        <v>675.28243696380002</v>
      </c>
      <c r="S206" s="7">
        <v>669.05387050429999</v>
      </c>
      <c r="T206" s="7">
        <v>660.93212764409998</v>
      </c>
      <c r="U206" t="s">
        <v>85</v>
      </c>
    </row>
    <row r="207" spans="1:21">
      <c r="A207" t="s">
        <v>87</v>
      </c>
      <c r="B207">
        <v>106</v>
      </c>
      <c r="C207" s="10">
        <v>45946</v>
      </c>
      <c r="D207" s="11">
        <v>45946.583333333336</v>
      </c>
      <c r="E207" s="11">
        <v>45946.666666666664</v>
      </c>
      <c r="F207">
        <v>-1</v>
      </c>
      <c r="G207">
        <v>156</v>
      </c>
      <c r="H207" s="7">
        <v>661.81</v>
      </c>
      <c r="I207" s="7">
        <v>660.64</v>
      </c>
      <c r="J207" s="7">
        <f t="shared" si="9"/>
        <v>182.51999999999362</v>
      </c>
      <c r="K207" s="7">
        <f>2*G207*'Method Notes'!$B$8</f>
        <v>1.0920000000000001</v>
      </c>
      <c r="L207" s="7">
        <f>2*G207*'Method Notes'!$B$9</f>
        <v>0.312</v>
      </c>
      <c r="M207" s="7">
        <f t="shared" si="10"/>
        <v>1.4040000000000001</v>
      </c>
      <c r="N207" s="7">
        <f t="shared" si="11"/>
        <v>181.11599999999362</v>
      </c>
      <c r="O207" s="7">
        <v>669.89078126699997</v>
      </c>
      <c r="P207" s="7">
        <v>661.95145256549995</v>
      </c>
      <c r="Q207" s="7">
        <v>664.66242217959996</v>
      </c>
      <c r="R207" s="7">
        <v>670.03164667119995</v>
      </c>
      <c r="S207" s="7">
        <v>661.81090305279997</v>
      </c>
      <c r="T207" s="7">
        <v>662.80307974389996</v>
      </c>
      <c r="U207" t="s">
        <v>85</v>
      </c>
    </row>
    <row r="208" spans="1:21">
      <c r="A208" t="s">
        <v>87</v>
      </c>
      <c r="B208">
        <v>107</v>
      </c>
      <c r="C208" s="10">
        <v>45947</v>
      </c>
      <c r="D208" s="11">
        <v>45947.4375</v>
      </c>
      <c r="E208" s="11">
        <v>45947.458333333336</v>
      </c>
      <c r="F208">
        <v>1</v>
      </c>
      <c r="G208">
        <v>158</v>
      </c>
      <c r="H208" s="7">
        <v>662.4</v>
      </c>
      <c r="I208" s="7">
        <v>659.57</v>
      </c>
      <c r="J208" s="7">
        <f t="shared" si="9"/>
        <v>-447.1399999999885</v>
      </c>
      <c r="K208" s="7">
        <f>2*G208*'Method Notes'!$B$8</f>
        <v>1.1060000000000001</v>
      </c>
      <c r="L208" s="7">
        <f>2*G208*'Method Notes'!$B$9</f>
        <v>0.316</v>
      </c>
      <c r="M208" s="7">
        <f t="shared" si="10"/>
        <v>1.4220000000000002</v>
      </c>
      <c r="N208" s="7">
        <f t="shared" si="11"/>
        <v>-448.56199999998853</v>
      </c>
      <c r="O208" s="7">
        <v>661.64563398409996</v>
      </c>
      <c r="P208" s="7">
        <v>659.64438108640002</v>
      </c>
      <c r="Q208" s="7">
        <v>661.22370587529997</v>
      </c>
      <c r="R208" s="7">
        <v>662.10172873279998</v>
      </c>
      <c r="S208" s="7">
        <v>659.18829324139995</v>
      </c>
      <c r="T208" s="7">
        <v>660.89558421029994</v>
      </c>
      <c r="U208" t="s">
        <v>88</v>
      </c>
    </row>
    <row r="209" spans="1:21">
      <c r="A209" t="s">
        <v>87</v>
      </c>
      <c r="B209">
        <v>108</v>
      </c>
      <c r="C209" s="10">
        <v>45947</v>
      </c>
      <c r="D209" s="11">
        <v>45947.604166666664</v>
      </c>
      <c r="E209" s="11">
        <v>45947.666666666664</v>
      </c>
      <c r="F209">
        <v>1</v>
      </c>
      <c r="G209">
        <v>158</v>
      </c>
      <c r="H209" s="7">
        <v>664.65</v>
      </c>
      <c r="I209" s="7">
        <v>664.39</v>
      </c>
      <c r="J209" s="7">
        <f t="shared" si="9"/>
        <v>-41.079999999998563</v>
      </c>
      <c r="K209" s="7">
        <f>2*G209*'Method Notes'!$B$8</f>
        <v>1.1060000000000001</v>
      </c>
      <c r="L209" s="7">
        <f>2*G209*'Method Notes'!$B$9</f>
        <v>0.316</v>
      </c>
      <c r="M209" s="7">
        <f t="shared" si="10"/>
        <v>1.4220000000000002</v>
      </c>
      <c r="N209" s="7">
        <f t="shared" si="11"/>
        <v>-42.50199999999856</v>
      </c>
      <c r="O209" s="7">
        <v>664.42972327079997</v>
      </c>
      <c r="P209" s="7">
        <v>656.86033394139997</v>
      </c>
      <c r="Q209" s="7">
        <v>661.50546680289995</v>
      </c>
      <c r="R209" s="7">
        <v>664.41203224929995</v>
      </c>
      <c r="S209" s="7">
        <v>656.87802469509995</v>
      </c>
      <c r="T209" s="7">
        <v>662.29460136190005</v>
      </c>
      <c r="U209" t="s">
        <v>85</v>
      </c>
    </row>
    <row r="210" spans="1:21">
      <c r="A210" t="s">
        <v>87</v>
      </c>
      <c r="B210">
        <v>109</v>
      </c>
      <c r="C210" s="10">
        <v>45950</v>
      </c>
      <c r="D210" s="11">
        <v>45950.4375</v>
      </c>
      <c r="E210" s="11">
        <v>45950.5</v>
      </c>
      <c r="F210">
        <v>1</v>
      </c>
      <c r="G210">
        <v>155</v>
      </c>
      <c r="H210" s="7">
        <v>670.3</v>
      </c>
      <c r="I210" s="7">
        <v>670.64</v>
      </c>
      <c r="J210" s="7">
        <f t="shared" si="9"/>
        <v>52.700000000004934</v>
      </c>
      <c r="K210" s="7">
        <f>2*G210*'Method Notes'!$B$8</f>
        <v>1.085</v>
      </c>
      <c r="L210" s="7">
        <f>2*G210*'Method Notes'!$B$9</f>
        <v>0.31</v>
      </c>
      <c r="M210" s="7">
        <f t="shared" si="10"/>
        <v>1.395</v>
      </c>
      <c r="N210" s="7">
        <f t="shared" si="11"/>
        <v>51.305000000004931</v>
      </c>
      <c r="O210" s="7">
        <v>669.88360946190005</v>
      </c>
      <c r="P210" s="7">
        <v>663.27373274360002</v>
      </c>
      <c r="Q210" s="7">
        <v>669.35279147469998</v>
      </c>
      <c r="R210" s="7">
        <v>671.52361136019999</v>
      </c>
      <c r="S210" s="7">
        <v>661.64444740780004</v>
      </c>
      <c r="T210" s="7">
        <v>670.07440389390001</v>
      </c>
      <c r="U210" t="s">
        <v>88</v>
      </c>
    </row>
    <row r="211" spans="1:21">
      <c r="A211" t="s">
        <v>87</v>
      </c>
      <c r="B211">
        <v>110</v>
      </c>
      <c r="C211" s="10">
        <v>45952</v>
      </c>
      <c r="D211" s="11">
        <v>45952.4375</v>
      </c>
      <c r="E211" s="11">
        <v>45952.458333333336</v>
      </c>
      <c r="F211">
        <v>-1</v>
      </c>
      <c r="G211">
        <v>155</v>
      </c>
      <c r="H211" s="7">
        <v>669.33749999999998</v>
      </c>
      <c r="I211" s="7">
        <v>670.08</v>
      </c>
      <c r="J211" s="7">
        <f t="shared" si="9"/>
        <v>-115.08750000000987</v>
      </c>
      <c r="K211" s="7">
        <f>2*G211*'Method Notes'!$B$8</f>
        <v>1.085</v>
      </c>
      <c r="L211" s="7">
        <f>2*G211*'Method Notes'!$B$9</f>
        <v>0.31</v>
      </c>
      <c r="M211" s="7">
        <f t="shared" si="10"/>
        <v>1.395</v>
      </c>
      <c r="N211" s="7">
        <f t="shared" si="11"/>
        <v>-116.48250000000986</v>
      </c>
      <c r="O211" s="7">
        <v>672.37887855880001</v>
      </c>
      <c r="P211" s="7">
        <v>670.1262430964</v>
      </c>
      <c r="Q211" s="7">
        <v>670.39811205520004</v>
      </c>
      <c r="R211" s="7">
        <v>672.98892378649998</v>
      </c>
      <c r="S211" s="7">
        <v>669.51626602609997</v>
      </c>
      <c r="T211" s="7">
        <v>670.26526981790005</v>
      </c>
      <c r="U211" t="s">
        <v>88</v>
      </c>
    </row>
    <row r="212" spans="1:21">
      <c r="A212" t="s">
        <v>87</v>
      </c>
      <c r="B212">
        <v>111</v>
      </c>
      <c r="C212" s="10">
        <v>45952</v>
      </c>
      <c r="D212" s="11">
        <v>45952.479166666664</v>
      </c>
      <c r="E212" s="11">
        <v>45952.5</v>
      </c>
      <c r="F212">
        <v>-1</v>
      </c>
      <c r="G212">
        <v>155</v>
      </c>
      <c r="H212" s="7">
        <v>667.89</v>
      </c>
      <c r="I212" s="7">
        <v>669.00800000000004</v>
      </c>
      <c r="J212" s="7">
        <f t="shared" si="9"/>
        <v>-173.29000000000804</v>
      </c>
      <c r="K212" s="7">
        <f>2*G212*'Method Notes'!$B$8</f>
        <v>1.085</v>
      </c>
      <c r="L212" s="7">
        <f>2*G212*'Method Notes'!$B$9</f>
        <v>0.31</v>
      </c>
      <c r="M212" s="7">
        <f t="shared" si="10"/>
        <v>1.395</v>
      </c>
      <c r="N212" s="7">
        <f t="shared" si="11"/>
        <v>-174.68500000000805</v>
      </c>
      <c r="O212" s="7">
        <v>673.46085005700002</v>
      </c>
      <c r="P212" s="7">
        <v>669.04439248159997</v>
      </c>
      <c r="Q212" s="7">
        <v>669.72099911570001</v>
      </c>
      <c r="R212" s="7">
        <v>674.07173323209997</v>
      </c>
      <c r="S212" s="7">
        <v>668.43357755759996</v>
      </c>
      <c r="T212" s="7">
        <v>669.60864525110003</v>
      </c>
      <c r="U212" t="s">
        <v>88</v>
      </c>
    </row>
    <row r="213" spans="1:21">
      <c r="A213" t="s">
        <v>87</v>
      </c>
      <c r="B213">
        <v>112</v>
      </c>
      <c r="C213" s="10">
        <v>45952</v>
      </c>
      <c r="D213" s="11">
        <v>45952.520833333336</v>
      </c>
      <c r="E213" s="11">
        <v>45952.645833333336</v>
      </c>
      <c r="F213">
        <v>-1</v>
      </c>
      <c r="G213">
        <v>155</v>
      </c>
      <c r="H213" s="7">
        <v>667.63</v>
      </c>
      <c r="I213" s="7">
        <v>667.46</v>
      </c>
      <c r="J213" s="7">
        <f t="shared" si="9"/>
        <v>26.349999999993656</v>
      </c>
      <c r="K213" s="7">
        <f>2*G213*'Method Notes'!$B$8</f>
        <v>1.085</v>
      </c>
      <c r="L213" s="7">
        <f>2*G213*'Method Notes'!$B$9</f>
        <v>0.31</v>
      </c>
      <c r="M213" s="7">
        <f t="shared" si="10"/>
        <v>1.395</v>
      </c>
      <c r="N213" s="7">
        <f t="shared" si="11"/>
        <v>24.954999999993657</v>
      </c>
      <c r="O213" s="7">
        <v>674.47035583000002</v>
      </c>
      <c r="P213" s="7">
        <v>668.03499949590002</v>
      </c>
      <c r="Q213" s="7">
        <v>669.41249392190002</v>
      </c>
      <c r="R213" s="7">
        <v>675.2263736978</v>
      </c>
      <c r="S213" s="7">
        <v>667.27906609429999</v>
      </c>
      <c r="T213" s="7">
        <v>667.75893460500004</v>
      </c>
      <c r="U213" t="s">
        <v>88</v>
      </c>
    </row>
    <row r="214" spans="1:21">
      <c r="A214" t="s">
        <v>87</v>
      </c>
      <c r="B214">
        <v>113</v>
      </c>
      <c r="C214" s="10">
        <v>45960</v>
      </c>
      <c r="D214" s="11">
        <v>45960.4375</v>
      </c>
      <c r="E214" s="11">
        <v>45960.458333333336</v>
      </c>
      <c r="F214">
        <v>-1</v>
      </c>
      <c r="G214">
        <v>151</v>
      </c>
      <c r="H214" s="7">
        <v>683.44</v>
      </c>
      <c r="I214" s="7">
        <v>684.49</v>
      </c>
      <c r="J214" s="7">
        <f t="shared" si="9"/>
        <v>-158.54999999999313</v>
      </c>
      <c r="K214" s="7">
        <f>2*G214*'Method Notes'!$B$8</f>
        <v>1.0569999999999999</v>
      </c>
      <c r="L214" s="7">
        <f>2*G214*'Method Notes'!$B$9</f>
        <v>0.30199999999999999</v>
      </c>
      <c r="M214" s="7">
        <f t="shared" si="10"/>
        <v>1.359</v>
      </c>
      <c r="N214" s="7">
        <f t="shared" si="11"/>
        <v>-159.90899999999314</v>
      </c>
      <c r="O214" s="7">
        <v>688.48993574270003</v>
      </c>
      <c r="P214" s="7">
        <v>683.95380863770004</v>
      </c>
      <c r="Q214" s="7">
        <v>684.48701690680002</v>
      </c>
      <c r="R214" s="7">
        <v>688.90638404929996</v>
      </c>
      <c r="S214" s="7">
        <v>683.53877799659995</v>
      </c>
      <c r="T214" s="7">
        <v>684.48759193269996</v>
      </c>
      <c r="U214" t="s">
        <v>88</v>
      </c>
    </row>
    <row r="215" spans="1:21">
      <c r="A215" t="s">
        <v>87</v>
      </c>
      <c r="B215">
        <v>114</v>
      </c>
      <c r="C215" s="10">
        <v>45964</v>
      </c>
      <c r="D215" s="11">
        <v>45964.4375</v>
      </c>
      <c r="E215" s="11">
        <v>45964.458333333336</v>
      </c>
      <c r="F215">
        <v>-1</v>
      </c>
      <c r="G215">
        <v>152</v>
      </c>
      <c r="H215" s="7">
        <v>680.38990000000001</v>
      </c>
      <c r="I215" s="7">
        <v>682.42</v>
      </c>
      <c r="J215" s="7">
        <f t="shared" si="9"/>
        <v>-308.57519999999204</v>
      </c>
      <c r="K215" s="7">
        <f>2*G215*'Method Notes'!$B$8</f>
        <v>1.0640000000000001</v>
      </c>
      <c r="L215" s="7">
        <f>2*G215*'Method Notes'!$B$9</f>
        <v>0.30399999999999999</v>
      </c>
      <c r="M215" s="7">
        <f t="shared" si="10"/>
        <v>1.3680000000000001</v>
      </c>
      <c r="N215" s="7">
        <f t="shared" si="11"/>
        <v>-309.94319999999203</v>
      </c>
      <c r="O215" s="7">
        <v>683.55718801370006</v>
      </c>
      <c r="P215" s="7">
        <v>681.02351102290004</v>
      </c>
      <c r="Q215" s="7">
        <v>681.63184732510001</v>
      </c>
      <c r="R215" s="7">
        <v>683.61363507639999</v>
      </c>
      <c r="S215" s="7">
        <v>680.96710200400003</v>
      </c>
      <c r="T215" s="7">
        <v>681.8289748295</v>
      </c>
      <c r="U215" t="s">
        <v>88</v>
      </c>
    </row>
    <row r="216" spans="1:21">
      <c r="A216" t="s">
        <v>87</v>
      </c>
      <c r="B216">
        <v>115</v>
      </c>
      <c r="C216" s="10">
        <v>45965</v>
      </c>
      <c r="D216" s="11">
        <v>45965.520833333336</v>
      </c>
      <c r="E216" s="11">
        <v>45965.604166666664</v>
      </c>
      <c r="F216">
        <v>-1</v>
      </c>
      <c r="G216">
        <v>152</v>
      </c>
      <c r="H216" s="7">
        <v>676.94</v>
      </c>
      <c r="I216" s="7">
        <v>676.23</v>
      </c>
      <c r="J216" s="7">
        <f t="shared" si="9"/>
        <v>107.92000000000553</v>
      </c>
      <c r="K216" s="7">
        <f>2*G216*'Method Notes'!$B$8</f>
        <v>1.0640000000000001</v>
      </c>
      <c r="L216" s="7">
        <f>2*G216*'Method Notes'!$B$9</f>
        <v>0.30399999999999999</v>
      </c>
      <c r="M216" s="7">
        <f t="shared" si="10"/>
        <v>1.3680000000000001</v>
      </c>
      <c r="N216" s="7">
        <f t="shared" si="11"/>
        <v>106.55200000000553</v>
      </c>
      <c r="O216" s="7">
        <v>684.95452796070003</v>
      </c>
      <c r="P216" s="7">
        <v>677.19619870090003</v>
      </c>
      <c r="Q216" s="7">
        <v>678.38625947000003</v>
      </c>
      <c r="R216" s="7">
        <v>686.14491588620001</v>
      </c>
      <c r="S216" s="7">
        <v>676.0137195195</v>
      </c>
      <c r="T216" s="7">
        <v>677.60143869060005</v>
      </c>
      <c r="U216" t="s">
        <v>88</v>
      </c>
    </row>
    <row r="217" spans="1:21">
      <c r="A217" t="s">
        <v>87</v>
      </c>
      <c r="B217">
        <v>116</v>
      </c>
      <c r="C217" s="10">
        <v>45965</v>
      </c>
      <c r="D217" s="11">
        <v>45965.625</v>
      </c>
      <c r="E217" s="11">
        <v>45965.645833333336</v>
      </c>
      <c r="F217">
        <v>-1</v>
      </c>
      <c r="G217">
        <v>152</v>
      </c>
      <c r="H217" s="7">
        <v>675.22500000000002</v>
      </c>
      <c r="I217" s="7">
        <v>675.98500000000001</v>
      </c>
      <c r="J217" s="7">
        <f t="shared" si="9"/>
        <v>-115.51999999999862</v>
      </c>
      <c r="K217" s="7">
        <f>2*G217*'Method Notes'!$B$8</f>
        <v>1.0640000000000001</v>
      </c>
      <c r="L217" s="7">
        <f>2*G217*'Method Notes'!$B$9</f>
        <v>0.30399999999999999</v>
      </c>
      <c r="M217" s="7">
        <f t="shared" si="10"/>
        <v>1.3680000000000001</v>
      </c>
      <c r="N217" s="7">
        <f t="shared" si="11"/>
        <v>-116.88799999999861</v>
      </c>
      <c r="O217" s="7">
        <v>685.96318664490002</v>
      </c>
      <c r="P217" s="7">
        <v>676.19424138119996</v>
      </c>
      <c r="Q217" s="7">
        <v>677.40780204500004</v>
      </c>
      <c r="R217" s="7">
        <v>686.19301223160005</v>
      </c>
      <c r="S217" s="7">
        <v>675.96594271840002</v>
      </c>
      <c r="T217" s="7">
        <v>677.2943890409</v>
      </c>
      <c r="U217" t="s">
        <v>88</v>
      </c>
    </row>
    <row r="218" spans="1:21">
      <c r="A218" t="s">
        <v>87</v>
      </c>
      <c r="B218">
        <v>117</v>
      </c>
      <c r="C218" s="10">
        <v>45966</v>
      </c>
      <c r="D218" s="11">
        <v>45966.479166666664</v>
      </c>
      <c r="E218" s="11">
        <v>45966.645833333336</v>
      </c>
      <c r="F218">
        <v>1</v>
      </c>
      <c r="G218">
        <v>152</v>
      </c>
      <c r="H218" s="7">
        <v>678.34</v>
      </c>
      <c r="I218" s="7">
        <v>679.76</v>
      </c>
      <c r="J218" s="7">
        <f t="shared" si="9"/>
        <v>215.83999999999378</v>
      </c>
      <c r="K218" s="7">
        <f>2*G218*'Method Notes'!$B$8</f>
        <v>1.0640000000000001</v>
      </c>
      <c r="L218" s="7">
        <f>2*G218*'Method Notes'!$B$9</f>
        <v>0.30399999999999999</v>
      </c>
      <c r="M218" s="7">
        <f t="shared" si="10"/>
        <v>1.3680000000000001</v>
      </c>
      <c r="N218" s="7">
        <f t="shared" si="11"/>
        <v>214.47199999999378</v>
      </c>
      <c r="O218" s="7">
        <v>678.11960855079997</v>
      </c>
      <c r="P218" s="7">
        <v>674.29309792540005</v>
      </c>
      <c r="Q218" s="7">
        <v>677.55040512979997</v>
      </c>
      <c r="R218" s="7">
        <v>679.97781577620003</v>
      </c>
      <c r="S218" s="7">
        <v>672.44018677029999</v>
      </c>
      <c r="T218" s="7">
        <v>678.78286308830002</v>
      </c>
      <c r="U218" t="s">
        <v>88</v>
      </c>
    </row>
    <row r="219" spans="1:21">
      <c r="A219" t="s">
        <v>87</v>
      </c>
      <c r="B219">
        <v>118</v>
      </c>
      <c r="C219" s="10">
        <v>45967</v>
      </c>
      <c r="D219" s="11">
        <v>45967.458333333336</v>
      </c>
      <c r="E219" s="11">
        <v>45967.604166666664</v>
      </c>
      <c r="F219">
        <v>-1</v>
      </c>
      <c r="G219">
        <v>153</v>
      </c>
      <c r="H219" s="7">
        <v>670.91</v>
      </c>
      <c r="I219" s="7">
        <v>673.4</v>
      </c>
      <c r="J219" s="7">
        <f t="shared" si="9"/>
        <v>-380.97000000000139</v>
      </c>
      <c r="K219" s="7">
        <f>2*G219*'Method Notes'!$B$8</f>
        <v>1.071</v>
      </c>
      <c r="L219" s="7">
        <f>2*G219*'Method Notes'!$B$9</f>
        <v>0.30599999999999999</v>
      </c>
      <c r="M219" s="7">
        <f t="shared" si="10"/>
        <v>1.377</v>
      </c>
      <c r="N219" s="7">
        <f t="shared" si="11"/>
        <v>-382.3470000000014</v>
      </c>
      <c r="O219" s="7">
        <v>678.46799375679996</v>
      </c>
      <c r="P219" s="7">
        <v>673.16663243929997</v>
      </c>
      <c r="Q219" s="7">
        <v>673.18105446660002</v>
      </c>
      <c r="R219" s="7">
        <v>679.85698398479997</v>
      </c>
      <c r="S219" s="7">
        <v>671.78487845719997</v>
      </c>
      <c r="T219" s="7">
        <v>671.97757440520002</v>
      </c>
      <c r="U219" t="s">
        <v>88</v>
      </c>
    </row>
    <row r="220" spans="1:21">
      <c r="A220" t="s">
        <v>87</v>
      </c>
      <c r="B220">
        <v>119</v>
      </c>
      <c r="C220" s="10">
        <v>45968</v>
      </c>
      <c r="D220" s="11">
        <v>45968.458333333336</v>
      </c>
      <c r="E220" s="11">
        <v>45968.5625</v>
      </c>
      <c r="F220">
        <v>-1</v>
      </c>
      <c r="G220">
        <v>154</v>
      </c>
      <c r="H220" s="7">
        <v>663.36</v>
      </c>
      <c r="I220" s="7">
        <v>665.3</v>
      </c>
      <c r="J220" s="7">
        <f t="shared" si="9"/>
        <v>-298.7599999999909</v>
      </c>
      <c r="K220" s="7">
        <f>2*G220*'Method Notes'!$B$8</f>
        <v>1.0780000000000001</v>
      </c>
      <c r="L220" s="7">
        <f>2*G220*'Method Notes'!$B$9</f>
        <v>0.308</v>
      </c>
      <c r="M220" s="7">
        <f t="shared" si="10"/>
        <v>1.3860000000000001</v>
      </c>
      <c r="N220" s="7">
        <f t="shared" si="11"/>
        <v>-300.14599999999092</v>
      </c>
      <c r="O220" s="7">
        <v>671.33323656849996</v>
      </c>
      <c r="P220" s="7">
        <v>665.32781605340006</v>
      </c>
      <c r="Q220" s="7">
        <v>665.41627858109996</v>
      </c>
      <c r="R220" s="7">
        <v>672.43621489780003</v>
      </c>
      <c r="S220" s="7">
        <v>664.23136203240006</v>
      </c>
      <c r="T220" s="7">
        <v>664.40288230110002</v>
      </c>
      <c r="U220" t="s">
        <v>88</v>
      </c>
    </row>
    <row r="221" spans="1:21">
      <c r="A221" t="s">
        <v>87</v>
      </c>
      <c r="B221">
        <v>120</v>
      </c>
      <c r="C221" s="10">
        <v>45971</v>
      </c>
      <c r="D221" s="11">
        <v>45971.604166666664</v>
      </c>
      <c r="E221" s="11">
        <v>45971.666666666664</v>
      </c>
      <c r="F221">
        <v>1</v>
      </c>
      <c r="G221">
        <v>151</v>
      </c>
      <c r="H221" s="7">
        <v>680.755</v>
      </c>
      <c r="I221" s="7">
        <v>681.44</v>
      </c>
      <c r="J221" s="7">
        <f t="shared" si="9"/>
        <v>103.43500000000893</v>
      </c>
      <c r="K221" s="7">
        <f>2*G221*'Method Notes'!$B$8</f>
        <v>1.0569999999999999</v>
      </c>
      <c r="L221" s="7">
        <f>2*G221*'Method Notes'!$B$9</f>
        <v>0.30199999999999999</v>
      </c>
      <c r="M221" s="7">
        <f t="shared" si="10"/>
        <v>1.359</v>
      </c>
      <c r="N221" s="7">
        <f t="shared" si="11"/>
        <v>102.07600000000893</v>
      </c>
      <c r="O221" s="7">
        <v>680.34725822589996</v>
      </c>
      <c r="P221" s="7">
        <v>669.16803160999996</v>
      </c>
      <c r="Q221" s="7">
        <v>678.08747553260002</v>
      </c>
      <c r="R221" s="7">
        <v>680.78014347730004</v>
      </c>
      <c r="S221" s="7">
        <v>668.73996629600003</v>
      </c>
      <c r="T221" s="7">
        <v>679.1472405961</v>
      </c>
      <c r="U221" t="s">
        <v>85</v>
      </c>
    </row>
    <row r="222" spans="1:21">
      <c r="A222" t="s">
        <v>87</v>
      </c>
      <c r="B222">
        <v>121</v>
      </c>
      <c r="C222" s="10">
        <v>45972</v>
      </c>
      <c r="D222" s="11">
        <v>45972.4375</v>
      </c>
      <c r="E222" s="11">
        <v>45972.5</v>
      </c>
      <c r="F222">
        <v>-1</v>
      </c>
      <c r="G222">
        <v>151</v>
      </c>
      <c r="H222" s="7">
        <v>679.36500000000001</v>
      </c>
      <c r="I222" s="7">
        <v>679.7</v>
      </c>
      <c r="J222" s="7">
        <f t="shared" si="9"/>
        <v>-50.585000000005493</v>
      </c>
      <c r="K222" s="7">
        <f>2*G222*'Method Notes'!$B$8</f>
        <v>1.0569999999999999</v>
      </c>
      <c r="L222" s="7">
        <f>2*G222*'Method Notes'!$B$9</f>
        <v>0.30199999999999999</v>
      </c>
      <c r="M222" s="7">
        <f t="shared" si="10"/>
        <v>1.359</v>
      </c>
      <c r="N222" s="7">
        <f t="shared" si="11"/>
        <v>-51.944000000005495</v>
      </c>
      <c r="O222" s="7">
        <v>682.201765464</v>
      </c>
      <c r="P222" s="7">
        <v>679.88412324750004</v>
      </c>
      <c r="Q222" s="7">
        <v>680.10247133220003</v>
      </c>
      <c r="R222" s="7">
        <v>683.0721573257</v>
      </c>
      <c r="S222" s="7">
        <v>679.01474682590003</v>
      </c>
      <c r="T222" s="7">
        <v>679.77053406949994</v>
      </c>
      <c r="U222" t="s">
        <v>88</v>
      </c>
    </row>
    <row r="223" spans="1:21">
      <c r="A223" t="s">
        <v>87</v>
      </c>
      <c r="B223">
        <v>122</v>
      </c>
      <c r="C223" s="10">
        <v>45974</v>
      </c>
      <c r="D223" s="11">
        <v>45974.458333333336</v>
      </c>
      <c r="E223" s="11">
        <v>45974.666666666664</v>
      </c>
      <c r="F223">
        <v>-1</v>
      </c>
      <c r="G223">
        <v>151</v>
      </c>
      <c r="H223" s="7">
        <v>676.3</v>
      </c>
      <c r="I223" s="7">
        <v>672.04</v>
      </c>
      <c r="J223" s="7">
        <f t="shared" si="9"/>
        <v>643.25999999999863</v>
      </c>
      <c r="K223" s="7">
        <f>2*G223*'Method Notes'!$B$8</f>
        <v>1.0569999999999999</v>
      </c>
      <c r="L223" s="7">
        <f>2*G223*'Method Notes'!$B$9</f>
        <v>0.30199999999999999</v>
      </c>
      <c r="M223" s="7">
        <f t="shared" si="10"/>
        <v>1.359</v>
      </c>
      <c r="N223" s="7">
        <f t="shared" si="11"/>
        <v>641.90099999999859</v>
      </c>
      <c r="O223" s="7">
        <v>684.58794795159997</v>
      </c>
      <c r="P223" s="7">
        <v>677.52028910169997</v>
      </c>
      <c r="Q223" s="7">
        <v>677.93765824319996</v>
      </c>
      <c r="R223" s="7">
        <v>685.62668743380004</v>
      </c>
      <c r="S223" s="7">
        <v>676.48863283230003</v>
      </c>
      <c r="T223" s="7">
        <v>674.41437908939997</v>
      </c>
      <c r="U223" t="s">
        <v>85</v>
      </c>
    </row>
    <row r="224" spans="1:21">
      <c r="A224" t="s">
        <v>87</v>
      </c>
      <c r="B224">
        <v>123</v>
      </c>
      <c r="C224" s="10">
        <v>45975</v>
      </c>
      <c r="D224" s="11">
        <v>45975.479166666664</v>
      </c>
      <c r="E224" s="11">
        <v>45975.5625</v>
      </c>
      <c r="F224">
        <v>1</v>
      </c>
      <c r="G224">
        <v>155</v>
      </c>
      <c r="H224" s="7">
        <v>674.48</v>
      </c>
      <c r="I224" s="7">
        <v>672.99</v>
      </c>
      <c r="J224" s="7">
        <f t="shared" si="9"/>
        <v>-230.95000000000141</v>
      </c>
      <c r="K224" s="7">
        <f>2*G224*'Method Notes'!$B$8</f>
        <v>1.085</v>
      </c>
      <c r="L224" s="7">
        <f>2*G224*'Method Notes'!$B$9</f>
        <v>0.31</v>
      </c>
      <c r="M224" s="7">
        <f t="shared" si="10"/>
        <v>1.395</v>
      </c>
      <c r="N224" s="7">
        <f t="shared" si="11"/>
        <v>-232.34500000000142</v>
      </c>
      <c r="O224" s="7">
        <v>673.41905589739997</v>
      </c>
      <c r="P224" s="7">
        <v>667.3776953286</v>
      </c>
      <c r="Q224" s="7">
        <v>670.61807095059999</v>
      </c>
      <c r="R224" s="7">
        <v>674.103526106</v>
      </c>
      <c r="S224" s="7">
        <v>666.69657597260004</v>
      </c>
      <c r="T224" s="7">
        <v>671.75204898679999</v>
      </c>
      <c r="U224" t="s">
        <v>88</v>
      </c>
    </row>
    <row r="225" spans="1:21">
      <c r="A225" t="s">
        <v>87</v>
      </c>
      <c r="B225">
        <v>124</v>
      </c>
      <c r="C225" s="10">
        <v>45975</v>
      </c>
      <c r="D225" s="11">
        <v>45975.604166666664</v>
      </c>
      <c r="E225" s="11">
        <v>45975.645833333336</v>
      </c>
      <c r="F225">
        <v>1</v>
      </c>
      <c r="G225">
        <v>155</v>
      </c>
      <c r="H225" s="7">
        <v>674.04010000000005</v>
      </c>
      <c r="I225" s="7">
        <v>672.46</v>
      </c>
      <c r="J225" s="7">
        <f t="shared" si="9"/>
        <v>-244.91550000000245</v>
      </c>
      <c r="K225" s="7">
        <f>2*G225*'Method Notes'!$B$8</f>
        <v>1.085</v>
      </c>
      <c r="L225" s="7">
        <f>2*G225*'Method Notes'!$B$9</f>
        <v>0.31</v>
      </c>
      <c r="M225" s="7">
        <f t="shared" si="10"/>
        <v>1.395</v>
      </c>
      <c r="N225" s="7">
        <f t="shared" si="11"/>
        <v>-246.31050000000246</v>
      </c>
      <c r="O225" s="7">
        <v>673.87421798160005</v>
      </c>
      <c r="P225" s="7">
        <v>666.92476150949994</v>
      </c>
      <c r="Q225" s="7">
        <v>672.03461612420006</v>
      </c>
      <c r="R225" s="7">
        <v>674.49530455980005</v>
      </c>
      <c r="S225" s="7">
        <v>666.30671548659996</v>
      </c>
      <c r="T225" s="7">
        <v>672.19775053559999</v>
      </c>
      <c r="U225" t="s">
        <v>88</v>
      </c>
    </row>
    <row r="226" spans="1:21">
      <c r="A226" t="s">
        <v>87</v>
      </c>
      <c r="B226">
        <v>125</v>
      </c>
      <c r="C226" s="10">
        <v>45978</v>
      </c>
      <c r="D226" s="11">
        <v>45978.541666666664</v>
      </c>
      <c r="E226" s="11">
        <v>45978.666666666664</v>
      </c>
      <c r="F226">
        <v>-1</v>
      </c>
      <c r="G226">
        <v>153</v>
      </c>
      <c r="H226" s="7">
        <v>669.23299999999995</v>
      </c>
      <c r="I226" s="7">
        <v>665.67</v>
      </c>
      <c r="J226" s="7">
        <f t="shared" si="9"/>
        <v>545.13899999999819</v>
      </c>
      <c r="K226" s="7">
        <f>2*G226*'Method Notes'!$B$8</f>
        <v>1.071</v>
      </c>
      <c r="L226" s="7">
        <f>2*G226*'Method Notes'!$B$9</f>
        <v>0.30599999999999999</v>
      </c>
      <c r="M226" s="7">
        <f t="shared" si="10"/>
        <v>1.377</v>
      </c>
      <c r="N226" s="7">
        <f t="shared" si="11"/>
        <v>543.76199999999824</v>
      </c>
      <c r="O226" s="7">
        <v>675.01109891060003</v>
      </c>
      <c r="P226" s="7">
        <v>669.74179945449998</v>
      </c>
      <c r="Q226" s="7">
        <v>671.60577250300003</v>
      </c>
      <c r="R226" s="7">
        <v>675.57050304920006</v>
      </c>
      <c r="S226" s="7">
        <v>669.18313529049999</v>
      </c>
      <c r="T226" s="7">
        <v>667.96508228590005</v>
      </c>
      <c r="U226" t="s">
        <v>85</v>
      </c>
    </row>
    <row r="227" spans="1:21">
      <c r="A227" t="s">
        <v>87</v>
      </c>
      <c r="B227">
        <v>126</v>
      </c>
      <c r="C227" s="10">
        <v>45981</v>
      </c>
      <c r="D227" s="11">
        <v>45981.5</v>
      </c>
      <c r="E227" s="11">
        <v>45981.666666666664</v>
      </c>
      <c r="F227">
        <v>-1</v>
      </c>
      <c r="G227">
        <v>153</v>
      </c>
      <c r="H227" s="7">
        <v>659.75</v>
      </c>
      <c r="I227" s="7">
        <v>652.53</v>
      </c>
      <c r="J227" s="7">
        <f t="shared" si="9"/>
        <v>1104.6600000000042</v>
      </c>
      <c r="K227" s="7">
        <f>2*G227*'Method Notes'!$B$8</f>
        <v>1.071</v>
      </c>
      <c r="L227" s="7">
        <f>2*G227*'Method Notes'!$B$9</f>
        <v>0.30599999999999999</v>
      </c>
      <c r="M227" s="7">
        <f t="shared" si="10"/>
        <v>1.377</v>
      </c>
      <c r="N227" s="7">
        <f t="shared" si="11"/>
        <v>1103.2830000000042</v>
      </c>
      <c r="O227" s="7">
        <v>677.58553996850003</v>
      </c>
      <c r="P227" s="7">
        <v>660.20012404600004</v>
      </c>
      <c r="Q227" s="7">
        <v>668.35007427970004</v>
      </c>
      <c r="R227" s="7">
        <v>678.10841128130005</v>
      </c>
      <c r="S227" s="7">
        <v>659.68691839170003</v>
      </c>
      <c r="T227" s="7">
        <v>660.94844387440003</v>
      </c>
      <c r="U227" t="s">
        <v>85</v>
      </c>
    </row>
    <row r="228" spans="1:21">
      <c r="A228" t="s">
        <v>87</v>
      </c>
      <c r="B228">
        <v>127</v>
      </c>
      <c r="C228" s="10">
        <v>45982</v>
      </c>
      <c r="D228" s="11">
        <v>45982.5</v>
      </c>
      <c r="E228" s="11">
        <v>45982.5625</v>
      </c>
      <c r="F228">
        <v>1</v>
      </c>
      <c r="G228">
        <v>160</v>
      </c>
      <c r="H228" s="7">
        <v>660.82</v>
      </c>
      <c r="I228" s="7">
        <v>658.13</v>
      </c>
      <c r="J228" s="7">
        <f t="shared" si="9"/>
        <v>-430.40000000000873</v>
      </c>
      <c r="K228" s="7">
        <f>2*G228*'Method Notes'!$B$8</f>
        <v>1.1200000000000001</v>
      </c>
      <c r="L228" s="7">
        <f>2*G228*'Method Notes'!$B$9</f>
        <v>0.32</v>
      </c>
      <c r="M228" s="7">
        <f t="shared" si="10"/>
        <v>1.4400000000000002</v>
      </c>
      <c r="N228" s="7">
        <f t="shared" si="11"/>
        <v>-431.84000000000873</v>
      </c>
      <c r="O228" s="7">
        <v>658.19349475119998</v>
      </c>
      <c r="P228" s="7">
        <v>649.17831905989999</v>
      </c>
      <c r="Q228" s="7">
        <v>655.2402900024</v>
      </c>
      <c r="R228" s="7">
        <v>658.68013990220004</v>
      </c>
      <c r="S228" s="7">
        <v>648.69338318289999</v>
      </c>
      <c r="T228" s="7">
        <v>656.44707975200004</v>
      </c>
      <c r="U228" t="s">
        <v>88</v>
      </c>
    </row>
    <row r="229" spans="1:21">
      <c r="A229" t="s">
        <v>87</v>
      </c>
      <c r="B229">
        <v>128</v>
      </c>
      <c r="C229" s="10">
        <v>45982</v>
      </c>
      <c r="D229" s="11">
        <v>45982.583333333336</v>
      </c>
      <c r="E229" s="11">
        <v>45982.666666666664</v>
      </c>
      <c r="F229">
        <v>1</v>
      </c>
      <c r="G229">
        <v>160</v>
      </c>
      <c r="H229" s="7">
        <v>662.29</v>
      </c>
      <c r="I229" s="7">
        <v>659.03</v>
      </c>
      <c r="J229" s="7">
        <f t="shared" si="9"/>
        <v>-521.59999999999854</v>
      </c>
      <c r="K229" s="7">
        <f>2*G229*'Method Notes'!$B$8</f>
        <v>1.1200000000000001</v>
      </c>
      <c r="L229" s="7">
        <f>2*G229*'Method Notes'!$B$9</f>
        <v>0.32</v>
      </c>
      <c r="M229" s="7">
        <f t="shared" si="10"/>
        <v>1.4400000000000002</v>
      </c>
      <c r="N229" s="7">
        <f t="shared" si="11"/>
        <v>-523.0399999999986</v>
      </c>
      <c r="O229" s="7">
        <v>658.94746956339998</v>
      </c>
      <c r="P229" s="7">
        <v>648.42699248020006</v>
      </c>
      <c r="Q229" s="7">
        <v>657.0452246008</v>
      </c>
      <c r="R229" s="7">
        <v>659.20088185580005</v>
      </c>
      <c r="S229" s="7">
        <v>648.17447026349998</v>
      </c>
      <c r="T229" s="7">
        <v>658.13040770099997</v>
      </c>
      <c r="U229" t="s">
        <v>85</v>
      </c>
    </row>
    <row r="230" spans="1:21">
      <c r="A230" t="s">
        <v>87</v>
      </c>
      <c r="B230">
        <v>129</v>
      </c>
      <c r="C230" s="10">
        <v>45985</v>
      </c>
      <c r="D230" s="11">
        <v>45985.4375</v>
      </c>
      <c r="E230" s="11">
        <v>45985.5</v>
      </c>
      <c r="F230">
        <v>1</v>
      </c>
      <c r="G230">
        <v>156</v>
      </c>
      <c r="H230" s="7">
        <v>665.43499999999995</v>
      </c>
      <c r="I230" s="7">
        <v>667.48</v>
      </c>
      <c r="J230" s="7">
        <f t="shared" si="9"/>
        <v>319.02000000001135</v>
      </c>
      <c r="K230" s="7">
        <f>2*G230*'Method Notes'!$B$8</f>
        <v>1.0920000000000001</v>
      </c>
      <c r="L230" s="7">
        <f>2*G230*'Method Notes'!$B$9</f>
        <v>0.312</v>
      </c>
      <c r="M230" s="7">
        <f t="shared" si="10"/>
        <v>1.4040000000000001</v>
      </c>
      <c r="N230" s="7">
        <f t="shared" si="11"/>
        <v>317.61600000001135</v>
      </c>
      <c r="O230" s="7">
        <v>664.83744500549994</v>
      </c>
      <c r="P230" s="7">
        <v>658.41737950979996</v>
      </c>
      <c r="Q230" s="7">
        <v>664.71933623270002</v>
      </c>
      <c r="R230" s="7">
        <v>668.00246116820006</v>
      </c>
      <c r="S230" s="7">
        <v>655.27709375860002</v>
      </c>
      <c r="T230" s="7">
        <v>665.81729021060005</v>
      </c>
      <c r="U230" t="s">
        <v>88</v>
      </c>
    </row>
    <row r="231" spans="1:21">
      <c r="A231" t="s">
        <v>87</v>
      </c>
      <c r="B231">
        <v>130</v>
      </c>
      <c r="C231" s="10">
        <v>45985</v>
      </c>
      <c r="D231" s="11">
        <v>45985.520833333336</v>
      </c>
      <c r="E231" s="11">
        <v>45985.604166666664</v>
      </c>
      <c r="F231">
        <v>1</v>
      </c>
      <c r="G231">
        <v>156</v>
      </c>
      <c r="H231" s="7">
        <v>668.21</v>
      </c>
      <c r="I231" s="7">
        <v>668.96</v>
      </c>
      <c r="J231" s="7">
        <f t="shared" si="9"/>
        <v>117</v>
      </c>
      <c r="K231" s="7">
        <f>2*G231*'Method Notes'!$B$8</f>
        <v>1.0920000000000001</v>
      </c>
      <c r="L231" s="7">
        <f>2*G231*'Method Notes'!$B$9</f>
        <v>0.312</v>
      </c>
      <c r="M231" s="7">
        <f t="shared" si="10"/>
        <v>1.4040000000000001</v>
      </c>
      <c r="N231" s="7">
        <f t="shared" si="11"/>
        <v>115.596</v>
      </c>
      <c r="O231" s="7">
        <v>667.83718139170003</v>
      </c>
      <c r="P231" s="7">
        <v>655.44108209240005</v>
      </c>
      <c r="Q231" s="7">
        <v>666.01810066250005</v>
      </c>
      <c r="R231" s="7">
        <v>669.01435952639997</v>
      </c>
      <c r="S231" s="7">
        <v>654.27310204649996</v>
      </c>
      <c r="T231" s="7">
        <v>666.79506625160002</v>
      </c>
      <c r="U231" t="s">
        <v>88</v>
      </c>
    </row>
    <row r="232" spans="1:21">
      <c r="A232" t="s">
        <v>87</v>
      </c>
      <c r="B232">
        <v>131</v>
      </c>
      <c r="C232" s="10">
        <v>45985</v>
      </c>
      <c r="D232" s="11">
        <v>45985.645833333336</v>
      </c>
      <c r="E232" s="11">
        <v>45985.666666666664</v>
      </c>
      <c r="F232">
        <v>1</v>
      </c>
      <c r="G232">
        <v>156</v>
      </c>
      <c r="H232" s="7">
        <v>668.92</v>
      </c>
      <c r="I232" s="7">
        <v>668.73</v>
      </c>
      <c r="J232" s="7">
        <f t="shared" si="9"/>
        <v>-29.639999999990778</v>
      </c>
      <c r="K232" s="7">
        <f>2*G232*'Method Notes'!$B$8</f>
        <v>1.0920000000000001</v>
      </c>
      <c r="L232" s="7">
        <f>2*G232*'Method Notes'!$B$9</f>
        <v>0.312</v>
      </c>
      <c r="M232" s="7">
        <f t="shared" si="10"/>
        <v>1.4040000000000001</v>
      </c>
      <c r="N232" s="7">
        <f t="shared" si="11"/>
        <v>-31.043999999990778</v>
      </c>
      <c r="O232" s="7">
        <v>668.74118506959996</v>
      </c>
      <c r="P232" s="7">
        <v>654.54414200660005</v>
      </c>
      <c r="Q232" s="7">
        <v>667.10522173430002</v>
      </c>
      <c r="R232" s="7">
        <v>668.90085944340001</v>
      </c>
      <c r="S232" s="7">
        <v>654.38571527659997</v>
      </c>
      <c r="T232" s="7">
        <v>667.49507416250003</v>
      </c>
      <c r="U232" t="s">
        <v>85</v>
      </c>
    </row>
    <row r="233" spans="1:21">
      <c r="A233" t="s">
        <v>87</v>
      </c>
      <c r="B233">
        <v>132</v>
      </c>
      <c r="C233" s="10">
        <v>45986</v>
      </c>
      <c r="D233" s="11">
        <v>45986.520833333336</v>
      </c>
      <c r="E233" s="11">
        <v>45986.604166666664</v>
      </c>
      <c r="F233">
        <v>1</v>
      </c>
      <c r="G233">
        <v>155</v>
      </c>
      <c r="H233" s="7">
        <v>673.33</v>
      </c>
      <c r="I233" s="7">
        <v>673.34</v>
      </c>
      <c r="J233" s="7">
        <f t="shared" si="9"/>
        <v>1.5499999999985903</v>
      </c>
      <c r="K233" s="7">
        <f>2*G233*'Method Notes'!$B$8</f>
        <v>1.085</v>
      </c>
      <c r="L233" s="7">
        <f>2*G233*'Method Notes'!$B$9</f>
        <v>0.31</v>
      </c>
      <c r="M233" s="7">
        <f t="shared" si="10"/>
        <v>1.395</v>
      </c>
      <c r="N233" s="7">
        <f t="shared" si="11"/>
        <v>0.15499999999859027</v>
      </c>
      <c r="O233" s="7">
        <v>672.60824500930005</v>
      </c>
      <c r="P233" s="7">
        <v>664.93220931949998</v>
      </c>
      <c r="Q233" s="7">
        <v>669.90336674859998</v>
      </c>
      <c r="R233" s="7">
        <v>673.79753158029996</v>
      </c>
      <c r="S233" s="7">
        <v>663.74306500549994</v>
      </c>
      <c r="T233" s="7">
        <v>670.86880159780003</v>
      </c>
      <c r="U233" t="s">
        <v>88</v>
      </c>
    </row>
    <row r="234" spans="1:21">
      <c r="A234" t="s">
        <v>87</v>
      </c>
      <c r="B234">
        <v>133</v>
      </c>
      <c r="C234" s="10">
        <v>45986</v>
      </c>
      <c r="D234" s="11">
        <v>45986.645833333336</v>
      </c>
      <c r="E234" s="11">
        <v>45986.666666666664</v>
      </c>
      <c r="F234">
        <v>1</v>
      </c>
      <c r="G234">
        <v>155</v>
      </c>
      <c r="H234" s="7">
        <v>674.52</v>
      </c>
      <c r="I234" s="7">
        <v>675.02</v>
      </c>
      <c r="J234" s="7">
        <f t="shared" si="9"/>
        <v>77.5</v>
      </c>
      <c r="K234" s="7">
        <f>2*G234*'Method Notes'!$B$8</f>
        <v>1.085</v>
      </c>
      <c r="L234" s="7">
        <f>2*G234*'Method Notes'!$B$9</f>
        <v>0.31</v>
      </c>
      <c r="M234" s="7">
        <f t="shared" si="10"/>
        <v>1.395</v>
      </c>
      <c r="N234" s="7">
        <f t="shared" si="11"/>
        <v>76.105000000000004</v>
      </c>
      <c r="O234" s="7">
        <v>673.50235005269997</v>
      </c>
      <c r="P234" s="7">
        <v>664.03821122479997</v>
      </c>
      <c r="Q234" s="7">
        <v>671.36857549800004</v>
      </c>
      <c r="R234" s="7">
        <v>673.59703149890004</v>
      </c>
      <c r="S234" s="7">
        <v>663.94354110400002</v>
      </c>
      <c r="T234" s="7">
        <v>671.97859804960001</v>
      </c>
      <c r="U234" t="s">
        <v>85</v>
      </c>
    </row>
    <row r="235" spans="1:21">
      <c r="A235" t="s">
        <v>87</v>
      </c>
      <c r="B235">
        <v>134</v>
      </c>
      <c r="C235" s="10">
        <v>45987</v>
      </c>
      <c r="D235" s="11">
        <v>45987.4375</v>
      </c>
      <c r="E235" s="11">
        <v>45987.520833333336</v>
      </c>
      <c r="F235">
        <v>1</v>
      </c>
      <c r="G235">
        <v>154</v>
      </c>
      <c r="H235" s="7">
        <v>678.2</v>
      </c>
      <c r="I235" s="7">
        <v>680.97</v>
      </c>
      <c r="J235" s="7">
        <f t="shared" si="9"/>
        <v>426.5799999999972</v>
      </c>
      <c r="K235" s="7">
        <f>2*G235*'Method Notes'!$B$8</f>
        <v>1.0780000000000001</v>
      </c>
      <c r="L235" s="7">
        <f>2*G235*'Method Notes'!$B$9</f>
        <v>0.308</v>
      </c>
      <c r="M235" s="7">
        <f t="shared" si="10"/>
        <v>1.3860000000000001</v>
      </c>
      <c r="N235" s="7">
        <f t="shared" si="11"/>
        <v>425.19399999999717</v>
      </c>
      <c r="O235" s="7">
        <v>677.87478758700001</v>
      </c>
      <c r="P235" s="7">
        <v>674.32742857589994</v>
      </c>
      <c r="Q235" s="7">
        <v>677.55403661050002</v>
      </c>
      <c r="R235" s="7">
        <v>681.14839518910003</v>
      </c>
      <c r="S235" s="7">
        <v>671.06426279489995</v>
      </c>
      <c r="T235" s="7">
        <v>679.17722900410001</v>
      </c>
      <c r="U235" t="s">
        <v>88</v>
      </c>
    </row>
    <row r="236" spans="1:21">
      <c r="A236" t="s">
        <v>87</v>
      </c>
      <c r="B236">
        <v>135</v>
      </c>
      <c r="C236" s="10">
        <v>45992</v>
      </c>
      <c r="D236" s="11">
        <v>45992.4375</v>
      </c>
      <c r="E236" s="11">
        <v>45992.458333333336</v>
      </c>
      <c r="F236">
        <v>-1</v>
      </c>
      <c r="G236">
        <v>153</v>
      </c>
      <c r="H236" s="7">
        <v>679.67499999999995</v>
      </c>
      <c r="I236" s="7">
        <v>681.73</v>
      </c>
      <c r="J236" s="7">
        <f t="shared" si="9"/>
        <v>-314.41500000000974</v>
      </c>
      <c r="K236" s="7">
        <f>2*G236*'Method Notes'!$B$8</f>
        <v>1.071</v>
      </c>
      <c r="L236" s="7">
        <f>2*G236*'Method Notes'!$B$9</f>
        <v>0.30599999999999999</v>
      </c>
      <c r="M236" s="7">
        <f t="shared" si="10"/>
        <v>1.377</v>
      </c>
      <c r="N236" s="7">
        <f t="shared" si="11"/>
        <v>-315.79200000000975</v>
      </c>
      <c r="O236" s="7">
        <v>684.12087625230004</v>
      </c>
      <c r="P236" s="7">
        <v>680.82109160259995</v>
      </c>
      <c r="Q236" s="7">
        <v>680.83389950050002</v>
      </c>
      <c r="R236" s="7">
        <v>685.48423849849996</v>
      </c>
      <c r="S236" s="7">
        <v>679.46140015419996</v>
      </c>
      <c r="T236" s="7">
        <v>681.04454841580002</v>
      </c>
      <c r="U236" t="s">
        <v>88</v>
      </c>
    </row>
    <row r="237" spans="1:21">
      <c r="A237" t="s">
        <v>89</v>
      </c>
      <c r="B237">
        <v>1</v>
      </c>
      <c r="C237" s="10">
        <v>45749</v>
      </c>
      <c r="D237" s="11">
        <v>45749.479166666664</v>
      </c>
      <c r="E237" s="11">
        <v>45749.5</v>
      </c>
      <c r="F237">
        <v>1</v>
      </c>
      <c r="G237">
        <v>302</v>
      </c>
      <c r="H237" s="7">
        <v>560.08669999999995</v>
      </c>
      <c r="I237" s="7">
        <v>559.13220000000001</v>
      </c>
      <c r="J237" s="7">
        <f t="shared" si="9"/>
        <v>-288.2589999999816</v>
      </c>
      <c r="K237" s="7">
        <f>2*G237*'Method Notes'!$B$8</f>
        <v>2.1139999999999999</v>
      </c>
      <c r="L237" s="7">
        <f>2*G237*'Method Notes'!$B$9</f>
        <v>0.60399999999999998</v>
      </c>
      <c r="M237" s="7">
        <f t="shared" si="10"/>
        <v>2.718</v>
      </c>
      <c r="N237" s="7">
        <f t="shared" si="11"/>
        <v>-290.97699999998162</v>
      </c>
      <c r="O237" s="7">
        <v>559.54864381289997</v>
      </c>
      <c r="P237" s="7">
        <v>553.61246595590001</v>
      </c>
      <c r="Q237" s="7">
        <v>557.4300935791</v>
      </c>
      <c r="R237" s="7">
        <v>560.00378763000003</v>
      </c>
      <c r="S237" s="7">
        <v>553.15926921200003</v>
      </c>
      <c r="T237" s="7">
        <v>557.72998803509995</v>
      </c>
      <c r="U237" t="s">
        <v>88</v>
      </c>
    </row>
    <row r="238" spans="1:21">
      <c r="A238" t="s">
        <v>89</v>
      </c>
      <c r="B238">
        <v>2</v>
      </c>
      <c r="C238" s="10">
        <v>45749</v>
      </c>
      <c r="D238" s="11">
        <v>45749.520833333336</v>
      </c>
      <c r="E238" s="11">
        <v>45749.604166666664</v>
      </c>
      <c r="F238">
        <v>1</v>
      </c>
      <c r="G238">
        <v>302</v>
      </c>
      <c r="H238" s="7">
        <v>561.10090000000002</v>
      </c>
      <c r="I238" s="7">
        <v>557.7998</v>
      </c>
      <c r="J238" s="7">
        <f t="shared" si="9"/>
        <v>-996.93220000000588</v>
      </c>
      <c r="K238" s="7">
        <f>2*G238*'Method Notes'!$B$8</f>
        <v>2.1139999999999999</v>
      </c>
      <c r="L238" s="7">
        <f>2*G238*'Method Notes'!$B$9</f>
        <v>0.60399999999999998</v>
      </c>
      <c r="M238" s="7">
        <f t="shared" si="10"/>
        <v>2.718</v>
      </c>
      <c r="N238" s="7">
        <f t="shared" si="11"/>
        <v>-999.65020000000584</v>
      </c>
      <c r="O238" s="7">
        <v>559.92788137599996</v>
      </c>
      <c r="P238" s="7">
        <v>553.23485074439998</v>
      </c>
      <c r="Q238" s="7">
        <v>558.10635377949995</v>
      </c>
      <c r="R238" s="7">
        <v>560.21433813930003</v>
      </c>
      <c r="S238" s="7">
        <v>552.94961942309999</v>
      </c>
      <c r="T238" s="7">
        <v>559.31226130109997</v>
      </c>
      <c r="U238" t="s">
        <v>88</v>
      </c>
    </row>
    <row r="239" spans="1:21">
      <c r="A239" t="s">
        <v>89</v>
      </c>
      <c r="B239">
        <v>3</v>
      </c>
      <c r="C239" s="10">
        <v>45750</v>
      </c>
      <c r="D239" s="11">
        <v>45750.4375</v>
      </c>
      <c r="E239" s="11">
        <v>45750.5</v>
      </c>
      <c r="F239">
        <v>-1</v>
      </c>
      <c r="G239">
        <v>323</v>
      </c>
      <c r="H239" s="7">
        <v>539.87260000000003</v>
      </c>
      <c r="I239" s="7">
        <v>540.49900000000002</v>
      </c>
      <c r="J239" s="7">
        <f t="shared" si="9"/>
        <v>-202.32719999999665</v>
      </c>
      <c r="K239" s="7">
        <f>2*G239*'Method Notes'!$B$8</f>
        <v>2.2610000000000001</v>
      </c>
      <c r="L239" s="7">
        <f>2*G239*'Method Notes'!$B$9</f>
        <v>0.64600000000000002</v>
      </c>
      <c r="M239" s="7">
        <f t="shared" si="10"/>
        <v>2.907</v>
      </c>
      <c r="N239" s="7">
        <f t="shared" si="11"/>
        <v>-205.23419999999666</v>
      </c>
      <c r="O239" s="7">
        <v>562.42341006940001</v>
      </c>
      <c r="P239" s="7">
        <v>539.95765424989997</v>
      </c>
      <c r="Q239" s="7">
        <v>540.57172269780006</v>
      </c>
      <c r="R239" s="7">
        <v>563.65895502069998</v>
      </c>
      <c r="S239" s="7">
        <v>538.76670275970002</v>
      </c>
      <c r="T239" s="7">
        <v>539.69409277759996</v>
      </c>
      <c r="U239" t="s">
        <v>88</v>
      </c>
    </row>
    <row r="240" spans="1:21">
      <c r="A240" t="s">
        <v>89</v>
      </c>
      <c r="B240">
        <v>4</v>
      </c>
      <c r="C240" s="10">
        <v>45750</v>
      </c>
      <c r="D240" s="11">
        <v>45750.604166666664</v>
      </c>
      <c r="E240" s="11">
        <v>45750.625</v>
      </c>
      <c r="F240">
        <v>-1</v>
      </c>
      <c r="G240">
        <v>323</v>
      </c>
      <c r="H240" s="7">
        <v>537.66030000000001</v>
      </c>
      <c r="I240" s="7">
        <v>538.70929999999998</v>
      </c>
      <c r="J240" s="7">
        <f t="shared" si="9"/>
        <v>-338.82699999999295</v>
      </c>
      <c r="K240" s="7">
        <f>2*G240*'Method Notes'!$B$8</f>
        <v>2.2610000000000001</v>
      </c>
      <c r="L240" s="7">
        <f>2*G240*'Method Notes'!$B$9</f>
        <v>0.64600000000000002</v>
      </c>
      <c r="M240" s="7">
        <f t="shared" si="10"/>
        <v>2.907</v>
      </c>
      <c r="N240" s="7">
        <f t="shared" si="11"/>
        <v>-341.73399999999293</v>
      </c>
      <c r="O240" s="7">
        <v>563.81293429159996</v>
      </c>
      <c r="P240" s="7">
        <v>538.61828093019994</v>
      </c>
      <c r="Q240" s="7">
        <v>539.7735395569</v>
      </c>
      <c r="R240" s="7">
        <v>564.38980507400004</v>
      </c>
      <c r="S240" s="7">
        <v>538.06223064870005</v>
      </c>
      <c r="T240" s="7">
        <v>539.69769368660002</v>
      </c>
      <c r="U240" t="s">
        <v>88</v>
      </c>
    </row>
    <row r="241" spans="1:21">
      <c r="A241" t="s">
        <v>89</v>
      </c>
      <c r="B241">
        <v>5</v>
      </c>
      <c r="C241" s="10">
        <v>45750</v>
      </c>
      <c r="D241" s="11">
        <v>45750.645833333336</v>
      </c>
      <c r="E241" s="11">
        <v>45750.666666666664</v>
      </c>
      <c r="F241">
        <v>-1</v>
      </c>
      <c r="G241">
        <v>323</v>
      </c>
      <c r="H241" s="7">
        <v>536.11419999999998</v>
      </c>
      <c r="I241" s="7">
        <v>533.63840000000005</v>
      </c>
      <c r="J241" s="7">
        <f t="shared" si="9"/>
        <v>799.6833999999792</v>
      </c>
      <c r="K241" s="7">
        <f>2*G241*'Method Notes'!$B$8</f>
        <v>2.2610000000000001</v>
      </c>
      <c r="L241" s="7">
        <f>2*G241*'Method Notes'!$B$9</f>
        <v>0.64600000000000002</v>
      </c>
      <c r="M241" s="7">
        <f t="shared" si="10"/>
        <v>2.907</v>
      </c>
      <c r="N241" s="7">
        <f t="shared" si="11"/>
        <v>796.77639999997916</v>
      </c>
      <c r="O241" s="7">
        <v>564.52394343449998</v>
      </c>
      <c r="P241" s="7">
        <v>537.93293362860004</v>
      </c>
      <c r="Q241" s="7">
        <v>539.37496063549997</v>
      </c>
      <c r="R241" s="7">
        <v>564.95842808750001</v>
      </c>
      <c r="S241" s="7">
        <v>537.51413045640004</v>
      </c>
      <c r="T241" s="7">
        <v>537.86789182790005</v>
      </c>
      <c r="U241" t="s">
        <v>85</v>
      </c>
    </row>
    <row r="242" spans="1:21">
      <c r="A242" t="s">
        <v>89</v>
      </c>
      <c r="B242">
        <v>6</v>
      </c>
      <c r="C242" s="10">
        <v>45751</v>
      </c>
      <c r="D242" s="11">
        <v>45751.4375</v>
      </c>
      <c r="E242" s="11">
        <v>45751.666666666664</v>
      </c>
      <c r="F242">
        <v>-1</v>
      </c>
      <c r="G242">
        <v>229</v>
      </c>
      <c r="H242" s="7">
        <v>513.20069999999998</v>
      </c>
      <c r="I242" s="7">
        <v>502.39760000000001</v>
      </c>
      <c r="J242" s="7">
        <f t="shared" si="9"/>
        <v>2473.9098999999937</v>
      </c>
      <c r="K242" s="7">
        <f>2*G242*'Method Notes'!$B$8</f>
        <v>1.603</v>
      </c>
      <c r="L242" s="7">
        <f>2*G242*'Method Notes'!$B$9</f>
        <v>0.45800000000000002</v>
      </c>
      <c r="M242" s="7">
        <f t="shared" si="10"/>
        <v>2.0609999999999999</v>
      </c>
      <c r="N242" s="7">
        <f t="shared" si="11"/>
        <v>2471.8488999999936</v>
      </c>
      <c r="O242" s="7">
        <v>534.78861002890005</v>
      </c>
      <c r="P242" s="7">
        <v>518.8558410329</v>
      </c>
      <c r="Q242" s="7">
        <v>517.50886119769996</v>
      </c>
      <c r="R242" s="7">
        <v>537.2345141577</v>
      </c>
      <c r="S242" s="7">
        <v>516.47255325089998</v>
      </c>
      <c r="T242" s="7">
        <v>509.55477975159999</v>
      </c>
      <c r="U242" t="s">
        <v>85</v>
      </c>
    </row>
    <row r="243" spans="1:21">
      <c r="A243" t="s">
        <v>89</v>
      </c>
      <c r="B243">
        <v>7</v>
      </c>
      <c r="C243" s="10">
        <v>45754</v>
      </c>
      <c r="D243" s="11">
        <v>45754.583333333336</v>
      </c>
      <c r="E243" s="11">
        <v>45754.604166666664</v>
      </c>
      <c r="F243">
        <v>1</v>
      </c>
      <c r="G243">
        <v>188</v>
      </c>
      <c r="H243" s="7">
        <v>506.30520000000001</v>
      </c>
      <c r="I243" s="7">
        <v>502.28829999999999</v>
      </c>
      <c r="J243" s="7">
        <f t="shared" si="9"/>
        <v>-755.17720000000395</v>
      </c>
      <c r="K243" s="7">
        <f>2*G243*'Method Notes'!$B$8</f>
        <v>1.3160000000000001</v>
      </c>
      <c r="L243" s="7">
        <f>2*G243*'Method Notes'!$B$9</f>
        <v>0.376</v>
      </c>
      <c r="M243" s="7">
        <f t="shared" si="10"/>
        <v>1.6920000000000002</v>
      </c>
      <c r="N243" s="7">
        <f t="shared" si="11"/>
        <v>-756.86920000000396</v>
      </c>
      <c r="O243" s="7">
        <v>505.09717605510002</v>
      </c>
      <c r="P243" s="7">
        <v>489.97167062810001</v>
      </c>
      <c r="Q243" s="7">
        <v>496.59523573849998</v>
      </c>
      <c r="R243" s="7">
        <v>505.38901514439999</v>
      </c>
      <c r="S243" s="7">
        <v>489.68551191509999</v>
      </c>
      <c r="T243" s="7">
        <v>496.84862268090001</v>
      </c>
      <c r="U243" t="s">
        <v>88</v>
      </c>
    </row>
    <row r="244" spans="1:21">
      <c r="A244" t="s">
        <v>89</v>
      </c>
      <c r="B244">
        <v>8</v>
      </c>
      <c r="C244" s="10">
        <v>45755</v>
      </c>
      <c r="D244" s="11">
        <v>45755.645833333336</v>
      </c>
      <c r="E244" s="11">
        <v>45755.666666666664</v>
      </c>
      <c r="F244">
        <v>-1</v>
      </c>
      <c r="G244">
        <v>176</v>
      </c>
      <c r="H244" s="7">
        <v>494.4271</v>
      </c>
      <c r="I244" s="7">
        <v>493.64789999999999</v>
      </c>
      <c r="J244" s="7">
        <f t="shared" si="9"/>
        <v>137.13920000000053</v>
      </c>
      <c r="K244" s="7">
        <f>2*G244*'Method Notes'!$B$8</f>
        <v>1.232</v>
      </c>
      <c r="L244" s="7">
        <f>2*G244*'Method Notes'!$B$9</f>
        <v>0.35199999999999998</v>
      </c>
      <c r="M244" s="7">
        <f t="shared" si="10"/>
        <v>1.5840000000000001</v>
      </c>
      <c r="N244" s="7">
        <f t="shared" si="11"/>
        <v>135.55520000000053</v>
      </c>
      <c r="O244" s="7">
        <v>524.08276777959998</v>
      </c>
      <c r="P244" s="7">
        <v>497.6197818123</v>
      </c>
      <c r="Q244" s="7">
        <v>507.39754010310003</v>
      </c>
      <c r="R244" s="7">
        <v>525.35520704630005</v>
      </c>
      <c r="S244" s="7">
        <v>496.3927385083</v>
      </c>
      <c r="T244" s="7">
        <v>504.27580488349997</v>
      </c>
      <c r="U244" t="s">
        <v>85</v>
      </c>
    </row>
    <row r="245" spans="1:21">
      <c r="A245" t="s">
        <v>89</v>
      </c>
      <c r="B245">
        <v>9</v>
      </c>
      <c r="C245" s="10">
        <v>45756</v>
      </c>
      <c r="D245" s="11">
        <v>45756.458333333336</v>
      </c>
      <c r="E245" s="11">
        <v>45756.479166666664</v>
      </c>
      <c r="F245">
        <v>-1</v>
      </c>
      <c r="G245">
        <v>189</v>
      </c>
      <c r="H245" s="7">
        <v>490.31700000000001</v>
      </c>
      <c r="I245" s="7">
        <v>495.35809999999998</v>
      </c>
      <c r="J245" s="7">
        <f t="shared" si="9"/>
        <v>-952.7678999999946</v>
      </c>
      <c r="K245" s="7">
        <f>2*G245*'Method Notes'!$B$8</f>
        <v>1.323</v>
      </c>
      <c r="L245" s="7">
        <f>2*G245*'Method Notes'!$B$9</f>
        <v>0.378</v>
      </c>
      <c r="M245" s="7">
        <f t="shared" si="10"/>
        <v>1.7010000000000001</v>
      </c>
      <c r="N245" s="7">
        <f t="shared" si="11"/>
        <v>-954.46889999999462</v>
      </c>
      <c r="O245" s="7">
        <v>500.56817538220002</v>
      </c>
      <c r="P245" s="7">
        <v>490.44998498529998</v>
      </c>
      <c r="Q245" s="7">
        <v>495.30708028359999</v>
      </c>
      <c r="R245" s="7">
        <v>500.07817236509999</v>
      </c>
      <c r="S245" s="7">
        <v>490.93634362009999</v>
      </c>
      <c r="T245" s="7">
        <v>495.31457667879999</v>
      </c>
      <c r="U245" t="s">
        <v>88</v>
      </c>
    </row>
    <row r="246" spans="1:21">
      <c r="A246" t="s">
        <v>89</v>
      </c>
      <c r="B246">
        <v>10</v>
      </c>
      <c r="C246" s="10">
        <v>45756</v>
      </c>
      <c r="D246" s="11">
        <v>45756.5625</v>
      </c>
      <c r="E246" s="11">
        <v>45756.666666666664</v>
      </c>
      <c r="F246">
        <v>1</v>
      </c>
      <c r="G246">
        <v>189</v>
      </c>
      <c r="H246" s="7">
        <v>521.77650000000006</v>
      </c>
      <c r="I246" s="7">
        <v>545.49040000000002</v>
      </c>
      <c r="J246" s="7">
        <f t="shared" si="9"/>
        <v>4481.9270999999935</v>
      </c>
      <c r="K246" s="7">
        <f>2*G246*'Method Notes'!$B$8</f>
        <v>1.323</v>
      </c>
      <c r="L246" s="7">
        <f>2*G246*'Method Notes'!$B$9</f>
        <v>0.378</v>
      </c>
      <c r="M246" s="7">
        <f t="shared" si="10"/>
        <v>1.7010000000000001</v>
      </c>
      <c r="N246" s="7">
        <f t="shared" si="11"/>
        <v>4480.2260999999935</v>
      </c>
      <c r="O246" s="7">
        <v>502.47450922519999</v>
      </c>
      <c r="P246" s="7">
        <v>488.55782944150002</v>
      </c>
      <c r="Q246" s="7">
        <v>506.47916999130001</v>
      </c>
      <c r="R246" s="7">
        <v>504.02787899139997</v>
      </c>
      <c r="S246" s="7">
        <v>487.0160128151</v>
      </c>
      <c r="T246" s="7">
        <v>523.88149199019995</v>
      </c>
      <c r="U246" t="s">
        <v>85</v>
      </c>
    </row>
    <row r="247" spans="1:21">
      <c r="A247" t="s">
        <v>89</v>
      </c>
      <c r="B247">
        <v>11</v>
      </c>
      <c r="C247" s="10">
        <v>45757</v>
      </c>
      <c r="D247" s="11">
        <v>45757.479166666664</v>
      </c>
      <c r="E247" s="11">
        <v>45757.583333333336</v>
      </c>
      <c r="F247">
        <v>-1</v>
      </c>
      <c r="G247">
        <v>106</v>
      </c>
      <c r="H247" s="7">
        <v>520.81200000000001</v>
      </c>
      <c r="I247" s="7">
        <v>521.19979999999998</v>
      </c>
      <c r="J247" s="7">
        <f t="shared" si="9"/>
        <v>-41.106799999996838</v>
      </c>
      <c r="K247" s="7">
        <f>2*G247*'Method Notes'!$B$8</f>
        <v>0.74199999999999999</v>
      </c>
      <c r="L247" s="7">
        <f>2*G247*'Method Notes'!$B$9</f>
        <v>0.21199999999999999</v>
      </c>
      <c r="M247" s="7">
        <f t="shared" si="10"/>
        <v>0.95399999999999996</v>
      </c>
      <c r="N247" s="7">
        <f t="shared" si="11"/>
        <v>-42.060799999996838</v>
      </c>
      <c r="O247" s="7">
        <v>548.48380842580002</v>
      </c>
      <c r="P247" s="7">
        <v>523.00037572669999</v>
      </c>
      <c r="Q247" s="7">
        <v>524.32108434539998</v>
      </c>
      <c r="R247" s="7">
        <v>553.29312729339995</v>
      </c>
      <c r="S247" s="7">
        <v>518.36389392420006</v>
      </c>
      <c r="T247" s="7">
        <v>518.3352502898</v>
      </c>
      <c r="U247" t="s">
        <v>88</v>
      </c>
    </row>
    <row r="248" spans="1:21">
      <c r="A248" t="s">
        <v>89</v>
      </c>
      <c r="B248">
        <v>12</v>
      </c>
      <c r="C248" s="10">
        <v>45758</v>
      </c>
      <c r="D248" s="11">
        <v>45758.4375</v>
      </c>
      <c r="E248" s="11">
        <v>45758.458333333336</v>
      </c>
      <c r="F248">
        <v>-1</v>
      </c>
      <c r="G248">
        <v>102</v>
      </c>
      <c r="H248" s="7">
        <v>517.5607</v>
      </c>
      <c r="I248" s="7">
        <v>519.93700000000001</v>
      </c>
      <c r="J248" s="7">
        <f t="shared" si="9"/>
        <v>-242.3826000000015</v>
      </c>
      <c r="K248" s="7">
        <f>2*G248*'Method Notes'!$B$8</f>
        <v>0.71399999999999997</v>
      </c>
      <c r="L248" s="7">
        <f>2*G248*'Method Notes'!$B$9</f>
        <v>0.20400000000000001</v>
      </c>
      <c r="M248" s="7">
        <f t="shared" si="10"/>
        <v>0.91799999999999993</v>
      </c>
      <c r="N248" s="7">
        <f t="shared" si="11"/>
        <v>-243.30060000000151</v>
      </c>
      <c r="O248" s="7">
        <v>523.82764540220001</v>
      </c>
      <c r="P248" s="7">
        <v>519.90785482909996</v>
      </c>
      <c r="Q248" s="7">
        <v>519.99486563619996</v>
      </c>
      <c r="R248" s="7">
        <v>525.93634756949996</v>
      </c>
      <c r="S248" s="7">
        <v>517.80141060209996</v>
      </c>
      <c r="T248" s="7">
        <v>519.98202372469996</v>
      </c>
      <c r="U248" t="s">
        <v>88</v>
      </c>
    </row>
    <row r="249" spans="1:21">
      <c r="A249" t="s">
        <v>89</v>
      </c>
      <c r="B249">
        <v>13</v>
      </c>
      <c r="C249" s="10">
        <v>45758</v>
      </c>
      <c r="D249" s="11">
        <v>45758.541666666664</v>
      </c>
      <c r="E249" s="11">
        <v>45758.5625</v>
      </c>
      <c r="F249">
        <v>1</v>
      </c>
      <c r="G249">
        <v>102</v>
      </c>
      <c r="H249" s="7">
        <v>528.78629999999998</v>
      </c>
      <c r="I249" s="7">
        <v>526.80269999999996</v>
      </c>
      <c r="J249" s="7">
        <f t="shared" si="9"/>
        <v>-202.32720000000245</v>
      </c>
      <c r="K249" s="7">
        <f>2*G249*'Method Notes'!$B$8</f>
        <v>0.71399999999999997</v>
      </c>
      <c r="L249" s="7">
        <f>2*G249*'Method Notes'!$B$9</f>
        <v>0.20400000000000001</v>
      </c>
      <c r="M249" s="7">
        <f t="shared" si="10"/>
        <v>0.91799999999999993</v>
      </c>
      <c r="N249" s="7">
        <f t="shared" si="11"/>
        <v>-203.24520000000246</v>
      </c>
      <c r="O249" s="7">
        <v>526.66127550019996</v>
      </c>
      <c r="P249" s="7">
        <v>517.07725890430004</v>
      </c>
      <c r="Q249" s="7">
        <v>521.79019514319998</v>
      </c>
      <c r="R249" s="7">
        <v>529.79821633380004</v>
      </c>
      <c r="S249" s="7">
        <v>513.94367702060003</v>
      </c>
      <c r="T249" s="7">
        <v>522.20396479119995</v>
      </c>
      <c r="U249" t="s">
        <v>88</v>
      </c>
    </row>
    <row r="250" spans="1:21">
      <c r="A250" t="s">
        <v>89</v>
      </c>
      <c r="B250">
        <v>14</v>
      </c>
      <c r="C250" s="10">
        <v>45758</v>
      </c>
      <c r="D250" s="11">
        <v>45758.583333333336</v>
      </c>
      <c r="E250" s="11">
        <v>45758.625</v>
      </c>
      <c r="F250">
        <v>1</v>
      </c>
      <c r="G250">
        <v>102</v>
      </c>
      <c r="H250" s="7">
        <v>531.66970000000003</v>
      </c>
      <c r="I250" s="7">
        <v>529.13419999999996</v>
      </c>
      <c r="J250" s="7">
        <f t="shared" si="9"/>
        <v>-258.62100000000714</v>
      </c>
      <c r="K250" s="7">
        <f>2*G250*'Method Notes'!$B$8</f>
        <v>0.71399999999999997</v>
      </c>
      <c r="L250" s="7">
        <f>2*G250*'Method Notes'!$B$9</f>
        <v>0.20400000000000001</v>
      </c>
      <c r="M250" s="7">
        <f t="shared" si="10"/>
        <v>0.91799999999999993</v>
      </c>
      <c r="N250" s="7">
        <f t="shared" si="11"/>
        <v>-259.53900000000715</v>
      </c>
      <c r="O250" s="7">
        <v>529.75032881039999</v>
      </c>
      <c r="P250" s="7">
        <v>513.99151326740002</v>
      </c>
      <c r="Q250" s="7">
        <v>523.4489113221</v>
      </c>
      <c r="R250" s="7">
        <v>529.68387985089998</v>
      </c>
      <c r="S250" s="7">
        <v>514.05789107520002</v>
      </c>
      <c r="T250" s="7">
        <v>524.24135086269996</v>
      </c>
      <c r="U250" t="s">
        <v>88</v>
      </c>
    </row>
    <row r="251" spans="1:21">
      <c r="A251" t="s">
        <v>89</v>
      </c>
      <c r="B251">
        <v>15</v>
      </c>
      <c r="C251" s="10">
        <v>45758</v>
      </c>
      <c r="D251" s="11">
        <v>45758.645833333336</v>
      </c>
      <c r="E251" s="11">
        <v>45758.666666666664</v>
      </c>
      <c r="F251">
        <v>1</v>
      </c>
      <c r="G251">
        <v>102</v>
      </c>
      <c r="H251" s="7">
        <v>531.44100000000003</v>
      </c>
      <c r="I251" s="7">
        <v>530.89419999999996</v>
      </c>
      <c r="J251" s="7">
        <f t="shared" si="9"/>
        <v>-55.773600000007718</v>
      </c>
      <c r="K251" s="7">
        <f>2*G251*'Method Notes'!$B$8</f>
        <v>0.71399999999999997</v>
      </c>
      <c r="L251" s="7">
        <f>2*G251*'Method Notes'!$B$9</f>
        <v>0.20400000000000001</v>
      </c>
      <c r="M251" s="7">
        <f t="shared" si="10"/>
        <v>0.91799999999999993</v>
      </c>
      <c r="N251" s="7">
        <f t="shared" si="11"/>
        <v>-56.691600000007718</v>
      </c>
      <c r="O251" s="7">
        <v>531.0477206393</v>
      </c>
      <c r="P251" s="7">
        <v>512.69551064990003</v>
      </c>
      <c r="Q251" s="7">
        <v>524.79000829309996</v>
      </c>
      <c r="R251" s="7">
        <v>532.7325785283</v>
      </c>
      <c r="S251" s="7">
        <v>511.01245686039999</v>
      </c>
      <c r="T251" s="7">
        <v>525.91875868620002</v>
      </c>
      <c r="U251" t="s">
        <v>85</v>
      </c>
    </row>
    <row r="252" spans="1:21">
      <c r="A252" t="s">
        <v>89</v>
      </c>
      <c r="B252">
        <v>16</v>
      </c>
      <c r="C252" s="10">
        <v>45768</v>
      </c>
      <c r="D252" s="11">
        <v>45768.479166666664</v>
      </c>
      <c r="E252" s="11">
        <v>45768.5625</v>
      </c>
      <c r="F252">
        <v>-1</v>
      </c>
      <c r="G252">
        <v>102</v>
      </c>
      <c r="H252" s="7">
        <v>510.14319999999998</v>
      </c>
      <c r="I252" s="7">
        <v>507.00130000000001</v>
      </c>
      <c r="J252" s="7">
        <f t="shared" si="9"/>
        <v>320.47379999999634</v>
      </c>
      <c r="K252" s="7">
        <f>2*G252*'Method Notes'!$B$8</f>
        <v>0.71399999999999997</v>
      </c>
      <c r="L252" s="7">
        <f>2*G252*'Method Notes'!$B$9</f>
        <v>0.20400000000000001</v>
      </c>
      <c r="M252" s="7">
        <f t="shared" si="10"/>
        <v>0.91799999999999993</v>
      </c>
      <c r="N252" s="7">
        <f t="shared" si="11"/>
        <v>319.55579999999634</v>
      </c>
      <c r="O252" s="7">
        <v>526.91823026530005</v>
      </c>
      <c r="P252" s="7">
        <v>510.98743451889999</v>
      </c>
      <c r="Q252" s="7">
        <v>512.440768693</v>
      </c>
      <c r="R252" s="7">
        <v>531.11887113980004</v>
      </c>
      <c r="S252" s="7">
        <v>506.85876940089997</v>
      </c>
      <c r="T252" s="7">
        <v>510.30653389539998</v>
      </c>
      <c r="U252" t="s">
        <v>88</v>
      </c>
    </row>
    <row r="253" spans="1:21">
      <c r="A253" t="s">
        <v>89</v>
      </c>
      <c r="B253">
        <v>17</v>
      </c>
      <c r="C253" s="10">
        <v>45768</v>
      </c>
      <c r="D253" s="11">
        <v>45768.583333333336</v>
      </c>
      <c r="E253" s="11">
        <v>45768.604166666664</v>
      </c>
      <c r="F253">
        <v>-1</v>
      </c>
      <c r="G253">
        <v>102</v>
      </c>
      <c r="H253" s="7">
        <v>506.09350000000001</v>
      </c>
      <c r="I253" s="7">
        <v>507.03100000000001</v>
      </c>
      <c r="J253" s="7">
        <f t="shared" si="9"/>
        <v>-95.625</v>
      </c>
      <c r="K253" s="7">
        <f>2*G253*'Method Notes'!$B$8</f>
        <v>0.71399999999999997</v>
      </c>
      <c r="L253" s="7">
        <f>2*G253*'Method Notes'!$B$9</f>
        <v>0.20400000000000001</v>
      </c>
      <c r="M253" s="7">
        <f t="shared" si="10"/>
        <v>0.91799999999999993</v>
      </c>
      <c r="N253" s="7">
        <f t="shared" si="11"/>
        <v>-96.543000000000006</v>
      </c>
      <c r="O253" s="7">
        <v>531.52496738050002</v>
      </c>
      <c r="P253" s="7">
        <v>506.45963140420002</v>
      </c>
      <c r="Q253" s="7">
        <v>510.01118954639998</v>
      </c>
      <c r="R253" s="7">
        <v>531.64248327140001</v>
      </c>
      <c r="S253" s="7">
        <v>506.34412908590002</v>
      </c>
      <c r="T253" s="7">
        <v>509.74257229969999</v>
      </c>
      <c r="U253" t="s">
        <v>88</v>
      </c>
    </row>
    <row r="254" spans="1:21">
      <c r="A254" t="s">
        <v>89</v>
      </c>
      <c r="B254">
        <v>18</v>
      </c>
      <c r="C254" s="10">
        <v>45768</v>
      </c>
      <c r="D254" s="11">
        <v>45768.625</v>
      </c>
      <c r="E254" s="11">
        <v>45768.645833333336</v>
      </c>
      <c r="F254">
        <v>-1</v>
      </c>
      <c r="G254">
        <v>102</v>
      </c>
      <c r="H254" s="7">
        <v>505.86770000000001</v>
      </c>
      <c r="I254" s="7">
        <v>507.50830000000002</v>
      </c>
      <c r="J254" s="7">
        <f t="shared" si="9"/>
        <v>-167.34120000000064</v>
      </c>
      <c r="K254" s="7">
        <f>2*G254*'Method Notes'!$B$8</f>
        <v>0.71399999999999997</v>
      </c>
      <c r="L254" s="7">
        <f>2*G254*'Method Notes'!$B$9</f>
        <v>0.20400000000000001</v>
      </c>
      <c r="M254" s="7">
        <f t="shared" si="10"/>
        <v>0.91799999999999993</v>
      </c>
      <c r="N254" s="7">
        <f t="shared" si="11"/>
        <v>-168.25920000000065</v>
      </c>
      <c r="O254" s="7">
        <v>531.14059498170002</v>
      </c>
      <c r="P254" s="7">
        <v>506.83741778550001</v>
      </c>
      <c r="Q254" s="7">
        <v>509.4192125335</v>
      </c>
      <c r="R254" s="7">
        <v>532.89990248590004</v>
      </c>
      <c r="S254" s="7">
        <v>505.1082550836</v>
      </c>
      <c r="T254" s="7">
        <v>509.23221881630002</v>
      </c>
      <c r="U254" t="s">
        <v>88</v>
      </c>
    </row>
    <row r="255" spans="1:21">
      <c r="A255" t="s">
        <v>89</v>
      </c>
      <c r="B255">
        <v>19</v>
      </c>
      <c r="C255" s="10">
        <v>45769</v>
      </c>
      <c r="D255" s="11">
        <v>45769.5</v>
      </c>
      <c r="E255" s="11">
        <v>45769.5625</v>
      </c>
      <c r="F255">
        <v>1</v>
      </c>
      <c r="G255">
        <v>101</v>
      </c>
      <c r="H255" s="7">
        <v>523.20830000000001</v>
      </c>
      <c r="I255" s="7">
        <v>519.60389999999995</v>
      </c>
      <c r="J255" s="7">
        <f t="shared" si="9"/>
        <v>-364.04440000000557</v>
      </c>
      <c r="K255" s="7">
        <f>2*G255*'Method Notes'!$B$8</f>
        <v>0.70699999999999996</v>
      </c>
      <c r="L255" s="7">
        <f>2*G255*'Method Notes'!$B$9</f>
        <v>0.20200000000000001</v>
      </c>
      <c r="M255" s="7">
        <f t="shared" si="10"/>
        <v>0.90900000000000003</v>
      </c>
      <c r="N255" s="7">
        <f t="shared" si="11"/>
        <v>-364.95340000000556</v>
      </c>
      <c r="O255" s="7">
        <v>523.1512204572</v>
      </c>
      <c r="P255" s="7">
        <v>506.80471170070001</v>
      </c>
      <c r="Q255" s="7">
        <v>521.04227744139996</v>
      </c>
      <c r="R255" s="7">
        <v>526.85952727150004</v>
      </c>
      <c r="S255" s="7">
        <v>503.15353126510001</v>
      </c>
      <c r="T255" s="7">
        <v>521.90915189069995</v>
      </c>
      <c r="U255" t="s">
        <v>88</v>
      </c>
    </row>
    <row r="256" spans="1:21">
      <c r="A256" t="s">
        <v>89</v>
      </c>
      <c r="B256">
        <v>20</v>
      </c>
      <c r="C256" s="10">
        <v>45771</v>
      </c>
      <c r="D256" s="11">
        <v>45771.4375</v>
      </c>
      <c r="E256" s="11">
        <v>45771.458333333336</v>
      </c>
      <c r="F256">
        <v>1</v>
      </c>
      <c r="G256">
        <v>95</v>
      </c>
      <c r="H256" s="7">
        <v>539.03880000000004</v>
      </c>
      <c r="I256" s="7">
        <v>539.3954</v>
      </c>
      <c r="J256" s="7">
        <f t="shared" si="9"/>
        <v>33.876999999995974</v>
      </c>
      <c r="K256" s="7">
        <f>2*G256*'Method Notes'!$B$8</f>
        <v>0.66500000000000004</v>
      </c>
      <c r="L256" s="7">
        <f>2*G256*'Method Notes'!$B$9</f>
        <v>0.19</v>
      </c>
      <c r="M256" s="7">
        <f t="shared" si="10"/>
        <v>0.85499999999999998</v>
      </c>
      <c r="N256" s="7">
        <f t="shared" si="11"/>
        <v>33.021999999995977</v>
      </c>
      <c r="O256" s="7">
        <v>538.61639015239996</v>
      </c>
      <c r="P256" s="7">
        <v>530.16697618410001</v>
      </c>
      <c r="Q256" s="7">
        <v>537.73591460240004</v>
      </c>
      <c r="R256" s="7">
        <v>540.46280450560005</v>
      </c>
      <c r="S256" s="7">
        <v>528.33445362379996</v>
      </c>
      <c r="T256" s="7">
        <v>538.29364669630002</v>
      </c>
      <c r="U256" t="s">
        <v>88</v>
      </c>
    </row>
    <row r="257" spans="1:21">
      <c r="A257" t="s">
        <v>89</v>
      </c>
      <c r="B257">
        <v>21</v>
      </c>
      <c r="C257" s="10">
        <v>45771</v>
      </c>
      <c r="D257" s="11">
        <v>45771.541666666664</v>
      </c>
      <c r="E257" s="11">
        <v>45771.5625</v>
      </c>
      <c r="F257">
        <v>1</v>
      </c>
      <c r="G257">
        <v>95</v>
      </c>
      <c r="H257" s="7">
        <v>542.33849999999995</v>
      </c>
      <c r="I257" s="7">
        <v>541.86320000000001</v>
      </c>
      <c r="J257" s="7">
        <f t="shared" si="9"/>
        <v>-45.153499999995006</v>
      </c>
      <c r="K257" s="7">
        <f>2*G257*'Method Notes'!$B$8</f>
        <v>0.66500000000000004</v>
      </c>
      <c r="L257" s="7">
        <f>2*G257*'Method Notes'!$B$9</f>
        <v>0.19</v>
      </c>
      <c r="M257" s="7">
        <f t="shared" si="10"/>
        <v>0.85499999999999998</v>
      </c>
      <c r="N257" s="7">
        <f t="shared" si="11"/>
        <v>-46.008499999995003</v>
      </c>
      <c r="O257" s="7">
        <v>541.68679723729997</v>
      </c>
      <c r="P257" s="7">
        <v>527.11966979670001</v>
      </c>
      <c r="Q257" s="7">
        <v>539.35782140900005</v>
      </c>
      <c r="R257" s="7">
        <v>544.37431103419999</v>
      </c>
      <c r="S257" s="7">
        <v>524.45237593859997</v>
      </c>
      <c r="T257" s="7">
        <v>539.55160931240005</v>
      </c>
      <c r="U257" t="s">
        <v>88</v>
      </c>
    </row>
    <row r="258" spans="1:21">
      <c r="A258" t="s">
        <v>89</v>
      </c>
      <c r="B258">
        <v>22</v>
      </c>
      <c r="C258" s="10">
        <v>45778</v>
      </c>
      <c r="D258" s="11">
        <v>45778.458333333336</v>
      </c>
      <c r="E258" s="11">
        <v>45778.479166666664</v>
      </c>
      <c r="F258">
        <v>1</v>
      </c>
      <c r="G258">
        <v>191</v>
      </c>
      <c r="H258" s="7">
        <v>560.17610000000002</v>
      </c>
      <c r="I258" s="7">
        <v>560.15620000000001</v>
      </c>
      <c r="J258" s="7">
        <f t="shared" si="9"/>
        <v>-3.8009000000013202</v>
      </c>
      <c r="K258" s="7">
        <f>2*G258*'Method Notes'!$B$8</f>
        <v>1.337</v>
      </c>
      <c r="L258" s="7">
        <f>2*G258*'Method Notes'!$B$9</f>
        <v>0.38200000000000001</v>
      </c>
      <c r="M258" s="7">
        <f t="shared" si="10"/>
        <v>1.7189999999999999</v>
      </c>
      <c r="N258" s="7">
        <f t="shared" si="11"/>
        <v>-5.5199000000013196</v>
      </c>
      <c r="O258" s="7">
        <v>559.723150949</v>
      </c>
      <c r="P258" s="7">
        <v>548.97175107019996</v>
      </c>
      <c r="Q258" s="7">
        <v>558.46022632589995</v>
      </c>
      <c r="R258" s="7">
        <v>560.73438651460003</v>
      </c>
      <c r="S258" s="7">
        <v>547.97125092780004</v>
      </c>
      <c r="T258" s="7">
        <v>558.76951850880005</v>
      </c>
      <c r="U258" t="s">
        <v>88</v>
      </c>
    </row>
    <row r="259" spans="1:21">
      <c r="A259" t="s">
        <v>89</v>
      </c>
      <c r="B259">
        <v>23</v>
      </c>
      <c r="C259" s="10">
        <v>45779</v>
      </c>
      <c r="D259" s="11">
        <v>45779.4375</v>
      </c>
      <c r="E259" s="11">
        <v>45779.458333333336</v>
      </c>
      <c r="F259">
        <v>1</v>
      </c>
      <c r="G259">
        <v>256</v>
      </c>
      <c r="H259" s="7">
        <v>563.06209999999999</v>
      </c>
      <c r="I259" s="7">
        <v>562.53269999999998</v>
      </c>
      <c r="J259" s="7">
        <f t="shared" si="9"/>
        <v>-135.52640000000247</v>
      </c>
      <c r="K259" s="7">
        <f>2*G259*'Method Notes'!$B$8</f>
        <v>1.792</v>
      </c>
      <c r="L259" s="7">
        <f>2*G259*'Method Notes'!$B$9</f>
        <v>0.51200000000000001</v>
      </c>
      <c r="M259" s="7">
        <f t="shared" si="10"/>
        <v>2.3040000000000003</v>
      </c>
      <c r="N259" s="7">
        <f t="shared" si="11"/>
        <v>-137.83040000000247</v>
      </c>
      <c r="O259" s="7">
        <v>562.37263327070002</v>
      </c>
      <c r="P259" s="7">
        <v>553.19570140969995</v>
      </c>
      <c r="Q259" s="7">
        <v>561.287103763</v>
      </c>
      <c r="R259" s="7">
        <v>562.72513429829996</v>
      </c>
      <c r="S259" s="7">
        <v>552.84633464390004</v>
      </c>
      <c r="T259" s="7">
        <v>561.56361863660004</v>
      </c>
      <c r="U259" t="s">
        <v>88</v>
      </c>
    </row>
    <row r="260" spans="1:21">
      <c r="A260" t="s">
        <v>89</v>
      </c>
      <c r="B260">
        <v>24</v>
      </c>
      <c r="C260" s="10">
        <v>45785</v>
      </c>
      <c r="D260" s="11">
        <v>45785.5</v>
      </c>
      <c r="E260" s="11">
        <v>45785.604166666664</v>
      </c>
      <c r="F260">
        <v>1</v>
      </c>
      <c r="G260">
        <v>289</v>
      </c>
      <c r="H260" s="7">
        <v>565.1277</v>
      </c>
      <c r="I260" s="7">
        <v>564.78970000000004</v>
      </c>
      <c r="J260" s="7">
        <f t="shared" si="9"/>
        <v>-97.681999999990012</v>
      </c>
      <c r="K260" s="7">
        <f>2*G260*'Method Notes'!$B$8</f>
        <v>2.0230000000000001</v>
      </c>
      <c r="L260" s="7">
        <f>2*G260*'Method Notes'!$B$9</f>
        <v>0.57799999999999996</v>
      </c>
      <c r="M260" s="7">
        <f t="shared" si="10"/>
        <v>2.601</v>
      </c>
      <c r="N260" s="7">
        <f t="shared" si="11"/>
        <v>-100.28299999999001</v>
      </c>
      <c r="O260" s="7">
        <v>564.1482895373</v>
      </c>
      <c r="P260" s="7">
        <v>554.66977419809996</v>
      </c>
      <c r="Q260" s="7">
        <v>562.30683878089997</v>
      </c>
      <c r="R260" s="7">
        <v>565.21287672369999</v>
      </c>
      <c r="S260" s="7">
        <v>553.6106985079</v>
      </c>
      <c r="T260" s="7">
        <v>563.27469378939998</v>
      </c>
      <c r="U260" t="s">
        <v>88</v>
      </c>
    </row>
    <row r="261" spans="1:21">
      <c r="A261" t="s">
        <v>89</v>
      </c>
      <c r="B261">
        <v>25</v>
      </c>
      <c r="C261" s="10">
        <v>45785</v>
      </c>
      <c r="D261" s="11">
        <v>45785.625</v>
      </c>
      <c r="E261" s="11">
        <v>45785.666666666664</v>
      </c>
      <c r="F261">
        <v>1</v>
      </c>
      <c r="G261">
        <v>289</v>
      </c>
      <c r="H261" s="7">
        <v>565.06809999999996</v>
      </c>
      <c r="I261" s="7">
        <v>561.83659999999998</v>
      </c>
      <c r="J261" s="7">
        <f t="shared" si="9"/>
        <v>-933.90349999999501</v>
      </c>
      <c r="K261" s="7">
        <f>2*G261*'Method Notes'!$B$8</f>
        <v>2.0230000000000001</v>
      </c>
      <c r="L261" s="7">
        <f>2*G261*'Method Notes'!$B$9</f>
        <v>0.57799999999999996</v>
      </c>
      <c r="M261" s="7">
        <f t="shared" si="10"/>
        <v>2.601</v>
      </c>
      <c r="N261" s="7">
        <f t="shared" si="11"/>
        <v>-936.50449999999501</v>
      </c>
      <c r="O261" s="7">
        <v>565.04375454420006</v>
      </c>
      <c r="P261" s="7">
        <v>553.77894512140006</v>
      </c>
      <c r="Q261" s="7">
        <v>563.36726124059999</v>
      </c>
      <c r="R261" s="7">
        <v>565.02603455899998</v>
      </c>
      <c r="S261" s="7">
        <v>553.79657336820003</v>
      </c>
      <c r="T261" s="7">
        <v>563.27859073269997</v>
      </c>
      <c r="U261" t="s">
        <v>85</v>
      </c>
    </row>
    <row r="262" spans="1:21">
      <c r="A262" t="s">
        <v>89</v>
      </c>
      <c r="B262">
        <v>26</v>
      </c>
      <c r="C262" s="10">
        <v>45793</v>
      </c>
      <c r="D262" s="11">
        <v>45793.645833333336</v>
      </c>
      <c r="E262" s="11">
        <v>45793.666666666664</v>
      </c>
      <c r="F262">
        <v>1</v>
      </c>
      <c r="G262">
        <v>349</v>
      </c>
      <c r="H262" s="7">
        <v>590.40269999999998</v>
      </c>
      <c r="I262" s="7">
        <v>590.81039999999996</v>
      </c>
      <c r="J262" s="7">
        <f t="shared" si="9"/>
        <v>142.287299999992</v>
      </c>
      <c r="K262" s="7">
        <f>2*G262*'Method Notes'!$B$8</f>
        <v>2.4430000000000001</v>
      </c>
      <c r="L262" s="7">
        <f>2*G262*'Method Notes'!$B$9</f>
        <v>0.69800000000000006</v>
      </c>
      <c r="M262" s="7">
        <f t="shared" si="10"/>
        <v>3.141</v>
      </c>
      <c r="N262" s="7">
        <f t="shared" si="11"/>
        <v>139.14629999999201</v>
      </c>
      <c r="O262" s="7">
        <v>590.37734522740004</v>
      </c>
      <c r="P262" s="7">
        <v>583.97585323390001</v>
      </c>
      <c r="Q262" s="7">
        <v>588.54969016519999</v>
      </c>
      <c r="R262" s="7">
        <v>590.09954132749999</v>
      </c>
      <c r="S262" s="7">
        <v>584.25357704639998</v>
      </c>
      <c r="T262" s="7">
        <v>589.08443369739996</v>
      </c>
      <c r="U262" t="s">
        <v>85</v>
      </c>
    </row>
    <row r="263" spans="1:21">
      <c r="A263" t="s">
        <v>89</v>
      </c>
      <c r="B263">
        <v>27</v>
      </c>
      <c r="C263" s="10">
        <v>45798</v>
      </c>
      <c r="D263" s="11">
        <v>45798.5625</v>
      </c>
      <c r="E263" s="11">
        <v>45798.666666666664</v>
      </c>
      <c r="F263">
        <v>-1</v>
      </c>
      <c r="G263">
        <v>344</v>
      </c>
      <c r="H263" s="7">
        <v>581.13589999999999</v>
      </c>
      <c r="I263" s="7">
        <v>579.53510000000006</v>
      </c>
      <c r="J263" s="7">
        <f t="shared" ref="J263:J326" si="12">F263*G263*(I263-H263)</f>
        <v>550.67519999997785</v>
      </c>
      <c r="K263" s="7">
        <f>2*G263*'Method Notes'!$B$8</f>
        <v>2.4079999999999999</v>
      </c>
      <c r="L263" s="7">
        <f>2*G263*'Method Notes'!$B$9</f>
        <v>0.68800000000000006</v>
      </c>
      <c r="M263" s="7">
        <f t="shared" ref="M263:M326" si="13">K263+L263</f>
        <v>3.0960000000000001</v>
      </c>
      <c r="N263" s="7">
        <f t="shared" ref="N263:N326" si="14">J263-M263</f>
        <v>547.57919999997785</v>
      </c>
      <c r="O263" s="7">
        <v>591.94661845300004</v>
      </c>
      <c r="P263" s="7">
        <v>584.15763849309997</v>
      </c>
      <c r="Q263" s="7">
        <v>585.73321335289995</v>
      </c>
      <c r="R263" s="7">
        <v>591.49845488079995</v>
      </c>
      <c r="S263" s="7">
        <v>584.60364019509996</v>
      </c>
      <c r="T263" s="7">
        <v>583.0727492259</v>
      </c>
      <c r="U263" t="s">
        <v>85</v>
      </c>
    </row>
    <row r="264" spans="1:21">
      <c r="A264" t="s">
        <v>89</v>
      </c>
      <c r="B264">
        <v>28</v>
      </c>
      <c r="C264" s="10">
        <v>45804</v>
      </c>
      <c r="D264" s="11">
        <v>45804.4375</v>
      </c>
      <c r="E264" s="11">
        <v>45804.666666666664</v>
      </c>
      <c r="F264">
        <v>1</v>
      </c>
      <c r="G264">
        <v>315</v>
      </c>
      <c r="H264" s="7">
        <v>584.52560000000005</v>
      </c>
      <c r="I264" s="7">
        <v>587.77779999999996</v>
      </c>
      <c r="J264" s="7">
        <f t="shared" si="12"/>
        <v>1024.4429999999693</v>
      </c>
      <c r="K264" s="7">
        <f>2*G264*'Method Notes'!$B$8</f>
        <v>2.2050000000000001</v>
      </c>
      <c r="L264" s="7">
        <f>2*G264*'Method Notes'!$B$9</f>
        <v>0.63</v>
      </c>
      <c r="M264" s="7">
        <f t="shared" si="13"/>
        <v>2.835</v>
      </c>
      <c r="N264" s="7">
        <f t="shared" si="14"/>
        <v>1021.6079999999693</v>
      </c>
      <c r="O264" s="7">
        <v>583.90554975270004</v>
      </c>
      <c r="P264" s="7">
        <v>574.86780245190005</v>
      </c>
      <c r="Q264" s="7">
        <v>583.61959368750001</v>
      </c>
      <c r="R264" s="7">
        <v>585.31230067340005</v>
      </c>
      <c r="S264" s="7">
        <v>573.47830328489999</v>
      </c>
      <c r="T264" s="7">
        <v>586.05813061610002</v>
      </c>
      <c r="U264" t="s">
        <v>85</v>
      </c>
    </row>
    <row r="265" spans="1:21">
      <c r="A265" t="s">
        <v>89</v>
      </c>
      <c r="B265">
        <v>29</v>
      </c>
      <c r="C265" s="10">
        <v>45805</v>
      </c>
      <c r="D265" s="11">
        <v>45805.458333333336</v>
      </c>
      <c r="E265" s="11">
        <v>45805.479166666664</v>
      </c>
      <c r="F265">
        <v>-1</v>
      </c>
      <c r="G265">
        <v>299</v>
      </c>
      <c r="H265" s="7">
        <v>585.98310000000004</v>
      </c>
      <c r="I265" s="7">
        <v>585.98800000000006</v>
      </c>
      <c r="J265" s="7">
        <f t="shared" si="12"/>
        <v>-1.4651000000061458</v>
      </c>
      <c r="K265" s="7">
        <f>2*G265*'Method Notes'!$B$8</f>
        <v>2.093</v>
      </c>
      <c r="L265" s="7">
        <f>2*G265*'Method Notes'!$B$9</f>
        <v>0.59799999999999998</v>
      </c>
      <c r="M265" s="7">
        <f t="shared" si="13"/>
        <v>2.6909999999999998</v>
      </c>
      <c r="N265" s="7">
        <f t="shared" si="14"/>
        <v>-4.1561000000061457</v>
      </c>
      <c r="O265" s="7">
        <v>588.75974584820005</v>
      </c>
      <c r="P265" s="7">
        <v>586.40850181129997</v>
      </c>
      <c r="Q265" s="7">
        <v>586.91767772189996</v>
      </c>
      <c r="R265" s="7">
        <v>589.3352606743</v>
      </c>
      <c r="S265" s="7">
        <v>585.8333664987</v>
      </c>
      <c r="T265" s="7">
        <v>586.75675749280003</v>
      </c>
      <c r="U265" t="s">
        <v>88</v>
      </c>
    </row>
    <row r="266" spans="1:21">
      <c r="A266" t="s">
        <v>89</v>
      </c>
      <c r="B266">
        <v>30</v>
      </c>
      <c r="C266" s="10">
        <v>45805</v>
      </c>
      <c r="D266" s="11">
        <v>45805.5</v>
      </c>
      <c r="E266" s="11">
        <v>45805.520833333336</v>
      </c>
      <c r="F266">
        <v>-1</v>
      </c>
      <c r="G266">
        <v>299</v>
      </c>
      <c r="H266" s="7">
        <v>585.7296</v>
      </c>
      <c r="I266" s="7">
        <v>586.46529999999996</v>
      </c>
      <c r="J266" s="7">
        <f t="shared" si="12"/>
        <v>-219.97429999998553</v>
      </c>
      <c r="K266" s="7">
        <f>2*G266*'Method Notes'!$B$8</f>
        <v>2.093</v>
      </c>
      <c r="L266" s="7">
        <f>2*G266*'Method Notes'!$B$9</f>
        <v>0.59799999999999998</v>
      </c>
      <c r="M266" s="7">
        <f t="shared" si="13"/>
        <v>2.6909999999999998</v>
      </c>
      <c r="N266" s="7">
        <f t="shared" si="14"/>
        <v>-222.66529999998554</v>
      </c>
      <c r="O266" s="7">
        <v>589.37282988150002</v>
      </c>
      <c r="P266" s="7">
        <v>585.79582206589998</v>
      </c>
      <c r="Q266" s="7">
        <v>586.61903047819999</v>
      </c>
      <c r="R266" s="7">
        <v>589.74230591610001</v>
      </c>
      <c r="S266" s="7">
        <v>585.42658967600005</v>
      </c>
      <c r="T266" s="7">
        <v>586.60374116269998</v>
      </c>
      <c r="U266" t="s">
        <v>88</v>
      </c>
    </row>
    <row r="267" spans="1:21">
      <c r="A267" t="s">
        <v>89</v>
      </c>
      <c r="B267">
        <v>31</v>
      </c>
      <c r="C267" s="10">
        <v>45807</v>
      </c>
      <c r="D267" s="11">
        <v>45807.520833333336</v>
      </c>
      <c r="E267" s="11">
        <v>45807.5625</v>
      </c>
      <c r="F267">
        <v>-1</v>
      </c>
      <c r="G267">
        <v>294</v>
      </c>
      <c r="H267" s="7">
        <v>581.75239999999997</v>
      </c>
      <c r="I267" s="7">
        <v>582.54790000000003</v>
      </c>
      <c r="J267" s="7">
        <f t="shared" si="12"/>
        <v>-233.87700000001792</v>
      </c>
      <c r="K267" s="7">
        <f>2*G267*'Method Notes'!$B$8</f>
        <v>2.0579999999999998</v>
      </c>
      <c r="L267" s="7">
        <f>2*G267*'Method Notes'!$B$9</f>
        <v>0.58799999999999997</v>
      </c>
      <c r="M267" s="7">
        <f t="shared" si="13"/>
        <v>2.6459999999999999</v>
      </c>
      <c r="N267" s="7">
        <f t="shared" si="14"/>
        <v>-236.5230000000179</v>
      </c>
      <c r="O267" s="7">
        <v>588.35674346400003</v>
      </c>
      <c r="P267" s="7">
        <v>582.40361241820005</v>
      </c>
      <c r="Q267" s="7">
        <v>584.2875594546</v>
      </c>
      <c r="R267" s="7">
        <v>589.3583065862</v>
      </c>
      <c r="S267" s="7">
        <v>581.40651300720003</v>
      </c>
      <c r="T267" s="7">
        <v>583.31614697839996</v>
      </c>
      <c r="U267" t="s">
        <v>88</v>
      </c>
    </row>
    <row r="268" spans="1:21">
      <c r="A268" t="s">
        <v>89</v>
      </c>
      <c r="B268">
        <v>32</v>
      </c>
      <c r="C268" s="10">
        <v>45810</v>
      </c>
      <c r="D268" s="11">
        <v>45810.645833333336</v>
      </c>
      <c r="E268" s="11">
        <v>45810.666666666664</v>
      </c>
      <c r="F268">
        <v>1</v>
      </c>
      <c r="G268">
        <v>294</v>
      </c>
      <c r="H268" s="7">
        <v>588.93119999999999</v>
      </c>
      <c r="I268" s="7">
        <v>589.32889999999998</v>
      </c>
      <c r="J268" s="7">
        <f t="shared" si="12"/>
        <v>116.92379999999594</v>
      </c>
      <c r="K268" s="7">
        <f>2*G268*'Method Notes'!$B$8</f>
        <v>2.0579999999999998</v>
      </c>
      <c r="L268" s="7">
        <f>2*G268*'Method Notes'!$B$9</f>
        <v>0.58799999999999997</v>
      </c>
      <c r="M268" s="7">
        <f t="shared" si="13"/>
        <v>2.6459999999999999</v>
      </c>
      <c r="N268" s="7">
        <f t="shared" si="14"/>
        <v>114.27779999999593</v>
      </c>
      <c r="O268" s="7">
        <v>588.84359245749999</v>
      </c>
      <c r="P268" s="7">
        <v>580.18392646799998</v>
      </c>
      <c r="Q268" s="7">
        <v>585.97825452560005</v>
      </c>
      <c r="R268" s="7">
        <v>588.80063775830001</v>
      </c>
      <c r="S268" s="7">
        <v>580.22665817250004</v>
      </c>
      <c r="T268" s="7">
        <v>586.67392263349996</v>
      </c>
      <c r="U268" t="s">
        <v>85</v>
      </c>
    </row>
    <row r="269" spans="1:21">
      <c r="A269" t="s">
        <v>89</v>
      </c>
      <c r="B269">
        <v>33</v>
      </c>
      <c r="C269" s="10">
        <v>45811</v>
      </c>
      <c r="D269" s="11">
        <v>45811.4375</v>
      </c>
      <c r="E269" s="11">
        <v>45811.666666666664</v>
      </c>
      <c r="F269">
        <v>1</v>
      </c>
      <c r="G269">
        <v>411</v>
      </c>
      <c r="H269" s="7">
        <v>590.44749999999999</v>
      </c>
      <c r="I269" s="7">
        <v>592.68960000000004</v>
      </c>
      <c r="J269" s="7">
        <f t="shared" si="12"/>
        <v>921.50310000002071</v>
      </c>
      <c r="K269" s="7">
        <f>2*G269*'Method Notes'!$B$8</f>
        <v>2.8770000000000002</v>
      </c>
      <c r="L269" s="7">
        <f>2*G269*'Method Notes'!$B$9</f>
        <v>0.82200000000000006</v>
      </c>
      <c r="M269" s="7">
        <f t="shared" si="13"/>
        <v>3.6990000000000003</v>
      </c>
      <c r="N269" s="7">
        <f t="shared" si="14"/>
        <v>917.80410000002075</v>
      </c>
      <c r="O269" s="7">
        <v>590.2985131575</v>
      </c>
      <c r="P269" s="7">
        <v>588.14074641119998</v>
      </c>
      <c r="Q269" s="7">
        <v>589.72069426890005</v>
      </c>
      <c r="R269" s="7">
        <v>592.27797279260005</v>
      </c>
      <c r="S269" s="7">
        <v>586.16202068220002</v>
      </c>
      <c r="T269" s="7">
        <v>592.04488410240003</v>
      </c>
      <c r="U269" t="s">
        <v>85</v>
      </c>
    </row>
    <row r="270" spans="1:21">
      <c r="A270" t="s">
        <v>89</v>
      </c>
      <c r="B270">
        <v>34</v>
      </c>
      <c r="C270" s="10">
        <v>45813</v>
      </c>
      <c r="D270" s="11">
        <v>45813.458333333336</v>
      </c>
      <c r="E270" s="11">
        <v>45813.541666666664</v>
      </c>
      <c r="F270">
        <v>1</v>
      </c>
      <c r="G270">
        <v>415</v>
      </c>
      <c r="H270" s="7">
        <v>593.95240000000001</v>
      </c>
      <c r="I270" s="7">
        <v>591.28769999999997</v>
      </c>
      <c r="J270" s="7">
        <f t="shared" si="12"/>
        <v>-1105.8505000000162</v>
      </c>
      <c r="K270" s="7">
        <f>2*G270*'Method Notes'!$B$8</f>
        <v>2.9050000000000002</v>
      </c>
      <c r="L270" s="7">
        <f>2*G270*'Method Notes'!$B$9</f>
        <v>0.83000000000000007</v>
      </c>
      <c r="M270" s="7">
        <f t="shared" si="13"/>
        <v>3.7350000000000003</v>
      </c>
      <c r="N270" s="7">
        <f t="shared" si="14"/>
        <v>-1109.5855000000161</v>
      </c>
      <c r="O270" s="7">
        <v>593.55211580340006</v>
      </c>
      <c r="P270" s="7">
        <v>589.84116444890003</v>
      </c>
      <c r="Q270" s="7">
        <v>592.55999709440005</v>
      </c>
      <c r="R270" s="7">
        <v>594.80696854969995</v>
      </c>
      <c r="S270" s="7">
        <v>588.58984882979996</v>
      </c>
      <c r="T270" s="7">
        <v>593.11243623739995</v>
      </c>
      <c r="U270" t="s">
        <v>88</v>
      </c>
    </row>
    <row r="271" spans="1:21">
      <c r="A271" t="s">
        <v>89</v>
      </c>
      <c r="B271">
        <v>35</v>
      </c>
      <c r="C271" s="10">
        <v>45819</v>
      </c>
      <c r="D271" s="11">
        <v>45819.604166666664</v>
      </c>
      <c r="E271" s="11">
        <v>45819.625</v>
      </c>
      <c r="F271">
        <v>-1</v>
      </c>
      <c r="G271">
        <v>388</v>
      </c>
      <c r="H271" s="7">
        <v>597.15409999999997</v>
      </c>
      <c r="I271" s="7">
        <v>597.31309999999996</v>
      </c>
      <c r="J271" s="7">
        <f t="shared" si="12"/>
        <v>-61.691999999996824</v>
      </c>
      <c r="K271" s="7">
        <f>2*G271*'Method Notes'!$B$8</f>
        <v>2.7160000000000002</v>
      </c>
      <c r="L271" s="7">
        <f>2*G271*'Method Notes'!$B$9</f>
        <v>0.77600000000000002</v>
      </c>
      <c r="M271" s="7">
        <f t="shared" si="13"/>
        <v>3.492</v>
      </c>
      <c r="N271" s="7">
        <f t="shared" si="14"/>
        <v>-65.183999999996828</v>
      </c>
      <c r="O271" s="7">
        <v>602.5781638126</v>
      </c>
      <c r="P271" s="7">
        <v>597.25031683079999</v>
      </c>
      <c r="Q271" s="7">
        <v>599.63917396229999</v>
      </c>
      <c r="R271" s="7">
        <v>602.75581572349995</v>
      </c>
      <c r="S271" s="7">
        <v>597.07282691770001</v>
      </c>
      <c r="T271" s="7">
        <v>599.34701762530005</v>
      </c>
      <c r="U271" t="s">
        <v>88</v>
      </c>
    </row>
    <row r="272" spans="1:21">
      <c r="A272" t="s">
        <v>89</v>
      </c>
      <c r="B272">
        <v>36</v>
      </c>
      <c r="C272" s="10">
        <v>45821</v>
      </c>
      <c r="D272" s="11">
        <v>45821.4375</v>
      </c>
      <c r="E272" s="11">
        <v>45821.458333333336</v>
      </c>
      <c r="F272">
        <v>-1</v>
      </c>
      <c r="G272">
        <v>475</v>
      </c>
      <c r="H272" s="7">
        <v>593.44529999999997</v>
      </c>
      <c r="I272" s="7">
        <v>595.78689999999995</v>
      </c>
      <c r="J272" s="7">
        <f t="shared" si="12"/>
        <v>-1112.2599999999863</v>
      </c>
      <c r="K272" s="7">
        <f>2*G272*'Method Notes'!$B$8</f>
        <v>3.3250000000000002</v>
      </c>
      <c r="L272" s="7">
        <f>2*G272*'Method Notes'!$B$9</f>
        <v>0.95000000000000007</v>
      </c>
      <c r="M272" s="7">
        <f t="shared" si="13"/>
        <v>4.2750000000000004</v>
      </c>
      <c r="N272" s="7">
        <f t="shared" si="14"/>
        <v>-1116.5349999999864</v>
      </c>
      <c r="O272" s="7">
        <v>601.6168954044</v>
      </c>
      <c r="P272" s="7">
        <v>594.06389766480004</v>
      </c>
      <c r="Q272" s="7">
        <v>594.61821508929995</v>
      </c>
      <c r="R272" s="7">
        <v>601.68618907330006</v>
      </c>
      <c r="S272" s="7">
        <v>593.99517438479995</v>
      </c>
      <c r="T272" s="7">
        <v>594.93785695509996</v>
      </c>
      <c r="U272" t="s">
        <v>88</v>
      </c>
    </row>
    <row r="273" spans="1:21">
      <c r="A273" t="s">
        <v>89</v>
      </c>
      <c r="B273">
        <v>37</v>
      </c>
      <c r="C273" s="10">
        <v>45825</v>
      </c>
      <c r="D273" s="11">
        <v>45825.5625</v>
      </c>
      <c r="E273" s="11">
        <v>45825.666666666664</v>
      </c>
      <c r="F273">
        <v>-1</v>
      </c>
      <c r="G273">
        <v>557</v>
      </c>
      <c r="H273" s="7">
        <v>595.39409999999998</v>
      </c>
      <c r="I273" s="7">
        <v>594.12149999999997</v>
      </c>
      <c r="J273" s="7">
        <f t="shared" si="12"/>
        <v>708.83820000000628</v>
      </c>
      <c r="K273" s="7">
        <f>2*G273*'Method Notes'!$B$8</f>
        <v>3.899</v>
      </c>
      <c r="L273" s="7">
        <f>2*G273*'Method Notes'!$B$9</f>
        <v>1.1140000000000001</v>
      </c>
      <c r="M273" s="7">
        <f t="shared" si="13"/>
        <v>5.0129999999999999</v>
      </c>
      <c r="N273" s="7">
        <f t="shared" si="14"/>
        <v>703.82520000000625</v>
      </c>
      <c r="O273" s="7">
        <v>600.93697833440001</v>
      </c>
      <c r="P273" s="7">
        <v>595.87117473629996</v>
      </c>
      <c r="Q273" s="7">
        <v>596.99869615959994</v>
      </c>
      <c r="R273" s="7">
        <v>601.41166152760002</v>
      </c>
      <c r="S273" s="7">
        <v>595.39782249619998</v>
      </c>
      <c r="T273" s="7">
        <v>595.61994164580005</v>
      </c>
      <c r="U273" t="s">
        <v>85</v>
      </c>
    </row>
    <row r="274" spans="1:21">
      <c r="A274" t="s">
        <v>89</v>
      </c>
      <c r="B274">
        <v>38</v>
      </c>
      <c r="C274" s="10">
        <v>45826</v>
      </c>
      <c r="D274" s="11">
        <v>45826.4375</v>
      </c>
      <c r="E274" s="11">
        <v>45826.479166666664</v>
      </c>
      <c r="F274">
        <v>1</v>
      </c>
      <c r="G274">
        <v>537</v>
      </c>
      <c r="H274" s="7">
        <v>597.31510000000003</v>
      </c>
      <c r="I274" s="7">
        <v>596.71659999999997</v>
      </c>
      <c r="J274" s="7">
        <f t="shared" si="12"/>
        <v>-321.39450000003126</v>
      </c>
      <c r="K274" s="7">
        <f>2*G274*'Method Notes'!$B$8</f>
        <v>3.7589999999999999</v>
      </c>
      <c r="L274" s="7">
        <f>2*G274*'Method Notes'!$B$9</f>
        <v>1.0740000000000001</v>
      </c>
      <c r="M274" s="7">
        <f t="shared" si="13"/>
        <v>4.8330000000000002</v>
      </c>
      <c r="N274" s="7">
        <f t="shared" si="14"/>
        <v>-326.22750000003128</v>
      </c>
      <c r="O274" s="7">
        <v>597.0489628194</v>
      </c>
      <c r="P274" s="7">
        <v>592.83578282359997</v>
      </c>
      <c r="Q274" s="7">
        <v>596.46294557420003</v>
      </c>
      <c r="R274" s="7">
        <v>597.10192133880003</v>
      </c>
      <c r="S274" s="7">
        <v>592.78296998099995</v>
      </c>
      <c r="T274" s="7">
        <v>596.67613795670002</v>
      </c>
      <c r="U274" t="s">
        <v>88</v>
      </c>
    </row>
    <row r="275" spans="1:21">
      <c r="A275" t="s">
        <v>89</v>
      </c>
      <c r="B275">
        <v>39</v>
      </c>
      <c r="C275" s="10">
        <v>45828</v>
      </c>
      <c r="D275" s="11">
        <v>45828.458333333336</v>
      </c>
      <c r="E275" s="11">
        <v>45828.479166666664</v>
      </c>
      <c r="F275">
        <v>-1</v>
      </c>
      <c r="G275">
        <v>539</v>
      </c>
      <c r="H275" s="7">
        <v>592.59699999999998</v>
      </c>
      <c r="I275" s="7">
        <v>593.46950000000004</v>
      </c>
      <c r="J275" s="7">
        <f t="shared" si="12"/>
        <v>-470.27750000003186</v>
      </c>
      <c r="K275" s="7">
        <f>2*G275*'Method Notes'!$B$8</f>
        <v>3.7730000000000001</v>
      </c>
      <c r="L275" s="7">
        <f>2*G275*'Method Notes'!$B$9</f>
        <v>1.0780000000000001</v>
      </c>
      <c r="M275" s="7">
        <f t="shared" si="13"/>
        <v>4.851</v>
      </c>
      <c r="N275" s="7">
        <f t="shared" si="14"/>
        <v>-475.12850000003186</v>
      </c>
      <c r="O275" s="7">
        <v>596.92555170599996</v>
      </c>
      <c r="P275" s="7">
        <v>592.70833919580002</v>
      </c>
      <c r="Q275" s="7">
        <v>594.42711123890001</v>
      </c>
      <c r="R275" s="7">
        <v>596.9743849404</v>
      </c>
      <c r="S275" s="7">
        <v>592.65963444010004</v>
      </c>
      <c r="T275" s="7">
        <v>594.2485326446</v>
      </c>
      <c r="U275" t="s">
        <v>88</v>
      </c>
    </row>
    <row r="276" spans="1:21">
      <c r="A276" t="s">
        <v>89</v>
      </c>
      <c r="B276">
        <v>40</v>
      </c>
      <c r="C276" s="10">
        <v>45828</v>
      </c>
      <c r="D276" s="11">
        <v>45828.5625</v>
      </c>
      <c r="E276" s="11">
        <v>45828.583333333336</v>
      </c>
      <c r="F276">
        <v>-1</v>
      </c>
      <c r="G276">
        <v>539</v>
      </c>
      <c r="H276" s="7">
        <v>591.71939999999995</v>
      </c>
      <c r="I276" s="7">
        <v>592.34770000000003</v>
      </c>
      <c r="J276" s="7">
        <f t="shared" si="12"/>
        <v>-338.65370000004373</v>
      </c>
      <c r="K276" s="7">
        <f>2*G276*'Method Notes'!$B$8</f>
        <v>3.7730000000000001</v>
      </c>
      <c r="L276" s="7">
        <f>2*G276*'Method Notes'!$B$9</f>
        <v>1.0780000000000001</v>
      </c>
      <c r="M276" s="7">
        <f t="shared" si="13"/>
        <v>4.851</v>
      </c>
      <c r="N276" s="7">
        <f t="shared" si="14"/>
        <v>-343.50470000004373</v>
      </c>
      <c r="O276" s="7">
        <v>597.29381869830002</v>
      </c>
      <c r="P276" s="7">
        <v>592.34104110149997</v>
      </c>
      <c r="Q276" s="7">
        <v>593.76520741360002</v>
      </c>
      <c r="R276" s="7">
        <v>597.31582136580005</v>
      </c>
      <c r="S276" s="7">
        <v>592.31909632240001</v>
      </c>
      <c r="T276" s="7">
        <v>593.62778684950001</v>
      </c>
      <c r="U276" t="s">
        <v>88</v>
      </c>
    </row>
    <row r="277" spans="1:21">
      <c r="A277" t="s">
        <v>89</v>
      </c>
      <c r="B277">
        <v>41</v>
      </c>
      <c r="C277" s="10">
        <v>45828</v>
      </c>
      <c r="D277" s="11">
        <v>45828.625</v>
      </c>
      <c r="E277" s="11">
        <v>45828.645833333336</v>
      </c>
      <c r="F277">
        <v>-1</v>
      </c>
      <c r="G277">
        <v>539</v>
      </c>
      <c r="H277" s="7">
        <v>591.84910000000002</v>
      </c>
      <c r="I277" s="7">
        <v>591.81920000000002</v>
      </c>
      <c r="J277" s="7">
        <f t="shared" si="12"/>
        <v>16.116099999998823</v>
      </c>
      <c r="K277" s="7">
        <f>2*G277*'Method Notes'!$B$8</f>
        <v>3.7730000000000001</v>
      </c>
      <c r="L277" s="7">
        <f>2*G277*'Method Notes'!$B$9</f>
        <v>1.0780000000000001</v>
      </c>
      <c r="M277" s="7">
        <f t="shared" si="13"/>
        <v>4.851</v>
      </c>
      <c r="N277" s="7">
        <f t="shared" si="14"/>
        <v>11.265099999998824</v>
      </c>
      <c r="O277" s="7">
        <v>597.68927361960004</v>
      </c>
      <c r="P277" s="7">
        <v>591.94662660879999</v>
      </c>
      <c r="Q277" s="7">
        <v>593.49381483499997</v>
      </c>
      <c r="R277" s="7">
        <v>598.02331733840003</v>
      </c>
      <c r="S277" s="7">
        <v>591.61346174769994</v>
      </c>
      <c r="T277" s="7">
        <v>593.35774411199998</v>
      </c>
      <c r="U277" t="s">
        <v>88</v>
      </c>
    </row>
    <row r="278" spans="1:21">
      <c r="A278" t="s">
        <v>89</v>
      </c>
      <c r="B278">
        <v>42</v>
      </c>
      <c r="C278" s="10">
        <v>45831</v>
      </c>
      <c r="D278" s="11">
        <v>45831.645833333336</v>
      </c>
      <c r="E278" s="11">
        <v>45831.666666666664</v>
      </c>
      <c r="F278">
        <v>1</v>
      </c>
      <c r="G278">
        <v>532</v>
      </c>
      <c r="H278" s="7">
        <v>597.56320000000005</v>
      </c>
      <c r="I278" s="7">
        <v>598.49069999999995</v>
      </c>
      <c r="J278" s="7">
        <f t="shared" si="12"/>
        <v>493.42999999994436</v>
      </c>
      <c r="K278" s="7">
        <f>2*G278*'Method Notes'!$B$8</f>
        <v>3.7240000000000002</v>
      </c>
      <c r="L278" s="7">
        <f>2*G278*'Method Notes'!$B$9</f>
        <v>1.0640000000000001</v>
      </c>
      <c r="M278" s="7">
        <f t="shared" si="13"/>
        <v>4.7880000000000003</v>
      </c>
      <c r="N278" s="7">
        <f t="shared" si="14"/>
        <v>488.64199999994435</v>
      </c>
      <c r="O278" s="7">
        <v>597.56149673770005</v>
      </c>
      <c r="P278" s="7">
        <v>590.18549173279996</v>
      </c>
      <c r="Q278" s="7">
        <v>595.07835826849998</v>
      </c>
      <c r="R278" s="7">
        <v>597.39279335549998</v>
      </c>
      <c r="S278" s="7">
        <v>590.35349682859999</v>
      </c>
      <c r="T278" s="7">
        <v>595.61287413390005</v>
      </c>
      <c r="U278" t="s">
        <v>85</v>
      </c>
    </row>
    <row r="279" spans="1:21">
      <c r="A279" t="s">
        <v>89</v>
      </c>
      <c r="B279">
        <v>43</v>
      </c>
      <c r="C279" s="10">
        <v>45832</v>
      </c>
      <c r="D279" s="11">
        <v>45832.479166666664</v>
      </c>
      <c r="E279" s="11">
        <v>45832.666666666664</v>
      </c>
      <c r="F279">
        <v>1</v>
      </c>
      <c r="G279">
        <v>502</v>
      </c>
      <c r="H279" s="7">
        <v>604.10509999999999</v>
      </c>
      <c r="I279" s="7">
        <v>605.10239999999999</v>
      </c>
      <c r="J279" s="7">
        <f t="shared" si="12"/>
        <v>500.64459999999781</v>
      </c>
      <c r="K279" s="7">
        <f>2*G279*'Method Notes'!$B$8</f>
        <v>3.5140000000000002</v>
      </c>
      <c r="L279" s="7">
        <f>2*G279*'Method Notes'!$B$9</f>
        <v>1.004</v>
      </c>
      <c r="M279" s="7">
        <f t="shared" si="13"/>
        <v>4.5180000000000007</v>
      </c>
      <c r="N279" s="7">
        <f t="shared" si="14"/>
        <v>496.12659999999778</v>
      </c>
      <c r="O279" s="7">
        <v>603.49880293959995</v>
      </c>
      <c r="P279" s="7">
        <v>597.21005581559996</v>
      </c>
      <c r="Q279" s="7">
        <v>602.91799702059996</v>
      </c>
      <c r="R279" s="7">
        <v>604.30751786760004</v>
      </c>
      <c r="S279" s="7">
        <v>596.40633611429996</v>
      </c>
      <c r="T279" s="7">
        <v>604.30846066610002</v>
      </c>
      <c r="U279" t="s">
        <v>85</v>
      </c>
    </row>
    <row r="280" spans="1:21">
      <c r="A280" t="s">
        <v>89</v>
      </c>
      <c r="B280">
        <v>44</v>
      </c>
      <c r="C280" s="10">
        <v>45834</v>
      </c>
      <c r="D280" s="11">
        <v>45834.520833333336</v>
      </c>
      <c r="E280" s="11">
        <v>45834.666666666664</v>
      </c>
      <c r="F280">
        <v>1</v>
      </c>
      <c r="G280">
        <v>471</v>
      </c>
      <c r="H280" s="7">
        <v>609.20100000000002</v>
      </c>
      <c r="I280" s="7">
        <v>610.17819999999995</v>
      </c>
      <c r="J280" s="7">
        <f t="shared" si="12"/>
        <v>460.26119999996479</v>
      </c>
      <c r="K280" s="7">
        <f>2*G280*'Method Notes'!$B$8</f>
        <v>3.2970000000000002</v>
      </c>
      <c r="L280" s="7">
        <f>2*G280*'Method Notes'!$B$9</f>
        <v>0.94200000000000006</v>
      </c>
      <c r="M280" s="7">
        <f t="shared" si="13"/>
        <v>4.2389999999999999</v>
      </c>
      <c r="N280" s="7">
        <f t="shared" si="14"/>
        <v>456.02219999996481</v>
      </c>
      <c r="O280" s="7">
        <v>609.0937288033</v>
      </c>
      <c r="P280" s="7">
        <v>603.88844247580005</v>
      </c>
      <c r="Q280" s="7">
        <v>608.32328420600004</v>
      </c>
      <c r="R280" s="7">
        <v>609.61125469030003</v>
      </c>
      <c r="S280" s="7">
        <v>603.37270052199995</v>
      </c>
      <c r="T280" s="7">
        <v>609.28205231530001</v>
      </c>
      <c r="U280" t="s">
        <v>85</v>
      </c>
    </row>
    <row r="281" spans="1:21">
      <c r="A281" t="s">
        <v>89</v>
      </c>
      <c r="B281">
        <v>45</v>
      </c>
      <c r="C281" s="10">
        <v>45835</v>
      </c>
      <c r="D281" s="11">
        <v>45835.5</v>
      </c>
      <c r="E281" s="11">
        <v>45835.541666666664</v>
      </c>
      <c r="F281">
        <v>1</v>
      </c>
      <c r="G281">
        <v>474</v>
      </c>
      <c r="H281" s="7">
        <v>614.19709999999998</v>
      </c>
      <c r="I281" s="7">
        <v>614.24199999999996</v>
      </c>
      <c r="J281" s="7">
        <f t="shared" si="12"/>
        <v>21.282599999992499</v>
      </c>
      <c r="K281" s="7">
        <f>2*G281*'Method Notes'!$B$8</f>
        <v>3.3180000000000001</v>
      </c>
      <c r="L281" s="7">
        <f>2*G281*'Method Notes'!$B$9</f>
        <v>0.94800000000000006</v>
      </c>
      <c r="M281" s="7">
        <f t="shared" si="13"/>
        <v>4.266</v>
      </c>
      <c r="N281" s="7">
        <f t="shared" si="14"/>
        <v>17.016599999992501</v>
      </c>
      <c r="O281" s="7">
        <v>613.93466185320005</v>
      </c>
      <c r="P281" s="7">
        <v>608.99970761459997</v>
      </c>
      <c r="Q281" s="7">
        <v>613.25316714439998</v>
      </c>
      <c r="R281" s="7">
        <v>614.43449806499996</v>
      </c>
      <c r="S281" s="7">
        <v>608.50197026210003</v>
      </c>
      <c r="T281" s="7">
        <v>613.48887903479999</v>
      </c>
      <c r="U281" t="s">
        <v>88</v>
      </c>
    </row>
    <row r="282" spans="1:21">
      <c r="A282" t="s">
        <v>89</v>
      </c>
      <c r="B282">
        <v>46</v>
      </c>
      <c r="C282" s="10">
        <v>45840</v>
      </c>
      <c r="D282" s="11">
        <v>45840.4375</v>
      </c>
      <c r="E282" s="11">
        <v>45840.625</v>
      </c>
      <c r="F282">
        <v>1</v>
      </c>
      <c r="G282">
        <v>495</v>
      </c>
      <c r="H282" s="7">
        <v>616.93949999999995</v>
      </c>
      <c r="I282" s="7">
        <v>618.13400000000001</v>
      </c>
      <c r="J282" s="7">
        <f t="shared" si="12"/>
        <v>591.27750000003061</v>
      </c>
      <c r="K282" s="7">
        <f>2*G282*'Method Notes'!$B$8</f>
        <v>3.4649999999999999</v>
      </c>
      <c r="L282" s="7">
        <f>2*G282*'Method Notes'!$B$9</f>
        <v>0.99</v>
      </c>
      <c r="M282" s="7">
        <f t="shared" si="13"/>
        <v>4.4550000000000001</v>
      </c>
      <c r="N282" s="7">
        <f t="shared" si="14"/>
        <v>586.82250000003057</v>
      </c>
      <c r="O282" s="7">
        <v>616.83306457790002</v>
      </c>
      <c r="P282" s="7">
        <v>614.70284019630003</v>
      </c>
      <c r="Q282" s="7">
        <v>616.26159339150001</v>
      </c>
      <c r="R282" s="7">
        <v>618.14230572199995</v>
      </c>
      <c r="S282" s="7">
        <v>613.39434088339999</v>
      </c>
      <c r="T282" s="7">
        <v>617.18764718989996</v>
      </c>
      <c r="U282" t="s">
        <v>88</v>
      </c>
    </row>
    <row r="283" spans="1:21">
      <c r="A283" t="s">
        <v>89</v>
      </c>
      <c r="B283">
        <v>47</v>
      </c>
      <c r="C283" s="10">
        <v>45841</v>
      </c>
      <c r="D283" s="11">
        <v>45841.458333333336</v>
      </c>
      <c r="E283" s="11">
        <v>45841.541666666664</v>
      </c>
      <c r="F283">
        <v>1</v>
      </c>
      <c r="G283">
        <v>501</v>
      </c>
      <c r="H283" s="7">
        <v>623.5711</v>
      </c>
      <c r="I283" s="7">
        <v>623.61099999999999</v>
      </c>
      <c r="J283" s="7">
        <f t="shared" si="12"/>
        <v>19.98989999999435</v>
      </c>
      <c r="K283" s="7">
        <f>2*G283*'Method Notes'!$B$8</f>
        <v>3.5070000000000001</v>
      </c>
      <c r="L283" s="7">
        <f>2*G283*'Method Notes'!$B$9</f>
        <v>1.002</v>
      </c>
      <c r="M283" s="7">
        <f t="shared" si="13"/>
        <v>4.5090000000000003</v>
      </c>
      <c r="N283" s="7">
        <f t="shared" si="14"/>
        <v>15.48089999999435</v>
      </c>
      <c r="O283" s="7">
        <v>623.55998768469999</v>
      </c>
      <c r="P283" s="7">
        <v>617.69476304010004</v>
      </c>
      <c r="Q283" s="7">
        <v>622.96996815770001</v>
      </c>
      <c r="R283" s="7">
        <v>624.04862359039998</v>
      </c>
      <c r="S283" s="7">
        <v>617.20909389220003</v>
      </c>
      <c r="T283" s="7">
        <v>623.44028029260005</v>
      </c>
      <c r="U283" t="s">
        <v>85</v>
      </c>
    </row>
    <row r="284" spans="1:21">
      <c r="A284" t="s">
        <v>89</v>
      </c>
      <c r="B284">
        <v>48</v>
      </c>
      <c r="C284" s="10">
        <v>45845</v>
      </c>
      <c r="D284" s="11">
        <v>45845.458333333336</v>
      </c>
      <c r="E284" s="11">
        <v>45845.666666666664</v>
      </c>
      <c r="F284">
        <v>-1</v>
      </c>
      <c r="G284">
        <v>490</v>
      </c>
      <c r="H284" s="7">
        <v>620.37990000000002</v>
      </c>
      <c r="I284" s="7">
        <v>618.96389999999997</v>
      </c>
      <c r="J284" s="7">
        <f t="shared" si="12"/>
        <v>693.84000000002629</v>
      </c>
      <c r="K284" s="7">
        <f>2*G284*'Method Notes'!$B$8</f>
        <v>3.43</v>
      </c>
      <c r="L284" s="7">
        <f>2*G284*'Method Notes'!$B$9</f>
        <v>0.98</v>
      </c>
      <c r="M284" s="7">
        <f t="shared" si="13"/>
        <v>4.41</v>
      </c>
      <c r="N284" s="7">
        <f t="shared" si="14"/>
        <v>689.43000000002633</v>
      </c>
      <c r="O284" s="7">
        <v>624.5943417551</v>
      </c>
      <c r="P284" s="7">
        <v>620.8951943971</v>
      </c>
      <c r="Q284" s="7">
        <v>621.25774506760001</v>
      </c>
      <c r="R284" s="7">
        <v>625.67822695159998</v>
      </c>
      <c r="S284" s="7">
        <v>619.81432511529999</v>
      </c>
      <c r="T284" s="7">
        <v>619.00166425290001</v>
      </c>
      <c r="U284" t="s">
        <v>85</v>
      </c>
    </row>
    <row r="285" spans="1:21">
      <c r="A285" t="s">
        <v>89</v>
      </c>
      <c r="B285">
        <v>49</v>
      </c>
      <c r="C285" s="10">
        <v>45848</v>
      </c>
      <c r="D285" s="11">
        <v>45848.479166666664</v>
      </c>
      <c r="E285" s="11">
        <v>45848.520833333336</v>
      </c>
      <c r="F285">
        <v>1</v>
      </c>
      <c r="G285">
        <v>643</v>
      </c>
      <c r="H285" s="7">
        <v>623.78060000000005</v>
      </c>
      <c r="I285" s="7">
        <v>623.84040000000005</v>
      </c>
      <c r="J285" s="7">
        <f t="shared" si="12"/>
        <v>38.451399999997193</v>
      </c>
      <c r="K285" s="7">
        <f>2*G285*'Method Notes'!$B$8</f>
        <v>4.5010000000000003</v>
      </c>
      <c r="L285" s="7">
        <f>2*G285*'Method Notes'!$B$9</f>
        <v>1.286</v>
      </c>
      <c r="M285" s="7">
        <f t="shared" si="13"/>
        <v>5.7870000000000008</v>
      </c>
      <c r="N285" s="7">
        <f t="shared" si="14"/>
        <v>32.664399999997194</v>
      </c>
      <c r="O285" s="7">
        <v>623.44597228309999</v>
      </c>
      <c r="P285" s="7">
        <v>620.5262743257</v>
      </c>
      <c r="Q285" s="7">
        <v>622.47535658499999</v>
      </c>
      <c r="R285" s="7">
        <v>623.98888160050001</v>
      </c>
      <c r="S285" s="7">
        <v>619.9839739263</v>
      </c>
      <c r="T285" s="7">
        <v>622.77349170269997</v>
      </c>
      <c r="U285" t="s">
        <v>88</v>
      </c>
    </row>
    <row r="286" spans="1:21">
      <c r="A286" t="s">
        <v>89</v>
      </c>
      <c r="B286">
        <v>50</v>
      </c>
      <c r="C286" s="10">
        <v>45848</v>
      </c>
      <c r="D286" s="11">
        <v>45848.5625</v>
      </c>
      <c r="E286" s="11">
        <v>45848.645833333336</v>
      </c>
      <c r="F286">
        <v>1</v>
      </c>
      <c r="G286">
        <v>643</v>
      </c>
      <c r="H286" s="7">
        <v>624.35889999999995</v>
      </c>
      <c r="I286" s="7">
        <v>624.48850000000004</v>
      </c>
      <c r="J286" s="7">
        <f t="shared" si="12"/>
        <v>83.332800000061638</v>
      </c>
      <c r="K286" s="7">
        <f>2*G286*'Method Notes'!$B$8</f>
        <v>4.5010000000000003</v>
      </c>
      <c r="L286" s="7">
        <f>2*G286*'Method Notes'!$B$9</f>
        <v>1.286</v>
      </c>
      <c r="M286" s="7">
        <f t="shared" si="13"/>
        <v>5.7870000000000008</v>
      </c>
      <c r="N286" s="7">
        <f t="shared" si="14"/>
        <v>77.545800000061632</v>
      </c>
      <c r="O286" s="7">
        <v>623.95787212740004</v>
      </c>
      <c r="P286" s="7">
        <v>620.01494861979995</v>
      </c>
      <c r="Q286" s="7">
        <v>622.98061964470003</v>
      </c>
      <c r="R286" s="7">
        <v>624.52648318419995</v>
      </c>
      <c r="S286" s="7">
        <v>619.44697530760004</v>
      </c>
      <c r="T286" s="7">
        <v>623.50548751509996</v>
      </c>
      <c r="U286" t="s">
        <v>88</v>
      </c>
    </row>
    <row r="287" spans="1:21">
      <c r="A287" t="s">
        <v>89</v>
      </c>
      <c r="B287">
        <v>51</v>
      </c>
      <c r="C287" s="10">
        <v>45853</v>
      </c>
      <c r="D287" s="11">
        <v>45853.541666666664</v>
      </c>
      <c r="E287" s="11">
        <v>45853.5625</v>
      </c>
      <c r="F287">
        <v>-1</v>
      </c>
      <c r="G287">
        <v>669</v>
      </c>
      <c r="H287" s="7">
        <v>621.447</v>
      </c>
      <c r="I287" s="7">
        <v>622.12509999999997</v>
      </c>
      <c r="J287" s="7">
        <f t="shared" si="12"/>
        <v>-453.64889999998138</v>
      </c>
      <c r="K287" s="7">
        <f>2*G287*'Method Notes'!$B$8</f>
        <v>4.6829999999999998</v>
      </c>
      <c r="L287" s="7">
        <f>2*G287*'Method Notes'!$B$9</f>
        <v>1.3380000000000001</v>
      </c>
      <c r="M287" s="7">
        <f t="shared" si="13"/>
        <v>6.0209999999999999</v>
      </c>
      <c r="N287" s="7">
        <f t="shared" si="14"/>
        <v>-459.6698999999814</v>
      </c>
      <c r="O287" s="7">
        <v>625.56275177290001</v>
      </c>
      <c r="P287" s="7">
        <v>621.49191392329999</v>
      </c>
      <c r="Q287" s="7">
        <v>622.99899845820005</v>
      </c>
      <c r="R287" s="7">
        <v>625.62725349970003</v>
      </c>
      <c r="S287" s="7">
        <v>621.42750395049995</v>
      </c>
      <c r="T287" s="7">
        <v>622.90586683619995</v>
      </c>
      <c r="U287" t="s">
        <v>88</v>
      </c>
    </row>
    <row r="288" spans="1:21">
      <c r="A288" t="s">
        <v>89</v>
      </c>
      <c r="B288">
        <v>52</v>
      </c>
      <c r="C288" s="10">
        <v>45854</v>
      </c>
      <c r="D288" s="11">
        <v>45854.625</v>
      </c>
      <c r="E288" s="11">
        <v>45854.666666666664</v>
      </c>
      <c r="F288">
        <v>1</v>
      </c>
      <c r="G288">
        <v>670</v>
      </c>
      <c r="H288" s="7">
        <v>622.60379999999998</v>
      </c>
      <c r="I288" s="7">
        <v>622.4941</v>
      </c>
      <c r="J288" s="7">
        <f t="shared" si="12"/>
        <v>-73.498999999983425</v>
      </c>
      <c r="K288" s="7">
        <f>2*G288*'Method Notes'!$B$8</f>
        <v>4.6900000000000004</v>
      </c>
      <c r="L288" s="7">
        <f>2*G288*'Method Notes'!$B$9</f>
        <v>1.34</v>
      </c>
      <c r="M288" s="7">
        <f t="shared" si="13"/>
        <v>6.03</v>
      </c>
      <c r="N288" s="7">
        <f t="shared" si="14"/>
        <v>-79.528999999983427</v>
      </c>
      <c r="O288" s="7">
        <v>622.30286872470003</v>
      </c>
      <c r="P288" s="7">
        <v>618.44730352850002</v>
      </c>
      <c r="Q288" s="7">
        <v>620.43848780810004</v>
      </c>
      <c r="R288" s="7">
        <v>622.05698436759997</v>
      </c>
      <c r="S288" s="7">
        <v>618.69315233580005</v>
      </c>
      <c r="T288" s="7">
        <v>620.72906325830002</v>
      </c>
      <c r="U288" t="s">
        <v>85</v>
      </c>
    </row>
    <row r="289" spans="1:21">
      <c r="A289" t="s">
        <v>89</v>
      </c>
      <c r="B289">
        <v>53</v>
      </c>
      <c r="C289" s="10">
        <v>45855</v>
      </c>
      <c r="D289" s="11">
        <v>45855.5</v>
      </c>
      <c r="E289" s="11">
        <v>45855.520833333336</v>
      </c>
      <c r="F289">
        <v>1</v>
      </c>
      <c r="G289">
        <v>665</v>
      </c>
      <c r="H289" s="7">
        <v>625.48080000000004</v>
      </c>
      <c r="I289" s="7">
        <v>625.1069</v>
      </c>
      <c r="J289" s="7">
        <f t="shared" si="12"/>
        <v>-248.64350000003242</v>
      </c>
      <c r="K289" s="7">
        <f>2*G289*'Method Notes'!$B$8</f>
        <v>4.6550000000000002</v>
      </c>
      <c r="L289" s="7">
        <f>2*G289*'Method Notes'!$B$9</f>
        <v>1.33</v>
      </c>
      <c r="M289" s="7">
        <f t="shared" si="13"/>
        <v>5.9850000000000003</v>
      </c>
      <c r="N289" s="7">
        <f t="shared" si="14"/>
        <v>-254.62850000003243</v>
      </c>
      <c r="O289" s="7">
        <v>625.31235213590003</v>
      </c>
      <c r="P289" s="7">
        <v>621.32424000649996</v>
      </c>
      <c r="Q289" s="7">
        <v>624.41869644070005</v>
      </c>
      <c r="R289" s="7">
        <v>625.56203568390004</v>
      </c>
      <c r="S289" s="7">
        <v>621.0752147316</v>
      </c>
      <c r="T289" s="7">
        <v>624.51060359999997</v>
      </c>
      <c r="U289" t="s">
        <v>88</v>
      </c>
    </row>
    <row r="290" spans="1:21">
      <c r="A290" t="s">
        <v>89</v>
      </c>
      <c r="B290">
        <v>54</v>
      </c>
      <c r="C290" s="10">
        <v>45855</v>
      </c>
      <c r="D290" s="11">
        <v>45855.604166666664</v>
      </c>
      <c r="E290" s="11">
        <v>45855.666666666664</v>
      </c>
      <c r="F290">
        <v>1</v>
      </c>
      <c r="G290">
        <v>665</v>
      </c>
      <c r="H290" s="7">
        <v>626.10410000000002</v>
      </c>
      <c r="I290" s="7">
        <v>626.30349999999999</v>
      </c>
      <c r="J290" s="7">
        <f t="shared" si="12"/>
        <v>132.60099999997919</v>
      </c>
      <c r="K290" s="7">
        <f>2*G290*'Method Notes'!$B$8</f>
        <v>4.6550000000000002</v>
      </c>
      <c r="L290" s="7">
        <f>2*G290*'Method Notes'!$B$9</f>
        <v>1.33</v>
      </c>
      <c r="M290" s="7">
        <f t="shared" si="13"/>
        <v>5.9850000000000003</v>
      </c>
      <c r="N290" s="7">
        <f t="shared" si="14"/>
        <v>126.61599999997919</v>
      </c>
      <c r="O290" s="7">
        <v>625.99905635990001</v>
      </c>
      <c r="P290" s="7">
        <v>620.63934623</v>
      </c>
      <c r="Q290" s="7">
        <v>624.82256470489995</v>
      </c>
      <c r="R290" s="7">
        <v>625.86952091579997</v>
      </c>
      <c r="S290" s="7">
        <v>620.76854016300001</v>
      </c>
      <c r="T290" s="7">
        <v>625.40575317540004</v>
      </c>
      <c r="U290" t="s">
        <v>85</v>
      </c>
    </row>
    <row r="291" spans="1:21">
      <c r="A291" t="s">
        <v>89</v>
      </c>
      <c r="B291">
        <v>55</v>
      </c>
      <c r="C291" s="10">
        <v>45856</v>
      </c>
      <c r="D291" s="11">
        <v>45856.4375</v>
      </c>
      <c r="E291" s="11">
        <v>45856.458333333336</v>
      </c>
      <c r="F291">
        <v>-1</v>
      </c>
      <c r="G291">
        <v>661</v>
      </c>
      <c r="H291" s="7">
        <v>625.64530000000002</v>
      </c>
      <c r="I291" s="7">
        <v>625.43589999999995</v>
      </c>
      <c r="J291" s="7">
        <f t="shared" si="12"/>
        <v>138.41340000004845</v>
      </c>
      <c r="K291" s="7">
        <f>2*G291*'Method Notes'!$B$8</f>
        <v>4.6269999999999998</v>
      </c>
      <c r="L291" s="7">
        <f>2*G291*'Method Notes'!$B$9</f>
        <v>1.3220000000000001</v>
      </c>
      <c r="M291" s="7">
        <f t="shared" si="13"/>
        <v>5.9489999999999998</v>
      </c>
      <c r="N291" s="7">
        <f t="shared" si="14"/>
        <v>132.46440000004844</v>
      </c>
      <c r="O291" s="7">
        <v>628.04323011389999</v>
      </c>
      <c r="P291" s="7">
        <v>625.76150549390002</v>
      </c>
      <c r="Q291" s="7">
        <v>626.62694202299997</v>
      </c>
      <c r="R291" s="7">
        <v>628.46648010909996</v>
      </c>
      <c r="S291" s="7">
        <v>625.33906267500004</v>
      </c>
      <c r="T291" s="7">
        <v>626.37361205929994</v>
      </c>
      <c r="U291" t="s">
        <v>88</v>
      </c>
    </row>
    <row r="292" spans="1:21">
      <c r="A292" t="s">
        <v>89</v>
      </c>
      <c r="B292">
        <v>56</v>
      </c>
      <c r="C292" s="10">
        <v>45861</v>
      </c>
      <c r="D292" s="11">
        <v>45861.4375</v>
      </c>
      <c r="E292" s="11">
        <v>45861.458333333336</v>
      </c>
      <c r="F292">
        <v>1</v>
      </c>
      <c r="G292">
        <v>661</v>
      </c>
      <c r="H292" s="7">
        <v>628.99609999999996</v>
      </c>
      <c r="I292" s="7">
        <v>628.98609999999996</v>
      </c>
      <c r="J292" s="7">
        <f t="shared" si="12"/>
        <v>-6.6099999999939882</v>
      </c>
      <c r="K292" s="7">
        <f>2*G292*'Method Notes'!$B$8</f>
        <v>4.6269999999999998</v>
      </c>
      <c r="L292" s="7">
        <f>2*G292*'Method Notes'!$B$9</f>
        <v>1.3220000000000001</v>
      </c>
      <c r="M292" s="7">
        <f t="shared" si="13"/>
        <v>5.9489999999999998</v>
      </c>
      <c r="N292" s="7">
        <f t="shared" si="14"/>
        <v>-12.558999999993988</v>
      </c>
      <c r="O292" s="7">
        <v>628.88232014790003</v>
      </c>
      <c r="P292" s="7">
        <v>626.45833947530002</v>
      </c>
      <c r="Q292" s="7">
        <v>628.50008092079997</v>
      </c>
      <c r="R292" s="7">
        <v>629.333154401</v>
      </c>
      <c r="S292" s="7">
        <v>626.00829254450002</v>
      </c>
      <c r="T292" s="7">
        <v>628.59499262869997</v>
      </c>
      <c r="U292" t="s">
        <v>88</v>
      </c>
    </row>
    <row r="293" spans="1:21">
      <c r="A293" t="s">
        <v>89</v>
      </c>
      <c r="B293">
        <v>57</v>
      </c>
      <c r="C293" s="10">
        <v>45861</v>
      </c>
      <c r="D293" s="11">
        <v>45861.5</v>
      </c>
      <c r="E293" s="11">
        <v>45861.666666666664</v>
      </c>
      <c r="F293">
        <v>1</v>
      </c>
      <c r="G293">
        <v>661</v>
      </c>
      <c r="H293" s="7">
        <v>630.22270000000003</v>
      </c>
      <c r="I293" s="7">
        <v>632.45650000000001</v>
      </c>
      <c r="J293" s="7">
        <f t="shared" si="12"/>
        <v>1476.5417999999827</v>
      </c>
      <c r="K293" s="7">
        <f>2*G293*'Method Notes'!$B$8</f>
        <v>4.6269999999999998</v>
      </c>
      <c r="L293" s="7">
        <f>2*G293*'Method Notes'!$B$9</f>
        <v>1.3220000000000001</v>
      </c>
      <c r="M293" s="7">
        <f t="shared" si="13"/>
        <v>5.9489999999999998</v>
      </c>
      <c r="N293" s="7">
        <f t="shared" si="14"/>
        <v>1470.5927999999826</v>
      </c>
      <c r="O293" s="7">
        <v>629.44730508639998</v>
      </c>
      <c r="P293" s="7">
        <v>625.89434120809995</v>
      </c>
      <c r="Q293" s="7">
        <v>629.07565195999996</v>
      </c>
      <c r="R293" s="7">
        <v>630.17072247780004</v>
      </c>
      <c r="S293" s="7">
        <v>625.17218716929995</v>
      </c>
      <c r="T293" s="7">
        <v>630.48267975889996</v>
      </c>
      <c r="U293" t="s">
        <v>85</v>
      </c>
    </row>
    <row r="294" spans="1:21">
      <c r="A294" t="s">
        <v>89</v>
      </c>
      <c r="B294">
        <v>58</v>
      </c>
      <c r="C294" s="10">
        <v>45863</v>
      </c>
      <c r="D294" s="11">
        <v>45863.520833333336</v>
      </c>
      <c r="E294" s="11">
        <v>45863.541666666664</v>
      </c>
      <c r="F294">
        <v>1</v>
      </c>
      <c r="G294">
        <v>665</v>
      </c>
      <c r="H294" s="7">
        <v>635.00450000000001</v>
      </c>
      <c r="I294" s="7">
        <v>635.08420000000001</v>
      </c>
      <c r="J294" s="7">
        <f t="shared" si="12"/>
        <v>53.000500000001693</v>
      </c>
      <c r="K294" s="7">
        <f>2*G294*'Method Notes'!$B$8</f>
        <v>4.6550000000000002</v>
      </c>
      <c r="L294" s="7">
        <f>2*G294*'Method Notes'!$B$9</f>
        <v>1.33</v>
      </c>
      <c r="M294" s="7">
        <f t="shared" si="13"/>
        <v>5.9850000000000003</v>
      </c>
      <c r="N294" s="7">
        <f t="shared" si="14"/>
        <v>47.015500000001694</v>
      </c>
      <c r="O294" s="7">
        <v>634.88155851819999</v>
      </c>
      <c r="P294" s="7">
        <v>631.31948773390002</v>
      </c>
      <c r="Q294" s="7">
        <v>634.08592780740003</v>
      </c>
      <c r="R294" s="7">
        <v>635.11292187519996</v>
      </c>
      <c r="S294" s="7">
        <v>631.08844122020002</v>
      </c>
      <c r="T294" s="7">
        <v>634.18864282139998</v>
      </c>
      <c r="U294" t="s">
        <v>88</v>
      </c>
    </row>
    <row r="295" spans="1:21">
      <c r="A295" t="s">
        <v>89</v>
      </c>
      <c r="B295">
        <v>59</v>
      </c>
      <c r="C295" s="10">
        <v>45863</v>
      </c>
      <c r="D295" s="11">
        <v>45863.5625</v>
      </c>
      <c r="E295" s="11">
        <v>45863.625</v>
      </c>
      <c r="F295">
        <v>1</v>
      </c>
      <c r="G295">
        <v>665</v>
      </c>
      <c r="H295" s="7">
        <v>635.28359999999998</v>
      </c>
      <c r="I295" s="7">
        <v>635.41830000000004</v>
      </c>
      <c r="J295" s="7">
        <f t="shared" si="12"/>
        <v>89.57550000004403</v>
      </c>
      <c r="K295" s="7">
        <f>2*G295*'Method Notes'!$B$8</f>
        <v>4.6550000000000002</v>
      </c>
      <c r="L295" s="7">
        <f>2*G295*'Method Notes'!$B$9</f>
        <v>1.33</v>
      </c>
      <c r="M295" s="7">
        <f t="shared" si="13"/>
        <v>5.9850000000000003</v>
      </c>
      <c r="N295" s="7">
        <f t="shared" si="14"/>
        <v>83.590500000044031</v>
      </c>
      <c r="O295" s="7">
        <v>635.21042054359998</v>
      </c>
      <c r="P295" s="7">
        <v>630.99107607250005</v>
      </c>
      <c r="Q295" s="7">
        <v>634.27490796209997</v>
      </c>
      <c r="R295" s="7">
        <v>635.42658143519998</v>
      </c>
      <c r="S295" s="7">
        <v>630.77521120510005</v>
      </c>
      <c r="T295" s="7">
        <v>634.54951065199998</v>
      </c>
      <c r="U295" t="s">
        <v>88</v>
      </c>
    </row>
    <row r="296" spans="1:21">
      <c r="A296" t="s">
        <v>89</v>
      </c>
      <c r="B296">
        <v>60</v>
      </c>
      <c r="C296" s="10">
        <v>45863</v>
      </c>
      <c r="D296" s="11">
        <v>45863.645833333336</v>
      </c>
      <c r="E296" s="11">
        <v>45863.666666666664</v>
      </c>
      <c r="F296">
        <v>1</v>
      </c>
      <c r="G296">
        <v>665</v>
      </c>
      <c r="H296" s="7">
        <v>635.56790000000001</v>
      </c>
      <c r="I296" s="7">
        <v>635.33839999999998</v>
      </c>
      <c r="J296" s="7">
        <f t="shared" si="12"/>
        <v>-152.61750000001996</v>
      </c>
      <c r="K296" s="7">
        <f>2*G296*'Method Notes'!$B$8</f>
        <v>4.6550000000000002</v>
      </c>
      <c r="L296" s="7">
        <f>2*G296*'Method Notes'!$B$9</f>
        <v>1.33</v>
      </c>
      <c r="M296" s="7">
        <f t="shared" si="13"/>
        <v>5.9850000000000003</v>
      </c>
      <c r="N296" s="7">
        <f t="shared" si="14"/>
        <v>-158.60250000001997</v>
      </c>
      <c r="O296" s="7">
        <v>635.47742969540002</v>
      </c>
      <c r="P296" s="7">
        <v>630.72443257969996</v>
      </c>
      <c r="Q296" s="7">
        <v>634.63389012779999</v>
      </c>
      <c r="R296" s="7">
        <v>635.48523126120006</v>
      </c>
      <c r="S296" s="7">
        <v>630.71664169780001</v>
      </c>
      <c r="T296" s="7">
        <v>634.79679535809998</v>
      </c>
      <c r="U296" t="s">
        <v>85</v>
      </c>
    </row>
    <row r="297" spans="1:21">
      <c r="A297" t="s">
        <v>89</v>
      </c>
      <c r="B297">
        <v>61</v>
      </c>
      <c r="C297" s="10">
        <v>45867</v>
      </c>
      <c r="D297" s="11">
        <v>45867.479166666664</v>
      </c>
      <c r="E297" s="11">
        <v>45867.541666666664</v>
      </c>
      <c r="F297">
        <v>-1</v>
      </c>
      <c r="G297">
        <v>662</v>
      </c>
      <c r="H297" s="7">
        <v>633.48360000000002</v>
      </c>
      <c r="I297" s="7">
        <v>634.39589999999998</v>
      </c>
      <c r="J297" s="7">
        <f t="shared" si="12"/>
        <v>-603.94259999997303</v>
      </c>
      <c r="K297" s="7">
        <f>2*G297*'Method Notes'!$B$8</f>
        <v>4.6340000000000003</v>
      </c>
      <c r="L297" s="7">
        <f>2*G297*'Method Notes'!$B$9</f>
        <v>1.3240000000000001</v>
      </c>
      <c r="M297" s="7">
        <f t="shared" si="13"/>
        <v>5.9580000000000002</v>
      </c>
      <c r="N297" s="7">
        <f t="shared" si="14"/>
        <v>-609.900599999973</v>
      </c>
      <c r="O297" s="7">
        <v>637.21822542519999</v>
      </c>
      <c r="P297" s="7">
        <v>634.2182036506</v>
      </c>
      <c r="Q297" s="7">
        <v>635.20084299730001</v>
      </c>
      <c r="R297" s="7">
        <v>637.70628250699997</v>
      </c>
      <c r="S297" s="7">
        <v>633.73097286359996</v>
      </c>
      <c r="T297" s="7">
        <v>634.83360078249996</v>
      </c>
      <c r="U297" t="s">
        <v>88</v>
      </c>
    </row>
    <row r="298" spans="1:21">
      <c r="A298" t="s">
        <v>89</v>
      </c>
      <c r="B298">
        <v>62</v>
      </c>
      <c r="C298" s="10">
        <v>45868</v>
      </c>
      <c r="D298" s="11">
        <v>45868.4375</v>
      </c>
      <c r="E298" s="11">
        <v>45868.458333333336</v>
      </c>
      <c r="F298">
        <v>1</v>
      </c>
      <c r="G298">
        <v>660</v>
      </c>
      <c r="H298" s="7">
        <v>634.6105</v>
      </c>
      <c r="I298" s="7">
        <v>634.5009</v>
      </c>
      <c r="J298" s="7">
        <f t="shared" si="12"/>
        <v>-72.33600000000024</v>
      </c>
      <c r="K298" s="7">
        <f>2*G298*'Method Notes'!$B$8</f>
        <v>4.62</v>
      </c>
      <c r="L298" s="7">
        <f>2*G298*'Method Notes'!$B$9</f>
        <v>1.32</v>
      </c>
      <c r="M298" s="7">
        <f t="shared" si="13"/>
        <v>5.94</v>
      </c>
      <c r="N298" s="7">
        <f t="shared" si="14"/>
        <v>-78.276000000000238</v>
      </c>
      <c r="O298" s="7">
        <v>634.44776607680001</v>
      </c>
      <c r="P298" s="7">
        <v>633.00838468330005</v>
      </c>
      <c r="Q298" s="7">
        <v>634.19817326190002</v>
      </c>
      <c r="R298" s="7">
        <v>634.77235143810003</v>
      </c>
      <c r="S298" s="7">
        <v>632.68402910889995</v>
      </c>
      <c r="T298" s="7">
        <v>634.27037281510002</v>
      </c>
      <c r="U298" t="s">
        <v>88</v>
      </c>
    </row>
    <row r="299" spans="1:21">
      <c r="A299" t="s">
        <v>89</v>
      </c>
      <c r="B299">
        <v>63</v>
      </c>
      <c r="C299" s="10">
        <v>45868</v>
      </c>
      <c r="D299" s="11">
        <v>45868.625</v>
      </c>
      <c r="E299" s="11">
        <v>45868.666666666664</v>
      </c>
      <c r="F299">
        <v>-1</v>
      </c>
      <c r="G299">
        <v>660</v>
      </c>
      <c r="H299" s="7">
        <v>630.98050000000001</v>
      </c>
      <c r="I299" s="7">
        <v>632.70579999999995</v>
      </c>
      <c r="J299" s="7">
        <f t="shared" si="12"/>
        <v>-1138.6979999999653</v>
      </c>
      <c r="K299" s="7">
        <f>2*G299*'Method Notes'!$B$8</f>
        <v>4.62</v>
      </c>
      <c r="L299" s="7">
        <f>2*G299*'Method Notes'!$B$9</f>
        <v>1.32</v>
      </c>
      <c r="M299" s="7">
        <f t="shared" si="13"/>
        <v>5.94</v>
      </c>
      <c r="N299" s="7">
        <f t="shared" si="14"/>
        <v>-1144.6379999999654</v>
      </c>
      <c r="O299" s="7">
        <v>635.94832371769996</v>
      </c>
      <c r="P299" s="7">
        <v>631.50888934679995</v>
      </c>
      <c r="Q299" s="7">
        <v>633.4921286407</v>
      </c>
      <c r="R299" s="7">
        <v>636.01812601159997</v>
      </c>
      <c r="S299" s="7">
        <v>631.43913646860005</v>
      </c>
      <c r="T299" s="7">
        <v>632.77469066419997</v>
      </c>
      <c r="U299" t="s">
        <v>85</v>
      </c>
    </row>
    <row r="300" spans="1:21">
      <c r="A300" t="s">
        <v>89</v>
      </c>
      <c r="B300">
        <v>64</v>
      </c>
      <c r="C300" s="10">
        <v>45874</v>
      </c>
      <c r="D300" s="11">
        <v>45874.4375</v>
      </c>
      <c r="E300" s="11">
        <v>45874.5625</v>
      </c>
      <c r="F300">
        <v>-1</v>
      </c>
      <c r="G300">
        <v>465</v>
      </c>
      <c r="H300" s="7">
        <v>628.10850000000005</v>
      </c>
      <c r="I300" s="7">
        <v>627.96690000000001</v>
      </c>
      <c r="J300" s="7">
        <f t="shared" si="12"/>
        <v>65.844000000018355</v>
      </c>
      <c r="K300" s="7">
        <f>2*G300*'Method Notes'!$B$8</f>
        <v>3.2549999999999999</v>
      </c>
      <c r="L300" s="7">
        <f>2*G300*'Method Notes'!$B$9</f>
        <v>0.93</v>
      </c>
      <c r="M300" s="7">
        <f t="shared" si="13"/>
        <v>4.1849999999999996</v>
      </c>
      <c r="N300" s="7">
        <f t="shared" si="14"/>
        <v>61.659000000018352</v>
      </c>
      <c r="O300" s="7">
        <v>630.14410782050004</v>
      </c>
      <c r="P300" s="7">
        <v>628.77546429059998</v>
      </c>
      <c r="Q300" s="7">
        <v>628.7967247025</v>
      </c>
      <c r="R300" s="7">
        <v>631.02069218099996</v>
      </c>
      <c r="S300" s="7">
        <v>627.89897726740003</v>
      </c>
      <c r="T300" s="7">
        <v>627.30936498460005</v>
      </c>
      <c r="U300" t="s">
        <v>88</v>
      </c>
    </row>
    <row r="301" spans="1:21">
      <c r="A301" t="s">
        <v>89</v>
      </c>
      <c r="B301">
        <v>65</v>
      </c>
      <c r="C301" s="10">
        <v>45874</v>
      </c>
      <c r="D301" s="11">
        <v>45874.604166666664</v>
      </c>
      <c r="E301" s="11">
        <v>45874.645833333336</v>
      </c>
      <c r="F301">
        <v>-1</v>
      </c>
      <c r="G301">
        <v>465</v>
      </c>
      <c r="H301" s="7">
        <v>626.8021</v>
      </c>
      <c r="I301" s="7">
        <v>627.24090000000001</v>
      </c>
      <c r="J301" s="7">
        <f t="shared" si="12"/>
        <v>-204.04200000000685</v>
      </c>
      <c r="K301" s="7">
        <f>2*G301*'Method Notes'!$B$8</f>
        <v>3.2549999999999999</v>
      </c>
      <c r="L301" s="7">
        <f>2*G301*'Method Notes'!$B$9</f>
        <v>0.93</v>
      </c>
      <c r="M301" s="7">
        <f t="shared" si="13"/>
        <v>4.1849999999999996</v>
      </c>
      <c r="N301" s="7">
        <f t="shared" si="14"/>
        <v>-208.22700000000685</v>
      </c>
      <c r="O301" s="7">
        <v>631.29007916969999</v>
      </c>
      <c r="P301" s="7">
        <v>627.62962019179997</v>
      </c>
      <c r="Q301" s="7">
        <v>627.31920353639998</v>
      </c>
      <c r="R301" s="7">
        <v>631.74885548359998</v>
      </c>
      <c r="S301" s="7">
        <v>627.17089482109998</v>
      </c>
      <c r="T301" s="7">
        <v>627.27105602879999</v>
      </c>
      <c r="U301" t="s">
        <v>88</v>
      </c>
    </row>
    <row r="302" spans="1:21">
      <c r="A302" t="s">
        <v>89</v>
      </c>
      <c r="B302">
        <v>66</v>
      </c>
      <c r="C302" s="10">
        <v>45875</v>
      </c>
      <c r="D302" s="11">
        <v>45875.458333333336</v>
      </c>
      <c r="E302" s="11">
        <v>45875.666666666664</v>
      </c>
      <c r="F302">
        <v>1</v>
      </c>
      <c r="G302">
        <v>456</v>
      </c>
      <c r="H302" s="7">
        <v>629.23540000000003</v>
      </c>
      <c r="I302" s="7">
        <v>631.03049999999996</v>
      </c>
      <c r="J302" s="7">
        <f t="shared" si="12"/>
        <v>818.56559999996989</v>
      </c>
      <c r="K302" s="7">
        <f>2*G302*'Method Notes'!$B$8</f>
        <v>3.1920000000000002</v>
      </c>
      <c r="L302" s="7">
        <f>2*G302*'Method Notes'!$B$9</f>
        <v>0.91200000000000003</v>
      </c>
      <c r="M302" s="7">
        <f t="shared" si="13"/>
        <v>4.1040000000000001</v>
      </c>
      <c r="N302" s="7">
        <f t="shared" si="14"/>
        <v>814.46159999996985</v>
      </c>
      <c r="O302" s="7">
        <v>628.21444655499999</v>
      </c>
      <c r="P302" s="7">
        <v>625.23181714700002</v>
      </c>
      <c r="Q302" s="7">
        <v>627.68212717480003</v>
      </c>
      <c r="R302" s="7">
        <v>629.50538296349998</v>
      </c>
      <c r="S302" s="7">
        <v>623.94289264539998</v>
      </c>
      <c r="T302" s="7">
        <v>629.89443884529999</v>
      </c>
      <c r="U302" t="s">
        <v>85</v>
      </c>
    </row>
    <row r="303" spans="1:21">
      <c r="A303" t="s">
        <v>89</v>
      </c>
      <c r="B303">
        <v>67</v>
      </c>
      <c r="C303" s="10">
        <v>45876</v>
      </c>
      <c r="D303" s="11">
        <v>45876.541666666664</v>
      </c>
      <c r="E303" s="11">
        <v>45876.645833333336</v>
      </c>
      <c r="F303">
        <v>-1</v>
      </c>
      <c r="G303">
        <v>448</v>
      </c>
      <c r="H303" s="7">
        <v>629.49469999999997</v>
      </c>
      <c r="I303" s="7">
        <v>628.62710000000004</v>
      </c>
      <c r="J303" s="7">
        <f t="shared" si="12"/>
        <v>388.68479999996634</v>
      </c>
      <c r="K303" s="7">
        <f>2*G303*'Method Notes'!$B$8</f>
        <v>3.1360000000000001</v>
      </c>
      <c r="L303" s="7">
        <f>2*G303*'Method Notes'!$B$9</f>
        <v>0.89600000000000002</v>
      </c>
      <c r="M303" s="7">
        <f t="shared" si="13"/>
        <v>4.032</v>
      </c>
      <c r="N303" s="7">
        <f t="shared" si="14"/>
        <v>384.65279999996636</v>
      </c>
      <c r="O303" s="7">
        <v>636.20115968289997</v>
      </c>
      <c r="P303" s="7">
        <v>629.63746097190005</v>
      </c>
      <c r="Q303" s="7">
        <v>631.56682644049999</v>
      </c>
      <c r="R303" s="7">
        <v>637.22514948080004</v>
      </c>
      <c r="S303" s="7">
        <v>628.61955204089998</v>
      </c>
      <c r="T303" s="7">
        <v>630.55360980190005</v>
      </c>
      <c r="U303" t="s">
        <v>88</v>
      </c>
    </row>
    <row r="304" spans="1:21">
      <c r="A304" t="s">
        <v>89</v>
      </c>
      <c r="B304">
        <v>68</v>
      </c>
      <c r="C304" s="10">
        <v>45881</v>
      </c>
      <c r="D304" s="11">
        <v>45881.4375</v>
      </c>
      <c r="E304" s="11">
        <v>45881.666666666664</v>
      </c>
      <c r="F304">
        <v>1</v>
      </c>
      <c r="G304">
        <v>432</v>
      </c>
      <c r="H304" s="7">
        <v>637.56230000000005</v>
      </c>
      <c r="I304" s="7">
        <v>640.91300000000001</v>
      </c>
      <c r="J304" s="7">
        <f t="shared" si="12"/>
        <v>1447.502399999983</v>
      </c>
      <c r="K304" s="7">
        <f>2*G304*'Method Notes'!$B$8</f>
        <v>3.024</v>
      </c>
      <c r="L304" s="7">
        <f>2*G304*'Method Notes'!$B$9</f>
        <v>0.86399999999999999</v>
      </c>
      <c r="M304" s="7">
        <f t="shared" si="13"/>
        <v>3.8879999999999999</v>
      </c>
      <c r="N304" s="7">
        <f t="shared" si="14"/>
        <v>1443.6143999999831</v>
      </c>
      <c r="O304" s="7">
        <v>636.19278418809995</v>
      </c>
      <c r="P304" s="7">
        <v>633.3787548821</v>
      </c>
      <c r="Q304" s="7">
        <v>636.13115499410003</v>
      </c>
      <c r="R304" s="7">
        <v>637.95765260630003</v>
      </c>
      <c r="S304" s="7">
        <v>631.61734893829998</v>
      </c>
      <c r="T304" s="7">
        <v>638.87106395199999</v>
      </c>
      <c r="U304" t="s">
        <v>85</v>
      </c>
    </row>
    <row r="305" spans="1:21">
      <c r="A305" t="s">
        <v>89</v>
      </c>
      <c r="B305">
        <v>69</v>
      </c>
      <c r="C305" s="10">
        <v>45888</v>
      </c>
      <c r="D305" s="11">
        <v>45888.458333333336</v>
      </c>
      <c r="E305" s="11">
        <v>45888.479166666664</v>
      </c>
      <c r="F305">
        <v>-1</v>
      </c>
      <c r="G305">
        <v>425</v>
      </c>
      <c r="H305" s="7">
        <v>639.48199999999997</v>
      </c>
      <c r="I305" s="7">
        <v>639.79610000000002</v>
      </c>
      <c r="J305" s="7">
        <f t="shared" si="12"/>
        <v>-133.49250000002257</v>
      </c>
      <c r="K305" s="7">
        <f>2*G305*'Method Notes'!$B$8</f>
        <v>2.9750000000000001</v>
      </c>
      <c r="L305" s="7">
        <f>2*G305*'Method Notes'!$B$9</f>
        <v>0.85</v>
      </c>
      <c r="M305" s="7">
        <f t="shared" si="13"/>
        <v>3.8250000000000002</v>
      </c>
      <c r="N305" s="7">
        <f t="shared" si="14"/>
        <v>-137.31750000002256</v>
      </c>
      <c r="O305" s="7">
        <v>642.97805377170005</v>
      </c>
      <c r="P305" s="7">
        <v>639.64669723099996</v>
      </c>
      <c r="Q305" s="7">
        <v>640.58670796989998</v>
      </c>
      <c r="R305" s="7">
        <v>643.09361238290001</v>
      </c>
      <c r="S305" s="7">
        <v>639.53121405909997</v>
      </c>
      <c r="T305" s="7">
        <v>640.43466490909998</v>
      </c>
      <c r="U305" t="s">
        <v>88</v>
      </c>
    </row>
    <row r="306" spans="1:21">
      <c r="A306" t="s">
        <v>89</v>
      </c>
      <c r="B306">
        <v>70</v>
      </c>
      <c r="C306" s="10">
        <v>45888</v>
      </c>
      <c r="D306" s="11">
        <v>45888.5</v>
      </c>
      <c r="E306" s="11">
        <v>45888.666666666664</v>
      </c>
      <c r="F306">
        <v>-1</v>
      </c>
      <c r="G306">
        <v>425</v>
      </c>
      <c r="H306" s="7">
        <v>638.95839999999998</v>
      </c>
      <c r="I306" s="7">
        <v>638.04100000000005</v>
      </c>
      <c r="J306" s="7">
        <f t="shared" si="12"/>
        <v>389.89499999997008</v>
      </c>
      <c r="K306" s="7">
        <f>2*G306*'Method Notes'!$B$8</f>
        <v>2.9750000000000001</v>
      </c>
      <c r="L306" s="7">
        <f>2*G306*'Method Notes'!$B$9</f>
        <v>0.85</v>
      </c>
      <c r="M306" s="7">
        <f t="shared" si="13"/>
        <v>3.8250000000000002</v>
      </c>
      <c r="N306" s="7">
        <f t="shared" si="14"/>
        <v>386.06999999997009</v>
      </c>
      <c r="O306" s="7">
        <v>643.28170545390003</v>
      </c>
      <c r="P306" s="7">
        <v>639.34324377969995</v>
      </c>
      <c r="Q306" s="7">
        <v>640.26065527879996</v>
      </c>
      <c r="R306" s="7">
        <v>643.92192114579996</v>
      </c>
      <c r="S306" s="7">
        <v>638.70344603540002</v>
      </c>
      <c r="T306" s="7">
        <v>638.87439333769998</v>
      </c>
      <c r="U306" t="s">
        <v>85</v>
      </c>
    </row>
    <row r="307" spans="1:21">
      <c r="A307" t="s">
        <v>89</v>
      </c>
      <c r="B307">
        <v>71</v>
      </c>
      <c r="C307" s="10">
        <v>45889</v>
      </c>
      <c r="D307" s="11">
        <v>45889.4375</v>
      </c>
      <c r="E307" s="11">
        <v>45889.479166666664</v>
      </c>
      <c r="F307">
        <v>-1</v>
      </c>
      <c r="G307">
        <v>422</v>
      </c>
      <c r="H307" s="7">
        <v>632.18730000000005</v>
      </c>
      <c r="I307" s="7">
        <v>634.5806</v>
      </c>
      <c r="J307" s="7">
        <f t="shared" si="12"/>
        <v>-1009.9725999999805</v>
      </c>
      <c r="K307" s="7">
        <f>2*G307*'Method Notes'!$B$8</f>
        <v>2.9540000000000002</v>
      </c>
      <c r="L307" s="7">
        <f>2*G307*'Method Notes'!$B$9</f>
        <v>0.84399999999999997</v>
      </c>
      <c r="M307" s="7">
        <f t="shared" si="13"/>
        <v>3.798</v>
      </c>
      <c r="N307" s="7">
        <f t="shared" si="14"/>
        <v>-1013.7705999999805</v>
      </c>
      <c r="O307" s="7">
        <v>638.98867689320002</v>
      </c>
      <c r="P307" s="7">
        <v>632.61248835260005</v>
      </c>
      <c r="Q307" s="7">
        <v>632.98813804470001</v>
      </c>
      <c r="R307" s="7">
        <v>639.66969341849995</v>
      </c>
      <c r="S307" s="7">
        <v>631.93626158480004</v>
      </c>
      <c r="T307" s="7">
        <v>633.01422723960002</v>
      </c>
      <c r="U307" t="s">
        <v>88</v>
      </c>
    </row>
    <row r="308" spans="1:21">
      <c r="A308" t="s">
        <v>89</v>
      </c>
      <c r="B308">
        <v>72</v>
      </c>
      <c r="C308" s="10">
        <v>45891</v>
      </c>
      <c r="D308" s="11">
        <v>45891.4375</v>
      </c>
      <c r="E308" s="11">
        <v>45891.666666666664</v>
      </c>
      <c r="F308">
        <v>1</v>
      </c>
      <c r="G308">
        <v>518</v>
      </c>
      <c r="H308" s="7">
        <v>642.4683</v>
      </c>
      <c r="I308" s="7">
        <v>643.5258</v>
      </c>
      <c r="J308" s="7">
        <f t="shared" si="12"/>
        <v>547.78500000000236</v>
      </c>
      <c r="K308" s="7">
        <f>2*G308*'Method Notes'!$B$8</f>
        <v>3.6259999999999999</v>
      </c>
      <c r="L308" s="7">
        <f>2*G308*'Method Notes'!$B$9</f>
        <v>1.036</v>
      </c>
      <c r="M308" s="7">
        <f t="shared" si="13"/>
        <v>4.6619999999999999</v>
      </c>
      <c r="N308" s="7">
        <f t="shared" si="14"/>
        <v>543.12300000000232</v>
      </c>
      <c r="O308" s="7">
        <v>638.18155971919998</v>
      </c>
      <c r="P308" s="7">
        <v>632.76009953840003</v>
      </c>
      <c r="Q308" s="7">
        <v>640.98642363490001</v>
      </c>
      <c r="R308" s="7">
        <v>639.3268022538</v>
      </c>
      <c r="S308" s="7">
        <v>631.62087994629997</v>
      </c>
      <c r="T308" s="7">
        <v>642.81313309459995</v>
      </c>
      <c r="U308" t="s">
        <v>85</v>
      </c>
    </row>
    <row r="309" spans="1:21">
      <c r="A309" t="s">
        <v>89</v>
      </c>
      <c r="B309">
        <v>73</v>
      </c>
      <c r="C309" s="10">
        <v>45897</v>
      </c>
      <c r="D309" s="11">
        <v>45897.604166666664</v>
      </c>
      <c r="E309" s="11">
        <v>45897.666666666664</v>
      </c>
      <c r="F309">
        <v>1</v>
      </c>
      <c r="G309">
        <v>535</v>
      </c>
      <c r="H309" s="7">
        <v>646.85659999999996</v>
      </c>
      <c r="I309" s="7">
        <v>647.12580000000003</v>
      </c>
      <c r="J309" s="7">
        <f t="shared" si="12"/>
        <v>144.02200000003688</v>
      </c>
      <c r="K309" s="7">
        <f>2*G309*'Method Notes'!$B$8</f>
        <v>3.7450000000000001</v>
      </c>
      <c r="L309" s="7">
        <f>2*G309*'Method Notes'!$B$9</f>
        <v>1.07</v>
      </c>
      <c r="M309" s="7">
        <f t="shared" si="13"/>
        <v>4.8150000000000004</v>
      </c>
      <c r="N309" s="7">
        <f t="shared" si="14"/>
        <v>139.20700000003689</v>
      </c>
      <c r="O309" s="7">
        <v>646.62180719729997</v>
      </c>
      <c r="P309" s="7">
        <v>642.49546134879995</v>
      </c>
      <c r="Q309" s="7">
        <v>645.2110495595</v>
      </c>
      <c r="R309" s="7">
        <v>646.95155300210001</v>
      </c>
      <c r="S309" s="7">
        <v>642.1660061494</v>
      </c>
      <c r="T309" s="7">
        <v>645.90020434899998</v>
      </c>
      <c r="U309" t="s">
        <v>85</v>
      </c>
    </row>
    <row r="310" spans="1:21">
      <c r="A310" t="s">
        <v>89</v>
      </c>
      <c r="B310">
        <v>74</v>
      </c>
      <c r="C310" s="10">
        <v>45898</v>
      </c>
      <c r="D310" s="11">
        <v>45898.458333333336</v>
      </c>
      <c r="E310" s="11">
        <v>45898.479166666664</v>
      </c>
      <c r="F310">
        <v>-1</v>
      </c>
      <c r="G310">
        <v>557</v>
      </c>
      <c r="H310" s="7">
        <v>641.95510000000002</v>
      </c>
      <c r="I310" s="7">
        <v>642.65729999999996</v>
      </c>
      <c r="J310" s="7">
        <f t="shared" si="12"/>
        <v>-391.12539999997102</v>
      </c>
      <c r="K310" s="7">
        <f>2*G310*'Method Notes'!$B$8</f>
        <v>3.899</v>
      </c>
      <c r="L310" s="7">
        <f>2*G310*'Method Notes'!$B$9</f>
        <v>1.1140000000000001</v>
      </c>
      <c r="M310" s="7">
        <f t="shared" si="13"/>
        <v>5.0129999999999999</v>
      </c>
      <c r="N310" s="7">
        <f t="shared" si="14"/>
        <v>-396.138399999971</v>
      </c>
      <c r="O310" s="7">
        <v>648.66819449549996</v>
      </c>
      <c r="P310" s="7">
        <v>642.17844052279997</v>
      </c>
      <c r="Q310" s="7">
        <v>642.9827050463</v>
      </c>
      <c r="R310" s="7">
        <v>648.54115338229997</v>
      </c>
      <c r="S310" s="7">
        <v>642.30481162930005</v>
      </c>
      <c r="T310" s="7">
        <v>642.94577415640003</v>
      </c>
      <c r="U310" t="s">
        <v>88</v>
      </c>
    </row>
    <row r="311" spans="1:21">
      <c r="A311" t="s">
        <v>89</v>
      </c>
      <c r="B311">
        <v>75</v>
      </c>
      <c r="C311" s="10">
        <v>45898</v>
      </c>
      <c r="D311" s="11">
        <v>45898.5</v>
      </c>
      <c r="E311" s="11">
        <v>45898.520833333336</v>
      </c>
      <c r="F311">
        <v>-1</v>
      </c>
      <c r="G311">
        <v>557</v>
      </c>
      <c r="H311" s="7">
        <v>641.98009999999999</v>
      </c>
      <c r="I311" s="7">
        <v>642.42880000000002</v>
      </c>
      <c r="J311" s="7">
        <f t="shared" si="12"/>
        <v>-249.92590000001712</v>
      </c>
      <c r="K311" s="7">
        <f>2*G311*'Method Notes'!$B$8</f>
        <v>3.899</v>
      </c>
      <c r="L311" s="7">
        <f>2*G311*'Method Notes'!$B$9</f>
        <v>1.1140000000000001</v>
      </c>
      <c r="M311" s="7">
        <f t="shared" si="13"/>
        <v>5.0129999999999999</v>
      </c>
      <c r="N311" s="7">
        <f t="shared" si="14"/>
        <v>-254.93890000001713</v>
      </c>
      <c r="O311" s="7">
        <v>648.48917794040005</v>
      </c>
      <c r="P311" s="7">
        <v>642.35651295599996</v>
      </c>
      <c r="Q311" s="7">
        <v>642.85525439239996</v>
      </c>
      <c r="R311" s="7">
        <v>648.83317497819996</v>
      </c>
      <c r="S311" s="7">
        <v>642.01433013680003</v>
      </c>
      <c r="T311" s="7">
        <v>642.82205683029997</v>
      </c>
      <c r="U311" t="s">
        <v>88</v>
      </c>
    </row>
    <row r="312" spans="1:21">
      <c r="A312" t="s">
        <v>89</v>
      </c>
      <c r="B312">
        <v>76</v>
      </c>
      <c r="C312" s="10">
        <v>45902</v>
      </c>
      <c r="D312" s="11">
        <v>45902.458333333336</v>
      </c>
      <c r="E312" s="11">
        <v>45902.5625</v>
      </c>
      <c r="F312">
        <v>-1</v>
      </c>
      <c r="G312">
        <v>535</v>
      </c>
      <c r="H312" s="7">
        <v>635.88699999999994</v>
      </c>
      <c r="I312" s="7">
        <v>635.86739999999998</v>
      </c>
      <c r="J312" s="7">
        <f t="shared" si="12"/>
        <v>10.485999999983164</v>
      </c>
      <c r="K312" s="7">
        <f>2*G312*'Method Notes'!$B$8</f>
        <v>3.7450000000000001</v>
      </c>
      <c r="L312" s="7">
        <f>2*G312*'Method Notes'!$B$9</f>
        <v>1.07</v>
      </c>
      <c r="M312" s="7">
        <f t="shared" si="13"/>
        <v>4.8150000000000004</v>
      </c>
      <c r="N312" s="7">
        <f t="shared" si="14"/>
        <v>5.670999999983164</v>
      </c>
      <c r="O312" s="7">
        <v>644.85743672429999</v>
      </c>
      <c r="P312" s="7">
        <v>635.98537163360004</v>
      </c>
      <c r="Q312" s="7">
        <v>637.24883816090005</v>
      </c>
      <c r="R312" s="7">
        <v>645.19037158829997</v>
      </c>
      <c r="S312" s="7">
        <v>635.65538903590004</v>
      </c>
      <c r="T312" s="7">
        <v>636.1028795213</v>
      </c>
      <c r="U312" t="s">
        <v>88</v>
      </c>
    </row>
    <row r="313" spans="1:21">
      <c r="A313" t="s">
        <v>89</v>
      </c>
      <c r="B313">
        <v>77</v>
      </c>
      <c r="C313" s="10">
        <v>45903</v>
      </c>
      <c r="D313" s="11">
        <v>45903.458333333336</v>
      </c>
      <c r="E313" s="11">
        <v>45903.479166666664</v>
      </c>
      <c r="F313">
        <v>1</v>
      </c>
      <c r="G313">
        <v>558</v>
      </c>
      <c r="H313" s="7">
        <v>642.20939999999996</v>
      </c>
      <c r="I313" s="7">
        <v>640.67370000000005</v>
      </c>
      <c r="J313" s="7">
        <f t="shared" si="12"/>
        <v>-856.92059999994763</v>
      </c>
      <c r="K313" s="7">
        <f>2*G313*'Method Notes'!$B$8</f>
        <v>3.9060000000000001</v>
      </c>
      <c r="L313" s="7">
        <f>2*G313*'Method Notes'!$B$9</f>
        <v>1.1160000000000001</v>
      </c>
      <c r="M313" s="7">
        <f t="shared" si="13"/>
        <v>5.0220000000000002</v>
      </c>
      <c r="N313" s="7">
        <f t="shared" si="14"/>
        <v>-861.94259999994767</v>
      </c>
      <c r="O313" s="7">
        <v>641.78915880500006</v>
      </c>
      <c r="P313" s="7">
        <v>636.99443773619998</v>
      </c>
      <c r="Q313" s="7">
        <v>640.83733642029995</v>
      </c>
      <c r="R313" s="7">
        <v>641.67136662550001</v>
      </c>
      <c r="S313" s="7">
        <v>637.11190241259999</v>
      </c>
      <c r="T313" s="7">
        <v>640.80848612679995</v>
      </c>
      <c r="U313" t="s">
        <v>88</v>
      </c>
    </row>
    <row r="314" spans="1:21">
      <c r="A314" t="s">
        <v>89</v>
      </c>
      <c r="B314">
        <v>78</v>
      </c>
      <c r="C314" s="10">
        <v>45904</v>
      </c>
      <c r="D314" s="11">
        <v>45904.5625</v>
      </c>
      <c r="E314" s="11">
        <v>45904.666666666664</v>
      </c>
      <c r="F314">
        <v>1</v>
      </c>
      <c r="G314">
        <v>540</v>
      </c>
      <c r="H314" s="7">
        <v>645.09019999999998</v>
      </c>
      <c r="I314" s="7">
        <v>647.32529999999997</v>
      </c>
      <c r="J314" s="7">
        <f t="shared" si="12"/>
        <v>1206.9539999999938</v>
      </c>
      <c r="K314" s="7">
        <f>2*G314*'Method Notes'!$B$8</f>
        <v>3.7800000000000002</v>
      </c>
      <c r="L314" s="7">
        <f>2*G314*'Method Notes'!$B$9</f>
        <v>1.08</v>
      </c>
      <c r="M314" s="7">
        <f t="shared" si="13"/>
        <v>4.8600000000000003</v>
      </c>
      <c r="N314" s="7">
        <f t="shared" si="14"/>
        <v>1202.0939999999939</v>
      </c>
      <c r="O314" s="7">
        <v>644.8428584536</v>
      </c>
      <c r="P314" s="7">
        <v>640.35552839369996</v>
      </c>
      <c r="Q314" s="7">
        <v>643.82850511369998</v>
      </c>
      <c r="R314" s="7">
        <v>645.09781171839995</v>
      </c>
      <c r="S314" s="7">
        <v>640.10108048899997</v>
      </c>
      <c r="T314" s="7">
        <v>645.11155126899996</v>
      </c>
      <c r="U314" t="s">
        <v>85</v>
      </c>
    </row>
    <row r="315" spans="1:21">
      <c r="A315" t="s">
        <v>89</v>
      </c>
      <c r="B315">
        <v>79</v>
      </c>
      <c r="C315" s="10">
        <v>45905</v>
      </c>
      <c r="D315" s="11">
        <v>45905.4375</v>
      </c>
      <c r="E315" s="11">
        <v>45905.645833333336</v>
      </c>
      <c r="F315">
        <v>-1</v>
      </c>
      <c r="G315">
        <v>507</v>
      </c>
      <c r="H315" s="7">
        <v>644.71749999999997</v>
      </c>
      <c r="I315" s="7">
        <v>645.37869999999998</v>
      </c>
      <c r="J315" s="7">
        <f t="shared" si="12"/>
        <v>-335.22840000000406</v>
      </c>
      <c r="K315" s="7">
        <f>2*G315*'Method Notes'!$B$8</f>
        <v>3.5489999999999999</v>
      </c>
      <c r="L315" s="7">
        <f>2*G315*'Method Notes'!$B$9</f>
        <v>1.014</v>
      </c>
      <c r="M315" s="7">
        <f t="shared" si="13"/>
        <v>4.5629999999999997</v>
      </c>
      <c r="N315" s="7">
        <f t="shared" si="14"/>
        <v>-339.79140000000405</v>
      </c>
      <c r="O315" s="7">
        <v>650.24699092130004</v>
      </c>
      <c r="P315" s="7">
        <v>646.34105046599996</v>
      </c>
      <c r="Q315" s="7">
        <v>646.97050796940005</v>
      </c>
      <c r="R315" s="7">
        <v>651.17158273940004</v>
      </c>
      <c r="S315" s="7">
        <v>645.41921379689995</v>
      </c>
      <c r="T315" s="7">
        <v>644.85131933440005</v>
      </c>
      <c r="U315" t="s">
        <v>88</v>
      </c>
    </row>
    <row r="316" spans="1:21">
      <c r="A316" t="s">
        <v>89</v>
      </c>
      <c r="B316">
        <v>80</v>
      </c>
      <c r="C316" s="10">
        <v>45911</v>
      </c>
      <c r="D316" s="11">
        <v>45911.479166666664</v>
      </c>
      <c r="E316" s="11">
        <v>45911.5</v>
      </c>
      <c r="F316">
        <v>1</v>
      </c>
      <c r="G316">
        <v>524</v>
      </c>
      <c r="H316" s="7">
        <v>655.63229999999999</v>
      </c>
      <c r="I316" s="7">
        <v>655.39290000000005</v>
      </c>
      <c r="J316" s="7">
        <f t="shared" si="12"/>
        <v>-125.44559999996454</v>
      </c>
      <c r="K316" s="7">
        <f>2*G316*'Method Notes'!$B$8</f>
        <v>3.6680000000000001</v>
      </c>
      <c r="L316" s="7">
        <f>2*G316*'Method Notes'!$B$9</f>
        <v>1.048</v>
      </c>
      <c r="M316" s="7">
        <f t="shared" si="13"/>
        <v>4.7160000000000002</v>
      </c>
      <c r="N316" s="7">
        <f t="shared" si="14"/>
        <v>-130.16159999996455</v>
      </c>
      <c r="O316" s="7">
        <v>655.49247382520002</v>
      </c>
      <c r="P316" s="7">
        <v>648.72520455200004</v>
      </c>
      <c r="Q316" s="7">
        <v>654.40606447899995</v>
      </c>
      <c r="R316" s="7">
        <v>655.60827331200005</v>
      </c>
      <c r="S316" s="7">
        <v>648.61000650139999</v>
      </c>
      <c r="T316" s="7">
        <v>654.5339842249</v>
      </c>
      <c r="U316" t="s">
        <v>88</v>
      </c>
    </row>
    <row r="317" spans="1:21">
      <c r="A317" t="s">
        <v>89</v>
      </c>
      <c r="B317">
        <v>81</v>
      </c>
      <c r="C317" s="10">
        <v>45911</v>
      </c>
      <c r="D317" s="11">
        <v>45911.520833333336</v>
      </c>
      <c r="E317" s="11">
        <v>45911.5625</v>
      </c>
      <c r="F317">
        <v>1</v>
      </c>
      <c r="G317">
        <v>524</v>
      </c>
      <c r="H317" s="7">
        <v>655.56240000000003</v>
      </c>
      <c r="I317" s="7">
        <v>655.29819999999995</v>
      </c>
      <c r="J317" s="7">
        <f t="shared" si="12"/>
        <v>-138.44080000003851</v>
      </c>
      <c r="K317" s="7">
        <f>2*G317*'Method Notes'!$B$8</f>
        <v>3.6680000000000001</v>
      </c>
      <c r="L317" s="7">
        <f>2*G317*'Method Notes'!$B$9</f>
        <v>1.048</v>
      </c>
      <c r="M317" s="7">
        <f t="shared" si="13"/>
        <v>4.7160000000000002</v>
      </c>
      <c r="N317" s="7">
        <f t="shared" si="14"/>
        <v>-143.15680000003852</v>
      </c>
      <c r="O317" s="7">
        <v>655.48045186829995</v>
      </c>
      <c r="P317" s="7">
        <v>648.73716406970004</v>
      </c>
      <c r="Q317" s="7">
        <v>654.62613614099996</v>
      </c>
      <c r="R317" s="7">
        <v>655.62033543890004</v>
      </c>
      <c r="S317" s="7">
        <v>648.5980070224</v>
      </c>
      <c r="T317" s="7">
        <v>654.71203061990002</v>
      </c>
      <c r="U317" t="s">
        <v>88</v>
      </c>
    </row>
    <row r="318" spans="1:21">
      <c r="A318" t="s">
        <v>89</v>
      </c>
      <c r="B318">
        <v>82</v>
      </c>
      <c r="C318" s="10">
        <v>45911</v>
      </c>
      <c r="D318" s="11">
        <v>45911.583333333336</v>
      </c>
      <c r="E318" s="11">
        <v>45911.604166666664</v>
      </c>
      <c r="F318">
        <v>1</v>
      </c>
      <c r="G318">
        <v>524</v>
      </c>
      <c r="H318" s="7">
        <v>655.76189999999997</v>
      </c>
      <c r="I318" s="7">
        <v>655.51260000000002</v>
      </c>
      <c r="J318" s="7">
        <f t="shared" si="12"/>
        <v>-130.63319999997293</v>
      </c>
      <c r="K318" s="7">
        <f>2*G318*'Method Notes'!$B$8</f>
        <v>3.6680000000000001</v>
      </c>
      <c r="L318" s="7">
        <f>2*G318*'Method Notes'!$B$9</f>
        <v>1.048</v>
      </c>
      <c r="M318" s="7">
        <f t="shared" si="13"/>
        <v>4.7160000000000002</v>
      </c>
      <c r="N318" s="7">
        <f t="shared" si="14"/>
        <v>-135.34919999997294</v>
      </c>
      <c r="O318" s="7">
        <v>655.66759277680001</v>
      </c>
      <c r="P318" s="7">
        <v>648.55099512840002</v>
      </c>
      <c r="Q318" s="7">
        <v>654.77351781089999</v>
      </c>
      <c r="R318" s="7">
        <v>655.73961218930003</v>
      </c>
      <c r="S318" s="7">
        <v>648.4793497682</v>
      </c>
      <c r="T318" s="7">
        <v>654.84132261540003</v>
      </c>
      <c r="U318" t="s">
        <v>88</v>
      </c>
    </row>
    <row r="319" spans="1:21">
      <c r="A319" t="s">
        <v>89</v>
      </c>
      <c r="B319">
        <v>83</v>
      </c>
      <c r="C319" s="10">
        <v>45911</v>
      </c>
      <c r="D319" s="11">
        <v>45911.645833333336</v>
      </c>
      <c r="E319" s="11">
        <v>45911.666666666664</v>
      </c>
      <c r="F319">
        <v>1</v>
      </c>
      <c r="G319">
        <v>524</v>
      </c>
      <c r="H319" s="7">
        <v>655.92139999999995</v>
      </c>
      <c r="I319" s="7">
        <v>655.81169999999997</v>
      </c>
      <c r="J319" s="7">
        <f t="shared" si="12"/>
        <v>-57.482799999987037</v>
      </c>
      <c r="K319" s="7">
        <f>2*G319*'Method Notes'!$B$8</f>
        <v>3.6680000000000001</v>
      </c>
      <c r="L319" s="7">
        <f>2*G319*'Method Notes'!$B$9</f>
        <v>1.048</v>
      </c>
      <c r="M319" s="7">
        <f t="shared" si="13"/>
        <v>4.7160000000000002</v>
      </c>
      <c r="N319" s="7">
        <f t="shared" si="14"/>
        <v>-62.198799999987038</v>
      </c>
      <c r="O319" s="7">
        <v>655.77855676820002</v>
      </c>
      <c r="P319" s="7">
        <v>648.44060745859997</v>
      </c>
      <c r="Q319" s="7">
        <v>654.98323944779997</v>
      </c>
      <c r="R319" s="7">
        <v>655.95492025659996</v>
      </c>
      <c r="S319" s="7">
        <v>648.26515996190005</v>
      </c>
      <c r="T319" s="7">
        <v>655.17284369799995</v>
      </c>
      <c r="U319" t="s">
        <v>85</v>
      </c>
    </row>
    <row r="320" spans="1:21">
      <c r="A320" t="s">
        <v>89</v>
      </c>
      <c r="B320">
        <v>84</v>
      </c>
      <c r="C320" s="10">
        <v>45917</v>
      </c>
      <c r="D320" s="11">
        <v>45917.4375</v>
      </c>
      <c r="E320" s="11">
        <v>45917.458333333336</v>
      </c>
      <c r="F320">
        <v>-1</v>
      </c>
      <c r="G320">
        <v>637</v>
      </c>
      <c r="H320" s="7">
        <v>657.34749999999997</v>
      </c>
      <c r="I320" s="7">
        <v>657.53689999999995</v>
      </c>
      <c r="J320" s="7">
        <f t="shared" si="12"/>
        <v>-120.64779999998586</v>
      </c>
      <c r="K320" s="7">
        <f>2*G320*'Method Notes'!$B$8</f>
        <v>4.4590000000000005</v>
      </c>
      <c r="L320" s="7">
        <f>2*G320*'Method Notes'!$B$9</f>
        <v>1.274</v>
      </c>
      <c r="M320" s="7">
        <f t="shared" si="13"/>
        <v>5.7330000000000005</v>
      </c>
      <c r="N320" s="7">
        <f t="shared" si="14"/>
        <v>-126.38079999998587</v>
      </c>
      <c r="O320" s="7">
        <v>658.81261217669999</v>
      </c>
      <c r="P320" s="7">
        <v>657.45296986419999</v>
      </c>
      <c r="Q320" s="7">
        <v>657.79438013590004</v>
      </c>
      <c r="R320" s="7">
        <v>659.5379777787</v>
      </c>
      <c r="S320" s="7">
        <v>656.72769760890003</v>
      </c>
      <c r="T320" s="7">
        <v>657.74030591389999</v>
      </c>
      <c r="U320" t="s">
        <v>88</v>
      </c>
    </row>
    <row r="321" spans="1:21">
      <c r="A321" t="s">
        <v>89</v>
      </c>
      <c r="B321">
        <v>85</v>
      </c>
      <c r="C321" s="10">
        <v>45917</v>
      </c>
      <c r="D321" s="11">
        <v>45917.541666666664</v>
      </c>
      <c r="E321" s="11">
        <v>45917.5625</v>
      </c>
      <c r="F321">
        <v>-1</v>
      </c>
      <c r="G321">
        <v>637</v>
      </c>
      <c r="H321" s="7">
        <v>656.48990000000003</v>
      </c>
      <c r="I321" s="7">
        <v>656.85080000000005</v>
      </c>
      <c r="J321" s="7">
        <f t="shared" si="12"/>
        <v>-229.89330000000962</v>
      </c>
      <c r="K321" s="7">
        <f>2*G321*'Method Notes'!$B$8</f>
        <v>4.4590000000000005</v>
      </c>
      <c r="L321" s="7">
        <f>2*G321*'Method Notes'!$B$9</f>
        <v>1.274</v>
      </c>
      <c r="M321" s="7">
        <f t="shared" si="13"/>
        <v>5.7330000000000005</v>
      </c>
      <c r="N321" s="7">
        <f t="shared" si="14"/>
        <v>-235.62630000000962</v>
      </c>
      <c r="O321" s="7">
        <v>659.28050780119997</v>
      </c>
      <c r="P321" s="7">
        <v>656.98513445280003</v>
      </c>
      <c r="Q321" s="7">
        <v>657.48449691739995</v>
      </c>
      <c r="R321" s="7">
        <v>659.54114272859999</v>
      </c>
      <c r="S321" s="7">
        <v>656.72453306629995</v>
      </c>
      <c r="T321" s="7">
        <v>657.43602422399999</v>
      </c>
      <c r="U321" t="s">
        <v>88</v>
      </c>
    </row>
    <row r="322" spans="1:21">
      <c r="A322" t="s">
        <v>89</v>
      </c>
      <c r="B322">
        <v>86</v>
      </c>
      <c r="C322" s="10">
        <v>45917</v>
      </c>
      <c r="D322" s="11">
        <v>45917.625</v>
      </c>
      <c r="E322" s="11">
        <v>45917.645833333336</v>
      </c>
      <c r="F322">
        <v>-1</v>
      </c>
      <c r="G322">
        <v>637</v>
      </c>
      <c r="H322" s="7">
        <v>655.89149999999995</v>
      </c>
      <c r="I322" s="7">
        <v>658.245</v>
      </c>
      <c r="J322" s="7">
        <f t="shared" si="12"/>
        <v>-1499.1795000000343</v>
      </c>
      <c r="K322" s="7">
        <f>2*G322*'Method Notes'!$B$8</f>
        <v>4.4590000000000005</v>
      </c>
      <c r="L322" s="7">
        <f>2*G322*'Method Notes'!$B$9</f>
        <v>1.274</v>
      </c>
      <c r="M322" s="7">
        <f t="shared" si="13"/>
        <v>5.7330000000000005</v>
      </c>
      <c r="N322" s="7">
        <f t="shared" si="14"/>
        <v>-1504.9125000000342</v>
      </c>
      <c r="O322" s="7">
        <v>659.78135726489995</v>
      </c>
      <c r="P322" s="7">
        <v>656.48434944300004</v>
      </c>
      <c r="Q322" s="7">
        <v>657.25743341040004</v>
      </c>
      <c r="R322" s="7">
        <v>659.68919969360002</v>
      </c>
      <c r="S322" s="7">
        <v>656.57649515460002</v>
      </c>
      <c r="T322" s="7">
        <v>657.42625136150002</v>
      </c>
      <c r="U322" t="s">
        <v>88</v>
      </c>
    </row>
    <row r="323" spans="1:21">
      <c r="A323" t="s">
        <v>89</v>
      </c>
      <c r="B323">
        <v>87</v>
      </c>
      <c r="C323" s="10">
        <v>45918</v>
      </c>
      <c r="D323" s="11">
        <v>45918.4375</v>
      </c>
      <c r="E323" s="11">
        <v>45918.458333333336</v>
      </c>
      <c r="F323">
        <v>1</v>
      </c>
      <c r="G323">
        <v>623</v>
      </c>
      <c r="H323" s="7">
        <v>662.65279999999996</v>
      </c>
      <c r="I323" s="7">
        <v>660.92759999999998</v>
      </c>
      <c r="J323" s="7">
        <f t="shared" si="12"/>
        <v>-1074.799599999983</v>
      </c>
      <c r="K323" s="7">
        <f>2*G323*'Method Notes'!$B$8</f>
        <v>4.3609999999999998</v>
      </c>
      <c r="L323" s="7">
        <f>2*G323*'Method Notes'!$B$9</f>
        <v>1.246</v>
      </c>
      <c r="M323" s="7">
        <f t="shared" si="13"/>
        <v>5.6069999999999993</v>
      </c>
      <c r="N323" s="7">
        <f t="shared" si="14"/>
        <v>-1080.406599999983</v>
      </c>
      <c r="O323" s="7">
        <v>660.89425392759995</v>
      </c>
      <c r="P323" s="7">
        <v>656.72533640910001</v>
      </c>
      <c r="Q323" s="7">
        <v>661.19211677010003</v>
      </c>
      <c r="R323" s="7">
        <v>661.59921226899996</v>
      </c>
      <c r="S323" s="7">
        <v>656.02347653039999</v>
      </c>
      <c r="T323" s="7">
        <v>661.13510630229996</v>
      </c>
      <c r="U323" t="s">
        <v>88</v>
      </c>
    </row>
    <row r="324" spans="1:21">
      <c r="A324" t="s">
        <v>89</v>
      </c>
      <c r="B324">
        <v>88</v>
      </c>
      <c r="C324" s="10">
        <v>45918</v>
      </c>
      <c r="D324" s="11">
        <v>45918.479166666664</v>
      </c>
      <c r="E324" s="11">
        <v>45918.5</v>
      </c>
      <c r="F324">
        <v>1</v>
      </c>
      <c r="G324">
        <v>623</v>
      </c>
      <c r="H324" s="7">
        <v>661.55579999999998</v>
      </c>
      <c r="I324" s="7">
        <v>660.72810000000004</v>
      </c>
      <c r="J324" s="7">
        <f t="shared" si="12"/>
        <v>-515.65709999996022</v>
      </c>
      <c r="K324" s="7">
        <f>2*G324*'Method Notes'!$B$8</f>
        <v>4.3609999999999998</v>
      </c>
      <c r="L324" s="7">
        <f>2*G324*'Method Notes'!$B$9</f>
        <v>1.246</v>
      </c>
      <c r="M324" s="7">
        <f t="shared" si="13"/>
        <v>5.6069999999999993</v>
      </c>
      <c r="N324" s="7">
        <f t="shared" si="14"/>
        <v>-521.26409999996019</v>
      </c>
      <c r="O324" s="7">
        <v>661.47521069100003</v>
      </c>
      <c r="P324" s="7">
        <v>656.14693309150005</v>
      </c>
      <c r="Q324" s="7">
        <v>661.19440339560003</v>
      </c>
      <c r="R324" s="7">
        <v>661.61524099220003</v>
      </c>
      <c r="S324" s="7">
        <v>656.00751825739997</v>
      </c>
      <c r="T324" s="7">
        <v>661.15084683420002</v>
      </c>
      <c r="U324" t="s">
        <v>88</v>
      </c>
    </row>
    <row r="325" spans="1:21">
      <c r="A325" t="s">
        <v>89</v>
      </c>
      <c r="B325">
        <v>89</v>
      </c>
      <c r="C325" s="10">
        <v>45918</v>
      </c>
      <c r="D325" s="11">
        <v>45918.520833333336</v>
      </c>
      <c r="E325" s="11">
        <v>45918.5625</v>
      </c>
      <c r="F325">
        <v>1</v>
      </c>
      <c r="G325">
        <v>623</v>
      </c>
      <c r="H325" s="7">
        <v>661.64549999999997</v>
      </c>
      <c r="I325" s="7">
        <v>661.48599999999999</v>
      </c>
      <c r="J325" s="7">
        <f t="shared" si="12"/>
        <v>-99.368499999987534</v>
      </c>
      <c r="K325" s="7">
        <f>2*G325*'Method Notes'!$B$8</f>
        <v>4.3609999999999998</v>
      </c>
      <c r="L325" s="7">
        <f>2*G325*'Method Notes'!$B$9</f>
        <v>1.246</v>
      </c>
      <c r="M325" s="7">
        <f t="shared" si="13"/>
        <v>5.6069999999999993</v>
      </c>
      <c r="N325" s="7">
        <f t="shared" si="14"/>
        <v>-104.97549999998753</v>
      </c>
      <c r="O325" s="7">
        <v>661.61822337119997</v>
      </c>
      <c r="P325" s="7">
        <v>656.0045489867</v>
      </c>
      <c r="Q325" s="7">
        <v>661.18575722809999</v>
      </c>
      <c r="R325" s="7">
        <v>661.63656934230005</v>
      </c>
      <c r="S325" s="7">
        <v>655.98628365059994</v>
      </c>
      <c r="T325" s="7">
        <v>661.2619506218</v>
      </c>
      <c r="U325" t="s">
        <v>88</v>
      </c>
    </row>
    <row r="326" spans="1:21">
      <c r="A326" t="s">
        <v>89</v>
      </c>
      <c r="B326">
        <v>90</v>
      </c>
      <c r="C326" s="10">
        <v>45919</v>
      </c>
      <c r="D326" s="11">
        <v>45919.645833333336</v>
      </c>
      <c r="E326" s="11">
        <v>45919.666666666664</v>
      </c>
      <c r="F326">
        <v>1</v>
      </c>
      <c r="G326">
        <v>611</v>
      </c>
      <c r="H326" s="7">
        <v>663.85</v>
      </c>
      <c r="I326" s="7">
        <v>663.7</v>
      </c>
      <c r="J326" s="7">
        <f t="shared" si="12"/>
        <v>-91.649999999986107</v>
      </c>
      <c r="K326" s="7">
        <f>2*G326*'Method Notes'!$B$8</f>
        <v>4.2770000000000001</v>
      </c>
      <c r="L326" s="7">
        <f>2*G326*'Method Notes'!$B$9</f>
        <v>1.222</v>
      </c>
      <c r="M326" s="7">
        <f t="shared" si="13"/>
        <v>5.4990000000000006</v>
      </c>
      <c r="N326" s="7">
        <f t="shared" si="14"/>
        <v>-97.148999999986103</v>
      </c>
      <c r="O326" s="7">
        <v>663.39113206139996</v>
      </c>
      <c r="P326" s="7">
        <v>659.16591145489997</v>
      </c>
      <c r="Q326" s="7">
        <v>662.32309012250005</v>
      </c>
      <c r="R326" s="7">
        <v>663.41078989870005</v>
      </c>
      <c r="S326" s="7">
        <v>659.14630397609994</v>
      </c>
      <c r="T326" s="7">
        <v>662.67117351779996</v>
      </c>
      <c r="U326" t="s">
        <v>85</v>
      </c>
    </row>
    <row r="327" spans="1:21">
      <c r="A327" t="s">
        <v>89</v>
      </c>
      <c r="B327">
        <v>91</v>
      </c>
      <c r="C327" s="10">
        <v>45922</v>
      </c>
      <c r="D327" s="11">
        <v>45922.458333333336</v>
      </c>
      <c r="E327" s="11">
        <v>45922.479166666664</v>
      </c>
      <c r="F327">
        <v>1</v>
      </c>
      <c r="G327">
        <v>609</v>
      </c>
      <c r="H327" s="7">
        <v>664.96</v>
      </c>
      <c r="I327" s="7">
        <v>664.93</v>
      </c>
      <c r="J327" s="7">
        <f t="shared" ref="J327:J390" si="15">F327*G327*(I327-H327)</f>
        <v>-18.270000000052619</v>
      </c>
      <c r="K327" s="7">
        <f>2*G327*'Method Notes'!$B$8</f>
        <v>4.2629999999999999</v>
      </c>
      <c r="L327" s="7">
        <f>2*G327*'Method Notes'!$B$9</f>
        <v>1.218</v>
      </c>
      <c r="M327" s="7">
        <f t="shared" ref="M327:M390" si="16">K327+L327</f>
        <v>5.4809999999999999</v>
      </c>
      <c r="N327" s="7">
        <f t="shared" ref="N327:N390" si="17">J327-M327</f>
        <v>-23.75100000005262</v>
      </c>
      <c r="O327" s="7">
        <v>664.9431044849</v>
      </c>
      <c r="P327" s="7">
        <v>662.18740122279996</v>
      </c>
      <c r="Q327" s="7">
        <v>664.00973277100002</v>
      </c>
      <c r="R327" s="7">
        <v>665.02410734010004</v>
      </c>
      <c r="S327" s="7">
        <v>662.10643132040002</v>
      </c>
      <c r="T327" s="7">
        <v>664.17226220810005</v>
      </c>
      <c r="U327" t="s">
        <v>88</v>
      </c>
    </row>
    <row r="328" spans="1:21">
      <c r="A328" t="s">
        <v>89</v>
      </c>
      <c r="B328">
        <v>92</v>
      </c>
      <c r="C328" s="10">
        <v>45922</v>
      </c>
      <c r="D328" s="11">
        <v>45922.520833333336</v>
      </c>
      <c r="E328" s="11">
        <v>45922.666666666664</v>
      </c>
      <c r="F328">
        <v>1</v>
      </c>
      <c r="G328">
        <v>609</v>
      </c>
      <c r="H328" s="7">
        <v>665.85500000000002</v>
      </c>
      <c r="I328" s="7">
        <v>666.84</v>
      </c>
      <c r="J328" s="7">
        <f t="shared" si="15"/>
        <v>599.86500000000831</v>
      </c>
      <c r="K328" s="7">
        <f>2*G328*'Method Notes'!$B$8</f>
        <v>4.2629999999999999</v>
      </c>
      <c r="L328" s="7">
        <f>2*G328*'Method Notes'!$B$9</f>
        <v>1.218</v>
      </c>
      <c r="M328" s="7">
        <f t="shared" si="16"/>
        <v>5.4809999999999999</v>
      </c>
      <c r="N328" s="7">
        <f t="shared" si="17"/>
        <v>594.38400000000831</v>
      </c>
      <c r="O328" s="7">
        <v>664.94075467109997</v>
      </c>
      <c r="P328" s="7">
        <v>662.18975008070004</v>
      </c>
      <c r="Q328" s="7">
        <v>664.52443926770002</v>
      </c>
      <c r="R328" s="7">
        <v>665.06874762070004</v>
      </c>
      <c r="S328" s="7">
        <v>662.06180919990004</v>
      </c>
      <c r="T328" s="7">
        <v>665.63604221690002</v>
      </c>
      <c r="U328" t="s">
        <v>85</v>
      </c>
    </row>
    <row r="329" spans="1:21">
      <c r="A329" t="s">
        <v>89</v>
      </c>
      <c r="B329">
        <v>93</v>
      </c>
      <c r="C329" s="10">
        <v>45923</v>
      </c>
      <c r="D329" s="11">
        <v>45923.5</v>
      </c>
      <c r="E329" s="11">
        <v>45923.666666666664</v>
      </c>
      <c r="F329">
        <v>-1</v>
      </c>
      <c r="G329">
        <v>610</v>
      </c>
      <c r="H329" s="7">
        <v>665.57069999999999</v>
      </c>
      <c r="I329" s="7">
        <v>663.21</v>
      </c>
      <c r="J329" s="7">
        <f t="shared" si="15"/>
        <v>1440.0269999999705</v>
      </c>
      <c r="K329" s="7">
        <f>2*G329*'Method Notes'!$B$8</f>
        <v>4.2700000000000005</v>
      </c>
      <c r="L329" s="7">
        <f>2*G329*'Method Notes'!$B$9</f>
        <v>1.22</v>
      </c>
      <c r="M329" s="7">
        <f t="shared" si="16"/>
        <v>5.49</v>
      </c>
      <c r="N329" s="7">
        <f t="shared" si="17"/>
        <v>1434.5369999999705</v>
      </c>
      <c r="O329" s="7">
        <v>667.8536830173</v>
      </c>
      <c r="P329" s="7">
        <v>665.76640819040006</v>
      </c>
      <c r="Q329" s="7">
        <v>666.43339372200001</v>
      </c>
      <c r="R329" s="7">
        <v>668.39000723929996</v>
      </c>
      <c r="S329" s="7">
        <v>665.23013222509996</v>
      </c>
      <c r="T329" s="7">
        <v>664.32810369849994</v>
      </c>
      <c r="U329" t="s">
        <v>85</v>
      </c>
    </row>
    <row r="330" spans="1:21">
      <c r="A330" t="s">
        <v>89</v>
      </c>
      <c r="B330">
        <v>94</v>
      </c>
      <c r="C330" s="10">
        <v>45924</v>
      </c>
      <c r="D330" s="11">
        <v>45924.5</v>
      </c>
      <c r="E330" s="11">
        <v>45924.625</v>
      </c>
      <c r="F330">
        <v>-1</v>
      </c>
      <c r="G330">
        <v>622</v>
      </c>
      <c r="H330" s="7">
        <v>660.38</v>
      </c>
      <c r="I330" s="7">
        <v>661.11249999999995</v>
      </c>
      <c r="J330" s="7">
        <f t="shared" si="15"/>
        <v>-455.61499999997454</v>
      </c>
      <c r="K330" s="7">
        <f>2*G330*'Method Notes'!$B$8</f>
        <v>4.3540000000000001</v>
      </c>
      <c r="L330" s="7">
        <f>2*G330*'Method Notes'!$B$9</f>
        <v>1.244</v>
      </c>
      <c r="M330" s="7">
        <f t="shared" si="16"/>
        <v>5.5979999999999999</v>
      </c>
      <c r="N330" s="7">
        <f t="shared" si="17"/>
        <v>-461.21299999997456</v>
      </c>
      <c r="O330" s="7">
        <v>664.28452637520002</v>
      </c>
      <c r="P330" s="7">
        <v>661.94078956190003</v>
      </c>
      <c r="Q330" s="7">
        <v>662.41881930839997</v>
      </c>
      <c r="R330" s="7">
        <v>665.11610838950003</v>
      </c>
      <c r="S330" s="7">
        <v>661.10945205309997</v>
      </c>
      <c r="T330" s="7">
        <v>661.63776311460003</v>
      </c>
      <c r="U330" t="s">
        <v>88</v>
      </c>
    </row>
    <row r="331" spans="1:21">
      <c r="A331" t="s">
        <v>89</v>
      </c>
      <c r="B331">
        <v>95</v>
      </c>
      <c r="C331" s="10">
        <v>45924</v>
      </c>
      <c r="D331" s="11">
        <v>45924.645833333336</v>
      </c>
      <c r="E331" s="11">
        <v>45924.666666666664</v>
      </c>
      <c r="F331">
        <v>-1</v>
      </c>
      <c r="G331">
        <v>622</v>
      </c>
      <c r="H331" s="7">
        <v>660.80250000000001</v>
      </c>
      <c r="I331" s="7">
        <v>661.1</v>
      </c>
      <c r="J331" s="7">
        <f t="shared" si="15"/>
        <v>-185.04500000000849</v>
      </c>
      <c r="K331" s="7">
        <f>2*G331*'Method Notes'!$B$8</f>
        <v>4.3540000000000001</v>
      </c>
      <c r="L331" s="7">
        <f>2*G331*'Method Notes'!$B$9</f>
        <v>1.244</v>
      </c>
      <c r="M331" s="7">
        <f t="shared" si="16"/>
        <v>5.5979999999999999</v>
      </c>
      <c r="N331" s="7">
        <f t="shared" si="17"/>
        <v>-190.6430000000085</v>
      </c>
      <c r="O331" s="7">
        <v>665.02395965339997</v>
      </c>
      <c r="P331" s="7">
        <v>661.20157369519995</v>
      </c>
      <c r="Q331" s="7">
        <v>661.59006700800001</v>
      </c>
      <c r="R331" s="7">
        <v>664.88088462109999</v>
      </c>
      <c r="S331" s="7">
        <v>661.34460665990002</v>
      </c>
      <c r="T331" s="7">
        <v>661.50044949380003</v>
      </c>
      <c r="U331" t="s">
        <v>85</v>
      </c>
    </row>
    <row r="332" spans="1:21">
      <c r="A332" t="s">
        <v>89</v>
      </c>
      <c r="B332">
        <v>96</v>
      </c>
      <c r="C332" s="10">
        <v>45930</v>
      </c>
      <c r="D332" s="11">
        <v>45930.645833333336</v>
      </c>
      <c r="E332" s="11">
        <v>45930.666666666664</v>
      </c>
      <c r="F332">
        <v>1</v>
      </c>
      <c r="G332">
        <v>618</v>
      </c>
      <c r="H332" s="7">
        <v>665.40499999999997</v>
      </c>
      <c r="I332" s="7">
        <v>666.18</v>
      </c>
      <c r="J332" s="7">
        <f t="shared" si="15"/>
        <v>478.94999999998595</v>
      </c>
      <c r="K332" s="7">
        <f>2*G332*'Method Notes'!$B$8</f>
        <v>4.3260000000000005</v>
      </c>
      <c r="L332" s="7">
        <f>2*G332*'Method Notes'!$B$9</f>
        <v>1.236</v>
      </c>
      <c r="M332" s="7">
        <f t="shared" si="16"/>
        <v>5.5620000000000003</v>
      </c>
      <c r="N332" s="7">
        <f t="shared" si="17"/>
        <v>473.38799999998594</v>
      </c>
      <c r="O332" s="7">
        <v>665.29428213430003</v>
      </c>
      <c r="P332" s="7">
        <v>661.45221374250002</v>
      </c>
      <c r="Q332" s="7">
        <v>663.3506120024</v>
      </c>
      <c r="R332" s="7">
        <v>664.99636711740004</v>
      </c>
      <c r="S332" s="7">
        <v>661.74985269599995</v>
      </c>
      <c r="T332" s="7">
        <v>664.31106298069994</v>
      </c>
      <c r="U332" t="s">
        <v>85</v>
      </c>
    </row>
    <row r="333" spans="1:21">
      <c r="A333" t="s">
        <v>89</v>
      </c>
      <c r="B333">
        <v>97</v>
      </c>
      <c r="C333" s="10">
        <v>45931</v>
      </c>
      <c r="D333" s="11">
        <v>45931.5625</v>
      </c>
      <c r="E333" s="11">
        <v>45931.666666666664</v>
      </c>
      <c r="F333">
        <v>1</v>
      </c>
      <c r="G333">
        <v>620</v>
      </c>
      <c r="H333" s="7">
        <v>667.99869999999999</v>
      </c>
      <c r="I333" s="7">
        <v>668.45</v>
      </c>
      <c r="J333" s="7">
        <f t="shared" si="15"/>
        <v>279.80600000003733</v>
      </c>
      <c r="K333" s="7">
        <f>2*G333*'Method Notes'!$B$8</f>
        <v>4.34</v>
      </c>
      <c r="L333" s="7">
        <f>2*G333*'Method Notes'!$B$9</f>
        <v>1.24</v>
      </c>
      <c r="M333" s="7">
        <f t="shared" si="16"/>
        <v>5.58</v>
      </c>
      <c r="N333" s="7">
        <f t="shared" si="17"/>
        <v>274.22600000003735</v>
      </c>
      <c r="O333" s="7">
        <v>667.48899663520001</v>
      </c>
      <c r="P333" s="7">
        <v>662.37831097239996</v>
      </c>
      <c r="Q333" s="7">
        <v>665.6464478721</v>
      </c>
      <c r="R333" s="7">
        <v>667.62646146489999</v>
      </c>
      <c r="S333" s="7">
        <v>662.24136151710002</v>
      </c>
      <c r="T333" s="7">
        <v>666.87834276449996</v>
      </c>
      <c r="U333" t="s">
        <v>85</v>
      </c>
    </row>
    <row r="334" spans="1:21">
      <c r="A334" t="s">
        <v>89</v>
      </c>
      <c r="B334">
        <v>98</v>
      </c>
      <c r="C334" s="10">
        <v>45933</v>
      </c>
      <c r="D334" s="11">
        <v>45933.458333333336</v>
      </c>
      <c r="E334" s="11">
        <v>45933.479166666664</v>
      </c>
      <c r="F334">
        <v>1</v>
      </c>
      <c r="G334">
        <v>615</v>
      </c>
      <c r="H334" s="7">
        <v>672.1</v>
      </c>
      <c r="I334" s="7">
        <v>671.76</v>
      </c>
      <c r="J334" s="7">
        <f t="shared" si="15"/>
        <v>-209.10000000001958</v>
      </c>
      <c r="K334" s="7">
        <f>2*G334*'Method Notes'!$B$8</f>
        <v>4.3049999999999997</v>
      </c>
      <c r="L334" s="7">
        <f>2*G334*'Method Notes'!$B$9</f>
        <v>1.23</v>
      </c>
      <c r="M334" s="7">
        <f t="shared" si="16"/>
        <v>5.5350000000000001</v>
      </c>
      <c r="N334" s="7">
        <f t="shared" si="17"/>
        <v>-214.63500000001957</v>
      </c>
      <c r="O334" s="7">
        <v>671.7319760826</v>
      </c>
      <c r="P334" s="7">
        <v>668.16031992789999</v>
      </c>
      <c r="Q334" s="7">
        <v>671.24897690110004</v>
      </c>
      <c r="R334" s="7">
        <v>671.89100035609999</v>
      </c>
      <c r="S334" s="7">
        <v>668.00163946759994</v>
      </c>
      <c r="T334" s="7">
        <v>671.33011226730002</v>
      </c>
      <c r="U334" t="s">
        <v>88</v>
      </c>
    </row>
    <row r="335" spans="1:21">
      <c r="A335" t="s">
        <v>89</v>
      </c>
      <c r="B335">
        <v>99</v>
      </c>
      <c r="C335" s="10">
        <v>45933</v>
      </c>
      <c r="D335" s="11">
        <v>45933.5</v>
      </c>
      <c r="E335" s="11">
        <v>45933.5625</v>
      </c>
      <c r="F335">
        <v>1</v>
      </c>
      <c r="G335">
        <v>615</v>
      </c>
      <c r="H335" s="7">
        <v>672.51</v>
      </c>
      <c r="I335" s="7">
        <v>670.26499999999999</v>
      </c>
      <c r="J335" s="7">
        <f t="shared" si="15"/>
        <v>-1380.6750000000029</v>
      </c>
      <c r="K335" s="7">
        <f>2*G335*'Method Notes'!$B$8</f>
        <v>4.3049999999999997</v>
      </c>
      <c r="L335" s="7">
        <f>2*G335*'Method Notes'!$B$9</f>
        <v>1.23</v>
      </c>
      <c r="M335" s="7">
        <f t="shared" si="16"/>
        <v>5.5350000000000001</v>
      </c>
      <c r="N335" s="7">
        <f t="shared" si="17"/>
        <v>-1386.210000000003</v>
      </c>
      <c r="O335" s="7">
        <v>672.04425536880001</v>
      </c>
      <c r="P335" s="7">
        <v>667.8487157948</v>
      </c>
      <c r="Q335" s="7">
        <v>671.51563071759995</v>
      </c>
      <c r="R335" s="7">
        <v>672.21387727069998</v>
      </c>
      <c r="S335" s="7">
        <v>667.67946061830003</v>
      </c>
      <c r="T335" s="7">
        <v>671.37643629470006</v>
      </c>
      <c r="U335" t="s">
        <v>88</v>
      </c>
    </row>
    <row r="336" spans="1:21">
      <c r="A336" t="s">
        <v>89</v>
      </c>
      <c r="B336">
        <v>100</v>
      </c>
      <c r="C336" s="10">
        <v>45936</v>
      </c>
      <c r="D336" s="11">
        <v>45936.5</v>
      </c>
      <c r="E336" s="11">
        <v>45936.645833333336</v>
      </c>
      <c r="F336">
        <v>1</v>
      </c>
      <c r="G336">
        <v>606</v>
      </c>
      <c r="H336" s="7">
        <v>671.83</v>
      </c>
      <c r="I336" s="7">
        <v>671.73</v>
      </c>
      <c r="J336" s="7">
        <f t="shared" si="15"/>
        <v>-60.600000000013779</v>
      </c>
      <c r="K336" s="7">
        <f>2*G336*'Method Notes'!$B$8</f>
        <v>4.242</v>
      </c>
      <c r="L336" s="7">
        <f>2*G336*'Method Notes'!$B$9</f>
        <v>1.212</v>
      </c>
      <c r="M336" s="7">
        <f t="shared" si="16"/>
        <v>5.4539999999999997</v>
      </c>
      <c r="N336" s="7">
        <f t="shared" si="17"/>
        <v>-66.054000000013772</v>
      </c>
      <c r="O336" s="7">
        <v>671.44573716779996</v>
      </c>
      <c r="P336" s="7">
        <v>667.71591496370002</v>
      </c>
      <c r="Q336" s="7">
        <v>670.55558501919995</v>
      </c>
      <c r="R336" s="7">
        <v>671.78539952530002</v>
      </c>
      <c r="S336" s="7">
        <v>667.37662778369997</v>
      </c>
      <c r="T336" s="7">
        <v>671.15942197029995</v>
      </c>
      <c r="U336" t="s">
        <v>88</v>
      </c>
    </row>
    <row r="337" spans="1:21">
      <c r="A337" t="s">
        <v>89</v>
      </c>
      <c r="B337">
        <v>101</v>
      </c>
      <c r="C337" s="10">
        <v>45937</v>
      </c>
      <c r="D337" s="11">
        <v>45937.479166666664</v>
      </c>
      <c r="E337" s="11">
        <v>45937.666666666664</v>
      </c>
      <c r="F337">
        <v>-1</v>
      </c>
      <c r="G337">
        <v>604</v>
      </c>
      <c r="H337" s="7">
        <v>669.23</v>
      </c>
      <c r="I337" s="7">
        <v>669.12</v>
      </c>
      <c r="J337" s="7">
        <f t="shared" si="15"/>
        <v>66.44000000000824</v>
      </c>
      <c r="K337" s="7">
        <f>2*G337*'Method Notes'!$B$8</f>
        <v>4.2279999999999998</v>
      </c>
      <c r="L337" s="7">
        <f>2*G337*'Method Notes'!$B$9</f>
        <v>1.208</v>
      </c>
      <c r="M337" s="7">
        <f t="shared" si="16"/>
        <v>5.4359999999999999</v>
      </c>
      <c r="N337" s="7">
        <f t="shared" si="17"/>
        <v>61.00400000000824</v>
      </c>
      <c r="O337" s="7">
        <v>673.41471522660004</v>
      </c>
      <c r="P337" s="7">
        <v>670.2912371118</v>
      </c>
      <c r="Q337" s="7">
        <v>670.58700342110001</v>
      </c>
      <c r="R337" s="7">
        <v>673.9356845689</v>
      </c>
      <c r="S337" s="7">
        <v>669.77064371359995</v>
      </c>
      <c r="T337" s="7">
        <v>669.40221292490003</v>
      </c>
      <c r="U337" t="s">
        <v>85</v>
      </c>
    </row>
    <row r="338" spans="1:21">
      <c r="A338" t="s">
        <v>89</v>
      </c>
      <c r="B338">
        <v>102</v>
      </c>
      <c r="C338" s="10">
        <v>45938</v>
      </c>
      <c r="D338" s="11">
        <v>45938.4375</v>
      </c>
      <c r="E338" s="11">
        <v>45938.625</v>
      </c>
      <c r="F338">
        <v>1</v>
      </c>
      <c r="G338">
        <v>606</v>
      </c>
      <c r="H338" s="7">
        <v>671.91</v>
      </c>
      <c r="I338" s="7">
        <v>672.24069999999995</v>
      </c>
      <c r="J338" s="7">
        <f t="shared" si="15"/>
        <v>200.40419999998721</v>
      </c>
      <c r="K338" s="7">
        <f>2*G338*'Method Notes'!$B$8</f>
        <v>4.242</v>
      </c>
      <c r="L338" s="7">
        <f>2*G338*'Method Notes'!$B$9</f>
        <v>1.212</v>
      </c>
      <c r="M338" s="7">
        <f t="shared" si="16"/>
        <v>5.4539999999999997</v>
      </c>
      <c r="N338" s="7">
        <f t="shared" si="17"/>
        <v>194.95019999998721</v>
      </c>
      <c r="O338" s="7">
        <v>671.40482756409995</v>
      </c>
      <c r="P338" s="7">
        <v>668.10209682540005</v>
      </c>
      <c r="Q338" s="7">
        <v>671.00160537980003</v>
      </c>
      <c r="R338" s="7">
        <v>672.40805104210006</v>
      </c>
      <c r="S338" s="7">
        <v>667.10076640540001</v>
      </c>
      <c r="T338" s="7">
        <v>671.94990288500003</v>
      </c>
      <c r="U338" t="s">
        <v>88</v>
      </c>
    </row>
    <row r="339" spans="1:21">
      <c r="A339" t="s">
        <v>89</v>
      </c>
      <c r="B339">
        <v>103</v>
      </c>
      <c r="C339" s="10">
        <v>45938</v>
      </c>
      <c r="D339" s="11">
        <v>45938.645833333336</v>
      </c>
      <c r="E339" s="11">
        <v>45938.666666666664</v>
      </c>
      <c r="F339">
        <v>1</v>
      </c>
      <c r="G339">
        <v>606</v>
      </c>
      <c r="H339" s="7">
        <v>672.875</v>
      </c>
      <c r="I339" s="7">
        <v>673.11</v>
      </c>
      <c r="J339" s="7">
        <f t="shared" si="15"/>
        <v>142.41000000000827</v>
      </c>
      <c r="K339" s="7">
        <f>2*G339*'Method Notes'!$B$8</f>
        <v>4.242</v>
      </c>
      <c r="L339" s="7">
        <f>2*G339*'Method Notes'!$B$9</f>
        <v>1.212</v>
      </c>
      <c r="M339" s="7">
        <f t="shared" si="16"/>
        <v>5.4539999999999997</v>
      </c>
      <c r="N339" s="7">
        <f t="shared" si="17"/>
        <v>136.95600000000826</v>
      </c>
      <c r="O339" s="7">
        <v>672.58617427019999</v>
      </c>
      <c r="P339" s="7">
        <v>666.92297929150004</v>
      </c>
      <c r="Q339" s="7">
        <v>672.03391032770003</v>
      </c>
      <c r="R339" s="7">
        <v>672.3796253946</v>
      </c>
      <c r="S339" s="7">
        <v>667.12913841449995</v>
      </c>
      <c r="T339" s="7">
        <v>672.27716954940001</v>
      </c>
      <c r="U339" t="s">
        <v>85</v>
      </c>
    </row>
    <row r="340" spans="1:21">
      <c r="A340" t="s">
        <v>89</v>
      </c>
      <c r="B340">
        <v>104</v>
      </c>
      <c r="C340" s="10">
        <v>45939</v>
      </c>
      <c r="D340" s="11">
        <v>45939.541666666664</v>
      </c>
      <c r="E340" s="11">
        <v>45939.583333333336</v>
      </c>
      <c r="F340">
        <v>-1</v>
      </c>
      <c r="G340">
        <v>607</v>
      </c>
      <c r="H340" s="7">
        <v>669.76</v>
      </c>
      <c r="I340" s="7">
        <v>670.18</v>
      </c>
      <c r="J340" s="7">
        <f t="shared" si="15"/>
        <v>-254.93999999997516</v>
      </c>
      <c r="K340" s="7">
        <f>2*G340*'Method Notes'!$B$8</f>
        <v>4.2489999999999997</v>
      </c>
      <c r="L340" s="7">
        <f>2*G340*'Method Notes'!$B$9</f>
        <v>1.214</v>
      </c>
      <c r="M340" s="7">
        <f t="shared" si="16"/>
        <v>5.4629999999999992</v>
      </c>
      <c r="N340" s="7">
        <f t="shared" si="17"/>
        <v>-260.40299999997518</v>
      </c>
      <c r="O340" s="7">
        <v>674.92758540780005</v>
      </c>
      <c r="P340" s="7">
        <v>669.91614097850004</v>
      </c>
      <c r="Q340" s="7">
        <v>671.21776956279996</v>
      </c>
      <c r="R340" s="7">
        <v>675.06797361500003</v>
      </c>
      <c r="S340" s="7">
        <v>669.77604059309999</v>
      </c>
      <c r="T340" s="7">
        <v>670.95984908790001</v>
      </c>
      <c r="U340" t="s">
        <v>88</v>
      </c>
    </row>
    <row r="341" spans="1:21">
      <c r="A341" t="s">
        <v>89</v>
      </c>
      <c r="B341">
        <v>105</v>
      </c>
      <c r="C341" s="10">
        <v>45940</v>
      </c>
      <c r="D341" s="11">
        <v>45940.458333333336</v>
      </c>
      <c r="E341" s="11">
        <v>45940.666666666664</v>
      </c>
      <c r="F341">
        <v>-1</v>
      </c>
      <c r="G341">
        <v>604</v>
      </c>
      <c r="H341" s="7">
        <v>668.72500000000002</v>
      </c>
      <c r="I341" s="7">
        <v>653.02</v>
      </c>
      <c r="J341" s="7">
        <f t="shared" si="15"/>
        <v>9485.8200000000252</v>
      </c>
      <c r="K341" s="7">
        <f>2*G341*'Method Notes'!$B$8</f>
        <v>4.2279999999999998</v>
      </c>
      <c r="L341" s="7">
        <f>2*G341*'Method Notes'!$B$9</f>
        <v>1.208</v>
      </c>
      <c r="M341" s="7">
        <f t="shared" si="16"/>
        <v>5.4359999999999999</v>
      </c>
      <c r="N341" s="7">
        <f t="shared" si="17"/>
        <v>9480.3840000000255</v>
      </c>
      <c r="O341" s="7">
        <v>674.43125578290005</v>
      </c>
      <c r="P341" s="7">
        <v>669.90251016649995</v>
      </c>
      <c r="Q341" s="7">
        <v>671.40110267789998</v>
      </c>
      <c r="R341" s="7">
        <v>675.28243696380002</v>
      </c>
      <c r="S341" s="7">
        <v>669.05387050429999</v>
      </c>
      <c r="T341" s="7">
        <v>660.93212764409998</v>
      </c>
      <c r="U341" t="s">
        <v>85</v>
      </c>
    </row>
    <row r="342" spans="1:21">
      <c r="A342" t="s">
        <v>89</v>
      </c>
      <c r="B342">
        <v>106</v>
      </c>
      <c r="C342" s="10">
        <v>45946</v>
      </c>
      <c r="D342" s="11">
        <v>45946.583333333336</v>
      </c>
      <c r="E342" s="11">
        <v>45946.666666666664</v>
      </c>
      <c r="F342">
        <v>-1</v>
      </c>
      <c r="G342">
        <v>359</v>
      </c>
      <c r="H342" s="7">
        <v>661.81</v>
      </c>
      <c r="I342" s="7">
        <v>660.64</v>
      </c>
      <c r="J342" s="7">
        <f t="shared" si="15"/>
        <v>420.02999999998531</v>
      </c>
      <c r="K342" s="7">
        <f>2*G342*'Method Notes'!$B$8</f>
        <v>2.5129999999999999</v>
      </c>
      <c r="L342" s="7">
        <f>2*G342*'Method Notes'!$B$9</f>
        <v>0.71799999999999997</v>
      </c>
      <c r="M342" s="7">
        <f t="shared" si="16"/>
        <v>3.2309999999999999</v>
      </c>
      <c r="N342" s="7">
        <f t="shared" si="17"/>
        <v>416.79899999998531</v>
      </c>
      <c r="O342" s="7">
        <v>669.89078126699997</v>
      </c>
      <c r="P342" s="7">
        <v>661.95145256549995</v>
      </c>
      <c r="Q342" s="7">
        <v>664.66242217959996</v>
      </c>
      <c r="R342" s="7">
        <v>670.03164667119995</v>
      </c>
      <c r="S342" s="7">
        <v>661.81090305279997</v>
      </c>
      <c r="T342" s="7">
        <v>662.80307974389996</v>
      </c>
      <c r="U342" t="s">
        <v>85</v>
      </c>
    </row>
    <row r="343" spans="1:21">
      <c r="A343" t="s">
        <v>89</v>
      </c>
      <c r="B343">
        <v>107</v>
      </c>
      <c r="C343" s="10">
        <v>45947</v>
      </c>
      <c r="D343" s="11">
        <v>45947.4375</v>
      </c>
      <c r="E343" s="11">
        <v>45947.458333333336</v>
      </c>
      <c r="F343">
        <v>1</v>
      </c>
      <c r="G343">
        <v>360</v>
      </c>
      <c r="H343" s="7">
        <v>662.4</v>
      </c>
      <c r="I343" s="7">
        <v>659.57</v>
      </c>
      <c r="J343" s="7">
        <f t="shared" si="15"/>
        <v>-1018.7999999999738</v>
      </c>
      <c r="K343" s="7">
        <f>2*G343*'Method Notes'!$B$8</f>
        <v>2.52</v>
      </c>
      <c r="L343" s="7">
        <f>2*G343*'Method Notes'!$B$9</f>
        <v>0.72</v>
      </c>
      <c r="M343" s="7">
        <f t="shared" si="16"/>
        <v>3.24</v>
      </c>
      <c r="N343" s="7">
        <f t="shared" si="17"/>
        <v>-1022.0399999999738</v>
      </c>
      <c r="O343" s="7">
        <v>661.64563398409996</v>
      </c>
      <c r="P343" s="7">
        <v>659.64438108640002</v>
      </c>
      <c r="Q343" s="7">
        <v>661.22370587529997</v>
      </c>
      <c r="R343" s="7">
        <v>662.10172873279998</v>
      </c>
      <c r="S343" s="7">
        <v>659.18829324139995</v>
      </c>
      <c r="T343" s="7">
        <v>660.89558421029994</v>
      </c>
      <c r="U343" t="s">
        <v>88</v>
      </c>
    </row>
    <row r="344" spans="1:21">
      <c r="A344" t="s">
        <v>89</v>
      </c>
      <c r="B344">
        <v>108</v>
      </c>
      <c r="C344" s="10">
        <v>45947</v>
      </c>
      <c r="D344" s="11">
        <v>45947.604166666664</v>
      </c>
      <c r="E344" s="11">
        <v>45947.666666666664</v>
      </c>
      <c r="F344">
        <v>1</v>
      </c>
      <c r="G344">
        <v>360</v>
      </c>
      <c r="H344" s="7">
        <v>664.65</v>
      </c>
      <c r="I344" s="7">
        <v>664.39</v>
      </c>
      <c r="J344" s="7">
        <f t="shared" si="15"/>
        <v>-93.599999999996726</v>
      </c>
      <c r="K344" s="7">
        <f>2*G344*'Method Notes'!$B$8</f>
        <v>2.52</v>
      </c>
      <c r="L344" s="7">
        <f>2*G344*'Method Notes'!$B$9</f>
        <v>0.72</v>
      </c>
      <c r="M344" s="7">
        <f t="shared" si="16"/>
        <v>3.24</v>
      </c>
      <c r="N344" s="7">
        <f t="shared" si="17"/>
        <v>-96.839999999996721</v>
      </c>
      <c r="O344" s="7">
        <v>664.42972327079997</v>
      </c>
      <c r="P344" s="7">
        <v>656.86033394139997</v>
      </c>
      <c r="Q344" s="7">
        <v>661.50546680289995</v>
      </c>
      <c r="R344" s="7">
        <v>664.41203224929995</v>
      </c>
      <c r="S344" s="7">
        <v>656.87802469509995</v>
      </c>
      <c r="T344" s="7">
        <v>662.29460136190005</v>
      </c>
      <c r="U344" t="s">
        <v>85</v>
      </c>
    </row>
    <row r="345" spans="1:21">
      <c r="A345" t="s">
        <v>89</v>
      </c>
      <c r="B345">
        <v>109</v>
      </c>
      <c r="C345" s="10">
        <v>45950</v>
      </c>
      <c r="D345" s="11">
        <v>45950.4375</v>
      </c>
      <c r="E345" s="11">
        <v>45950.5</v>
      </c>
      <c r="F345">
        <v>1</v>
      </c>
      <c r="G345">
        <v>349</v>
      </c>
      <c r="H345" s="7">
        <v>670.3</v>
      </c>
      <c r="I345" s="7">
        <v>670.64</v>
      </c>
      <c r="J345" s="7">
        <f t="shared" si="15"/>
        <v>118.66000000001111</v>
      </c>
      <c r="K345" s="7">
        <f>2*G345*'Method Notes'!$B$8</f>
        <v>2.4430000000000001</v>
      </c>
      <c r="L345" s="7">
        <f>2*G345*'Method Notes'!$B$9</f>
        <v>0.69800000000000006</v>
      </c>
      <c r="M345" s="7">
        <f t="shared" si="16"/>
        <v>3.141</v>
      </c>
      <c r="N345" s="7">
        <f t="shared" si="17"/>
        <v>115.5190000000111</v>
      </c>
      <c r="O345" s="7">
        <v>669.88360946190005</v>
      </c>
      <c r="P345" s="7">
        <v>663.27373274360002</v>
      </c>
      <c r="Q345" s="7">
        <v>669.35279147469998</v>
      </c>
      <c r="R345" s="7">
        <v>671.52361136019999</v>
      </c>
      <c r="S345" s="7">
        <v>661.64444740780004</v>
      </c>
      <c r="T345" s="7">
        <v>670.07440389390001</v>
      </c>
      <c r="U345" t="s">
        <v>88</v>
      </c>
    </row>
    <row r="346" spans="1:21">
      <c r="A346" t="s">
        <v>89</v>
      </c>
      <c r="B346">
        <v>110</v>
      </c>
      <c r="C346" s="10">
        <v>45952</v>
      </c>
      <c r="D346" s="11">
        <v>45952.4375</v>
      </c>
      <c r="E346" s="11">
        <v>45952.458333333336</v>
      </c>
      <c r="F346">
        <v>-1</v>
      </c>
      <c r="G346">
        <v>336</v>
      </c>
      <c r="H346" s="7">
        <v>669.33749999999998</v>
      </c>
      <c r="I346" s="7">
        <v>670.08</v>
      </c>
      <c r="J346" s="7">
        <f t="shared" si="15"/>
        <v>-249.48000000002139</v>
      </c>
      <c r="K346" s="7">
        <f>2*G346*'Method Notes'!$B$8</f>
        <v>2.3519999999999999</v>
      </c>
      <c r="L346" s="7">
        <f>2*G346*'Method Notes'!$B$9</f>
        <v>0.67200000000000004</v>
      </c>
      <c r="M346" s="7">
        <f t="shared" si="16"/>
        <v>3.024</v>
      </c>
      <c r="N346" s="7">
        <f t="shared" si="17"/>
        <v>-252.50400000002139</v>
      </c>
      <c r="O346" s="7">
        <v>672.37887855880001</v>
      </c>
      <c r="P346" s="7">
        <v>670.1262430964</v>
      </c>
      <c r="Q346" s="7">
        <v>670.39811205520004</v>
      </c>
      <c r="R346" s="7">
        <v>672.98892378649998</v>
      </c>
      <c r="S346" s="7">
        <v>669.51626602609997</v>
      </c>
      <c r="T346" s="7">
        <v>670.26526981790005</v>
      </c>
      <c r="U346" t="s">
        <v>88</v>
      </c>
    </row>
    <row r="347" spans="1:21">
      <c r="A347" t="s">
        <v>89</v>
      </c>
      <c r="B347">
        <v>111</v>
      </c>
      <c r="C347" s="10">
        <v>45952</v>
      </c>
      <c r="D347" s="11">
        <v>45952.479166666664</v>
      </c>
      <c r="E347" s="11">
        <v>45952.5</v>
      </c>
      <c r="F347">
        <v>-1</v>
      </c>
      <c r="G347">
        <v>336</v>
      </c>
      <c r="H347" s="7">
        <v>667.89</v>
      </c>
      <c r="I347" s="7">
        <v>669.00800000000004</v>
      </c>
      <c r="J347" s="7">
        <f t="shared" si="15"/>
        <v>-375.64800000001742</v>
      </c>
      <c r="K347" s="7">
        <f>2*G347*'Method Notes'!$B$8</f>
        <v>2.3519999999999999</v>
      </c>
      <c r="L347" s="7">
        <f>2*G347*'Method Notes'!$B$9</f>
        <v>0.67200000000000004</v>
      </c>
      <c r="M347" s="7">
        <f t="shared" si="16"/>
        <v>3.024</v>
      </c>
      <c r="N347" s="7">
        <f t="shared" si="17"/>
        <v>-378.67200000001742</v>
      </c>
      <c r="O347" s="7">
        <v>673.46085005700002</v>
      </c>
      <c r="P347" s="7">
        <v>669.04439248159997</v>
      </c>
      <c r="Q347" s="7">
        <v>669.72099911570001</v>
      </c>
      <c r="R347" s="7">
        <v>674.07173323209997</v>
      </c>
      <c r="S347" s="7">
        <v>668.43357755759996</v>
      </c>
      <c r="T347" s="7">
        <v>669.60864525110003</v>
      </c>
      <c r="U347" t="s">
        <v>88</v>
      </c>
    </row>
    <row r="348" spans="1:21">
      <c r="A348" t="s">
        <v>89</v>
      </c>
      <c r="B348">
        <v>112</v>
      </c>
      <c r="C348" s="10">
        <v>45952</v>
      </c>
      <c r="D348" s="11">
        <v>45952.520833333336</v>
      </c>
      <c r="E348" s="11">
        <v>45952.645833333336</v>
      </c>
      <c r="F348">
        <v>-1</v>
      </c>
      <c r="G348">
        <v>336</v>
      </c>
      <c r="H348" s="7">
        <v>667.63</v>
      </c>
      <c r="I348" s="7">
        <v>667.46</v>
      </c>
      <c r="J348" s="7">
        <f t="shared" si="15"/>
        <v>57.119999999986248</v>
      </c>
      <c r="K348" s="7">
        <f>2*G348*'Method Notes'!$B$8</f>
        <v>2.3519999999999999</v>
      </c>
      <c r="L348" s="7">
        <f>2*G348*'Method Notes'!$B$9</f>
        <v>0.67200000000000004</v>
      </c>
      <c r="M348" s="7">
        <f t="shared" si="16"/>
        <v>3.024</v>
      </c>
      <c r="N348" s="7">
        <f t="shared" si="17"/>
        <v>54.095999999986248</v>
      </c>
      <c r="O348" s="7">
        <v>674.47035583000002</v>
      </c>
      <c r="P348" s="7">
        <v>668.03499949590002</v>
      </c>
      <c r="Q348" s="7">
        <v>669.41249392190002</v>
      </c>
      <c r="R348" s="7">
        <v>675.2263736978</v>
      </c>
      <c r="S348" s="7">
        <v>667.27906609429999</v>
      </c>
      <c r="T348" s="7">
        <v>667.75893460500004</v>
      </c>
      <c r="U348" t="s">
        <v>88</v>
      </c>
    </row>
    <row r="349" spans="1:21">
      <c r="A349" t="s">
        <v>89</v>
      </c>
      <c r="B349">
        <v>113</v>
      </c>
      <c r="C349" s="10">
        <v>45960</v>
      </c>
      <c r="D349" s="11">
        <v>45960.4375</v>
      </c>
      <c r="E349" s="11">
        <v>45960.458333333336</v>
      </c>
      <c r="F349">
        <v>-1</v>
      </c>
      <c r="G349">
        <v>308</v>
      </c>
      <c r="H349" s="7">
        <v>683.44</v>
      </c>
      <c r="I349" s="7">
        <v>684.49</v>
      </c>
      <c r="J349" s="7">
        <f t="shared" si="15"/>
        <v>-323.39999999998599</v>
      </c>
      <c r="K349" s="7">
        <f>2*G349*'Method Notes'!$B$8</f>
        <v>2.1560000000000001</v>
      </c>
      <c r="L349" s="7">
        <f>2*G349*'Method Notes'!$B$9</f>
        <v>0.61599999999999999</v>
      </c>
      <c r="M349" s="7">
        <f t="shared" si="16"/>
        <v>2.7720000000000002</v>
      </c>
      <c r="N349" s="7">
        <f t="shared" si="17"/>
        <v>-326.17199999998599</v>
      </c>
      <c r="O349" s="7">
        <v>688.48993574270003</v>
      </c>
      <c r="P349" s="7">
        <v>683.95380863770004</v>
      </c>
      <c r="Q349" s="7">
        <v>684.48701690680002</v>
      </c>
      <c r="R349" s="7">
        <v>688.90638404929996</v>
      </c>
      <c r="S349" s="7">
        <v>683.53877799659995</v>
      </c>
      <c r="T349" s="7">
        <v>684.48759193269996</v>
      </c>
      <c r="U349" t="s">
        <v>88</v>
      </c>
    </row>
    <row r="350" spans="1:21">
      <c r="A350" t="s">
        <v>89</v>
      </c>
      <c r="B350">
        <v>114</v>
      </c>
      <c r="C350" s="10">
        <v>45964</v>
      </c>
      <c r="D350" s="11">
        <v>45964.4375</v>
      </c>
      <c r="E350" s="11">
        <v>45964.458333333336</v>
      </c>
      <c r="F350">
        <v>-1</v>
      </c>
      <c r="G350">
        <v>491</v>
      </c>
      <c r="H350" s="7">
        <v>680.38990000000001</v>
      </c>
      <c r="I350" s="7">
        <v>682.42</v>
      </c>
      <c r="J350" s="7">
        <f t="shared" si="15"/>
        <v>-996.77909999997428</v>
      </c>
      <c r="K350" s="7">
        <f>2*G350*'Method Notes'!$B$8</f>
        <v>3.4370000000000003</v>
      </c>
      <c r="L350" s="7">
        <f>2*G350*'Method Notes'!$B$9</f>
        <v>0.98199999999999998</v>
      </c>
      <c r="M350" s="7">
        <f t="shared" si="16"/>
        <v>4.4190000000000005</v>
      </c>
      <c r="N350" s="7">
        <f t="shared" si="17"/>
        <v>-1001.1980999999743</v>
      </c>
      <c r="O350" s="7">
        <v>683.55718801370006</v>
      </c>
      <c r="P350" s="7">
        <v>681.02351102290004</v>
      </c>
      <c r="Q350" s="7">
        <v>681.63184732510001</v>
      </c>
      <c r="R350" s="7">
        <v>683.61363507639999</v>
      </c>
      <c r="S350" s="7">
        <v>680.96710200400003</v>
      </c>
      <c r="T350" s="7">
        <v>681.8289748295</v>
      </c>
      <c r="U350" t="s">
        <v>88</v>
      </c>
    </row>
    <row r="351" spans="1:21">
      <c r="A351" t="s">
        <v>89</v>
      </c>
      <c r="B351">
        <v>115</v>
      </c>
      <c r="C351" s="10">
        <v>45965</v>
      </c>
      <c r="D351" s="11">
        <v>45965.520833333336</v>
      </c>
      <c r="E351" s="11">
        <v>45965.604166666664</v>
      </c>
      <c r="F351">
        <v>-1</v>
      </c>
      <c r="G351">
        <v>494</v>
      </c>
      <c r="H351" s="7">
        <v>676.94</v>
      </c>
      <c r="I351" s="7">
        <v>676.23</v>
      </c>
      <c r="J351" s="7">
        <f t="shared" si="15"/>
        <v>350.74000000001797</v>
      </c>
      <c r="K351" s="7">
        <f>2*G351*'Method Notes'!$B$8</f>
        <v>3.4580000000000002</v>
      </c>
      <c r="L351" s="7">
        <f>2*G351*'Method Notes'!$B$9</f>
        <v>0.98799999999999999</v>
      </c>
      <c r="M351" s="7">
        <f t="shared" si="16"/>
        <v>4.4459999999999997</v>
      </c>
      <c r="N351" s="7">
        <f t="shared" si="17"/>
        <v>346.29400000001795</v>
      </c>
      <c r="O351" s="7">
        <v>684.95452796070003</v>
      </c>
      <c r="P351" s="7">
        <v>677.19619870090003</v>
      </c>
      <c r="Q351" s="7">
        <v>678.38625947000003</v>
      </c>
      <c r="R351" s="7">
        <v>686.14491588620001</v>
      </c>
      <c r="S351" s="7">
        <v>676.0137195195</v>
      </c>
      <c r="T351" s="7">
        <v>677.60143869060005</v>
      </c>
      <c r="U351" t="s">
        <v>88</v>
      </c>
    </row>
    <row r="352" spans="1:21">
      <c r="A352" t="s">
        <v>89</v>
      </c>
      <c r="B352">
        <v>116</v>
      </c>
      <c r="C352" s="10">
        <v>45965</v>
      </c>
      <c r="D352" s="11">
        <v>45965.625</v>
      </c>
      <c r="E352" s="11">
        <v>45965.645833333336</v>
      </c>
      <c r="F352">
        <v>-1</v>
      </c>
      <c r="G352">
        <v>494</v>
      </c>
      <c r="H352" s="7">
        <v>675.22500000000002</v>
      </c>
      <c r="I352" s="7">
        <v>675.98500000000001</v>
      </c>
      <c r="J352" s="7">
        <f t="shared" si="15"/>
        <v>-375.43999999999551</v>
      </c>
      <c r="K352" s="7">
        <f>2*G352*'Method Notes'!$B$8</f>
        <v>3.4580000000000002</v>
      </c>
      <c r="L352" s="7">
        <f>2*G352*'Method Notes'!$B$9</f>
        <v>0.98799999999999999</v>
      </c>
      <c r="M352" s="7">
        <f t="shared" si="16"/>
        <v>4.4459999999999997</v>
      </c>
      <c r="N352" s="7">
        <f t="shared" si="17"/>
        <v>-379.88599999999553</v>
      </c>
      <c r="O352" s="7">
        <v>685.96318664490002</v>
      </c>
      <c r="P352" s="7">
        <v>676.19424138119996</v>
      </c>
      <c r="Q352" s="7">
        <v>677.40780204500004</v>
      </c>
      <c r="R352" s="7">
        <v>686.19301223160005</v>
      </c>
      <c r="S352" s="7">
        <v>675.96594271840002</v>
      </c>
      <c r="T352" s="7">
        <v>677.2943890409</v>
      </c>
      <c r="U352" t="s">
        <v>88</v>
      </c>
    </row>
    <row r="353" spans="1:21">
      <c r="A353" t="s">
        <v>89</v>
      </c>
      <c r="B353">
        <v>117</v>
      </c>
      <c r="C353" s="10">
        <v>45966</v>
      </c>
      <c r="D353" s="11">
        <v>45966.479166666664</v>
      </c>
      <c r="E353" s="11">
        <v>45966.645833333336</v>
      </c>
      <c r="F353">
        <v>1</v>
      </c>
      <c r="G353">
        <v>430</v>
      </c>
      <c r="H353" s="7">
        <v>678.34</v>
      </c>
      <c r="I353" s="7">
        <v>679.76</v>
      </c>
      <c r="J353" s="7">
        <f t="shared" si="15"/>
        <v>610.5999999999824</v>
      </c>
      <c r="K353" s="7">
        <f>2*G353*'Method Notes'!$B$8</f>
        <v>3.0100000000000002</v>
      </c>
      <c r="L353" s="7">
        <f>2*G353*'Method Notes'!$B$9</f>
        <v>0.86</v>
      </c>
      <c r="M353" s="7">
        <f t="shared" si="16"/>
        <v>3.87</v>
      </c>
      <c r="N353" s="7">
        <f t="shared" si="17"/>
        <v>606.7299999999824</v>
      </c>
      <c r="O353" s="7">
        <v>678.11960855079997</v>
      </c>
      <c r="P353" s="7">
        <v>674.29309792540005</v>
      </c>
      <c r="Q353" s="7">
        <v>677.55040512979997</v>
      </c>
      <c r="R353" s="7">
        <v>679.97781577620003</v>
      </c>
      <c r="S353" s="7">
        <v>672.44018677029999</v>
      </c>
      <c r="T353" s="7">
        <v>678.78286308830002</v>
      </c>
      <c r="U353" t="s">
        <v>88</v>
      </c>
    </row>
    <row r="354" spans="1:21">
      <c r="A354" t="s">
        <v>89</v>
      </c>
      <c r="B354">
        <v>118</v>
      </c>
      <c r="C354" s="10">
        <v>45967</v>
      </c>
      <c r="D354" s="11">
        <v>45967.458333333336</v>
      </c>
      <c r="E354" s="11">
        <v>45967.604166666664</v>
      </c>
      <c r="F354">
        <v>-1</v>
      </c>
      <c r="G354">
        <v>456</v>
      </c>
      <c r="H354" s="7">
        <v>670.91</v>
      </c>
      <c r="I354" s="7">
        <v>673.4</v>
      </c>
      <c r="J354" s="7">
        <f t="shared" si="15"/>
        <v>-1135.4400000000041</v>
      </c>
      <c r="K354" s="7">
        <f>2*G354*'Method Notes'!$B$8</f>
        <v>3.1920000000000002</v>
      </c>
      <c r="L354" s="7">
        <f>2*G354*'Method Notes'!$B$9</f>
        <v>0.91200000000000003</v>
      </c>
      <c r="M354" s="7">
        <f t="shared" si="16"/>
        <v>4.1040000000000001</v>
      </c>
      <c r="N354" s="7">
        <f t="shared" si="17"/>
        <v>-1139.5440000000042</v>
      </c>
      <c r="O354" s="7">
        <v>678.46799375679996</v>
      </c>
      <c r="P354" s="7">
        <v>673.16663243929997</v>
      </c>
      <c r="Q354" s="7">
        <v>673.18105446660002</v>
      </c>
      <c r="R354" s="7">
        <v>679.85698398479997</v>
      </c>
      <c r="S354" s="7">
        <v>671.78487845719997</v>
      </c>
      <c r="T354" s="7">
        <v>671.97757440520002</v>
      </c>
      <c r="U354" t="s">
        <v>88</v>
      </c>
    </row>
    <row r="355" spans="1:21">
      <c r="A355" t="s">
        <v>89</v>
      </c>
      <c r="B355">
        <v>119</v>
      </c>
      <c r="C355" s="10">
        <v>45968</v>
      </c>
      <c r="D355" s="11">
        <v>45968.458333333336</v>
      </c>
      <c r="E355" s="11">
        <v>45968.5625</v>
      </c>
      <c r="F355">
        <v>-1</v>
      </c>
      <c r="G355">
        <v>418</v>
      </c>
      <c r="H355" s="7">
        <v>663.36</v>
      </c>
      <c r="I355" s="7">
        <v>665.3</v>
      </c>
      <c r="J355" s="7">
        <f t="shared" si="15"/>
        <v>-810.91999999997529</v>
      </c>
      <c r="K355" s="7">
        <f>2*G355*'Method Notes'!$B$8</f>
        <v>2.9260000000000002</v>
      </c>
      <c r="L355" s="7">
        <f>2*G355*'Method Notes'!$B$9</f>
        <v>0.83599999999999997</v>
      </c>
      <c r="M355" s="7">
        <f t="shared" si="16"/>
        <v>3.762</v>
      </c>
      <c r="N355" s="7">
        <f t="shared" si="17"/>
        <v>-814.68199999997523</v>
      </c>
      <c r="O355" s="7">
        <v>671.33323656849996</v>
      </c>
      <c r="P355" s="7">
        <v>665.32781605340006</v>
      </c>
      <c r="Q355" s="7">
        <v>665.41627858109996</v>
      </c>
      <c r="R355" s="7">
        <v>672.43621489780003</v>
      </c>
      <c r="S355" s="7">
        <v>664.23136203240006</v>
      </c>
      <c r="T355" s="7">
        <v>664.40288230110002</v>
      </c>
      <c r="U355" t="s">
        <v>88</v>
      </c>
    </row>
    <row r="356" spans="1:21">
      <c r="A356" t="s">
        <v>89</v>
      </c>
      <c r="B356">
        <v>120</v>
      </c>
      <c r="C356" s="10">
        <v>45971</v>
      </c>
      <c r="D356" s="11">
        <v>45971.604166666664</v>
      </c>
      <c r="E356" s="11">
        <v>45971.666666666664</v>
      </c>
      <c r="F356">
        <v>1</v>
      </c>
      <c r="G356">
        <v>437</v>
      </c>
      <c r="H356" s="7">
        <v>680.755</v>
      </c>
      <c r="I356" s="7">
        <v>681.44</v>
      </c>
      <c r="J356" s="7">
        <f t="shared" si="15"/>
        <v>299.34500000002583</v>
      </c>
      <c r="K356" s="7">
        <f>2*G356*'Method Notes'!$B$8</f>
        <v>3.0590000000000002</v>
      </c>
      <c r="L356" s="7">
        <f>2*G356*'Method Notes'!$B$9</f>
        <v>0.874</v>
      </c>
      <c r="M356" s="7">
        <f t="shared" si="16"/>
        <v>3.9330000000000003</v>
      </c>
      <c r="N356" s="7">
        <f t="shared" si="17"/>
        <v>295.41200000002584</v>
      </c>
      <c r="O356" s="7">
        <v>680.34725822589996</v>
      </c>
      <c r="P356" s="7">
        <v>669.16803160999996</v>
      </c>
      <c r="Q356" s="7">
        <v>678.08747553260002</v>
      </c>
      <c r="R356" s="7">
        <v>680.78014347730004</v>
      </c>
      <c r="S356" s="7">
        <v>668.73996629600003</v>
      </c>
      <c r="T356" s="7">
        <v>679.1472405961</v>
      </c>
      <c r="U356" t="s">
        <v>85</v>
      </c>
    </row>
    <row r="357" spans="1:21">
      <c r="A357" t="s">
        <v>89</v>
      </c>
      <c r="B357">
        <v>121</v>
      </c>
      <c r="C357" s="10">
        <v>45972</v>
      </c>
      <c r="D357" s="11">
        <v>45972.4375</v>
      </c>
      <c r="E357" s="11">
        <v>45972.5</v>
      </c>
      <c r="F357">
        <v>-1</v>
      </c>
      <c r="G357">
        <v>378</v>
      </c>
      <c r="H357" s="7">
        <v>679.36500000000001</v>
      </c>
      <c r="I357" s="7">
        <v>679.7</v>
      </c>
      <c r="J357" s="7">
        <f t="shared" si="15"/>
        <v>-126.63000000001375</v>
      </c>
      <c r="K357" s="7">
        <f>2*G357*'Method Notes'!$B$8</f>
        <v>2.6459999999999999</v>
      </c>
      <c r="L357" s="7">
        <f>2*G357*'Method Notes'!$B$9</f>
        <v>0.75600000000000001</v>
      </c>
      <c r="M357" s="7">
        <f t="shared" si="16"/>
        <v>3.4020000000000001</v>
      </c>
      <c r="N357" s="7">
        <f t="shared" si="17"/>
        <v>-130.03200000001374</v>
      </c>
      <c r="O357" s="7">
        <v>682.201765464</v>
      </c>
      <c r="P357" s="7">
        <v>679.88412324750004</v>
      </c>
      <c r="Q357" s="7">
        <v>680.10247133220003</v>
      </c>
      <c r="R357" s="7">
        <v>683.0721573257</v>
      </c>
      <c r="S357" s="7">
        <v>679.01474682590003</v>
      </c>
      <c r="T357" s="7">
        <v>679.77053406949994</v>
      </c>
      <c r="U357" t="s">
        <v>88</v>
      </c>
    </row>
    <row r="358" spans="1:21">
      <c r="A358" t="s">
        <v>89</v>
      </c>
      <c r="B358">
        <v>122</v>
      </c>
      <c r="C358" s="10">
        <v>45974</v>
      </c>
      <c r="D358" s="11">
        <v>45974.458333333336</v>
      </c>
      <c r="E358" s="11">
        <v>45974.666666666664</v>
      </c>
      <c r="F358">
        <v>-1</v>
      </c>
      <c r="G358">
        <v>393</v>
      </c>
      <c r="H358" s="7">
        <v>676.3</v>
      </c>
      <c r="I358" s="7">
        <v>672.04</v>
      </c>
      <c r="J358" s="7">
        <f t="shared" si="15"/>
        <v>1674.1799999999964</v>
      </c>
      <c r="K358" s="7">
        <f>2*G358*'Method Notes'!$B$8</f>
        <v>2.7509999999999999</v>
      </c>
      <c r="L358" s="7">
        <f>2*G358*'Method Notes'!$B$9</f>
        <v>0.78600000000000003</v>
      </c>
      <c r="M358" s="7">
        <f t="shared" si="16"/>
        <v>3.5369999999999999</v>
      </c>
      <c r="N358" s="7">
        <f t="shared" si="17"/>
        <v>1670.6429999999964</v>
      </c>
      <c r="O358" s="7">
        <v>684.58794795159997</v>
      </c>
      <c r="P358" s="7">
        <v>677.52028910169997</v>
      </c>
      <c r="Q358" s="7">
        <v>677.93765824319996</v>
      </c>
      <c r="R358" s="7">
        <v>685.62668743380004</v>
      </c>
      <c r="S358" s="7">
        <v>676.48863283230003</v>
      </c>
      <c r="T358" s="7">
        <v>674.41437908939997</v>
      </c>
      <c r="U358" t="s">
        <v>85</v>
      </c>
    </row>
    <row r="359" spans="1:21">
      <c r="A359" t="s">
        <v>89</v>
      </c>
      <c r="B359">
        <v>123</v>
      </c>
      <c r="C359" s="10">
        <v>45975</v>
      </c>
      <c r="D359" s="11">
        <v>45975.479166666664</v>
      </c>
      <c r="E359" s="11">
        <v>45975.5625</v>
      </c>
      <c r="F359">
        <v>1</v>
      </c>
      <c r="G359">
        <v>359</v>
      </c>
      <c r="H359" s="7">
        <v>674.48</v>
      </c>
      <c r="I359" s="7">
        <v>672.99</v>
      </c>
      <c r="J359" s="7">
        <f t="shared" si="15"/>
        <v>-534.91000000000327</v>
      </c>
      <c r="K359" s="7">
        <f>2*G359*'Method Notes'!$B$8</f>
        <v>2.5129999999999999</v>
      </c>
      <c r="L359" s="7">
        <f>2*G359*'Method Notes'!$B$9</f>
        <v>0.71799999999999997</v>
      </c>
      <c r="M359" s="7">
        <f t="shared" si="16"/>
        <v>3.2309999999999999</v>
      </c>
      <c r="N359" s="7">
        <f t="shared" si="17"/>
        <v>-538.14100000000326</v>
      </c>
      <c r="O359" s="7">
        <v>673.41905589739997</v>
      </c>
      <c r="P359" s="7">
        <v>667.3776953286</v>
      </c>
      <c r="Q359" s="7">
        <v>670.61807095059999</v>
      </c>
      <c r="R359" s="7">
        <v>674.103526106</v>
      </c>
      <c r="S359" s="7">
        <v>666.69657597260004</v>
      </c>
      <c r="T359" s="7">
        <v>671.75204898679999</v>
      </c>
      <c r="U359" t="s">
        <v>88</v>
      </c>
    </row>
    <row r="360" spans="1:21">
      <c r="A360" t="s">
        <v>89</v>
      </c>
      <c r="B360">
        <v>124</v>
      </c>
      <c r="C360" s="10">
        <v>45975</v>
      </c>
      <c r="D360" s="11">
        <v>45975.604166666664</v>
      </c>
      <c r="E360" s="11">
        <v>45975.645833333336</v>
      </c>
      <c r="F360">
        <v>1</v>
      </c>
      <c r="G360">
        <v>359</v>
      </c>
      <c r="H360" s="7">
        <v>674.04010000000005</v>
      </c>
      <c r="I360" s="7">
        <v>672.46</v>
      </c>
      <c r="J360" s="7">
        <f t="shared" si="15"/>
        <v>-567.25590000000568</v>
      </c>
      <c r="K360" s="7">
        <f>2*G360*'Method Notes'!$B$8</f>
        <v>2.5129999999999999</v>
      </c>
      <c r="L360" s="7">
        <f>2*G360*'Method Notes'!$B$9</f>
        <v>0.71799999999999997</v>
      </c>
      <c r="M360" s="7">
        <f t="shared" si="16"/>
        <v>3.2309999999999999</v>
      </c>
      <c r="N360" s="7">
        <f t="shared" si="17"/>
        <v>-570.48690000000568</v>
      </c>
      <c r="O360" s="7">
        <v>673.87421798160005</v>
      </c>
      <c r="P360" s="7">
        <v>666.92476150949994</v>
      </c>
      <c r="Q360" s="7">
        <v>672.03461612420006</v>
      </c>
      <c r="R360" s="7">
        <v>674.49530455980005</v>
      </c>
      <c r="S360" s="7">
        <v>666.30671548659996</v>
      </c>
      <c r="T360" s="7">
        <v>672.19775053559999</v>
      </c>
      <c r="U360" t="s">
        <v>88</v>
      </c>
    </row>
    <row r="361" spans="1:21">
      <c r="A361" t="s">
        <v>89</v>
      </c>
      <c r="B361">
        <v>125</v>
      </c>
      <c r="C361" s="10">
        <v>45978</v>
      </c>
      <c r="D361" s="11">
        <v>45978.541666666664</v>
      </c>
      <c r="E361" s="11">
        <v>45978.666666666664</v>
      </c>
      <c r="F361">
        <v>-1</v>
      </c>
      <c r="G361">
        <v>383</v>
      </c>
      <c r="H361" s="7">
        <v>669.23299999999995</v>
      </c>
      <c r="I361" s="7">
        <v>665.67</v>
      </c>
      <c r="J361" s="7">
        <f t="shared" si="15"/>
        <v>1364.6289999999954</v>
      </c>
      <c r="K361" s="7">
        <f>2*G361*'Method Notes'!$B$8</f>
        <v>2.681</v>
      </c>
      <c r="L361" s="7">
        <f>2*G361*'Method Notes'!$B$9</f>
        <v>0.76600000000000001</v>
      </c>
      <c r="M361" s="7">
        <f t="shared" si="16"/>
        <v>3.4470000000000001</v>
      </c>
      <c r="N361" s="7">
        <f t="shared" si="17"/>
        <v>1361.1819999999955</v>
      </c>
      <c r="O361" s="7">
        <v>675.01109891060003</v>
      </c>
      <c r="P361" s="7">
        <v>669.74179945449998</v>
      </c>
      <c r="Q361" s="7">
        <v>671.60577250300003</v>
      </c>
      <c r="R361" s="7">
        <v>675.57050304920006</v>
      </c>
      <c r="S361" s="7">
        <v>669.18313529049999</v>
      </c>
      <c r="T361" s="7">
        <v>667.96508228590005</v>
      </c>
      <c r="U361" t="s">
        <v>85</v>
      </c>
    </row>
    <row r="362" spans="1:21">
      <c r="A362" t="s">
        <v>89</v>
      </c>
      <c r="B362">
        <v>126</v>
      </c>
      <c r="C362" s="10">
        <v>45981</v>
      </c>
      <c r="D362" s="11">
        <v>45981.5</v>
      </c>
      <c r="E362" s="11">
        <v>45981.666666666664</v>
      </c>
      <c r="F362">
        <v>-1</v>
      </c>
      <c r="G362">
        <v>382</v>
      </c>
      <c r="H362" s="7">
        <v>659.75</v>
      </c>
      <c r="I362" s="7">
        <v>652.53</v>
      </c>
      <c r="J362" s="7">
        <f t="shared" si="15"/>
        <v>2758.0400000000104</v>
      </c>
      <c r="K362" s="7">
        <f>2*G362*'Method Notes'!$B$8</f>
        <v>2.6739999999999999</v>
      </c>
      <c r="L362" s="7">
        <f>2*G362*'Method Notes'!$B$9</f>
        <v>0.76400000000000001</v>
      </c>
      <c r="M362" s="7">
        <f t="shared" si="16"/>
        <v>3.4379999999999997</v>
      </c>
      <c r="N362" s="7">
        <f t="shared" si="17"/>
        <v>2754.6020000000103</v>
      </c>
      <c r="O362" s="7">
        <v>677.58553996850003</v>
      </c>
      <c r="P362" s="7">
        <v>660.20012404600004</v>
      </c>
      <c r="Q362" s="7">
        <v>668.35007427970004</v>
      </c>
      <c r="R362" s="7">
        <v>678.10841128130005</v>
      </c>
      <c r="S362" s="7">
        <v>659.68691839170003</v>
      </c>
      <c r="T362" s="7">
        <v>660.94844387440003</v>
      </c>
      <c r="U362" t="s">
        <v>85</v>
      </c>
    </row>
    <row r="363" spans="1:21">
      <c r="A363" t="s">
        <v>89</v>
      </c>
      <c r="B363">
        <v>127</v>
      </c>
      <c r="C363" s="10">
        <v>45982</v>
      </c>
      <c r="D363" s="11">
        <v>45982.5</v>
      </c>
      <c r="E363" s="11">
        <v>45982.5625</v>
      </c>
      <c r="F363">
        <v>1</v>
      </c>
      <c r="G363">
        <v>378</v>
      </c>
      <c r="H363" s="7">
        <v>660.82</v>
      </c>
      <c r="I363" s="7">
        <v>658.13</v>
      </c>
      <c r="J363" s="7">
        <f t="shared" si="15"/>
        <v>-1016.8200000000206</v>
      </c>
      <c r="K363" s="7">
        <f>2*G363*'Method Notes'!$B$8</f>
        <v>2.6459999999999999</v>
      </c>
      <c r="L363" s="7">
        <f>2*G363*'Method Notes'!$B$9</f>
        <v>0.75600000000000001</v>
      </c>
      <c r="M363" s="7">
        <f t="shared" si="16"/>
        <v>3.4020000000000001</v>
      </c>
      <c r="N363" s="7">
        <f t="shared" si="17"/>
        <v>-1020.2220000000207</v>
      </c>
      <c r="O363" s="7">
        <v>658.19349475119998</v>
      </c>
      <c r="P363" s="7">
        <v>649.17831905989999</v>
      </c>
      <c r="Q363" s="7">
        <v>655.2402900024</v>
      </c>
      <c r="R363" s="7">
        <v>658.68013990220004</v>
      </c>
      <c r="S363" s="7">
        <v>648.69338318289999</v>
      </c>
      <c r="T363" s="7">
        <v>656.44707975200004</v>
      </c>
      <c r="U363" t="s">
        <v>88</v>
      </c>
    </row>
    <row r="364" spans="1:21">
      <c r="A364" t="s">
        <v>89</v>
      </c>
      <c r="B364">
        <v>128</v>
      </c>
      <c r="C364" s="10">
        <v>45982</v>
      </c>
      <c r="D364" s="11">
        <v>45982.583333333336</v>
      </c>
      <c r="E364" s="11">
        <v>45982.666666666664</v>
      </c>
      <c r="F364">
        <v>1</v>
      </c>
      <c r="G364">
        <v>378</v>
      </c>
      <c r="H364" s="7">
        <v>662.29</v>
      </c>
      <c r="I364" s="7">
        <v>659.03</v>
      </c>
      <c r="J364" s="7">
        <f t="shared" si="15"/>
        <v>-1232.2799999999966</v>
      </c>
      <c r="K364" s="7">
        <f>2*G364*'Method Notes'!$B$8</f>
        <v>2.6459999999999999</v>
      </c>
      <c r="L364" s="7">
        <f>2*G364*'Method Notes'!$B$9</f>
        <v>0.75600000000000001</v>
      </c>
      <c r="M364" s="7">
        <f t="shared" si="16"/>
        <v>3.4020000000000001</v>
      </c>
      <c r="N364" s="7">
        <f t="shared" si="17"/>
        <v>-1235.6819999999966</v>
      </c>
      <c r="O364" s="7">
        <v>658.94746956339998</v>
      </c>
      <c r="P364" s="7">
        <v>648.42699248020006</v>
      </c>
      <c r="Q364" s="7">
        <v>657.0452246008</v>
      </c>
      <c r="R364" s="7">
        <v>659.20088185580005</v>
      </c>
      <c r="S364" s="7">
        <v>648.17447026349998</v>
      </c>
      <c r="T364" s="7">
        <v>658.13040770099997</v>
      </c>
      <c r="U364" t="s">
        <v>85</v>
      </c>
    </row>
    <row r="365" spans="1:21">
      <c r="A365" t="s">
        <v>89</v>
      </c>
      <c r="B365">
        <v>129</v>
      </c>
      <c r="C365" s="10">
        <v>45985</v>
      </c>
      <c r="D365" s="11">
        <v>45985.4375</v>
      </c>
      <c r="E365" s="11">
        <v>45985.5</v>
      </c>
      <c r="F365">
        <v>1</v>
      </c>
      <c r="G365">
        <v>343</v>
      </c>
      <c r="H365" s="7">
        <v>665.43499999999995</v>
      </c>
      <c r="I365" s="7">
        <v>667.48</v>
      </c>
      <c r="J365" s="7">
        <f t="shared" si="15"/>
        <v>701.43500000002496</v>
      </c>
      <c r="K365" s="7">
        <f>2*G365*'Method Notes'!$B$8</f>
        <v>2.4010000000000002</v>
      </c>
      <c r="L365" s="7">
        <f>2*G365*'Method Notes'!$B$9</f>
        <v>0.68600000000000005</v>
      </c>
      <c r="M365" s="7">
        <f t="shared" si="16"/>
        <v>3.0870000000000002</v>
      </c>
      <c r="N365" s="7">
        <f t="shared" si="17"/>
        <v>698.34800000002497</v>
      </c>
      <c r="O365" s="7">
        <v>664.83744500549994</v>
      </c>
      <c r="P365" s="7">
        <v>658.41737950979996</v>
      </c>
      <c r="Q365" s="7">
        <v>664.71933623270002</v>
      </c>
      <c r="R365" s="7">
        <v>668.00246116820006</v>
      </c>
      <c r="S365" s="7">
        <v>655.27709375860002</v>
      </c>
      <c r="T365" s="7">
        <v>665.81729021060005</v>
      </c>
      <c r="U365" t="s">
        <v>88</v>
      </c>
    </row>
    <row r="366" spans="1:21">
      <c r="A366" t="s">
        <v>89</v>
      </c>
      <c r="B366">
        <v>130</v>
      </c>
      <c r="C366" s="10">
        <v>45985</v>
      </c>
      <c r="D366" s="11">
        <v>45985.520833333336</v>
      </c>
      <c r="E366" s="11">
        <v>45985.604166666664</v>
      </c>
      <c r="F366">
        <v>1</v>
      </c>
      <c r="G366">
        <v>343</v>
      </c>
      <c r="H366" s="7">
        <v>668.21</v>
      </c>
      <c r="I366" s="7">
        <v>668.96</v>
      </c>
      <c r="J366" s="7">
        <f t="shared" si="15"/>
        <v>257.25</v>
      </c>
      <c r="K366" s="7">
        <f>2*G366*'Method Notes'!$B$8</f>
        <v>2.4010000000000002</v>
      </c>
      <c r="L366" s="7">
        <f>2*G366*'Method Notes'!$B$9</f>
        <v>0.68600000000000005</v>
      </c>
      <c r="M366" s="7">
        <f t="shared" si="16"/>
        <v>3.0870000000000002</v>
      </c>
      <c r="N366" s="7">
        <f t="shared" si="17"/>
        <v>254.16300000000001</v>
      </c>
      <c r="O366" s="7">
        <v>667.83718139170003</v>
      </c>
      <c r="P366" s="7">
        <v>655.44108209240005</v>
      </c>
      <c r="Q366" s="7">
        <v>666.01810066250005</v>
      </c>
      <c r="R366" s="7">
        <v>669.01435952639997</v>
      </c>
      <c r="S366" s="7">
        <v>654.27310204649996</v>
      </c>
      <c r="T366" s="7">
        <v>666.79506625160002</v>
      </c>
      <c r="U366" t="s">
        <v>88</v>
      </c>
    </row>
    <row r="367" spans="1:21">
      <c r="A367" t="s">
        <v>89</v>
      </c>
      <c r="B367">
        <v>131</v>
      </c>
      <c r="C367" s="10">
        <v>45985</v>
      </c>
      <c r="D367" s="11">
        <v>45985.645833333336</v>
      </c>
      <c r="E367" s="11">
        <v>45985.666666666664</v>
      </c>
      <c r="F367">
        <v>1</v>
      </c>
      <c r="G367">
        <v>343</v>
      </c>
      <c r="H367" s="7">
        <v>668.92</v>
      </c>
      <c r="I367" s="7">
        <v>668.73</v>
      </c>
      <c r="J367" s="7">
        <f t="shared" si="15"/>
        <v>-65.169999999979723</v>
      </c>
      <c r="K367" s="7">
        <f>2*G367*'Method Notes'!$B$8</f>
        <v>2.4010000000000002</v>
      </c>
      <c r="L367" s="7">
        <f>2*G367*'Method Notes'!$B$9</f>
        <v>0.68600000000000005</v>
      </c>
      <c r="M367" s="7">
        <f t="shared" si="16"/>
        <v>3.0870000000000002</v>
      </c>
      <c r="N367" s="7">
        <f t="shared" si="17"/>
        <v>-68.256999999979726</v>
      </c>
      <c r="O367" s="7">
        <v>668.74118506959996</v>
      </c>
      <c r="P367" s="7">
        <v>654.54414200660005</v>
      </c>
      <c r="Q367" s="7">
        <v>667.10522173430002</v>
      </c>
      <c r="R367" s="7">
        <v>668.90085944340001</v>
      </c>
      <c r="S367" s="7">
        <v>654.38571527659997</v>
      </c>
      <c r="T367" s="7">
        <v>667.49507416250003</v>
      </c>
      <c r="U367" t="s">
        <v>85</v>
      </c>
    </row>
    <row r="368" spans="1:21">
      <c r="A368" t="s">
        <v>89</v>
      </c>
      <c r="B368">
        <v>132</v>
      </c>
      <c r="C368" s="10">
        <v>45986</v>
      </c>
      <c r="D368" s="11">
        <v>45986.520833333336</v>
      </c>
      <c r="E368" s="11">
        <v>45986.604166666664</v>
      </c>
      <c r="F368">
        <v>1</v>
      </c>
      <c r="G368">
        <v>323</v>
      </c>
      <c r="H368" s="7">
        <v>673.33</v>
      </c>
      <c r="I368" s="7">
        <v>673.34</v>
      </c>
      <c r="J368" s="7">
        <f t="shared" si="15"/>
        <v>3.2299999999970623</v>
      </c>
      <c r="K368" s="7">
        <f>2*G368*'Method Notes'!$B$8</f>
        <v>2.2610000000000001</v>
      </c>
      <c r="L368" s="7">
        <f>2*G368*'Method Notes'!$B$9</f>
        <v>0.64600000000000002</v>
      </c>
      <c r="M368" s="7">
        <f t="shared" si="16"/>
        <v>2.907</v>
      </c>
      <c r="N368" s="7">
        <f t="shared" si="17"/>
        <v>0.3229999999970623</v>
      </c>
      <c r="O368" s="7">
        <v>672.60824500930005</v>
      </c>
      <c r="P368" s="7">
        <v>664.93220931949998</v>
      </c>
      <c r="Q368" s="7">
        <v>669.90336674859998</v>
      </c>
      <c r="R368" s="7">
        <v>673.79753158029996</v>
      </c>
      <c r="S368" s="7">
        <v>663.74306500549994</v>
      </c>
      <c r="T368" s="7">
        <v>670.86880159780003</v>
      </c>
      <c r="U368" t="s">
        <v>88</v>
      </c>
    </row>
    <row r="369" spans="1:21">
      <c r="A369" t="s">
        <v>89</v>
      </c>
      <c r="B369">
        <v>133</v>
      </c>
      <c r="C369" s="10">
        <v>45986</v>
      </c>
      <c r="D369" s="11">
        <v>45986.645833333336</v>
      </c>
      <c r="E369" s="11">
        <v>45986.666666666664</v>
      </c>
      <c r="F369">
        <v>1</v>
      </c>
      <c r="G369">
        <v>323</v>
      </c>
      <c r="H369" s="7">
        <v>674.52</v>
      </c>
      <c r="I369" s="7">
        <v>675.02</v>
      </c>
      <c r="J369" s="7">
        <f t="shared" si="15"/>
        <v>161.5</v>
      </c>
      <c r="K369" s="7">
        <f>2*G369*'Method Notes'!$B$8</f>
        <v>2.2610000000000001</v>
      </c>
      <c r="L369" s="7">
        <f>2*G369*'Method Notes'!$B$9</f>
        <v>0.64600000000000002</v>
      </c>
      <c r="M369" s="7">
        <f t="shared" si="16"/>
        <v>2.907</v>
      </c>
      <c r="N369" s="7">
        <f t="shared" si="17"/>
        <v>158.59299999999999</v>
      </c>
      <c r="O369" s="7">
        <v>673.50235005269997</v>
      </c>
      <c r="P369" s="7">
        <v>664.03821122479997</v>
      </c>
      <c r="Q369" s="7">
        <v>671.36857549800004</v>
      </c>
      <c r="R369" s="7">
        <v>673.59703149890004</v>
      </c>
      <c r="S369" s="7">
        <v>663.94354110400002</v>
      </c>
      <c r="T369" s="7">
        <v>671.97859804960001</v>
      </c>
      <c r="U369" t="s">
        <v>85</v>
      </c>
    </row>
    <row r="370" spans="1:21">
      <c r="A370" t="s">
        <v>89</v>
      </c>
      <c r="B370">
        <v>134</v>
      </c>
      <c r="C370" s="10">
        <v>45987</v>
      </c>
      <c r="D370" s="11">
        <v>45987.4375</v>
      </c>
      <c r="E370" s="11">
        <v>45987.520833333336</v>
      </c>
      <c r="F370">
        <v>1</v>
      </c>
      <c r="G370">
        <v>310</v>
      </c>
      <c r="H370" s="7">
        <v>678.2</v>
      </c>
      <c r="I370" s="7">
        <v>680.97</v>
      </c>
      <c r="J370" s="7">
        <f t="shared" si="15"/>
        <v>858.69999999999436</v>
      </c>
      <c r="K370" s="7">
        <f>2*G370*'Method Notes'!$B$8</f>
        <v>2.17</v>
      </c>
      <c r="L370" s="7">
        <f>2*G370*'Method Notes'!$B$9</f>
        <v>0.62</v>
      </c>
      <c r="M370" s="7">
        <f t="shared" si="16"/>
        <v>2.79</v>
      </c>
      <c r="N370" s="7">
        <f t="shared" si="17"/>
        <v>855.9099999999944</v>
      </c>
      <c r="O370" s="7">
        <v>677.87478758700001</v>
      </c>
      <c r="P370" s="7">
        <v>674.32742857589994</v>
      </c>
      <c r="Q370" s="7">
        <v>677.55403661050002</v>
      </c>
      <c r="R370" s="7">
        <v>681.14839518910003</v>
      </c>
      <c r="S370" s="7">
        <v>671.06426279489995</v>
      </c>
      <c r="T370" s="7">
        <v>679.17722900410001</v>
      </c>
      <c r="U370" t="s">
        <v>88</v>
      </c>
    </row>
    <row r="371" spans="1:21">
      <c r="A371" t="s">
        <v>89</v>
      </c>
      <c r="B371">
        <v>135</v>
      </c>
      <c r="C371" s="10">
        <v>45992</v>
      </c>
      <c r="D371" s="11">
        <v>45992.4375</v>
      </c>
      <c r="E371" s="11">
        <v>45992.458333333336</v>
      </c>
      <c r="F371">
        <v>-1</v>
      </c>
      <c r="G371">
        <v>317</v>
      </c>
      <c r="H371" s="7">
        <v>679.67499999999995</v>
      </c>
      <c r="I371" s="7">
        <v>681.73</v>
      </c>
      <c r="J371" s="7">
        <f t="shared" si="15"/>
        <v>-651.43500000002018</v>
      </c>
      <c r="K371" s="7">
        <f>2*G371*'Method Notes'!$B$8</f>
        <v>2.2189999999999999</v>
      </c>
      <c r="L371" s="7">
        <f>2*G371*'Method Notes'!$B$9</f>
        <v>0.63400000000000001</v>
      </c>
      <c r="M371" s="7">
        <f t="shared" si="16"/>
        <v>2.8529999999999998</v>
      </c>
      <c r="N371" s="7">
        <f t="shared" si="17"/>
        <v>-654.28800000002013</v>
      </c>
      <c r="O371" s="7">
        <v>684.12087625230004</v>
      </c>
      <c r="P371" s="7">
        <v>680.82109160259995</v>
      </c>
      <c r="Q371" s="7">
        <v>680.83389950050002</v>
      </c>
      <c r="R371" s="7">
        <v>685.48423849849996</v>
      </c>
      <c r="S371" s="7">
        <v>679.46140015419996</v>
      </c>
      <c r="T371" s="7">
        <v>681.04454841580002</v>
      </c>
      <c r="U37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736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4"/>
  <cols>
    <col min="1" max="2" width="10" customWidth="1"/>
    <col min="3" max="3" width="14" customWidth="1"/>
    <col min="4" max="5" width="21" customWidth="1"/>
    <col min="6" max="6" width="12" customWidth="1"/>
    <col min="7" max="7" width="10" customWidth="1"/>
    <col min="8" max="9" width="11" customWidth="1"/>
    <col min="10" max="16" width="17" customWidth="1"/>
    <col min="17" max="17" width="10" customWidth="1"/>
    <col min="18" max="22" width="16" customWidth="1"/>
    <col min="23" max="23" width="20" customWidth="1"/>
  </cols>
  <sheetData>
    <row r="1" spans="1:23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3" ht="22" customHeight="1">
      <c r="A2" s="2" t="s">
        <v>90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3" ht="22" customHeight="1">
      <c r="A3" s="3" t="s">
        <v>91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3" ht="2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3" ht="2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3" ht="38" customHeight="1">
      <c r="A6" s="5" t="s">
        <v>64</v>
      </c>
      <c r="B6" s="5" t="s">
        <v>65</v>
      </c>
      <c r="C6" s="5" t="s">
        <v>35</v>
      </c>
      <c r="D6" s="5" t="s">
        <v>92</v>
      </c>
      <c r="E6" s="5" t="s">
        <v>93</v>
      </c>
      <c r="F6" s="5" t="s">
        <v>94</v>
      </c>
      <c r="G6" s="5" t="s">
        <v>95</v>
      </c>
      <c r="H6" s="5" t="s">
        <v>68</v>
      </c>
      <c r="I6" s="5" t="s">
        <v>69</v>
      </c>
      <c r="J6" s="5" t="s">
        <v>96</v>
      </c>
      <c r="K6" s="5" t="s">
        <v>97</v>
      </c>
      <c r="L6" s="5" t="s">
        <v>98</v>
      </c>
      <c r="M6" s="5" t="s">
        <v>99</v>
      </c>
      <c r="N6" s="5" t="s">
        <v>100</v>
      </c>
      <c r="O6" s="5" t="s">
        <v>101</v>
      </c>
      <c r="P6" s="5" t="s">
        <v>102</v>
      </c>
      <c r="Q6" s="5" t="s">
        <v>103</v>
      </c>
      <c r="R6" s="5" t="s">
        <v>72</v>
      </c>
      <c r="S6" s="5" t="s">
        <v>73</v>
      </c>
      <c r="T6" s="5" t="s">
        <v>74</v>
      </c>
      <c r="U6" s="5" t="s">
        <v>76</v>
      </c>
      <c r="V6" s="5" t="s">
        <v>104</v>
      </c>
      <c r="W6" s="5" t="s">
        <v>105</v>
      </c>
    </row>
    <row r="7" spans="1:23">
      <c r="A7" t="s">
        <v>84</v>
      </c>
      <c r="B7">
        <v>1</v>
      </c>
      <c r="C7" s="10">
        <v>45749</v>
      </c>
      <c r="D7" s="11">
        <v>45749.479166666664</v>
      </c>
      <c r="E7" s="11">
        <v>45749.479166666664</v>
      </c>
      <c r="F7" t="s">
        <v>106</v>
      </c>
      <c r="G7" t="s">
        <v>107</v>
      </c>
      <c r="H7">
        <v>1</v>
      </c>
      <c r="I7">
        <v>180</v>
      </c>
      <c r="J7" s="7">
        <v>560.08669999999995</v>
      </c>
      <c r="K7" s="7">
        <v>559.54864381289997</v>
      </c>
      <c r="L7" s="7">
        <v>553.61246595590001</v>
      </c>
      <c r="M7" s="7">
        <v>3.1892078000000002E-3</v>
      </c>
      <c r="N7" s="7">
        <v>557.4300935791</v>
      </c>
      <c r="O7" s="7">
        <v>559.54864381289997</v>
      </c>
      <c r="P7" s="7">
        <v>553.61246595590001</v>
      </c>
      <c r="Q7" s="7">
        <v>1</v>
      </c>
      <c r="R7" s="7">
        <v>0</v>
      </c>
      <c r="S7" s="7">
        <v>0.63</v>
      </c>
      <c r="T7" s="7">
        <v>0.18</v>
      </c>
      <c r="U7" s="7">
        <v>-0.81</v>
      </c>
      <c r="V7" s="7" t="s">
        <v>86</v>
      </c>
      <c r="W7" s="11">
        <v>45749.458333333336</v>
      </c>
    </row>
    <row r="8" spans="1:23">
      <c r="A8" t="s">
        <v>84</v>
      </c>
      <c r="B8">
        <v>1</v>
      </c>
      <c r="C8" s="10">
        <v>45749</v>
      </c>
      <c r="D8" s="11">
        <v>45749.666666666664</v>
      </c>
      <c r="E8" s="11">
        <v>45749.666666666664</v>
      </c>
      <c r="F8" t="s">
        <v>108</v>
      </c>
      <c r="G8" t="s">
        <v>109</v>
      </c>
      <c r="H8">
        <v>1</v>
      </c>
      <c r="I8">
        <v>180</v>
      </c>
      <c r="J8" s="7">
        <v>561.29970000000003</v>
      </c>
      <c r="K8" s="7">
        <v>561.22147236019998</v>
      </c>
      <c r="L8" s="7">
        <v>551.94679365160005</v>
      </c>
      <c r="M8" s="7">
        <v>6.1883457000000003E-3</v>
      </c>
      <c r="N8" s="7">
        <v>559.69858487780004</v>
      </c>
      <c r="O8" s="7">
        <v>561.22147236019998</v>
      </c>
      <c r="P8" s="7">
        <v>551.94679365160005</v>
      </c>
      <c r="Q8" s="7">
        <v>1</v>
      </c>
      <c r="R8" s="7">
        <v>218.34</v>
      </c>
      <c r="S8" s="7">
        <v>0.63</v>
      </c>
      <c r="T8" s="7">
        <v>0.18</v>
      </c>
      <c r="U8" s="7">
        <v>217.53</v>
      </c>
      <c r="V8" s="7" t="s">
        <v>85</v>
      </c>
      <c r="W8" s="11">
        <v>45749.645833333336</v>
      </c>
    </row>
    <row r="9" spans="1:23">
      <c r="A9" t="s">
        <v>84</v>
      </c>
      <c r="B9">
        <v>2</v>
      </c>
      <c r="C9" s="10">
        <v>45750</v>
      </c>
      <c r="D9" s="11">
        <v>45750.4375</v>
      </c>
      <c r="E9" s="11">
        <v>45750.4375</v>
      </c>
      <c r="F9" t="s">
        <v>106</v>
      </c>
      <c r="G9" t="s">
        <v>109</v>
      </c>
      <c r="H9">
        <v>-1</v>
      </c>
      <c r="I9">
        <v>185</v>
      </c>
      <c r="J9" s="7">
        <v>539.87260000000003</v>
      </c>
      <c r="K9" s="7">
        <v>562.42341006940001</v>
      </c>
      <c r="L9" s="7">
        <v>539.95765424989997</v>
      </c>
      <c r="M9" s="7">
        <v>2.0023357999999999E-3</v>
      </c>
      <c r="N9" s="7">
        <v>540.57172269780006</v>
      </c>
      <c r="O9" s="7">
        <v>562.42341006940001</v>
      </c>
      <c r="P9" s="7">
        <v>539.95765424989997</v>
      </c>
      <c r="Q9" s="7">
        <v>1</v>
      </c>
      <c r="R9" s="7">
        <v>0</v>
      </c>
      <c r="S9" s="7">
        <v>0.64749999999999996</v>
      </c>
      <c r="T9" s="7">
        <v>0.185</v>
      </c>
      <c r="U9" s="7">
        <v>-0.83250000000000002</v>
      </c>
      <c r="V9" s="7" t="s">
        <v>86</v>
      </c>
      <c r="W9" s="11">
        <v>45750.416666666664</v>
      </c>
    </row>
    <row r="10" spans="1:23">
      <c r="A10" t="s">
        <v>84</v>
      </c>
      <c r="B10">
        <v>2</v>
      </c>
      <c r="C10" s="10">
        <v>45750</v>
      </c>
      <c r="D10" s="11">
        <v>45750.666666666664</v>
      </c>
      <c r="E10" s="11">
        <v>45750.666666666664</v>
      </c>
      <c r="F10" t="s">
        <v>108</v>
      </c>
      <c r="G10" t="s">
        <v>107</v>
      </c>
      <c r="H10">
        <v>-1</v>
      </c>
      <c r="I10">
        <v>185</v>
      </c>
      <c r="J10" s="7">
        <v>533.63840000000005</v>
      </c>
      <c r="K10" s="7">
        <v>564.95842808750001</v>
      </c>
      <c r="L10" s="7">
        <v>537.51413045640004</v>
      </c>
      <c r="M10" s="7">
        <v>6.5186732999999997E-3</v>
      </c>
      <c r="N10" s="7">
        <v>537.86789182790005</v>
      </c>
      <c r="O10" s="7">
        <v>564.95842808750001</v>
      </c>
      <c r="P10" s="7">
        <v>537.51413045640004</v>
      </c>
      <c r="Q10" s="7">
        <v>1</v>
      </c>
      <c r="R10" s="7">
        <v>1153.327</v>
      </c>
      <c r="S10" s="7">
        <v>0.64749999999999996</v>
      </c>
      <c r="T10" s="7">
        <v>0.185</v>
      </c>
      <c r="U10" s="7">
        <v>1152.4945</v>
      </c>
      <c r="V10" s="7" t="s">
        <v>85</v>
      </c>
      <c r="W10" s="11">
        <v>45750.645833333336</v>
      </c>
    </row>
    <row r="11" spans="1:23">
      <c r="A11" t="s">
        <v>84</v>
      </c>
      <c r="B11">
        <v>3</v>
      </c>
      <c r="C11" s="10">
        <v>45751</v>
      </c>
      <c r="D11" s="11">
        <v>45751.4375</v>
      </c>
      <c r="E11" s="11">
        <v>45751.4375</v>
      </c>
      <c r="F11" t="s">
        <v>106</v>
      </c>
      <c r="G11" t="s">
        <v>109</v>
      </c>
      <c r="H11">
        <v>-1</v>
      </c>
      <c r="I11">
        <v>194</v>
      </c>
      <c r="J11" s="7">
        <v>513.20069999999998</v>
      </c>
      <c r="K11" s="7">
        <v>534.78861002890005</v>
      </c>
      <c r="L11" s="7">
        <v>518.8558410329</v>
      </c>
      <c r="M11" s="7">
        <v>2.1557865E-3</v>
      </c>
      <c r="N11" s="7">
        <v>517.50886119769996</v>
      </c>
      <c r="O11" s="7">
        <v>534.78861002890005</v>
      </c>
      <c r="P11" s="7">
        <v>517.50886119769996</v>
      </c>
      <c r="Q11" s="7">
        <v>1</v>
      </c>
      <c r="R11" s="7">
        <v>0</v>
      </c>
      <c r="S11" s="7">
        <v>0.67900000000000005</v>
      </c>
      <c r="T11" s="7">
        <v>0.19400000000000001</v>
      </c>
      <c r="U11" s="7">
        <v>-0.873</v>
      </c>
      <c r="V11" s="7" t="s">
        <v>86</v>
      </c>
      <c r="W11" s="11">
        <v>45751.416666666664</v>
      </c>
    </row>
    <row r="12" spans="1:23">
      <c r="A12" t="s">
        <v>84</v>
      </c>
      <c r="B12">
        <v>3</v>
      </c>
      <c r="C12" s="10">
        <v>45751</v>
      </c>
      <c r="D12" s="11">
        <v>45751.666666666664</v>
      </c>
      <c r="E12" s="11">
        <v>45751.666666666664</v>
      </c>
      <c r="F12" t="s">
        <v>108</v>
      </c>
      <c r="G12" t="s">
        <v>107</v>
      </c>
      <c r="H12">
        <v>-1</v>
      </c>
      <c r="I12">
        <v>194</v>
      </c>
      <c r="J12" s="7">
        <v>502.39760000000001</v>
      </c>
      <c r="K12" s="7">
        <v>537.2345141577</v>
      </c>
      <c r="L12" s="7">
        <v>516.47255325089998</v>
      </c>
      <c r="M12" s="7">
        <v>6.7392366999999998E-3</v>
      </c>
      <c r="N12" s="7">
        <v>509.55477975159999</v>
      </c>
      <c r="O12" s="7">
        <v>537.2345141577</v>
      </c>
      <c r="P12" s="7">
        <v>509.55477975159999</v>
      </c>
      <c r="Q12" s="7">
        <v>1</v>
      </c>
      <c r="R12" s="7">
        <v>2095.8013999999998</v>
      </c>
      <c r="S12" s="7">
        <v>0.67900000000000005</v>
      </c>
      <c r="T12" s="7">
        <v>0.19400000000000001</v>
      </c>
      <c r="U12" s="7">
        <v>2094.9283999999998</v>
      </c>
      <c r="V12" s="7" t="s">
        <v>85</v>
      </c>
      <c r="W12" s="11">
        <v>45751.645833333336</v>
      </c>
    </row>
    <row r="13" spans="1:23">
      <c r="A13" t="s">
        <v>84</v>
      </c>
      <c r="B13">
        <v>4</v>
      </c>
      <c r="C13" s="10">
        <v>45754</v>
      </c>
      <c r="D13" s="11">
        <v>45754.583333333336</v>
      </c>
      <c r="E13" s="11">
        <v>45754.583333333336</v>
      </c>
      <c r="F13" t="s">
        <v>106</v>
      </c>
      <c r="G13" t="s">
        <v>107</v>
      </c>
      <c r="H13">
        <v>1</v>
      </c>
      <c r="I13">
        <v>210</v>
      </c>
      <c r="J13" s="7">
        <v>506.30520000000001</v>
      </c>
      <c r="K13" s="7">
        <v>505.09717605510002</v>
      </c>
      <c r="L13" s="7">
        <v>489.97167062810001</v>
      </c>
      <c r="M13" s="7">
        <v>5.3735857999999996E-3</v>
      </c>
      <c r="N13" s="7">
        <v>496.59523573849998</v>
      </c>
      <c r="O13" s="7">
        <v>505.09717605510002</v>
      </c>
      <c r="P13" s="7">
        <v>489.97167062810001</v>
      </c>
      <c r="Q13" s="7">
        <v>1</v>
      </c>
      <c r="R13" s="7">
        <v>0</v>
      </c>
      <c r="S13" s="7">
        <v>0.73499999999999999</v>
      </c>
      <c r="T13" s="7">
        <v>0.21</v>
      </c>
      <c r="U13" s="7">
        <v>-0.94499999999999995</v>
      </c>
      <c r="V13" s="7" t="s">
        <v>86</v>
      </c>
      <c r="W13" s="11">
        <v>45754.5625</v>
      </c>
    </row>
    <row r="14" spans="1:23">
      <c r="A14" t="s">
        <v>84</v>
      </c>
      <c r="B14">
        <v>4</v>
      </c>
      <c r="C14" s="10">
        <v>45754</v>
      </c>
      <c r="D14" s="11">
        <v>45754.666666666664</v>
      </c>
      <c r="E14" s="11">
        <v>45754.666666666664</v>
      </c>
      <c r="F14" t="s">
        <v>108</v>
      </c>
      <c r="G14" t="s">
        <v>109</v>
      </c>
      <c r="H14">
        <v>1</v>
      </c>
      <c r="I14">
        <v>210</v>
      </c>
      <c r="J14" s="7">
        <v>501.50279999999998</v>
      </c>
      <c r="K14" s="7">
        <v>506.88636098299997</v>
      </c>
      <c r="L14" s="7">
        <v>488.21731052040002</v>
      </c>
      <c r="M14" s="7">
        <v>8.9348792000000007E-3</v>
      </c>
      <c r="N14" s="7">
        <v>497.44855627039999</v>
      </c>
      <c r="O14" s="7">
        <v>506.88636098299997</v>
      </c>
      <c r="P14" s="7">
        <v>488.21731052040002</v>
      </c>
      <c r="Q14" s="7">
        <v>1</v>
      </c>
      <c r="R14" s="7">
        <v>-1008.504</v>
      </c>
      <c r="S14" s="7">
        <v>0.73499999999999999</v>
      </c>
      <c r="T14" s="7">
        <v>0.21</v>
      </c>
      <c r="U14" s="7">
        <v>-1009.449</v>
      </c>
      <c r="V14" s="7" t="s">
        <v>85</v>
      </c>
      <c r="W14" s="11">
        <v>45754.645833333336</v>
      </c>
    </row>
    <row r="15" spans="1:23">
      <c r="A15" t="s">
        <v>84</v>
      </c>
      <c r="B15">
        <v>5</v>
      </c>
      <c r="C15" s="10">
        <v>45755</v>
      </c>
      <c r="D15" s="11">
        <v>45755.645833333336</v>
      </c>
      <c r="E15" s="11">
        <v>45755.645833333336</v>
      </c>
      <c r="F15" t="s">
        <v>106</v>
      </c>
      <c r="G15" t="s">
        <v>109</v>
      </c>
      <c r="H15">
        <v>-1</v>
      </c>
      <c r="I15">
        <v>197</v>
      </c>
      <c r="J15" s="7">
        <v>494.4271</v>
      </c>
      <c r="K15" s="7">
        <v>524.08276777959998</v>
      </c>
      <c r="L15" s="7">
        <v>497.6197818123</v>
      </c>
      <c r="M15" s="7">
        <v>7.7423689999999998E-3</v>
      </c>
      <c r="N15" s="7">
        <v>507.39754010310003</v>
      </c>
      <c r="O15" s="7">
        <v>524.08276777959998</v>
      </c>
      <c r="P15" s="7">
        <v>497.6197818123</v>
      </c>
      <c r="Q15" s="7">
        <v>1</v>
      </c>
      <c r="R15" s="7">
        <v>0</v>
      </c>
      <c r="S15" s="7">
        <v>0.6895</v>
      </c>
      <c r="T15" s="7">
        <v>0.19700000000000001</v>
      </c>
      <c r="U15" s="7">
        <v>-0.88649999999999995</v>
      </c>
      <c r="V15" s="7" t="s">
        <v>86</v>
      </c>
      <c r="W15" s="11">
        <v>45755.625</v>
      </c>
    </row>
    <row r="16" spans="1:23">
      <c r="A16" t="s">
        <v>84</v>
      </c>
      <c r="B16">
        <v>5</v>
      </c>
      <c r="C16" s="10">
        <v>45755</v>
      </c>
      <c r="D16" s="11">
        <v>45755.666666666664</v>
      </c>
      <c r="E16" s="11">
        <v>45755.666666666664</v>
      </c>
      <c r="F16" t="s">
        <v>108</v>
      </c>
      <c r="G16" t="s">
        <v>107</v>
      </c>
      <c r="H16">
        <v>-1</v>
      </c>
      <c r="I16">
        <v>197</v>
      </c>
      <c r="J16" s="7">
        <v>493.64789999999999</v>
      </c>
      <c r="K16" s="7">
        <v>525.35520704630005</v>
      </c>
      <c r="L16" s="7">
        <v>496.3927385083</v>
      </c>
      <c r="M16" s="7">
        <v>1.0189102699999999E-2</v>
      </c>
      <c r="N16" s="7">
        <v>504.27580488349997</v>
      </c>
      <c r="O16" s="7">
        <v>525.35520704630005</v>
      </c>
      <c r="P16" s="7">
        <v>496.3927385083</v>
      </c>
      <c r="Q16" s="7">
        <v>1</v>
      </c>
      <c r="R16" s="7">
        <v>153.50239999999999</v>
      </c>
      <c r="S16" s="7">
        <v>0.6895</v>
      </c>
      <c r="T16" s="7">
        <v>0.19700000000000001</v>
      </c>
      <c r="U16" s="7">
        <v>152.61590000000001</v>
      </c>
      <c r="V16" s="7" t="s">
        <v>85</v>
      </c>
      <c r="W16" s="11">
        <v>45755.645833333336</v>
      </c>
    </row>
    <row r="17" spans="1:23">
      <c r="A17" t="s">
        <v>84</v>
      </c>
      <c r="B17">
        <v>6</v>
      </c>
      <c r="C17" s="10">
        <v>45756</v>
      </c>
      <c r="D17" s="11">
        <v>45756.458333333336</v>
      </c>
      <c r="E17" s="11">
        <v>45756.458333333336</v>
      </c>
      <c r="F17" t="s">
        <v>106</v>
      </c>
      <c r="G17" t="s">
        <v>109</v>
      </c>
      <c r="H17">
        <v>-1</v>
      </c>
      <c r="I17">
        <v>206</v>
      </c>
      <c r="J17" s="7">
        <v>490.31700000000001</v>
      </c>
      <c r="K17" s="7">
        <v>500.56817538220002</v>
      </c>
      <c r="L17" s="7">
        <v>490.44998498529998</v>
      </c>
      <c r="M17" s="7">
        <v>6.4775257000000003E-3</v>
      </c>
      <c r="N17" s="7">
        <v>495.30708028359999</v>
      </c>
      <c r="O17" s="7">
        <v>500.56817538220002</v>
      </c>
      <c r="P17" s="7">
        <v>490.44998498529998</v>
      </c>
      <c r="Q17" s="7">
        <v>1</v>
      </c>
      <c r="R17" s="7">
        <v>0</v>
      </c>
      <c r="S17" s="7">
        <v>0.72099999999999997</v>
      </c>
      <c r="T17" s="7">
        <v>0.20599999999999999</v>
      </c>
      <c r="U17" s="7">
        <v>-0.92700000000000005</v>
      </c>
      <c r="V17" s="7" t="s">
        <v>86</v>
      </c>
      <c r="W17" s="11">
        <v>45756.4375</v>
      </c>
    </row>
    <row r="18" spans="1:23">
      <c r="A18" t="s">
        <v>84</v>
      </c>
      <c r="B18">
        <v>6</v>
      </c>
      <c r="C18" s="10">
        <v>45756</v>
      </c>
      <c r="D18" s="11">
        <v>45756.5625</v>
      </c>
      <c r="E18" s="11">
        <v>45756.5625</v>
      </c>
      <c r="F18" t="s">
        <v>108</v>
      </c>
      <c r="G18" t="s">
        <v>107</v>
      </c>
      <c r="H18">
        <v>-1</v>
      </c>
      <c r="I18">
        <v>206</v>
      </c>
      <c r="J18" s="7">
        <v>521.77650000000006</v>
      </c>
      <c r="K18" s="7">
        <v>502.47450922519999</v>
      </c>
      <c r="L18" s="7">
        <v>488.55782944150002</v>
      </c>
      <c r="M18" s="7">
        <v>1.03105344E-2</v>
      </c>
      <c r="N18" s="7">
        <v>506.47916999130001</v>
      </c>
      <c r="O18" s="7">
        <v>506.47916999130001</v>
      </c>
      <c r="P18" s="7">
        <v>488.55782944150002</v>
      </c>
      <c r="Q18" s="7">
        <v>1</v>
      </c>
      <c r="R18" s="7">
        <v>-6480.6570000000002</v>
      </c>
      <c r="S18" s="7">
        <v>0.72099999999999997</v>
      </c>
      <c r="T18" s="7">
        <v>0.20599999999999999</v>
      </c>
      <c r="U18" s="7">
        <v>-6481.5839999999998</v>
      </c>
      <c r="V18" s="7" t="s">
        <v>86</v>
      </c>
      <c r="W18" s="11">
        <v>45756.541666666664</v>
      </c>
    </row>
    <row r="19" spans="1:23">
      <c r="A19" t="s">
        <v>84</v>
      </c>
      <c r="B19">
        <v>7</v>
      </c>
      <c r="C19" s="10">
        <v>45756</v>
      </c>
      <c r="D19" s="11">
        <v>45756.5625</v>
      </c>
      <c r="E19" s="11">
        <v>45756.5625</v>
      </c>
      <c r="F19" t="s">
        <v>106</v>
      </c>
      <c r="G19" t="s">
        <v>107</v>
      </c>
      <c r="H19">
        <v>1</v>
      </c>
      <c r="I19">
        <v>206</v>
      </c>
      <c r="J19" s="7">
        <v>521.77650000000006</v>
      </c>
      <c r="K19" s="7">
        <v>502.47450922519999</v>
      </c>
      <c r="L19" s="7">
        <v>488.55782944150002</v>
      </c>
      <c r="M19" s="7">
        <v>1.03105344E-2</v>
      </c>
      <c r="N19" s="7">
        <v>506.47916999130001</v>
      </c>
      <c r="O19" s="7">
        <v>506.47916999130001</v>
      </c>
      <c r="P19" s="7">
        <v>488.55782944150002</v>
      </c>
      <c r="Q19" s="7">
        <v>1</v>
      </c>
      <c r="R19" s="7">
        <v>0</v>
      </c>
      <c r="S19" s="7">
        <v>0.72099999999999997</v>
      </c>
      <c r="T19" s="7">
        <v>0.20599999999999999</v>
      </c>
      <c r="U19" s="7">
        <v>-0.92700000000000005</v>
      </c>
      <c r="V19" s="7" t="s">
        <v>86</v>
      </c>
      <c r="W19" s="11">
        <v>45756.541666666664</v>
      </c>
    </row>
    <row r="20" spans="1:23">
      <c r="A20" t="s">
        <v>84</v>
      </c>
      <c r="B20">
        <v>7</v>
      </c>
      <c r="C20" s="10">
        <v>45756</v>
      </c>
      <c r="D20" s="11">
        <v>45756.666666666664</v>
      </c>
      <c r="E20" s="11">
        <v>45756.666666666664</v>
      </c>
      <c r="F20" t="s">
        <v>108</v>
      </c>
      <c r="G20" t="s">
        <v>109</v>
      </c>
      <c r="H20">
        <v>1</v>
      </c>
      <c r="I20">
        <v>206</v>
      </c>
      <c r="J20" s="7">
        <v>545.49040000000002</v>
      </c>
      <c r="K20" s="7">
        <v>504.02787899139997</v>
      </c>
      <c r="L20" s="7">
        <v>487.0160128151</v>
      </c>
      <c r="M20" s="7">
        <v>1.3433848700000001E-2</v>
      </c>
      <c r="N20" s="7">
        <v>523.88149199019995</v>
      </c>
      <c r="O20" s="7">
        <v>523.88149199019995</v>
      </c>
      <c r="P20" s="7">
        <v>487.0160128151</v>
      </c>
      <c r="Q20" s="7">
        <v>1</v>
      </c>
      <c r="R20" s="7">
        <v>4885.0634</v>
      </c>
      <c r="S20" s="7">
        <v>0.72099999999999997</v>
      </c>
      <c r="T20" s="7">
        <v>0.20599999999999999</v>
      </c>
      <c r="U20" s="7">
        <v>4884.1364000000003</v>
      </c>
      <c r="V20" s="7" t="s">
        <v>85</v>
      </c>
      <c r="W20" s="11">
        <v>45756.645833333336</v>
      </c>
    </row>
    <row r="21" spans="1:23">
      <c r="A21" t="s">
        <v>84</v>
      </c>
      <c r="B21">
        <v>8</v>
      </c>
      <c r="C21" s="10">
        <v>45757</v>
      </c>
      <c r="D21" s="11">
        <v>45757.479166666664</v>
      </c>
      <c r="E21" s="11">
        <v>45757.479166666664</v>
      </c>
      <c r="F21" t="s">
        <v>106</v>
      </c>
      <c r="G21" t="s">
        <v>109</v>
      </c>
      <c r="H21">
        <v>-1</v>
      </c>
      <c r="I21">
        <v>192</v>
      </c>
      <c r="J21" s="7">
        <v>520.81200000000001</v>
      </c>
      <c r="K21" s="7">
        <v>548.48380842580002</v>
      </c>
      <c r="L21" s="7">
        <v>523.00037572669999</v>
      </c>
      <c r="M21" s="7">
        <v>5.4879233999999997E-3</v>
      </c>
      <c r="N21" s="7">
        <v>524.32108434539998</v>
      </c>
      <c r="O21" s="7">
        <v>548.48380842580002</v>
      </c>
      <c r="P21" s="7">
        <v>523.00037572669999</v>
      </c>
      <c r="Q21" s="7">
        <v>1</v>
      </c>
      <c r="R21" s="7">
        <v>0</v>
      </c>
      <c r="S21" s="7">
        <v>0.67200000000000004</v>
      </c>
      <c r="T21" s="7">
        <v>0.192</v>
      </c>
      <c r="U21" s="7">
        <v>-0.86399999999999999</v>
      </c>
      <c r="V21" s="7" t="s">
        <v>86</v>
      </c>
      <c r="W21" s="11">
        <v>45757.458333333336</v>
      </c>
    </row>
    <row r="22" spans="1:23">
      <c r="A22" t="s">
        <v>84</v>
      </c>
      <c r="B22">
        <v>8</v>
      </c>
      <c r="C22" s="10">
        <v>45757</v>
      </c>
      <c r="D22" s="11">
        <v>45757.666666666664</v>
      </c>
      <c r="E22" s="11">
        <v>45757.666666666664</v>
      </c>
      <c r="F22" t="s">
        <v>108</v>
      </c>
      <c r="G22" t="s">
        <v>107</v>
      </c>
      <c r="H22">
        <v>-1</v>
      </c>
      <c r="I22">
        <v>192</v>
      </c>
      <c r="J22" s="7">
        <v>521.58759999999995</v>
      </c>
      <c r="K22" s="7">
        <v>556.51293874500004</v>
      </c>
      <c r="L22" s="7">
        <v>515.25979589839994</v>
      </c>
      <c r="M22" s="7">
        <v>2.0207033499999999E-2</v>
      </c>
      <c r="N22" s="7">
        <v>519.65236082260003</v>
      </c>
      <c r="O22" s="7">
        <v>556.51293874500004</v>
      </c>
      <c r="P22" s="7">
        <v>515.25979589839994</v>
      </c>
      <c r="Q22" s="7">
        <v>1</v>
      </c>
      <c r="R22" s="7">
        <v>-148.9152</v>
      </c>
      <c r="S22" s="7">
        <v>0.67200000000000004</v>
      </c>
      <c r="T22" s="7">
        <v>0.192</v>
      </c>
      <c r="U22" s="7">
        <v>-149.7792</v>
      </c>
      <c r="V22" s="7" t="s">
        <v>85</v>
      </c>
      <c r="W22" s="11">
        <v>45757.645833333336</v>
      </c>
    </row>
    <row r="23" spans="1:23">
      <c r="A23" t="s">
        <v>84</v>
      </c>
      <c r="B23">
        <v>9</v>
      </c>
      <c r="C23" s="10">
        <v>45758</v>
      </c>
      <c r="D23" s="11">
        <v>45758.4375</v>
      </c>
      <c r="E23" s="11">
        <v>45758.4375</v>
      </c>
      <c r="F23" t="s">
        <v>106</v>
      </c>
      <c r="G23" t="s">
        <v>109</v>
      </c>
      <c r="H23">
        <v>-1</v>
      </c>
      <c r="I23">
        <v>193</v>
      </c>
      <c r="J23" s="7">
        <v>517.5607</v>
      </c>
      <c r="K23" s="7">
        <v>523.82764540220001</v>
      </c>
      <c r="L23" s="7">
        <v>519.90785482909996</v>
      </c>
      <c r="M23" s="7">
        <v>3.2198736E-3</v>
      </c>
      <c r="N23" s="7">
        <v>519.99486563619996</v>
      </c>
      <c r="O23" s="7">
        <v>523.82764540220001</v>
      </c>
      <c r="P23" s="7">
        <v>519.90785482909996</v>
      </c>
      <c r="Q23" s="7">
        <v>1</v>
      </c>
      <c r="R23" s="7">
        <v>0</v>
      </c>
      <c r="S23" s="7">
        <v>0.67549999999999999</v>
      </c>
      <c r="T23" s="7">
        <v>0.193</v>
      </c>
      <c r="U23" s="7">
        <v>-0.86850000000000005</v>
      </c>
      <c r="V23" s="7" t="s">
        <v>86</v>
      </c>
      <c r="W23" s="11">
        <v>45758.416666666664</v>
      </c>
    </row>
    <row r="24" spans="1:23">
      <c r="A24" t="s">
        <v>84</v>
      </c>
      <c r="B24">
        <v>9</v>
      </c>
      <c r="C24" s="10">
        <v>45758</v>
      </c>
      <c r="D24" s="11">
        <v>45758.541666666664</v>
      </c>
      <c r="E24" s="11">
        <v>45758.541666666664</v>
      </c>
      <c r="F24" t="s">
        <v>108</v>
      </c>
      <c r="G24" t="s">
        <v>107</v>
      </c>
      <c r="H24">
        <v>-1</v>
      </c>
      <c r="I24">
        <v>193</v>
      </c>
      <c r="J24" s="7">
        <v>528.78629999999998</v>
      </c>
      <c r="K24" s="7">
        <v>526.66127550019996</v>
      </c>
      <c r="L24" s="7">
        <v>517.07725890430004</v>
      </c>
      <c r="M24" s="7">
        <v>8.6467617E-3</v>
      </c>
      <c r="N24" s="7">
        <v>521.79019514319998</v>
      </c>
      <c r="O24" s="7">
        <v>526.66127550019996</v>
      </c>
      <c r="P24" s="7">
        <v>517.07725890430004</v>
      </c>
      <c r="Q24" s="7">
        <v>1</v>
      </c>
      <c r="R24" s="7">
        <v>-2166.5408000000002</v>
      </c>
      <c r="S24" s="7">
        <v>0.67549999999999999</v>
      </c>
      <c r="T24" s="7">
        <v>0.193</v>
      </c>
      <c r="U24" s="7">
        <v>-2167.4092999999998</v>
      </c>
      <c r="V24" s="7" t="s">
        <v>86</v>
      </c>
      <c r="W24" s="11">
        <v>45758.520833333336</v>
      </c>
    </row>
    <row r="25" spans="1:23">
      <c r="A25" t="s">
        <v>84</v>
      </c>
      <c r="B25">
        <v>10</v>
      </c>
      <c r="C25" s="10">
        <v>45758</v>
      </c>
      <c r="D25" s="11">
        <v>45758.541666666664</v>
      </c>
      <c r="E25" s="11">
        <v>45758.541666666664</v>
      </c>
      <c r="F25" t="s">
        <v>106</v>
      </c>
      <c r="G25" t="s">
        <v>107</v>
      </c>
      <c r="H25">
        <v>1</v>
      </c>
      <c r="I25">
        <v>193</v>
      </c>
      <c r="J25" s="7">
        <v>528.78629999999998</v>
      </c>
      <c r="K25" s="7">
        <v>526.66127550019996</v>
      </c>
      <c r="L25" s="7">
        <v>517.07725890430004</v>
      </c>
      <c r="M25" s="7">
        <v>8.6467617E-3</v>
      </c>
      <c r="N25" s="7">
        <v>521.79019514319998</v>
      </c>
      <c r="O25" s="7">
        <v>526.66127550019996</v>
      </c>
      <c r="P25" s="7">
        <v>517.07725890430004</v>
      </c>
      <c r="Q25" s="7">
        <v>1</v>
      </c>
      <c r="R25" s="7">
        <v>0</v>
      </c>
      <c r="S25" s="7">
        <v>0.67549999999999999</v>
      </c>
      <c r="T25" s="7">
        <v>0.193</v>
      </c>
      <c r="U25" s="7">
        <v>-0.86850000000000005</v>
      </c>
      <c r="V25" s="7" t="s">
        <v>86</v>
      </c>
      <c r="W25" s="11">
        <v>45758.520833333336</v>
      </c>
    </row>
    <row r="26" spans="1:23">
      <c r="A26" t="s">
        <v>84</v>
      </c>
      <c r="B26">
        <v>10</v>
      </c>
      <c r="C26" s="10">
        <v>45758</v>
      </c>
      <c r="D26" s="11">
        <v>45758.666666666664</v>
      </c>
      <c r="E26" s="11">
        <v>45758.666666666664</v>
      </c>
      <c r="F26" t="s">
        <v>108</v>
      </c>
      <c r="G26" t="s">
        <v>109</v>
      </c>
      <c r="H26">
        <v>1</v>
      </c>
      <c r="I26">
        <v>193</v>
      </c>
      <c r="J26" s="7">
        <v>530.89419999999996</v>
      </c>
      <c r="K26" s="7">
        <v>532.7325785283</v>
      </c>
      <c r="L26" s="7">
        <v>511.01245686039999</v>
      </c>
      <c r="M26" s="7">
        <v>2.0274349399999999E-2</v>
      </c>
      <c r="N26" s="7">
        <v>525.91875868620002</v>
      </c>
      <c r="O26" s="7">
        <v>532.7325785283</v>
      </c>
      <c r="P26" s="7">
        <v>511.01245686039999</v>
      </c>
      <c r="Q26" s="7">
        <v>1</v>
      </c>
      <c r="R26" s="7">
        <v>406.82470000000001</v>
      </c>
      <c r="S26" s="7">
        <v>0.67549999999999999</v>
      </c>
      <c r="T26" s="7">
        <v>0.193</v>
      </c>
      <c r="U26" s="7">
        <v>405.95620000000002</v>
      </c>
      <c r="V26" s="7" t="s">
        <v>85</v>
      </c>
      <c r="W26" s="11">
        <v>45758.645833333336</v>
      </c>
    </row>
    <row r="27" spans="1:23">
      <c r="A27" t="s">
        <v>84</v>
      </c>
      <c r="B27">
        <v>11</v>
      </c>
      <c r="C27" s="10">
        <v>45768</v>
      </c>
      <c r="D27" s="11">
        <v>45768.479166666664</v>
      </c>
      <c r="E27" s="11">
        <v>45768.479166666664</v>
      </c>
      <c r="F27" t="s">
        <v>106</v>
      </c>
      <c r="G27" t="s">
        <v>109</v>
      </c>
      <c r="H27">
        <v>-1</v>
      </c>
      <c r="I27">
        <v>192</v>
      </c>
      <c r="J27" s="7">
        <v>510.14319999999998</v>
      </c>
      <c r="K27" s="7">
        <v>526.91823026530005</v>
      </c>
      <c r="L27" s="7">
        <v>510.98743451889999</v>
      </c>
      <c r="M27" s="7">
        <v>6.7086052000000004E-3</v>
      </c>
      <c r="N27" s="7">
        <v>512.440768693</v>
      </c>
      <c r="O27" s="7">
        <v>526.91823026530005</v>
      </c>
      <c r="P27" s="7">
        <v>510.98743451889999</v>
      </c>
      <c r="Q27" s="7">
        <v>1</v>
      </c>
      <c r="R27" s="7">
        <v>0</v>
      </c>
      <c r="S27" s="7">
        <v>0.67200000000000004</v>
      </c>
      <c r="T27" s="7">
        <v>0.192</v>
      </c>
      <c r="U27" s="7">
        <v>-0.86399999999999999</v>
      </c>
      <c r="V27" s="7" t="s">
        <v>86</v>
      </c>
      <c r="W27" s="11">
        <v>45768.458333333336</v>
      </c>
    </row>
    <row r="28" spans="1:23">
      <c r="A28" t="s">
        <v>84</v>
      </c>
      <c r="B28">
        <v>11</v>
      </c>
      <c r="C28" s="10">
        <v>45768</v>
      </c>
      <c r="D28" s="11">
        <v>45768.666666666664</v>
      </c>
      <c r="E28" s="11">
        <v>45768.666666666664</v>
      </c>
      <c r="F28" t="s">
        <v>108</v>
      </c>
      <c r="G28" t="s">
        <v>107</v>
      </c>
      <c r="H28">
        <v>-1</v>
      </c>
      <c r="I28">
        <v>192</v>
      </c>
      <c r="J28" s="7">
        <v>510.9486</v>
      </c>
      <c r="K28" s="7">
        <v>534.43047349350002</v>
      </c>
      <c r="L28" s="7">
        <v>503.60390959950001</v>
      </c>
      <c r="M28" s="7">
        <v>2.1061192499999999E-2</v>
      </c>
      <c r="N28" s="7">
        <v>509.6615207561</v>
      </c>
      <c r="O28" s="7">
        <v>534.43047349350002</v>
      </c>
      <c r="P28" s="7">
        <v>503.60390959950001</v>
      </c>
      <c r="Q28" s="7">
        <v>1</v>
      </c>
      <c r="R28" s="7">
        <v>-154.63679999999999</v>
      </c>
      <c r="S28" s="7">
        <v>0.67200000000000004</v>
      </c>
      <c r="T28" s="7">
        <v>0.192</v>
      </c>
      <c r="U28" s="7">
        <v>-155.5008</v>
      </c>
      <c r="V28" s="7" t="s">
        <v>85</v>
      </c>
      <c r="W28" s="11">
        <v>45768.645833333336</v>
      </c>
    </row>
    <row r="29" spans="1:23">
      <c r="A29" t="s">
        <v>84</v>
      </c>
      <c r="B29">
        <v>12</v>
      </c>
      <c r="C29" s="10">
        <v>45769</v>
      </c>
      <c r="D29" s="11">
        <v>45769.5</v>
      </c>
      <c r="E29" s="11">
        <v>45769.5</v>
      </c>
      <c r="F29" t="s">
        <v>106</v>
      </c>
      <c r="G29" t="s">
        <v>107</v>
      </c>
      <c r="H29">
        <v>1</v>
      </c>
      <c r="I29">
        <v>190</v>
      </c>
      <c r="J29" s="7">
        <v>523.20830000000001</v>
      </c>
      <c r="K29" s="7">
        <v>523.1512204572</v>
      </c>
      <c r="L29" s="7">
        <v>506.80471170070001</v>
      </c>
      <c r="M29" s="7">
        <v>8.1097979999999997E-3</v>
      </c>
      <c r="N29" s="7">
        <v>521.04227744139996</v>
      </c>
      <c r="O29" s="7">
        <v>523.1512204572</v>
      </c>
      <c r="P29" s="7">
        <v>506.80471170070001</v>
      </c>
      <c r="Q29" s="7">
        <v>1</v>
      </c>
      <c r="R29" s="7">
        <v>0</v>
      </c>
      <c r="S29" s="7">
        <v>0.66500000000000004</v>
      </c>
      <c r="T29" s="7">
        <v>0.19</v>
      </c>
      <c r="U29" s="7">
        <v>-0.85499999999999998</v>
      </c>
      <c r="V29" s="7" t="s">
        <v>86</v>
      </c>
      <c r="W29" s="11">
        <v>45769.479166666664</v>
      </c>
    </row>
    <row r="30" spans="1:23">
      <c r="A30" t="s">
        <v>84</v>
      </c>
      <c r="B30">
        <v>12</v>
      </c>
      <c r="C30" s="10">
        <v>45769</v>
      </c>
      <c r="D30" s="11">
        <v>45769.666666666664</v>
      </c>
      <c r="E30" s="11">
        <v>45769.666666666664</v>
      </c>
      <c r="F30" t="s">
        <v>108</v>
      </c>
      <c r="G30" t="s">
        <v>109</v>
      </c>
      <c r="H30">
        <v>1</v>
      </c>
      <c r="I30">
        <v>190</v>
      </c>
      <c r="J30" s="7">
        <v>524.2423</v>
      </c>
      <c r="K30" s="7">
        <v>529.47201809160003</v>
      </c>
      <c r="L30" s="7">
        <v>500.58128580409999</v>
      </c>
      <c r="M30" s="7">
        <v>2.0289943599999999E-2</v>
      </c>
      <c r="N30" s="7">
        <v>522.20381469500001</v>
      </c>
      <c r="O30" s="7">
        <v>529.47201809160003</v>
      </c>
      <c r="P30" s="7">
        <v>500.58128580409999</v>
      </c>
      <c r="Q30" s="7">
        <v>1</v>
      </c>
      <c r="R30" s="7">
        <v>196.46</v>
      </c>
      <c r="S30" s="7">
        <v>0.66500000000000004</v>
      </c>
      <c r="T30" s="7">
        <v>0.19</v>
      </c>
      <c r="U30" s="7">
        <v>195.60499999999999</v>
      </c>
      <c r="V30" s="7" t="s">
        <v>85</v>
      </c>
      <c r="W30" s="11">
        <v>45769.645833333336</v>
      </c>
    </row>
    <row r="31" spans="1:23">
      <c r="A31" t="s">
        <v>84</v>
      </c>
      <c r="B31">
        <v>13</v>
      </c>
      <c r="C31" s="10">
        <v>45771</v>
      </c>
      <c r="D31" s="11">
        <v>45771.4375</v>
      </c>
      <c r="E31" s="11">
        <v>45771.4375</v>
      </c>
      <c r="F31" t="s">
        <v>106</v>
      </c>
      <c r="G31" t="s">
        <v>107</v>
      </c>
      <c r="H31">
        <v>1</v>
      </c>
      <c r="I31">
        <v>184</v>
      </c>
      <c r="J31" s="7">
        <v>539.03880000000004</v>
      </c>
      <c r="K31" s="7">
        <v>538.61639015239996</v>
      </c>
      <c r="L31" s="7">
        <v>530.16697618410001</v>
      </c>
      <c r="M31" s="7">
        <v>4.1297262999999999E-3</v>
      </c>
      <c r="N31" s="7">
        <v>537.73591460240004</v>
      </c>
      <c r="O31" s="7">
        <v>538.61639015239996</v>
      </c>
      <c r="P31" s="7">
        <v>530.16697618410001</v>
      </c>
      <c r="Q31" s="7">
        <v>1</v>
      </c>
      <c r="R31" s="7">
        <v>0</v>
      </c>
      <c r="S31" s="7">
        <v>0.64400000000000002</v>
      </c>
      <c r="T31" s="7">
        <v>0.184</v>
      </c>
      <c r="U31" s="7">
        <v>-0.82799999999999996</v>
      </c>
      <c r="V31" s="7" t="s">
        <v>86</v>
      </c>
      <c r="W31" s="11">
        <v>45771.416666666664</v>
      </c>
    </row>
    <row r="32" spans="1:23">
      <c r="A32" t="s">
        <v>84</v>
      </c>
      <c r="B32">
        <v>13</v>
      </c>
      <c r="C32" s="10">
        <v>45771</v>
      </c>
      <c r="D32" s="11">
        <v>45771.666666666664</v>
      </c>
      <c r="E32" s="11">
        <v>45771.666666666664</v>
      </c>
      <c r="F32" t="s">
        <v>108</v>
      </c>
      <c r="G32" t="s">
        <v>109</v>
      </c>
      <c r="H32">
        <v>1</v>
      </c>
      <c r="I32">
        <v>184</v>
      </c>
      <c r="J32" s="7">
        <v>543.57140000000004</v>
      </c>
      <c r="K32" s="7">
        <v>547.62266715450005</v>
      </c>
      <c r="L32" s="7">
        <v>521.22845934379995</v>
      </c>
      <c r="M32" s="7">
        <v>2.0919914299999998E-2</v>
      </c>
      <c r="N32" s="7">
        <v>541.12485760300001</v>
      </c>
      <c r="O32" s="7">
        <v>547.62266715450005</v>
      </c>
      <c r="P32" s="7">
        <v>521.22845934379995</v>
      </c>
      <c r="Q32" s="7">
        <v>1</v>
      </c>
      <c r="R32" s="7">
        <v>833.99839999999995</v>
      </c>
      <c r="S32" s="7">
        <v>0.64400000000000002</v>
      </c>
      <c r="T32" s="7">
        <v>0.184</v>
      </c>
      <c r="U32" s="7">
        <v>833.17039999999997</v>
      </c>
      <c r="V32" s="7" t="s">
        <v>85</v>
      </c>
      <c r="W32" s="11">
        <v>45771.645833333336</v>
      </c>
    </row>
    <row r="33" spans="1:23">
      <c r="A33" t="s">
        <v>84</v>
      </c>
      <c r="B33">
        <v>14</v>
      </c>
      <c r="C33" s="10">
        <v>45778</v>
      </c>
      <c r="D33" s="11">
        <v>45778.458333333336</v>
      </c>
      <c r="E33" s="11">
        <v>45778.458333333336</v>
      </c>
      <c r="F33" t="s">
        <v>106</v>
      </c>
      <c r="G33" t="s">
        <v>107</v>
      </c>
      <c r="H33">
        <v>1</v>
      </c>
      <c r="I33">
        <v>179</v>
      </c>
      <c r="J33" s="7">
        <v>560.17610000000002</v>
      </c>
      <c r="K33" s="7">
        <v>559.723150949</v>
      </c>
      <c r="L33" s="7">
        <v>548.97175107019996</v>
      </c>
      <c r="M33" s="7">
        <v>4.3611748999999997E-3</v>
      </c>
      <c r="N33" s="7">
        <v>558.46022632589995</v>
      </c>
      <c r="O33" s="7">
        <v>559.723150949</v>
      </c>
      <c r="P33" s="7">
        <v>548.97175107019996</v>
      </c>
      <c r="Q33" s="7">
        <v>1</v>
      </c>
      <c r="R33" s="7">
        <v>0</v>
      </c>
      <c r="S33" s="7">
        <v>0.62649999999999995</v>
      </c>
      <c r="T33" s="7">
        <v>0.17899999999999999</v>
      </c>
      <c r="U33" s="7">
        <v>-0.80549999999999999</v>
      </c>
      <c r="V33" s="7" t="s">
        <v>86</v>
      </c>
      <c r="W33" s="11">
        <v>45778.4375</v>
      </c>
    </row>
    <row r="34" spans="1:23">
      <c r="A34" t="s">
        <v>84</v>
      </c>
      <c r="B34">
        <v>14</v>
      </c>
      <c r="C34" s="10">
        <v>45778</v>
      </c>
      <c r="D34" s="11">
        <v>45778.666666666664</v>
      </c>
      <c r="E34" s="11">
        <v>45778.666666666664</v>
      </c>
      <c r="F34" t="s">
        <v>108</v>
      </c>
      <c r="G34" t="s">
        <v>109</v>
      </c>
      <c r="H34">
        <v>1</v>
      </c>
      <c r="I34">
        <v>179</v>
      </c>
      <c r="J34" s="7">
        <v>555.28420000000006</v>
      </c>
      <c r="K34" s="7">
        <v>562.6253332412</v>
      </c>
      <c r="L34" s="7">
        <v>546.10037876540002</v>
      </c>
      <c r="M34" s="7">
        <v>9.5688195000000007E-3</v>
      </c>
      <c r="N34" s="7">
        <v>557.64670188419996</v>
      </c>
      <c r="O34" s="7">
        <v>562.6253332412</v>
      </c>
      <c r="P34" s="7">
        <v>546.10037876540002</v>
      </c>
      <c r="Q34" s="7">
        <v>1</v>
      </c>
      <c r="R34" s="7">
        <v>-875.65009999999995</v>
      </c>
      <c r="S34" s="7">
        <v>0.62649999999999995</v>
      </c>
      <c r="T34" s="7">
        <v>0.17899999999999999</v>
      </c>
      <c r="U34" s="7">
        <v>-876.4556</v>
      </c>
      <c r="V34" s="7" t="s">
        <v>85</v>
      </c>
      <c r="W34" s="11">
        <v>45778.645833333336</v>
      </c>
    </row>
    <row r="35" spans="1:23">
      <c r="A35" t="s">
        <v>84</v>
      </c>
      <c r="B35">
        <v>15</v>
      </c>
      <c r="C35" s="10">
        <v>45779</v>
      </c>
      <c r="D35" s="11">
        <v>45779.4375</v>
      </c>
      <c r="E35" s="11">
        <v>45779.4375</v>
      </c>
      <c r="F35" t="s">
        <v>106</v>
      </c>
      <c r="G35" t="s">
        <v>107</v>
      </c>
      <c r="H35">
        <v>1</v>
      </c>
      <c r="I35">
        <v>176</v>
      </c>
      <c r="J35" s="7">
        <v>563.06209999999999</v>
      </c>
      <c r="K35" s="7">
        <v>562.37263327070002</v>
      </c>
      <c r="L35" s="7">
        <v>553.19570140969995</v>
      </c>
      <c r="M35" s="7">
        <v>3.7607756999999999E-3</v>
      </c>
      <c r="N35" s="7">
        <v>561.287103763</v>
      </c>
      <c r="O35" s="7">
        <v>562.37263327070002</v>
      </c>
      <c r="P35" s="7">
        <v>553.19570140969995</v>
      </c>
      <c r="Q35" s="7">
        <v>1</v>
      </c>
      <c r="R35" s="7">
        <v>0</v>
      </c>
      <c r="S35" s="7">
        <v>0.61599999999999999</v>
      </c>
      <c r="T35" s="7">
        <v>0.17599999999999999</v>
      </c>
      <c r="U35" s="7">
        <v>-0.79200000000000004</v>
      </c>
      <c r="V35" s="7" t="s">
        <v>86</v>
      </c>
      <c r="W35" s="11">
        <v>45779.416666666664</v>
      </c>
    </row>
    <row r="36" spans="1:23">
      <c r="A36" t="s">
        <v>84</v>
      </c>
      <c r="B36">
        <v>15</v>
      </c>
      <c r="C36" s="10">
        <v>45779</v>
      </c>
      <c r="D36" s="11">
        <v>45779.666666666664</v>
      </c>
      <c r="E36" s="11">
        <v>45779.666666666664</v>
      </c>
      <c r="F36" t="s">
        <v>108</v>
      </c>
      <c r="G36" t="s">
        <v>109</v>
      </c>
      <c r="H36">
        <v>1</v>
      </c>
      <c r="I36">
        <v>176</v>
      </c>
      <c r="J36" s="7">
        <v>563.52700000000004</v>
      </c>
      <c r="K36" s="7">
        <v>565.44377934670001</v>
      </c>
      <c r="L36" s="7">
        <v>550.15186242029995</v>
      </c>
      <c r="M36" s="7">
        <v>9.2423652999999995E-3</v>
      </c>
      <c r="N36" s="7">
        <v>563.11187093889998</v>
      </c>
      <c r="O36" s="7">
        <v>565.44377934670001</v>
      </c>
      <c r="P36" s="7">
        <v>550.15186242029995</v>
      </c>
      <c r="Q36" s="7">
        <v>1</v>
      </c>
      <c r="R36" s="7">
        <v>81.822400000000002</v>
      </c>
      <c r="S36" s="7">
        <v>0.61599999999999999</v>
      </c>
      <c r="T36" s="7">
        <v>0.17599999999999999</v>
      </c>
      <c r="U36" s="7">
        <v>81.0304</v>
      </c>
      <c r="V36" s="7" t="s">
        <v>85</v>
      </c>
      <c r="W36" s="11">
        <v>45779.645833333336</v>
      </c>
    </row>
    <row r="37" spans="1:23">
      <c r="A37" t="s">
        <v>84</v>
      </c>
      <c r="B37">
        <v>16</v>
      </c>
      <c r="C37" s="10">
        <v>45785</v>
      </c>
      <c r="D37" s="11">
        <v>45785.5</v>
      </c>
      <c r="E37" s="11">
        <v>45785.5</v>
      </c>
      <c r="F37" t="s">
        <v>106</v>
      </c>
      <c r="G37" t="s">
        <v>107</v>
      </c>
      <c r="H37">
        <v>1</v>
      </c>
      <c r="I37">
        <v>176</v>
      </c>
      <c r="J37" s="7">
        <v>565.1277</v>
      </c>
      <c r="K37" s="7">
        <v>564.1482895373</v>
      </c>
      <c r="L37" s="7">
        <v>554.66977419809996</v>
      </c>
      <c r="M37" s="7">
        <v>5.8767513999999996E-3</v>
      </c>
      <c r="N37" s="7">
        <v>562.30683878089997</v>
      </c>
      <c r="O37" s="7">
        <v>564.1482895373</v>
      </c>
      <c r="P37" s="7">
        <v>554.66977419809996</v>
      </c>
      <c r="Q37" s="7">
        <v>1</v>
      </c>
      <c r="R37" s="7">
        <v>0</v>
      </c>
      <c r="S37" s="7">
        <v>0.61599999999999999</v>
      </c>
      <c r="T37" s="7">
        <v>0.17599999999999999</v>
      </c>
      <c r="U37" s="7">
        <v>-0.79200000000000004</v>
      </c>
      <c r="V37" s="7" t="s">
        <v>86</v>
      </c>
      <c r="W37" s="11">
        <v>45785.479166666664</v>
      </c>
    </row>
    <row r="38" spans="1:23">
      <c r="A38" t="s">
        <v>84</v>
      </c>
      <c r="B38">
        <v>16</v>
      </c>
      <c r="C38" s="10">
        <v>45785</v>
      </c>
      <c r="D38" s="11">
        <v>45785.666666666664</v>
      </c>
      <c r="E38" s="11">
        <v>45785.666666666664</v>
      </c>
      <c r="F38" t="s">
        <v>108</v>
      </c>
      <c r="G38" t="s">
        <v>109</v>
      </c>
      <c r="H38">
        <v>1</v>
      </c>
      <c r="I38">
        <v>176</v>
      </c>
      <c r="J38" s="7">
        <v>561.83659999999998</v>
      </c>
      <c r="K38" s="7">
        <v>565.02603455899998</v>
      </c>
      <c r="L38" s="7">
        <v>553.79657336820003</v>
      </c>
      <c r="M38" s="7">
        <v>7.4417713000000003E-3</v>
      </c>
      <c r="N38" s="7">
        <v>563.27859073269997</v>
      </c>
      <c r="O38" s="7">
        <v>565.02603455899998</v>
      </c>
      <c r="P38" s="7">
        <v>553.79657336820003</v>
      </c>
      <c r="Q38" s="7">
        <v>1</v>
      </c>
      <c r="R38" s="7">
        <v>-579.23360000000002</v>
      </c>
      <c r="S38" s="7">
        <v>0.61599999999999999</v>
      </c>
      <c r="T38" s="7">
        <v>0.17599999999999999</v>
      </c>
      <c r="U38" s="7">
        <v>-580.02560000000005</v>
      </c>
      <c r="V38" s="7" t="s">
        <v>85</v>
      </c>
      <c r="W38" s="11">
        <v>45785.645833333336</v>
      </c>
    </row>
    <row r="39" spans="1:23">
      <c r="A39" t="s">
        <v>84</v>
      </c>
      <c r="B39">
        <v>17</v>
      </c>
      <c r="C39" s="10">
        <v>45793</v>
      </c>
      <c r="D39" s="11">
        <v>45793.645833333336</v>
      </c>
      <c r="E39" s="11">
        <v>45793.645833333336</v>
      </c>
      <c r="F39" t="s">
        <v>106</v>
      </c>
      <c r="G39" t="s">
        <v>107</v>
      </c>
      <c r="H39">
        <v>1</v>
      </c>
      <c r="I39">
        <v>167</v>
      </c>
      <c r="J39" s="7">
        <v>590.40269999999998</v>
      </c>
      <c r="K39" s="7">
        <v>590.37734522740004</v>
      </c>
      <c r="L39" s="7">
        <v>583.97585323390001</v>
      </c>
      <c r="M39" s="7">
        <v>5.3069184999999996E-3</v>
      </c>
      <c r="N39" s="7">
        <v>588.54969016519999</v>
      </c>
      <c r="O39" s="7">
        <v>590.37734522740004</v>
      </c>
      <c r="P39" s="7">
        <v>583.97585323390001</v>
      </c>
      <c r="Q39" s="7">
        <v>1</v>
      </c>
      <c r="R39" s="7">
        <v>0</v>
      </c>
      <c r="S39" s="7">
        <v>0.58450000000000002</v>
      </c>
      <c r="T39" s="7">
        <v>0.16700000000000001</v>
      </c>
      <c r="U39" s="7">
        <v>-0.75149999999999995</v>
      </c>
      <c r="V39" s="7" t="s">
        <v>86</v>
      </c>
      <c r="W39" s="11">
        <v>45793.625</v>
      </c>
    </row>
    <row r="40" spans="1:23">
      <c r="A40" t="s">
        <v>84</v>
      </c>
      <c r="B40">
        <v>17</v>
      </c>
      <c r="C40" s="10">
        <v>45793</v>
      </c>
      <c r="D40" s="11">
        <v>45793.666666666664</v>
      </c>
      <c r="E40" s="11">
        <v>45793.666666666664</v>
      </c>
      <c r="F40" t="s">
        <v>108</v>
      </c>
      <c r="G40" t="s">
        <v>109</v>
      </c>
      <c r="H40">
        <v>1</v>
      </c>
      <c r="I40">
        <v>167</v>
      </c>
      <c r="J40" s="7">
        <v>590.81039999999996</v>
      </c>
      <c r="K40" s="7">
        <v>590.09954132749999</v>
      </c>
      <c r="L40" s="7">
        <v>584.25357704639998</v>
      </c>
      <c r="M40" s="7">
        <v>4.8338681999999999E-3</v>
      </c>
      <c r="N40" s="7">
        <v>589.08443369739996</v>
      </c>
      <c r="O40" s="7">
        <v>590.09954132749999</v>
      </c>
      <c r="P40" s="7">
        <v>584.25357704639998</v>
      </c>
      <c r="Q40" s="7">
        <v>1</v>
      </c>
      <c r="R40" s="7">
        <v>68.085899999999995</v>
      </c>
      <c r="S40" s="7">
        <v>0.58450000000000002</v>
      </c>
      <c r="T40" s="7">
        <v>0.16700000000000001</v>
      </c>
      <c r="U40" s="7">
        <v>67.334400000000002</v>
      </c>
      <c r="V40" s="7" t="s">
        <v>85</v>
      </c>
      <c r="W40" s="11">
        <v>45793.645833333336</v>
      </c>
    </row>
    <row r="41" spans="1:23">
      <c r="A41" t="s">
        <v>84</v>
      </c>
      <c r="B41">
        <v>18</v>
      </c>
      <c r="C41" s="10">
        <v>45798</v>
      </c>
      <c r="D41" s="11">
        <v>45798.5625</v>
      </c>
      <c r="E41" s="11">
        <v>45798.5625</v>
      </c>
      <c r="F41" t="s">
        <v>106</v>
      </c>
      <c r="G41" t="s">
        <v>109</v>
      </c>
      <c r="H41">
        <v>-1</v>
      </c>
      <c r="I41">
        <v>168</v>
      </c>
      <c r="J41" s="7">
        <v>581.13589999999999</v>
      </c>
      <c r="K41" s="7">
        <v>591.94661845300004</v>
      </c>
      <c r="L41" s="7">
        <v>584.15763849309997</v>
      </c>
      <c r="M41" s="7">
        <v>4.2050100999999999E-3</v>
      </c>
      <c r="N41" s="7">
        <v>585.73321335289995</v>
      </c>
      <c r="O41" s="7">
        <v>591.94661845300004</v>
      </c>
      <c r="P41" s="7">
        <v>584.15763849309997</v>
      </c>
      <c r="Q41" s="7">
        <v>1</v>
      </c>
      <c r="R41" s="7">
        <v>0</v>
      </c>
      <c r="S41" s="7">
        <v>0.58799999999999997</v>
      </c>
      <c r="T41" s="7">
        <v>0.16800000000000001</v>
      </c>
      <c r="U41" s="7">
        <v>-0.75600000000000001</v>
      </c>
      <c r="V41" s="7" t="s">
        <v>86</v>
      </c>
      <c r="W41" s="11">
        <v>45798.541666666664</v>
      </c>
    </row>
    <row r="42" spans="1:23">
      <c r="A42" t="s">
        <v>84</v>
      </c>
      <c r="B42">
        <v>18</v>
      </c>
      <c r="C42" s="10">
        <v>45798</v>
      </c>
      <c r="D42" s="11">
        <v>45798.666666666664</v>
      </c>
      <c r="E42" s="11">
        <v>45798.666666666664</v>
      </c>
      <c r="F42" t="s">
        <v>108</v>
      </c>
      <c r="G42" t="s">
        <v>107</v>
      </c>
      <c r="H42">
        <v>-1</v>
      </c>
      <c r="I42">
        <v>168</v>
      </c>
      <c r="J42" s="7">
        <v>579.53510000000006</v>
      </c>
      <c r="K42" s="7">
        <v>591.49845488079995</v>
      </c>
      <c r="L42" s="7">
        <v>584.60364019509996</v>
      </c>
      <c r="M42" s="7">
        <v>3.4447251000000001E-3</v>
      </c>
      <c r="N42" s="7">
        <v>583.0727492259</v>
      </c>
      <c r="O42" s="7">
        <v>591.49845488079995</v>
      </c>
      <c r="P42" s="7">
        <v>583.0727492259</v>
      </c>
      <c r="Q42" s="7">
        <v>1</v>
      </c>
      <c r="R42" s="7">
        <v>268.93439999999998</v>
      </c>
      <c r="S42" s="7">
        <v>0.58799999999999997</v>
      </c>
      <c r="T42" s="7">
        <v>0.16800000000000001</v>
      </c>
      <c r="U42" s="7">
        <v>268.17840000000001</v>
      </c>
      <c r="V42" s="7" t="s">
        <v>85</v>
      </c>
      <c r="W42" s="11">
        <v>45798.645833333336</v>
      </c>
    </row>
    <row r="43" spans="1:23">
      <c r="A43" t="s">
        <v>84</v>
      </c>
      <c r="B43">
        <v>19</v>
      </c>
      <c r="C43" s="10">
        <v>45804</v>
      </c>
      <c r="D43" s="11">
        <v>45804.4375</v>
      </c>
      <c r="E43" s="11">
        <v>45804.4375</v>
      </c>
      <c r="F43" t="s">
        <v>106</v>
      </c>
      <c r="G43" t="s">
        <v>107</v>
      </c>
      <c r="H43">
        <v>1</v>
      </c>
      <c r="I43">
        <v>169</v>
      </c>
      <c r="J43" s="7">
        <v>584.52560000000005</v>
      </c>
      <c r="K43" s="7">
        <v>583.90554975270004</v>
      </c>
      <c r="L43" s="7">
        <v>574.86780245190005</v>
      </c>
      <c r="M43" s="7">
        <v>1.6298841000000001E-3</v>
      </c>
      <c r="N43" s="7">
        <v>583.61959368750001</v>
      </c>
      <c r="O43" s="7">
        <v>583.90554975270004</v>
      </c>
      <c r="P43" s="7">
        <v>574.86780245190005</v>
      </c>
      <c r="Q43" s="7">
        <v>1</v>
      </c>
      <c r="R43" s="7">
        <v>0</v>
      </c>
      <c r="S43" s="7">
        <v>0.59150000000000003</v>
      </c>
      <c r="T43" s="7">
        <v>0.16900000000000001</v>
      </c>
      <c r="U43" s="7">
        <v>-0.76049999999999995</v>
      </c>
      <c r="V43" s="7" t="s">
        <v>86</v>
      </c>
      <c r="W43" s="11">
        <v>45804.416666666664</v>
      </c>
    </row>
    <row r="44" spans="1:23">
      <c r="A44" t="s">
        <v>84</v>
      </c>
      <c r="B44">
        <v>19</v>
      </c>
      <c r="C44" s="10">
        <v>45804</v>
      </c>
      <c r="D44" s="11">
        <v>45804.666666666664</v>
      </c>
      <c r="E44" s="11">
        <v>45804.666666666664</v>
      </c>
      <c r="F44" t="s">
        <v>108</v>
      </c>
      <c r="G44" t="s">
        <v>109</v>
      </c>
      <c r="H44">
        <v>1</v>
      </c>
      <c r="I44">
        <v>169</v>
      </c>
      <c r="J44" s="7">
        <v>587.77779999999996</v>
      </c>
      <c r="K44" s="7">
        <v>585.31230067340005</v>
      </c>
      <c r="L44" s="7">
        <v>573.47830328489999</v>
      </c>
      <c r="M44" s="7">
        <v>4.0430205999999998E-3</v>
      </c>
      <c r="N44" s="7">
        <v>586.05813061610002</v>
      </c>
      <c r="O44" s="7">
        <v>586.05813061610002</v>
      </c>
      <c r="P44" s="7">
        <v>573.47830328489999</v>
      </c>
      <c r="Q44" s="7">
        <v>1</v>
      </c>
      <c r="R44" s="7">
        <v>549.62180000000001</v>
      </c>
      <c r="S44" s="7">
        <v>0.59150000000000003</v>
      </c>
      <c r="T44" s="7">
        <v>0.16900000000000001</v>
      </c>
      <c r="U44" s="7">
        <v>548.86130000000003</v>
      </c>
      <c r="V44" s="7" t="s">
        <v>85</v>
      </c>
      <c r="W44" s="11">
        <v>45804.645833333336</v>
      </c>
    </row>
    <row r="45" spans="1:23">
      <c r="A45" t="s">
        <v>84</v>
      </c>
      <c r="B45">
        <v>20</v>
      </c>
      <c r="C45" s="10">
        <v>45805</v>
      </c>
      <c r="D45" s="11">
        <v>45805.458333333336</v>
      </c>
      <c r="E45" s="11">
        <v>45805.458333333336</v>
      </c>
      <c r="F45" t="s">
        <v>106</v>
      </c>
      <c r="G45" t="s">
        <v>109</v>
      </c>
      <c r="H45">
        <v>-1</v>
      </c>
      <c r="I45">
        <v>169</v>
      </c>
      <c r="J45" s="7">
        <v>585.98310000000004</v>
      </c>
      <c r="K45" s="7">
        <v>588.75974584820005</v>
      </c>
      <c r="L45" s="7">
        <v>586.40850181129997</v>
      </c>
      <c r="M45" s="7">
        <v>1.6709481E-3</v>
      </c>
      <c r="N45" s="7">
        <v>586.91767772189996</v>
      </c>
      <c r="O45" s="7">
        <v>588.75974584820005</v>
      </c>
      <c r="P45" s="7">
        <v>586.40850181129997</v>
      </c>
      <c r="Q45" s="7">
        <v>1</v>
      </c>
      <c r="R45" s="7">
        <v>0</v>
      </c>
      <c r="S45" s="7">
        <v>0.59150000000000003</v>
      </c>
      <c r="T45" s="7">
        <v>0.16900000000000001</v>
      </c>
      <c r="U45" s="7">
        <v>-0.76049999999999995</v>
      </c>
      <c r="V45" s="7" t="s">
        <v>86</v>
      </c>
      <c r="W45" s="11">
        <v>45805.4375</v>
      </c>
    </row>
    <row r="46" spans="1:23">
      <c r="A46" t="s">
        <v>84</v>
      </c>
      <c r="B46">
        <v>20</v>
      </c>
      <c r="C46" s="10">
        <v>45805</v>
      </c>
      <c r="D46" s="11">
        <v>45805.666666666664</v>
      </c>
      <c r="E46" s="11">
        <v>45805.666666666664</v>
      </c>
      <c r="F46" t="s">
        <v>108</v>
      </c>
      <c r="G46" t="s">
        <v>107</v>
      </c>
      <c r="H46">
        <v>-1</v>
      </c>
      <c r="I46">
        <v>169</v>
      </c>
      <c r="J46" s="7">
        <v>584.37729999999999</v>
      </c>
      <c r="K46" s="7">
        <v>590.39889210700005</v>
      </c>
      <c r="L46" s="7">
        <v>584.77043645979995</v>
      </c>
      <c r="M46" s="7">
        <v>4.4596666000000004E-3</v>
      </c>
      <c r="N46" s="7">
        <v>586.01807987790005</v>
      </c>
      <c r="O46" s="7">
        <v>590.39889210700005</v>
      </c>
      <c r="P46" s="7">
        <v>584.77043645979995</v>
      </c>
      <c r="Q46" s="7">
        <v>1</v>
      </c>
      <c r="R46" s="7">
        <v>271.3802</v>
      </c>
      <c r="S46" s="7">
        <v>0.59150000000000003</v>
      </c>
      <c r="T46" s="7">
        <v>0.16900000000000001</v>
      </c>
      <c r="U46" s="7">
        <v>270.61970000000002</v>
      </c>
      <c r="V46" s="7" t="s">
        <v>85</v>
      </c>
      <c r="W46" s="11">
        <v>45805.645833333336</v>
      </c>
    </row>
    <row r="47" spans="1:23">
      <c r="A47" t="s">
        <v>84</v>
      </c>
      <c r="B47">
        <v>21</v>
      </c>
      <c r="C47" s="10">
        <v>45807</v>
      </c>
      <c r="D47" s="11">
        <v>45807.520833333336</v>
      </c>
      <c r="E47" s="11">
        <v>45807.520833333336</v>
      </c>
      <c r="F47" t="s">
        <v>106</v>
      </c>
      <c r="G47" t="s">
        <v>109</v>
      </c>
      <c r="H47">
        <v>-1</v>
      </c>
      <c r="I47">
        <v>170</v>
      </c>
      <c r="J47" s="7">
        <v>581.75239999999997</v>
      </c>
      <c r="K47" s="7">
        <v>588.35674346400003</v>
      </c>
      <c r="L47" s="7">
        <v>582.40361241820005</v>
      </c>
      <c r="M47" s="7">
        <v>2.8515249000000001E-3</v>
      </c>
      <c r="N47" s="7">
        <v>584.2875594546</v>
      </c>
      <c r="O47" s="7">
        <v>588.35674346400003</v>
      </c>
      <c r="P47" s="7">
        <v>582.40361241820005</v>
      </c>
      <c r="Q47" s="7">
        <v>1</v>
      </c>
      <c r="R47" s="7">
        <v>0</v>
      </c>
      <c r="S47" s="7">
        <v>0.59499999999999997</v>
      </c>
      <c r="T47" s="7">
        <v>0.17</v>
      </c>
      <c r="U47" s="7">
        <v>-0.76500000000000001</v>
      </c>
      <c r="V47" s="7" t="s">
        <v>86</v>
      </c>
      <c r="W47" s="11">
        <v>45807.5</v>
      </c>
    </row>
    <row r="48" spans="1:23">
      <c r="A48" t="s">
        <v>84</v>
      </c>
      <c r="B48">
        <v>21</v>
      </c>
      <c r="C48" s="10">
        <v>45807</v>
      </c>
      <c r="D48" s="11">
        <v>45807.666666666664</v>
      </c>
      <c r="E48" s="11">
        <v>45807.666666666664</v>
      </c>
      <c r="F48" t="s">
        <v>108</v>
      </c>
      <c r="G48" t="s">
        <v>107</v>
      </c>
      <c r="H48">
        <v>-1</v>
      </c>
      <c r="I48">
        <v>170</v>
      </c>
      <c r="J48" s="7">
        <v>586.02779999999996</v>
      </c>
      <c r="K48" s="7">
        <v>589.50716790180002</v>
      </c>
      <c r="L48" s="7">
        <v>581.25831512850004</v>
      </c>
      <c r="M48" s="7">
        <v>4.8124183999999999E-3</v>
      </c>
      <c r="N48" s="7">
        <v>584.53257435800003</v>
      </c>
      <c r="O48" s="7">
        <v>589.50716790180002</v>
      </c>
      <c r="P48" s="7">
        <v>581.25831512850004</v>
      </c>
      <c r="Q48" s="7">
        <v>1</v>
      </c>
      <c r="R48" s="7">
        <v>-726.81799999999998</v>
      </c>
      <c r="S48" s="7">
        <v>0.59499999999999997</v>
      </c>
      <c r="T48" s="7">
        <v>0.17</v>
      </c>
      <c r="U48" s="7">
        <v>-727.58299999999997</v>
      </c>
      <c r="V48" s="7" t="s">
        <v>85</v>
      </c>
      <c r="W48" s="11">
        <v>45807.645833333336</v>
      </c>
    </row>
    <row r="49" spans="1:23">
      <c r="A49" t="s">
        <v>84</v>
      </c>
      <c r="B49">
        <v>22</v>
      </c>
      <c r="C49" s="10">
        <v>45810</v>
      </c>
      <c r="D49" s="11">
        <v>45810.645833333336</v>
      </c>
      <c r="E49" s="11">
        <v>45810.645833333336</v>
      </c>
      <c r="F49" t="s">
        <v>106</v>
      </c>
      <c r="G49" t="s">
        <v>107</v>
      </c>
      <c r="H49">
        <v>1</v>
      </c>
      <c r="I49">
        <v>169</v>
      </c>
      <c r="J49" s="7">
        <v>588.93119999999999</v>
      </c>
      <c r="K49" s="7">
        <v>588.84359245749999</v>
      </c>
      <c r="L49" s="7">
        <v>580.18392646799998</v>
      </c>
      <c r="M49" s="7">
        <v>4.8052216000000003E-3</v>
      </c>
      <c r="N49" s="7">
        <v>585.97825452560005</v>
      </c>
      <c r="O49" s="7">
        <v>588.84359245749999</v>
      </c>
      <c r="P49" s="7">
        <v>580.18392646799998</v>
      </c>
      <c r="Q49" s="7">
        <v>1</v>
      </c>
      <c r="R49" s="7">
        <v>0</v>
      </c>
      <c r="S49" s="7">
        <v>0.59150000000000003</v>
      </c>
      <c r="T49" s="7">
        <v>0.16900000000000001</v>
      </c>
      <c r="U49" s="7">
        <v>-0.76049999999999995</v>
      </c>
      <c r="V49" s="7" t="s">
        <v>86</v>
      </c>
      <c r="W49" s="11">
        <v>45810.625</v>
      </c>
    </row>
    <row r="50" spans="1:23">
      <c r="A50" t="s">
        <v>84</v>
      </c>
      <c r="B50">
        <v>22</v>
      </c>
      <c r="C50" s="10">
        <v>45810</v>
      </c>
      <c r="D50" s="11">
        <v>45810.666666666664</v>
      </c>
      <c r="E50" s="11">
        <v>45810.666666666664</v>
      </c>
      <c r="F50" t="s">
        <v>108</v>
      </c>
      <c r="G50" t="s">
        <v>109</v>
      </c>
      <c r="H50">
        <v>1</v>
      </c>
      <c r="I50">
        <v>169</v>
      </c>
      <c r="J50" s="7">
        <v>589.32889999999998</v>
      </c>
      <c r="K50" s="7">
        <v>588.80063775830001</v>
      </c>
      <c r="L50" s="7">
        <v>580.22665817250004</v>
      </c>
      <c r="M50" s="7">
        <v>4.7319234999999996E-3</v>
      </c>
      <c r="N50" s="7">
        <v>586.67392263349996</v>
      </c>
      <c r="O50" s="7">
        <v>588.80063775830001</v>
      </c>
      <c r="P50" s="7">
        <v>580.22665817250004</v>
      </c>
      <c r="Q50" s="7">
        <v>1</v>
      </c>
      <c r="R50" s="7">
        <v>67.211299999999994</v>
      </c>
      <c r="S50" s="7">
        <v>0.59150000000000003</v>
      </c>
      <c r="T50" s="7">
        <v>0.16900000000000001</v>
      </c>
      <c r="U50" s="7">
        <v>66.450800000000001</v>
      </c>
      <c r="V50" s="7" t="s">
        <v>85</v>
      </c>
      <c r="W50" s="11">
        <v>45810.645833333336</v>
      </c>
    </row>
    <row r="51" spans="1:23">
      <c r="A51" t="s">
        <v>84</v>
      </c>
      <c r="B51">
        <v>23</v>
      </c>
      <c r="C51" s="10">
        <v>45811</v>
      </c>
      <c r="D51" s="11">
        <v>45811.4375</v>
      </c>
      <c r="E51" s="11">
        <v>45811.4375</v>
      </c>
      <c r="F51" t="s">
        <v>106</v>
      </c>
      <c r="G51" t="s">
        <v>107</v>
      </c>
      <c r="H51">
        <v>1</v>
      </c>
      <c r="I51">
        <v>168</v>
      </c>
      <c r="J51" s="7">
        <v>590.44749999999999</v>
      </c>
      <c r="K51" s="7">
        <v>590.2985131575</v>
      </c>
      <c r="L51" s="7">
        <v>588.14074641119998</v>
      </c>
      <c r="M51" s="7">
        <v>1.6456235000000001E-3</v>
      </c>
      <c r="N51" s="7">
        <v>589.72069426890005</v>
      </c>
      <c r="O51" s="7">
        <v>590.2985131575</v>
      </c>
      <c r="P51" s="7">
        <v>588.14074641119998</v>
      </c>
      <c r="Q51" s="7">
        <v>1</v>
      </c>
      <c r="R51" s="7">
        <v>0</v>
      </c>
      <c r="S51" s="7">
        <v>0.58799999999999997</v>
      </c>
      <c r="T51" s="7">
        <v>0.16800000000000001</v>
      </c>
      <c r="U51" s="7">
        <v>-0.75600000000000001</v>
      </c>
      <c r="V51" s="7" t="s">
        <v>86</v>
      </c>
      <c r="W51" s="11">
        <v>45811.416666666664</v>
      </c>
    </row>
    <row r="52" spans="1:23">
      <c r="A52" t="s">
        <v>84</v>
      </c>
      <c r="B52">
        <v>23</v>
      </c>
      <c r="C52" s="10">
        <v>45811</v>
      </c>
      <c r="D52" s="11">
        <v>45811.666666666664</v>
      </c>
      <c r="E52" s="11">
        <v>45811.666666666664</v>
      </c>
      <c r="F52" t="s">
        <v>108</v>
      </c>
      <c r="G52" t="s">
        <v>109</v>
      </c>
      <c r="H52">
        <v>1</v>
      </c>
      <c r="I52">
        <v>168</v>
      </c>
      <c r="J52" s="7">
        <v>592.68960000000004</v>
      </c>
      <c r="K52" s="7">
        <v>592.27797279260005</v>
      </c>
      <c r="L52" s="7">
        <v>586.16202068220002</v>
      </c>
      <c r="M52" s="7">
        <v>5.0044614999999997E-3</v>
      </c>
      <c r="N52" s="7">
        <v>592.04488410240003</v>
      </c>
      <c r="O52" s="7">
        <v>592.27797279260005</v>
      </c>
      <c r="P52" s="7">
        <v>586.16202068220002</v>
      </c>
      <c r="Q52" s="7">
        <v>1</v>
      </c>
      <c r="R52" s="7">
        <v>376.6728</v>
      </c>
      <c r="S52" s="7">
        <v>0.58799999999999997</v>
      </c>
      <c r="T52" s="7">
        <v>0.16800000000000001</v>
      </c>
      <c r="U52" s="7">
        <v>375.91680000000002</v>
      </c>
      <c r="V52" s="7" t="s">
        <v>85</v>
      </c>
      <c r="W52" s="11">
        <v>45811.645833333336</v>
      </c>
    </row>
    <row r="53" spans="1:23">
      <c r="A53" t="s">
        <v>84</v>
      </c>
      <c r="B53">
        <v>24</v>
      </c>
      <c r="C53" s="10">
        <v>45813</v>
      </c>
      <c r="D53" s="11">
        <v>45813.458333333336</v>
      </c>
      <c r="E53" s="11">
        <v>45813.458333333336</v>
      </c>
      <c r="F53" t="s">
        <v>106</v>
      </c>
      <c r="G53" t="s">
        <v>107</v>
      </c>
      <c r="H53">
        <v>1</v>
      </c>
      <c r="I53">
        <v>168</v>
      </c>
      <c r="J53" s="7">
        <v>593.95240000000001</v>
      </c>
      <c r="K53" s="7">
        <v>593.55211580340006</v>
      </c>
      <c r="L53" s="7">
        <v>589.84116444890003</v>
      </c>
      <c r="M53" s="7">
        <v>1.7244954000000001E-3</v>
      </c>
      <c r="N53" s="7">
        <v>592.55999709440005</v>
      </c>
      <c r="O53" s="7">
        <v>593.55211580340006</v>
      </c>
      <c r="P53" s="7">
        <v>589.84116444890003</v>
      </c>
      <c r="Q53" s="7">
        <v>1</v>
      </c>
      <c r="R53" s="7">
        <v>0</v>
      </c>
      <c r="S53" s="7">
        <v>0.58799999999999997</v>
      </c>
      <c r="T53" s="7">
        <v>0.16800000000000001</v>
      </c>
      <c r="U53" s="7">
        <v>-0.75600000000000001</v>
      </c>
      <c r="V53" s="7" t="s">
        <v>86</v>
      </c>
      <c r="W53" s="11">
        <v>45813.4375</v>
      </c>
    </row>
    <row r="54" spans="1:23">
      <c r="A54" t="s">
        <v>84</v>
      </c>
      <c r="B54">
        <v>24</v>
      </c>
      <c r="C54" s="10">
        <v>45813</v>
      </c>
      <c r="D54" s="11">
        <v>45813.666666666664</v>
      </c>
      <c r="E54" s="11">
        <v>45813.666666666664</v>
      </c>
      <c r="F54" t="s">
        <v>108</v>
      </c>
      <c r="G54" t="s">
        <v>109</v>
      </c>
      <c r="H54">
        <v>1</v>
      </c>
      <c r="I54">
        <v>168</v>
      </c>
      <c r="J54" s="7">
        <v>589.66690000000006</v>
      </c>
      <c r="K54" s="7">
        <v>595.6971426412</v>
      </c>
      <c r="L54" s="7">
        <v>587.70218392439995</v>
      </c>
      <c r="M54" s="7">
        <v>5.3446088000000001E-3</v>
      </c>
      <c r="N54" s="7">
        <v>591.75585241960005</v>
      </c>
      <c r="O54" s="7">
        <v>595.6971426412</v>
      </c>
      <c r="P54" s="7">
        <v>587.70218392439995</v>
      </c>
      <c r="Q54" s="7">
        <v>1</v>
      </c>
      <c r="R54" s="7">
        <v>-719.96400000000006</v>
      </c>
      <c r="S54" s="7">
        <v>0.58799999999999997</v>
      </c>
      <c r="T54" s="7">
        <v>0.16800000000000001</v>
      </c>
      <c r="U54" s="7">
        <v>-720.72</v>
      </c>
      <c r="V54" s="7" t="s">
        <v>85</v>
      </c>
      <c r="W54" s="11">
        <v>45813.645833333336</v>
      </c>
    </row>
    <row r="55" spans="1:23">
      <c r="A55" t="s">
        <v>84</v>
      </c>
      <c r="B55">
        <v>25</v>
      </c>
      <c r="C55" s="10">
        <v>45819</v>
      </c>
      <c r="D55" s="11">
        <v>45819.604166666664</v>
      </c>
      <c r="E55" s="11">
        <v>45819.604166666664</v>
      </c>
      <c r="F55" t="s">
        <v>106</v>
      </c>
      <c r="G55" t="s">
        <v>109</v>
      </c>
      <c r="H55">
        <v>-1</v>
      </c>
      <c r="I55">
        <v>164</v>
      </c>
      <c r="J55" s="7">
        <v>597.15409999999997</v>
      </c>
      <c r="K55" s="7">
        <v>602.5781638126</v>
      </c>
      <c r="L55" s="7">
        <v>597.25031683079999</v>
      </c>
      <c r="M55" s="7">
        <v>3.9843659E-3</v>
      </c>
      <c r="N55" s="7">
        <v>599.63917396229999</v>
      </c>
      <c r="O55" s="7">
        <v>602.5781638126</v>
      </c>
      <c r="P55" s="7">
        <v>597.25031683079999</v>
      </c>
      <c r="Q55" s="7">
        <v>1</v>
      </c>
      <c r="R55" s="7">
        <v>0</v>
      </c>
      <c r="S55" s="7">
        <v>0.57399999999999995</v>
      </c>
      <c r="T55" s="7">
        <v>0.16400000000000001</v>
      </c>
      <c r="U55" s="7">
        <v>-0.73799999999999999</v>
      </c>
      <c r="V55" s="7" t="s">
        <v>86</v>
      </c>
      <c r="W55" s="11">
        <v>45819.583333333336</v>
      </c>
    </row>
    <row r="56" spans="1:23">
      <c r="A56" t="s">
        <v>84</v>
      </c>
      <c r="B56">
        <v>25</v>
      </c>
      <c r="C56" s="10">
        <v>45819</v>
      </c>
      <c r="D56" s="11">
        <v>45819.666666666664</v>
      </c>
      <c r="E56" s="11">
        <v>45819.666666666664</v>
      </c>
      <c r="F56" t="s">
        <v>108</v>
      </c>
      <c r="G56" t="s">
        <v>107</v>
      </c>
      <c r="H56">
        <v>-1</v>
      </c>
      <c r="I56">
        <v>164</v>
      </c>
      <c r="J56" s="7">
        <v>597.92960000000005</v>
      </c>
      <c r="K56" s="7">
        <v>602.96415563029996</v>
      </c>
      <c r="L56" s="7">
        <v>596.86467699239995</v>
      </c>
      <c r="M56" s="7">
        <v>4.6274853999999999E-3</v>
      </c>
      <c r="N56" s="7">
        <v>598.92043939569999</v>
      </c>
      <c r="O56" s="7">
        <v>602.96415563029996</v>
      </c>
      <c r="P56" s="7">
        <v>596.86467699239995</v>
      </c>
      <c r="Q56" s="7">
        <v>1</v>
      </c>
      <c r="R56" s="7">
        <v>-127.182</v>
      </c>
      <c r="S56" s="7">
        <v>0.57399999999999995</v>
      </c>
      <c r="T56" s="7">
        <v>0.16400000000000001</v>
      </c>
      <c r="U56" s="7">
        <v>-127.92</v>
      </c>
      <c r="V56" s="7" t="s">
        <v>85</v>
      </c>
      <c r="W56" s="11">
        <v>45819.645833333336</v>
      </c>
    </row>
    <row r="57" spans="1:23">
      <c r="A57" t="s">
        <v>84</v>
      </c>
      <c r="B57">
        <v>26</v>
      </c>
      <c r="C57" s="10">
        <v>45821</v>
      </c>
      <c r="D57" s="11">
        <v>45821.4375</v>
      </c>
      <c r="E57" s="11">
        <v>45821.4375</v>
      </c>
      <c r="F57" t="s">
        <v>106</v>
      </c>
      <c r="G57" t="s">
        <v>109</v>
      </c>
      <c r="H57">
        <v>-1</v>
      </c>
      <c r="I57">
        <v>165</v>
      </c>
      <c r="J57" s="7">
        <v>593.44529999999997</v>
      </c>
      <c r="K57" s="7">
        <v>601.6168954044</v>
      </c>
      <c r="L57" s="7">
        <v>594.06389766480004</v>
      </c>
      <c r="M57" s="7">
        <v>2.1842127999999999E-3</v>
      </c>
      <c r="N57" s="7">
        <v>594.61821508929995</v>
      </c>
      <c r="O57" s="7">
        <v>601.6168954044</v>
      </c>
      <c r="P57" s="7">
        <v>594.06389766480004</v>
      </c>
      <c r="Q57" s="7">
        <v>1</v>
      </c>
      <c r="R57" s="7">
        <v>0</v>
      </c>
      <c r="S57" s="7">
        <v>0.57750000000000001</v>
      </c>
      <c r="T57" s="7">
        <v>0.16500000000000001</v>
      </c>
      <c r="U57" s="7">
        <v>-0.74250000000000005</v>
      </c>
      <c r="V57" s="7" t="s">
        <v>86</v>
      </c>
      <c r="W57" s="11">
        <v>45821.416666666664</v>
      </c>
    </row>
    <row r="58" spans="1:23">
      <c r="A58" t="s">
        <v>84</v>
      </c>
      <c r="B58">
        <v>26</v>
      </c>
      <c r="C58" s="10">
        <v>45821</v>
      </c>
      <c r="D58" s="11">
        <v>45821.666666666664</v>
      </c>
      <c r="E58" s="11">
        <v>45821.666666666664</v>
      </c>
      <c r="F58" t="s">
        <v>108</v>
      </c>
      <c r="G58" t="s">
        <v>107</v>
      </c>
      <c r="H58">
        <v>-1</v>
      </c>
      <c r="I58">
        <v>165</v>
      </c>
      <c r="J58" s="7">
        <v>593.59439999999995</v>
      </c>
      <c r="K58" s="7">
        <v>602.84404309889999</v>
      </c>
      <c r="L58" s="7">
        <v>592.84685120309996</v>
      </c>
      <c r="M58" s="7">
        <v>4.2284174999999997E-3</v>
      </c>
      <c r="N58" s="7">
        <v>594.77759103890003</v>
      </c>
      <c r="O58" s="7">
        <v>602.84404309889999</v>
      </c>
      <c r="P58" s="7">
        <v>592.84685120309996</v>
      </c>
      <c r="Q58" s="7">
        <v>1</v>
      </c>
      <c r="R58" s="7">
        <v>-24.601500000000001</v>
      </c>
      <c r="S58" s="7">
        <v>0.57750000000000001</v>
      </c>
      <c r="T58" s="7">
        <v>0.16500000000000001</v>
      </c>
      <c r="U58" s="7">
        <v>-25.344000000000001</v>
      </c>
      <c r="V58" s="7" t="s">
        <v>85</v>
      </c>
      <c r="W58" s="11">
        <v>45821.645833333336</v>
      </c>
    </row>
    <row r="59" spans="1:23">
      <c r="A59" t="s">
        <v>84</v>
      </c>
      <c r="B59">
        <v>27</v>
      </c>
      <c r="C59" s="10">
        <v>45825</v>
      </c>
      <c r="D59" s="11">
        <v>45825.5625</v>
      </c>
      <c r="E59" s="11">
        <v>45825.5625</v>
      </c>
      <c r="F59" t="s">
        <v>106</v>
      </c>
      <c r="G59" t="s">
        <v>109</v>
      </c>
      <c r="H59">
        <v>-1</v>
      </c>
      <c r="I59">
        <v>164</v>
      </c>
      <c r="J59" s="7">
        <v>595.39409999999998</v>
      </c>
      <c r="K59" s="7">
        <v>600.93697833440001</v>
      </c>
      <c r="L59" s="7">
        <v>595.87117473629996</v>
      </c>
      <c r="M59" s="7">
        <v>2.8288720000000001E-3</v>
      </c>
      <c r="N59" s="7">
        <v>596.99869615959994</v>
      </c>
      <c r="O59" s="7">
        <v>600.93697833440001</v>
      </c>
      <c r="P59" s="7">
        <v>595.87117473629996</v>
      </c>
      <c r="Q59" s="7">
        <v>1</v>
      </c>
      <c r="R59" s="7">
        <v>0</v>
      </c>
      <c r="S59" s="7">
        <v>0.57399999999999995</v>
      </c>
      <c r="T59" s="7">
        <v>0.16400000000000001</v>
      </c>
      <c r="U59" s="7">
        <v>-0.73799999999999999</v>
      </c>
      <c r="V59" s="7" t="s">
        <v>86</v>
      </c>
      <c r="W59" s="11">
        <v>45825.541666666664</v>
      </c>
    </row>
    <row r="60" spans="1:23">
      <c r="A60" t="s">
        <v>84</v>
      </c>
      <c r="B60">
        <v>27</v>
      </c>
      <c r="C60" s="10">
        <v>45825</v>
      </c>
      <c r="D60" s="11">
        <v>45825.666666666664</v>
      </c>
      <c r="E60" s="11">
        <v>45825.666666666664</v>
      </c>
      <c r="F60" t="s">
        <v>108</v>
      </c>
      <c r="G60" t="s">
        <v>107</v>
      </c>
      <c r="H60">
        <v>-1</v>
      </c>
      <c r="I60">
        <v>164</v>
      </c>
      <c r="J60" s="7">
        <v>594.12149999999997</v>
      </c>
      <c r="K60" s="7">
        <v>601.41166152760002</v>
      </c>
      <c r="L60" s="7">
        <v>595.39782249619998</v>
      </c>
      <c r="M60" s="7">
        <v>3.6210116000000001E-3</v>
      </c>
      <c r="N60" s="7">
        <v>595.61994164580005</v>
      </c>
      <c r="O60" s="7">
        <v>601.41166152760002</v>
      </c>
      <c r="P60" s="7">
        <v>595.39782249619998</v>
      </c>
      <c r="Q60" s="7">
        <v>1</v>
      </c>
      <c r="R60" s="7">
        <v>208.7064</v>
      </c>
      <c r="S60" s="7">
        <v>0.57399999999999995</v>
      </c>
      <c r="T60" s="7">
        <v>0.16400000000000001</v>
      </c>
      <c r="U60" s="7">
        <v>207.9684</v>
      </c>
      <c r="V60" s="7" t="s">
        <v>85</v>
      </c>
      <c r="W60" s="11">
        <v>45825.645833333336</v>
      </c>
    </row>
    <row r="61" spans="1:23">
      <c r="A61" t="s">
        <v>84</v>
      </c>
      <c r="B61">
        <v>28</v>
      </c>
      <c r="C61" s="10">
        <v>45826</v>
      </c>
      <c r="D61" s="11">
        <v>45826.4375</v>
      </c>
      <c r="E61" s="11">
        <v>45826.4375</v>
      </c>
      <c r="F61" t="s">
        <v>106</v>
      </c>
      <c r="G61" t="s">
        <v>107</v>
      </c>
      <c r="H61">
        <v>1</v>
      </c>
      <c r="I61">
        <v>165</v>
      </c>
      <c r="J61" s="7">
        <v>597.31510000000003</v>
      </c>
      <c r="K61" s="7">
        <v>597.0489628194</v>
      </c>
      <c r="L61" s="7">
        <v>592.83578282359997</v>
      </c>
      <c r="M61" s="7">
        <v>2.1635604999999999E-3</v>
      </c>
      <c r="N61" s="7">
        <v>596.46294557420003</v>
      </c>
      <c r="O61" s="7">
        <v>597.0489628194</v>
      </c>
      <c r="P61" s="7">
        <v>592.83578282359997</v>
      </c>
      <c r="Q61" s="7">
        <v>1</v>
      </c>
      <c r="R61" s="7">
        <v>0</v>
      </c>
      <c r="S61" s="7">
        <v>0.57750000000000001</v>
      </c>
      <c r="T61" s="7">
        <v>0.16500000000000001</v>
      </c>
      <c r="U61" s="7">
        <v>-0.74250000000000005</v>
      </c>
      <c r="V61" s="7" t="s">
        <v>86</v>
      </c>
      <c r="W61" s="11">
        <v>45826.416666666664</v>
      </c>
    </row>
    <row r="62" spans="1:23">
      <c r="A62" t="s">
        <v>84</v>
      </c>
      <c r="B62">
        <v>28</v>
      </c>
      <c r="C62" s="10">
        <v>45826</v>
      </c>
      <c r="D62" s="11">
        <v>45826.666666666664</v>
      </c>
      <c r="E62" s="11">
        <v>45826.666666666664</v>
      </c>
      <c r="F62" t="s">
        <v>108</v>
      </c>
      <c r="G62" t="s">
        <v>109</v>
      </c>
      <c r="H62">
        <v>1</v>
      </c>
      <c r="I62">
        <v>165</v>
      </c>
      <c r="J62" s="7">
        <v>594.03189999999995</v>
      </c>
      <c r="K62" s="7">
        <v>597.9439752449</v>
      </c>
      <c r="L62" s="7">
        <v>591.94323237330002</v>
      </c>
      <c r="M62" s="7">
        <v>3.6658642000000001E-3</v>
      </c>
      <c r="N62" s="7">
        <v>595.1294923877</v>
      </c>
      <c r="O62" s="7">
        <v>597.9439752449</v>
      </c>
      <c r="P62" s="7">
        <v>591.94323237330002</v>
      </c>
      <c r="Q62" s="7">
        <v>1</v>
      </c>
      <c r="R62" s="7">
        <v>-541.72799999999995</v>
      </c>
      <c r="S62" s="7">
        <v>0.57750000000000001</v>
      </c>
      <c r="T62" s="7">
        <v>0.16500000000000001</v>
      </c>
      <c r="U62" s="7">
        <v>-542.47050000000002</v>
      </c>
      <c r="V62" s="7" t="s">
        <v>85</v>
      </c>
      <c r="W62" s="11">
        <v>45826.645833333336</v>
      </c>
    </row>
    <row r="63" spans="1:23">
      <c r="A63" t="s">
        <v>84</v>
      </c>
      <c r="B63">
        <v>29</v>
      </c>
      <c r="C63" s="10">
        <v>45828</v>
      </c>
      <c r="D63" s="11">
        <v>45828.458333333336</v>
      </c>
      <c r="E63" s="11">
        <v>45828.458333333336</v>
      </c>
      <c r="F63" t="s">
        <v>106</v>
      </c>
      <c r="G63" t="s">
        <v>109</v>
      </c>
      <c r="H63">
        <v>-1</v>
      </c>
      <c r="I63">
        <v>164</v>
      </c>
      <c r="J63" s="7">
        <v>592.59699999999998</v>
      </c>
      <c r="K63" s="7">
        <v>596.92555170599996</v>
      </c>
      <c r="L63" s="7">
        <v>592.70833919580002</v>
      </c>
      <c r="M63" s="7">
        <v>2.2277613000000001E-3</v>
      </c>
      <c r="N63" s="7">
        <v>594.42711123890001</v>
      </c>
      <c r="O63" s="7">
        <v>596.92555170599996</v>
      </c>
      <c r="P63" s="7">
        <v>592.70833919580002</v>
      </c>
      <c r="Q63" s="7">
        <v>1</v>
      </c>
      <c r="R63" s="7">
        <v>0</v>
      </c>
      <c r="S63" s="7">
        <v>0.57399999999999995</v>
      </c>
      <c r="T63" s="7">
        <v>0.16400000000000001</v>
      </c>
      <c r="U63" s="7">
        <v>-0.73799999999999999</v>
      </c>
      <c r="V63" s="7" t="s">
        <v>86</v>
      </c>
      <c r="W63" s="11">
        <v>45828.4375</v>
      </c>
    </row>
    <row r="64" spans="1:23">
      <c r="A64" t="s">
        <v>84</v>
      </c>
      <c r="B64">
        <v>29</v>
      </c>
      <c r="C64" s="10">
        <v>45828</v>
      </c>
      <c r="D64" s="11">
        <v>45828.666666666664</v>
      </c>
      <c r="E64" s="11">
        <v>45828.666666666664</v>
      </c>
      <c r="F64" t="s">
        <v>108</v>
      </c>
      <c r="G64" t="s">
        <v>107</v>
      </c>
      <c r="H64">
        <v>-1</v>
      </c>
      <c r="I64">
        <v>164</v>
      </c>
      <c r="J64" s="7">
        <v>592.63689999999997</v>
      </c>
      <c r="K64" s="7">
        <v>597.8245265255</v>
      </c>
      <c r="L64" s="7">
        <v>591.81172954869999</v>
      </c>
      <c r="M64" s="7">
        <v>3.7371245999999999E-3</v>
      </c>
      <c r="N64" s="7">
        <v>593.16331344050002</v>
      </c>
      <c r="O64" s="7">
        <v>597.8245265255</v>
      </c>
      <c r="P64" s="7">
        <v>591.81172954869999</v>
      </c>
      <c r="Q64" s="7">
        <v>1</v>
      </c>
      <c r="R64" s="7">
        <v>-6.5435999999999996</v>
      </c>
      <c r="S64" s="7">
        <v>0.57399999999999995</v>
      </c>
      <c r="T64" s="7">
        <v>0.16400000000000001</v>
      </c>
      <c r="U64" s="7">
        <v>-7.2816000000000001</v>
      </c>
      <c r="V64" s="7" t="s">
        <v>85</v>
      </c>
      <c r="W64" s="11">
        <v>45828.645833333336</v>
      </c>
    </row>
    <row r="65" spans="1:23">
      <c r="A65" t="s">
        <v>84</v>
      </c>
      <c r="B65">
        <v>30</v>
      </c>
      <c r="C65" s="10">
        <v>45831</v>
      </c>
      <c r="D65" s="11">
        <v>45831.645833333336</v>
      </c>
      <c r="E65" s="11">
        <v>45831.645833333336</v>
      </c>
      <c r="F65" t="s">
        <v>106</v>
      </c>
      <c r="G65" t="s">
        <v>107</v>
      </c>
      <c r="H65">
        <v>1</v>
      </c>
      <c r="I65">
        <v>165</v>
      </c>
      <c r="J65" s="7">
        <v>597.56320000000005</v>
      </c>
      <c r="K65" s="7">
        <v>597.56149673770005</v>
      </c>
      <c r="L65" s="7">
        <v>590.18549173279996</v>
      </c>
      <c r="M65" s="7">
        <v>4.1362741000000001E-3</v>
      </c>
      <c r="N65" s="7">
        <v>595.07835826849998</v>
      </c>
      <c r="O65" s="7">
        <v>597.56149673770005</v>
      </c>
      <c r="P65" s="7">
        <v>590.18549173279996</v>
      </c>
      <c r="Q65" s="7">
        <v>1</v>
      </c>
      <c r="R65" s="7">
        <v>0</v>
      </c>
      <c r="S65" s="7">
        <v>0.57750000000000001</v>
      </c>
      <c r="T65" s="7">
        <v>0.16500000000000001</v>
      </c>
      <c r="U65" s="7">
        <v>-0.74250000000000005</v>
      </c>
      <c r="V65" s="7" t="s">
        <v>86</v>
      </c>
      <c r="W65" s="11">
        <v>45831.625</v>
      </c>
    </row>
    <row r="66" spans="1:23">
      <c r="A66" t="s">
        <v>84</v>
      </c>
      <c r="B66">
        <v>30</v>
      </c>
      <c r="C66" s="10">
        <v>45831</v>
      </c>
      <c r="D66" s="11">
        <v>45831.666666666664</v>
      </c>
      <c r="E66" s="11">
        <v>45831.666666666664</v>
      </c>
      <c r="F66" t="s">
        <v>108</v>
      </c>
      <c r="G66" t="s">
        <v>109</v>
      </c>
      <c r="H66">
        <v>1</v>
      </c>
      <c r="I66">
        <v>165</v>
      </c>
      <c r="J66" s="7">
        <v>598.49069999999995</v>
      </c>
      <c r="K66" s="7">
        <v>597.39279335549998</v>
      </c>
      <c r="L66" s="7">
        <v>590.35349682859999</v>
      </c>
      <c r="M66" s="7">
        <v>3.8527867000000002E-3</v>
      </c>
      <c r="N66" s="7">
        <v>595.61287413390005</v>
      </c>
      <c r="O66" s="7">
        <v>597.39279335549998</v>
      </c>
      <c r="P66" s="7">
        <v>590.35349682859999</v>
      </c>
      <c r="Q66" s="7">
        <v>1</v>
      </c>
      <c r="R66" s="7">
        <v>153.03749999999999</v>
      </c>
      <c r="S66" s="7">
        <v>0.57750000000000001</v>
      </c>
      <c r="T66" s="7">
        <v>0.16500000000000001</v>
      </c>
      <c r="U66" s="7">
        <v>152.29499999999999</v>
      </c>
      <c r="V66" s="7" t="s">
        <v>85</v>
      </c>
      <c r="W66" s="11">
        <v>45831.645833333336</v>
      </c>
    </row>
    <row r="67" spans="1:23">
      <c r="A67" t="s">
        <v>84</v>
      </c>
      <c r="B67">
        <v>31</v>
      </c>
      <c r="C67" s="10">
        <v>45832</v>
      </c>
      <c r="D67" s="11">
        <v>45832.479166666664</v>
      </c>
      <c r="E67" s="11">
        <v>45832.479166666664</v>
      </c>
      <c r="F67" t="s">
        <v>106</v>
      </c>
      <c r="G67" t="s">
        <v>107</v>
      </c>
      <c r="H67">
        <v>1</v>
      </c>
      <c r="I67">
        <v>163</v>
      </c>
      <c r="J67" s="7">
        <v>604.10509999999999</v>
      </c>
      <c r="K67" s="7">
        <v>603.49880293959995</v>
      </c>
      <c r="L67" s="7">
        <v>597.21005581559996</v>
      </c>
      <c r="M67" s="7">
        <v>2.1396229000000002E-3</v>
      </c>
      <c r="N67" s="7">
        <v>602.91799702059996</v>
      </c>
      <c r="O67" s="7">
        <v>603.49880293959995</v>
      </c>
      <c r="P67" s="7">
        <v>597.21005581559996</v>
      </c>
      <c r="Q67" s="7">
        <v>1</v>
      </c>
      <c r="R67" s="7">
        <v>0</v>
      </c>
      <c r="S67" s="7">
        <v>0.57050000000000001</v>
      </c>
      <c r="T67" s="7">
        <v>0.16300000000000001</v>
      </c>
      <c r="U67" s="7">
        <v>-0.73350000000000004</v>
      </c>
      <c r="V67" s="7" t="s">
        <v>86</v>
      </c>
      <c r="W67" s="11">
        <v>45832.458333333336</v>
      </c>
    </row>
    <row r="68" spans="1:23">
      <c r="A68" t="s">
        <v>84</v>
      </c>
      <c r="B68">
        <v>31</v>
      </c>
      <c r="C68" s="10">
        <v>45832</v>
      </c>
      <c r="D68" s="11">
        <v>45832.666666666664</v>
      </c>
      <c r="E68" s="11">
        <v>45832.666666666664</v>
      </c>
      <c r="F68" t="s">
        <v>108</v>
      </c>
      <c r="G68" t="s">
        <v>109</v>
      </c>
      <c r="H68">
        <v>1</v>
      </c>
      <c r="I68">
        <v>163</v>
      </c>
      <c r="J68" s="7">
        <v>605.10239999999999</v>
      </c>
      <c r="K68" s="7">
        <v>604.30751786760004</v>
      </c>
      <c r="L68" s="7">
        <v>596.40633611429996</v>
      </c>
      <c r="M68" s="7">
        <v>3.4825339999999998E-3</v>
      </c>
      <c r="N68" s="7">
        <v>604.30846066610002</v>
      </c>
      <c r="O68" s="7">
        <v>604.30846066610002</v>
      </c>
      <c r="P68" s="7">
        <v>596.40633611429996</v>
      </c>
      <c r="Q68" s="7">
        <v>1</v>
      </c>
      <c r="R68" s="7">
        <v>162.5599</v>
      </c>
      <c r="S68" s="7">
        <v>0.57050000000000001</v>
      </c>
      <c r="T68" s="7">
        <v>0.16300000000000001</v>
      </c>
      <c r="U68" s="7">
        <v>161.82640000000001</v>
      </c>
      <c r="V68" s="7" t="s">
        <v>85</v>
      </c>
      <c r="W68" s="11">
        <v>45832.645833333336</v>
      </c>
    </row>
    <row r="69" spans="1:23">
      <c r="A69" t="s">
        <v>84</v>
      </c>
      <c r="B69">
        <v>32</v>
      </c>
      <c r="C69" s="10">
        <v>45834</v>
      </c>
      <c r="D69" s="11">
        <v>45834.520833333336</v>
      </c>
      <c r="E69" s="11">
        <v>45834.520833333336</v>
      </c>
      <c r="F69" t="s">
        <v>106</v>
      </c>
      <c r="G69" t="s">
        <v>107</v>
      </c>
      <c r="H69">
        <v>1</v>
      </c>
      <c r="I69">
        <v>162</v>
      </c>
      <c r="J69" s="7">
        <v>609.20100000000002</v>
      </c>
      <c r="K69" s="7">
        <v>609.0937288033</v>
      </c>
      <c r="L69" s="7">
        <v>603.88844247580005</v>
      </c>
      <c r="M69" s="7">
        <v>2.5648358E-3</v>
      </c>
      <c r="N69" s="7">
        <v>608.32328420600004</v>
      </c>
      <c r="O69" s="7">
        <v>609.0937288033</v>
      </c>
      <c r="P69" s="7">
        <v>603.88844247580005</v>
      </c>
      <c r="Q69" s="7">
        <v>1</v>
      </c>
      <c r="R69" s="7">
        <v>0</v>
      </c>
      <c r="S69" s="7">
        <v>0.56699999999999995</v>
      </c>
      <c r="T69" s="7">
        <v>0.16200000000000001</v>
      </c>
      <c r="U69" s="7">
        <v>-0.72899999999999998</v>
      </c>
      <c r="V69" s="7" t="s">
        <v>86</v>
      </c>
      <c r="W69" s="11">
        <v>45834.5</v>
      </c>
    </row>
    <row r="70" spans="1:23">
      <c r="A70" t="s">
        <v>84</v>
      </c>
      <c r="B70">
        <v>32</v>
      </c>
      <c r="C70" s="10">
        <v>45834</v>
      </c>
      <c r="D70" s="11">
        <v>45834.666666666664</v>
      </c>
      <c r="E70" s="11">
        <v>45834.666666666664</v>
      </c>
      <c r="F70" t="s">
        <v>108</v>
      </c>
      <c r="G70" t="s">
        <v>109</v>
      </c>
      <c r="H70">
        <v>1</v>
      </c>
      <c r="I70">
        <v>162</v>
      </c>
      <c r="J70" s="7">
        <v>610.17819999999995</v>
      </c>
      <c r="K70" s="7">
        <v>609.61125469030003</v>
      </c>
      <c r="L70" s="7">
        <v>603.37270052199995</v>
      </c>
      <c r="M70" s="7">
        <v>3.4166804999999998E-3</v>
      </c>
      <c r="N70" s="7">
        <v>609.28205231530001</v>
      </c>
      <c r="O70" s="7">
        <v>609.61125469030003</v>
      </c>
      <c r="P70" s="7">
        <v>603.37270052199995</v>
      </c>
      <c r="Q70" s="7">
        <v>1</v>
      </c>
      <c r="R70" s="7">
        <v>158.3064</v>
      </c>
      <c r="S70" s="7">
        <v>0.56699999999999995</v>
      </c>
      <c r="T70" s="7">
        <v>0.16200000000000001</v>
      </c>
      <c r="U70" s="7">
        <v>157.57740000000001</v>
      </c>
      <c r="V70" s="7" t="s">
        <v>85</v>
      </c>
      <c r="W70" s="11">
        <v>45834.645833333336</v>
      </c>
    </row>
    <row r="71" spans="1:23">
      <c r="A71" t="s">
        <v>84</v>
      </c>
      <c r="B71">
        <v>33</v>
      </c>
      <c r="C71" s="10">
        <v>45835</v>
      </c>
      <c r="D71" s="11">
        <v>45835.5</v>
      </c>
      <c r="E71" s="11">
        <v>45835.5</v>
      </c>
      <c r="F71" t="s">
        <v>106</v>
      </c>
      <c r="G71" t="s">
        <v>107</v>
      </c>
      <c r="H71">
        <v>1</v>
      </c>
      <c r="I71">
        <v>161</v>
      </c>
      <c r="J71" s="7">
        <v>614.19709999999998</v>
      </c>
      <c r="K71" s="7">
        <v>613.93466185320005</v>
      </c>
      <c r="L71" s="7">
        <v>608.99970761459997</v>
      </c>
      <c r="M71" s="7">
        <v>1.9313905E-3</v>
      </c>
      <c r="N71" s="7">
        <v>613.25316714439998</v>
      </c>
      <c r="O71" s="7">
        <v>613.93466185320005</v>
      </c>
      <c r="P71" s="7">
        <v>608.99970761459997</v>
      </c>
      <c r="Q71" s="7">
        <v>1</v>
      </c>
      <c r="R71" s="7">
        <v>0</v>
      </c>
      <c r="S71" s="7">
        <v>0.5635</v>
      </c>
      <c r="T71" s="7">
        <v>0.161</v>
      </c>
      <c r="U71" s="7">
        <v>-0.72450000000000003</v>
      </c>
      <c r="V71" s="7" t="s">
        <v>86</v>
      </c>
      <c r="W71" s="11">
        <v>45835.479166666664</v>
      </c>
    </row>
    <row r="72" spans="1:23">
      <c r="A72" t="s">
        <v>84</v>
      </c>
      <c r="B72">
        <v>33</v>
      </c>
      <c r="C72" s="10">
        <v>45835</v>
      </c>
      <c r="D72" s="11">
        <v>45835.666666666664</v>
      </c>
      <c r="E72" s="11">
        <v>45835.666666666664</v>
      </c>
      <c r="F72" t="s">
        <v>108</v>
      </c>
      <c r="G72" t="s">
        <v>109</v>
      </c>
      <c r="H72">
        <v>1</v>
      </c>
      <c r="I72">
        <v>161</v>
      </c>
      <c r="J72" s="7">
        <v>613.20979999999997</v>
      </c>
      <c r="K72" s="7">
        <v>614.94677364869995</v>
      </c>
      <c r="L72" s="7">
        <v>607.99184577189999</v>
      </c>
      <c r="M72" s="7">
        <v>3.5831405E-3</v>
      </c>
      <c r="N72" s="7">
        <v>612.30100703289997</v>
      </c>
      <c r="O72" s="7">
        <v>614.94677364869995</v>
      </c>
      <c r="P72" s="7">
        <v>607.99184577189999</v>
      </c>
      <c r="Q72" s="7">
        <v>1</v>
      </c>
      <c r="R72" s="7">
        <v>-158.95529999999999</v>
      </c>
      <c r="S72" s="7">
        <v>0.5635</v>
      </c>
      <c r="T72" s="7">
        <v>0.161</v>
      </c>
      <c r="U72" s="7">
        <v>-159.6798</v>
      </c>
      <c r="V72" s="7" t="s">
        <v>85</v>
      </c>
      <c r="W72" s="11">
        <v>45835.645833333336</v>
      </c>
    </row>
    <row r="73" spans="1:23">
      <c r="A73" t="s">
        <v>84</v>
      </c>
      <c r="B73">
        <v>34</v>
      </c>
      <c r="C73" s="10">
        <v>45840</v>
      </c>
      <c r="D73" s="11">
        <v>45840.4375</v>
      </c>
      <c r="E73" s="11">
        <v>45840.4375</v>
      </c>
      <c r="F73" t="s">
        <v>106</v>
      </c>
      <c r="G73" t="s">
        <v>107</v>
      </c>
      <c r="H73">
        <v>1</v>
      </c>
      <c r="I73">
        <v>160</v>
      </c>
      <c r="J73" s="7">
        <v>616.93949999999995</v>
      </c>
      <c r="K73" s="7">
        <v>616.83306457790002</v>
      </c>
      <c r="L73" s="7">
        <v>614.70284019630003</v>
      </c>
      <c r="M73" s="7">
        <v>1.4463443999999999E-3</v>
      </c>
      <c r="N73" s="7">
        <v>616.26159339150001</v>
      </c>
      <c r="O73" s="7">
        <v>616.83306457790002</v>
      </c>
      <c r="P73" s="7">
        <v>614.70284019630003</v>
      </c>
      <c r="Q73" s="7">
        <v>1</v>
      </c>
      <c r="R73" s="7">
        <v>0</v>
      </c>
      <c r="S73" s="7">
        <v>0.56000000000000005</v>
      </c>
      <c r="T73" s="7">
        <v>0.16</v>
      </c>
      <c r="U73" s="7">
        <v>-0.72</v>
      </c>
      <c r="V73" s="7" t="s">
        <v>86</v>
      </c>
      <c r="W73" s="11">
        <v>45840.416666666664</v>
      </c>
    </row>
    <row r="74" spans="1:23">
      <c r="A74" t="s">
        <v>84</v>
      </c>
      <c r="B74">
        <v>34</v>
      </c>
      <c r="C74" s="10">
        <v>45840</v>
      </c>
      <c r="D74" s="11">
        <v>45840.666666666664</v>
      </c>
      <c r="E74" s="11">
        <v>45840.666666666664</v>
      </c>
      <c r="F74" t="s">
        <v>108</v>
      </c>
      <c r="G74" t="s">
        <v>109</v>
      </c>
      <c r="H74">
        <v>1</v>
      </c>
      <c r="I74">
        <v>160</v>
      </c>
      <c r="J74" s="7">
        <v>618.7346</v>
      </c>
      <c r="K74" s="7">
        <v>617.99439720309999</v>
      </c>
      <c r="L74" s="7">
        <v>613.54216559559995</v>
      </c>
      <c r="M74" s="7">
        <v>3.3318015999999999E-3</v>
      </c>
      <c r="N74" s="7">
        <v>617.56293703270001</v>
      </c>
      <c r="O74" s="7">
        <v>617.99439720309999</v>
      </c>
      <c r="P74" s="7">
        <v>613.54216559559995</v>
      </c>
      <c r="Q74" s="7">
        <v>1</v>
      </c>
      <c r="R74" s="7">
        <v>287.21600000000001</v>
      </c>
      <c r="S74" s="7">
        <v>0.56000000000000005</v>
      </c>
      <c r="T74" s="7">
        <v>0.16</v>
      </c>
      <c r="U74" s="7">
        <v>286.49599999999998</v>
      </c>
      <c r="V74" s="7" t="s">
        <v>85</v>
      </c>
      <c r="W74" s="11">
        <v>45840.645833333336</v>
      </c>
    </row>
    <row r="75" spans="1:23">
      <c r="A75" t="s">
        <v>84</v>
      </c>
      <c r="B75">
        <v>35</v>
      </c>
      <c r="C75" s="10">
        <v>45841</v>
      </c>
      <c r="D75" s="11">
        <v>45841.458333333336</v>
      </c>
      <c r="E75" s="11">
        <v>45841.458333333336</v>
      </c>
      <c r="F75" t="s">
        <v>106</v>
      </c>
      <c r="G75" t="s">
        <v>107</v>
      </c>
      <c r="H75">
        <v>1</v>
      </c>
      <c r="I75">
        <v>158</v>
      </c>
      <c r="J75" s="7">
        <v>623.5711</v>
      </c>
      <c r="K75" s="7">
        <v>623.55998768469999</v>
      </c>
      <c r="L75" s="7">
        <v>617.69476304010004</v>
      </c>
      <c r="M75" s="7">
        <v>1.6802637E-3</v>
      </c>
      <c r="N75" s="7">
        <v>622.96996815770001</v>
      </c>
      <c r="O75" s="7">
        <v>623.55998768469999</v>
      </c>
      <c r="P75" s="7">
        <v>617.69476304010004</v>
      </c>
      <c r="Q75" s="7">
        <v>1</v>
      </c>
      <c r="R75" s="7">
        <v>0</v>
      </c>
      <c r="S75" s="7">
        <v>0.55300000000000005</v>
      </c>
      <c r="T75" s="7">
        <v>0.158</v>
      </c>
      <c r="U75" s="7">
        <v>-0.71099999999999997</v>
      </c>
      <c r="V75" s="7" t="s">
        <v>86</v>
      </c>
      <c r="W75" s="11">
        <v>45841.4375</v>
      </c>
    </row>
    <row r="76" spans="1:23">
      <c r="A76" t="s">
        <v>84</v>
      </c>
      <c r="B76">
        <v>35</v>
      </c>
      <c r="C76" s="10">
        <v>45841</v>
      </c>
      <c r="D76" s="11">
        <v>45841.541666666664</v>
      </c>
      <c r="E76" s="11">
        <v>45841.541666666664</v>
      </c>
      <c r="F76" t="s">
        <v>108</v>
      </c>
      <c r="G76" t="s">
        <v>109</v>
      </c>
      <c r="H76">
        <v>1</v>
      </c>
      <c r="I76">
        <v>158</v>
      </c>
      <c r="J76" s="7">
        <v>623.61099999999999</v>
      </c>
      <c r="K76" s="7">
        <v>624.04862359039998</v>
      </c>
      <c r="L76" s="7">
        <v>617.20909389220003</v>
      </c>
      <c r="M76" s="7">
        <v>2.4652033000000001E-3</v>
      </c>
      <c r="N76" s="7">
        <v>623.44028029260005</v>
      </c>
      <c r="O76" s="7">
        <v>624.04862359039998</v>
      </c>
      <c r="P76" s="7">
        <v>617.20909389220003</v>
      </c>
      <c r="Q76" s="7">
        <v>1</v>
      </c>
      <c r="R76" s="7">
        <v>6.3041999999999998</v>
      </c>
      <c r="S76" s="7">
        <v>0.55300000000000005</v>
      </c>
      <c r="T76" s="7">
        <v>0.158</v>
      </c>
      <c r="U76" s="7">
        <v>5.5932000000000004</v>
      </c>
      <c r="V76" s="7" t="s">
        <v>85</v>
      </c>
      <c r="W76" s="11">
        <v>45841.520833333336</v>
      </c>
    </row>
    <row r="77" spans="1:23">
      <c r="A77" t="s">
        <v>84</v>
      </c>
      <c r="B77">
        <v>36</v>
      </c>
      <c r="C77" s="10">
        <v>45845</v>
      </c>
      <c r="D77" s="11">
        <v>45845.458333333336</v>
      </c>
      <c r="E77" s="11">
        <v>45845.458333333336</v>
      </c>
      <c r="F77" t="s">
        <v>106</v>
      </c>
      <c r="G77" t="s">
        <v>109</v>
      </c>
      <c r="H77">
        <v>-1</v>
      </c>
      <c r="I77">
        <v>158</v>
      </c>
      <c r="J77" s="7">
        <v>620.37990000000002</v>
      </c>
      <c r="K77" s="7">
        <v>624.5943417551</v>
      </c>
      <c r="L77" s="7">
        <v>620.8951943971</v>
      </c>
      <c r="M77" s="7">
        <v>1.5768512000000001E-3</v>
      </c>
      <c r="N77" s="7">
        <v>621.25774506760001</v>
      </c>
      <c r="O77" s="7">
        <v>624.5943417551</v>
      </c>
      <c r="P77" s="7">
        <v>620.8951943971</v>
      </c>
      <c r="Q77" s="7">
        <v>1</v>
      </c>
      <c r="R77" s="7">
        <v>0</v>
      </c>
      <c r="S77" s="7">
        <v>0.55300000000000005</v>
      </c>
      <c r="T77" s="7">
        <v>0.158</v>
      </c>
      <c r="U77" s="7">
        <v>-0.71099999999999997</v>
      </c>
      <c r="V77" s="7" t="s">
        <v>86</v>
      </c>
      <c r="W77" s="11">
        <v>45845.4375</v>
      </c>
    </row>
    <row r="78" spans="1:23">
      <c r="A78" t="s">
        <v>84</v>
      </c>
      <c r="B78">
        <v>36</v>
      </c>
      <c r="C78" s="10">
        <v>45845</v>
      </c>
      <c r="D78" s="11">
        <v>45845.666666666664</v>
      </c>
      <c r="E78" s="11">
        <v>45845.666666666664</v>
      </c>
      <c r="F78" t="s">
        <v>108</v>
      </c>
      <c r="G78" t="s">
        <v>107</v>
      </c>
      <c r="H78">
        <v>-1</v>
      </c>
      <c r="I78">
        <v>158</v>
      </c>
      <c r="J78" s="7">
        <v>618.96389999999997</v>
      </c>
      <c r="K78" s="7">
        <v>625.67822695159998</v>
      </c>
      <c r="L78" s="7">
        <v>619.81432511529999</v>
      </c>
      <c r="M78" s="7">
        <v>3.3149301999999999E-3</v>
      </c>
      <c r="N78" s="7">
        <v>619.00166425290001</v>
      </c>
      <c r="O78" s="7">
        <v>625.67822695159998</v>
      </c>
      <c r="P78" s="7">
        <v>619.00166425290001</v>
      </c>
      <c r="Q78" s="7">
        <v>1</v>
      </c>
      <c r="R78" s="7">
        <v>223.72800000000001</v>
      </c>
      <c r="S78" s="7">
        <v>0.55300000000000005</v>
      </c>
      <c r="T78" s="7">
        <v>0.158</v>
      </c>
      <c r="U78" s="7">
        <v>223.017</v>
      </c>
      <c r="V78" s="7" t="s">
        <v>85</v>
      </c>
      <c r="W78" s="11">
        <v>45845.645833333336</v>
      </c>
    </row>
    <row r="79" spans="1:23">
      <c r="A79" t="s">
        <v>84</v>
      </c>
      <c r="B79">
        <v>37</v>
      </c>
      <c r="C79" s="10">
        <v>45848</v>
      </c>
      <c r="D79" s="11">
        <v>45848.479166666664</v>
      </c>
      <c r="E79" s="11">
        <v>45848.479166666664</v>
      </c>
      <c r="F79" t="s">
        <v>106</v>
      </c>
      <c r="G79" t="s">
        <v>107</v>
      </c>
      <c r="H79">
        <v>1</v>
      </c>
      <c r="I79">
        <v>159</v>
      </c>
      <c r="J79" s="7">
        <v>623.78060000000005</v>
      </c>
      <c r="K79" s="7">
        <v>623.44597228309999</v>
      </c>
      <c r="L79" s="7">
        <v>620.5262743257</v>
      </c>
      <c r="M79" s="7">
        <v>1.7859725E-3</v>
      </c>
      <c r="N79" s="7">
        <v>622.47535658499999</v>
      </c>
      <c r="O79" s="7">
        <v>623.44597228309999</v>
      </c>
      <c r="P79" s="7">
        <v>620.5262743257</v>
      </c>
      <c r="Q79" s="7">
        <v>1</v>
      </c>
      <c r="R79" s="7">
        <v>0</v>
      </c>
      <c r="S79" s="7">
        <v>0.55649999999999999</v>
      </c>
      <c r="T79" s="7">
        <v>0.159</v>
      </c>
      <c r="U79" s="7">
        <v>-0.71550000000000002</v>
      </c>
      <c r="V79" s="7" t="s">
        <v>86</v>
      </c>
      <c r="W79" s="11">
        <v>45848.458333333336</v>
      </c>
    </row>
    <row r="80" spans="1:23">
      <c r="A80" t="s">
        <v>84</v>
      </c>
      <c r="B80">
        <v>37</v>
      </c>
      <c r="C80" s="10">
        <v>45848</v>
      </c>
      <c r="D80" s="11">
        <v>45848.666666666664</v>
      </c>
      <c r="E80" s="11">
        <v>45848.666666666664</v>
      </c>
      <c r="F80" t="s">
        <v>108</v>
      </c>
      <c r="G80" t="s">
        <v>109</v>
      </c>
      <c r="H80">
        <v>1</v>
      </c>
      <c r="I80">
        <v>159</v>
      </c>
      <c r="J80" s="7">
        <v>624.08969999999999</v>
      </c>
      <c r="K80" s="7">
        <v>624.20055755450005</v>
      </c>
      <c r="L80" s="7">
        <v>619.77253538449997</v>
      </c>
      <c r="M80" s="7">
        <v>2.99848E-3</v>
      </c>
      <c r="N80" s="7">
        <v>623.63258017450005</v>
      </c>
      <c r="O80" s="7">
        <v>624.20055755450005</v>
      </c>
      <c r="P80" s="7">
        <v>619.77253538449997</v>
      </c>
      <c r="Q80" s="7">
        <v>1</v>
      </c>
      <c r="R80" s="7">
        <v>49.146900000000002</v>
      </c>
      <c r="S80" s="7">
        <v>0.55649999999999999</v>
      </c>
      <c r="T80" s="7">
        <v>0.159</v>
      </c>
      <c r="U80" s="7">
        <v>48.431399999999996</v>
      </c>
      <c r="V80" s="7" t="s">
        <v>85</v>
      </c>
      <c r="W80" s="11">
        <v>45848.645833333336</v>
      </c>
    </row>
    <row r="81" spans="1:23">
      <c r="A81" t="s">
        <v>84</v>
      </c>
      <c r="B81">
        <v>38</v>
      </c>
      <c r="C81" s="10">
        <v>45853</v>
      </c>
      <c r="D81" s="11">
        <v>45853.541666666664</v>
      </c>
      <c r="E81" s="11">
        <v>45853.541666666664</v>
      </c>
      <c r="F81" t="s">
        <v>106</v>
      </c>
      <c r="G81" t="s">
        <v>109</v>
      </c>
      <c r="H81">
        <v>-1</v>
      </c>
      <c r="I81">
        <v>158</v>
      </c>
      <c r="J81" s="7">
        <v>621.447</v>
      </c>
      <c r="K81" s="7">
        <v>625.56275177290001</v>
      </c>
      <c r="L81" s="7">
        <v>621.49191392329999</v>
      </c>
      <c r="M81" s="7">
        <v>2.5526095000000001E-3</v>
      </c>
      <c r="N81" s="7">
        <v>622.99899845820005</v>
      </c>
      <c r="O81" s="7">
        <v>625.56275177290001</v>
      </c>
      <c r="P81" s="7">
        <v>621.49191392329999</v>
      </c>
      <c r="Q81" s="7">
        <v>1</v>
      </c>
      <c r="R81" s="7">
        <v>0</v>
      </c>
      <c r="S81" s="7">
        <v>0.55300000000000005</v>
      </c>
      <c r="T81" s="7">
        <v>0.158</v>
      </c>
      <c r="U81" s="7">
        <v>-0.71099999999999997</v>
      </c>
      <c r="V81" s="7" t="s">
        <v>86</v>
      </c>
      <c r="W81" s="11">
        <v>45853.520833333336</v>
      </c>
    </row>
    <row r="82" spans="1:23">
      <c r="A82" t="s">
        <v>84</v>
      </c>
      <c r="B82">
        <v>38</v>
      </c>
      <c r="C82" s="10">
        <v>45853</v>
      </c>
      <c r="D82" s="11">
        <v>45853.666666666664</v>
      </c>
      <c r="E82" s="11">
        <v>45853.666666666664</v>
      </c>
      <c r="F82" t="s">
        <v>108</v>
      </c>
      <c r="G82" t="s">
        <v>107</v>
      </c>
      <c r="H82">
        <v>-1</v>
      </c>
      <c r="I82">
        <v>158</v>
      </c>
      <c r="J82" s="7">
        <v>620.41989999999998</v>
      </c>
      <c r="K82" s="7">
        <v>625.57397586230002</v>
      </c>
      <c r="L82" s="7">
        <v>621.48070580019998</v>
      </c>
      <c r="M82" s="7">
        <v>2.5705976999999998E-3</v>
      </c>
      <c r="N82" s="7">
        <v>622.24247704920003</v>
      </c>
      <c r="O82" s="7">
        <v>625.57397586230002</v>
      </c>
      <c r="P82" s="7">
        <v>621.48070580019998</v>
      </c>
      <c r="Q82" s="7">
        <v>1</v>
      </c>
      <c r="R82" s="7">
        <v>162.2818</v>
      </c>
      <c r="S82" s="7">
        <v>0.55300000000000005</v>
      </c>
      <c r="T82" s="7">
        <v>0.158</v>
      </c>
      <c r="U82" s="7">
        <v>161.57079999999999</v>
      </c>
      <c r="V82" s="7" t="s">
        <v>85</v>
      </c>
      <c r="W82" s="11">
        <v>45853.645833333336</v>
      </c>
    </row>
    <row r="83" spans="1:23">
      <c r="A83" t="s">
        <v>84</v>
      </c>
      <c r="B83">
        <v>39</v>
      </c>
      <c r="C83" s="10">
        <v>45854</v>
      </c>
      <c r="D83" s="11">
        <v>45854.625</v>
      </c>
      <c r="E83" s="11">
        <v>45854.625</v>
      </c>
      <c r="F83" t="s">
        <v>106</v>
      </c>
      <c r="G83" t="s">
        <v>107</v>
      </c>
      <c r="H83">
        <v>1</v>
      </c>
      <c r="I83">
        <v>160</v>
      </c>
      <c r="J83" s="7">
        <v>622.60379999999998</v>
      </c>
      <c r="K83" s="7">
        <v>622.30286872470003</v>
      </c>
      <c r="L83" s="7">
        <v>618.44730352850002</v>
      </c>
      <c r="M83" s="7">
        <v>3.0351524999999999E-3</v>
      </c>
      <c r="N83" s="7">
        <v>620.43848780810004</v>
      </c>
      <c r="O83" s="7">
        <v>622.30286872470003</v>
      </c>
      <c r="P83" s="7">
        <v>618.44730352850002</v>
      </c>
      <c r="Q83" s="7">
        <v>1</v>
      </c>
      <c r="R83" s="7">
        <v>0</v>
      </c>
      <c r="S83" s="7">
        <v>0.56000000000000005</v>
      </c>
      <c r="T83" s="7">
        <v>0.16</v>
      </c>
      <c r="U83" s="7">
        <v>-0.72</v>
      </c>
      <c r="V83" s="7" t="s">
        <v>86</v>
      </c>
      <c r="W83" s="11">
        <v>45854.604166666664</v>
      </c>
    </row>
    <row r="84" spans="1:23">
      <c r="A84" t="s">
        <v>84</v>
      </c>
      <c r="B84">
        <v>39</v>
      </c>
      <c r="C84" s="10">
        <v>45854</v>
      </c>
      <c r="D84" s="11">
        <v>45854.666666666664</v>
      </c>
      <c r="E84" s="11">
        <v>45854.666666666664</v>
      </c>
      <c r="F84" t="s">
        <v>108</v>
      </c>
      <c r="G84" t="s">
        <v>109</v>
      </c>
      <c r="H84">
        <v>1</v>
      </c>
      <c r="I84">
        <v>160</v>
      </c>
      <c r="J84" s="7">
        <v>622.4941</v>
      </c>
      <c r="K84" s="7">
        <v>622.05698436759997</v>
      </c>
      <c r="L84" s="7">
        <v>618.69315233580005</v>
      </c>
      <c r="M84" s="7">
        <v>2.6388331999999998E-3</v>
      </c>
      <c r="N84" s="7">
        <v>620.72906325830002</v>
      </c>
      <c r="O84" s="7">
        <v>622.05698436759997</v>
      </c>
      <c r="P84" s="7">
        <v>618.69315233580005</v>
      </c>
      <c r="Q84" s="7">
        <v>1</v>
      </c>
      <c r="R84" s="7">
        <v>-17.552</v>
      </c>
      <c r="S84" s="7">
        <v>0.56000000000000005</v>
      </c>
      <c r="T84" s="7">
        <v>0.16</v>
      </c>
      <c r="U84" s="7">
        <v>-18.271999999999998</v>
      </c>
      <c r="V84" s="7" t="s">
        <v>85</v>
      </c>
      <c r="W84" s="11">
        <v>45854.645833333336</v>
      </c>
    </row>
    <row r="85" spans="1:23">
      <c r="A85" t="s">
        <v>84</v>
      </c>
      <c r="B85">
        <v>40</v>
      </c>
      <c r="C85" s="10">
        <v>45855</v>
      </c>
      <c r="D85" s="11">
        <v>45855.5</v>
      </c>
      <c r="E85" s="11">
        <v>45855.5</v>
      </c>
      <c r="F85" t="s">
        <v>106</v>
      </c>
      <c r="G85" t="s">
        <v>107</v>
      </c>
      <c r="H85">
        <v>1</v>
      </c>
      <c r="I85">
        <v>159</v>
      </c>
      <c r="J85" s="7">
        <v>625.48080000000004</v>
      </c>
      <c r="K85" s="7">
        <v>625.31235213590003</v>
      </c>
      <c r="L85" s="7">
        <v>621.32424000649996</v>
      </c>
      <c r="M85" s="7">
        <v>1.8791506E-3</v>
      </c>
      <c r="N85" s="7">
        <v>624.41869644070005</v>
      </c>
      <c r="O85" s="7">
        <v>625.31235213590003</v>
      </c>
      <c r="P85" s="7">
        <v>621.32424000649996</v>
      </c>
      <c r="Q85" s="7">
        <v>1</v>
      </c>
      <c r="R85" s="7">
        <v>0</v>
      </c>
      <c r="S85" s="7">
        <v>0.55649999999999999</v>
      </c>
      <c r="T85" s="7">
        <v>0.159</v>
      </c>
      <c r="U85" s="7">
        <v>-0.71550000000000002</v>
      </c>
      <c r="V85" s="7" t="s">
        <v>86</v>
      </c>
      <c r="W85" s="11">
        <v>45855.479166666664</v>
      </c>
    </row>
    <row r="86" spans="1:23">
      <c r="A86" t="s">
        <v>84</v>
      </c>
      <c r="B86">
        <v>40</v>
      </c>
      <c r="C86" s="10">
        <v>45855</v>
      </c>
      <c r="D86" s="11">
        <v>45855.666666666664</v>
      </c>
      <c r="E86" s="11">
        <v>45855.666666666664</v>
      </c>
      <c r="F86" t="s">
        <v>108</v>
      </c>
      <c r="G86" t="s">
        <v>109</v>
      </c>
      <c r="H86">
        <v>1</v>
      </c>
      <c r="I86">
        <v>159</v>
      </c>
      <c r="J86" s="7">
        <v>626.30349999999999</v>
      </c>
      <c r="K86" s="7">
        <v>625.86952091579997</v>
      </c>
      <c r="L86" s="7">
        <v>620.76854016300001</v>
      </c>
      <c r="M86" s="7">
        <v>2.7718497000000001E-3</v>
      </c>
      <c r="N86" s="7">
        <v>625.40575317540004</v>
      </c>
      <c r="O86" s="7">
        <v>625.86952091579997</v>
      </c>
      <c r="P86" s="7">
        <v>620.76854016300001</v>
      </c>
      <c r="Q86" s="7">
        <v>1</v>
      </c>
      <c r="R86" s="7">
        <v>130.80930000000001</v>
      </c>
      <c r="S86" s="7">
        <v>0.55649999999999999</v>
      </c>
      <c r="T86" s="7">
        <v>0.159</v>
      </c>
      <c r="U86" s="7">
        <v>130.09379999999999</v>
      </c>
      <c r="V86" s="7" t="s">
        <v>85</v>
      </c>
      <c r="W86" s="11">
        <v>45855.645833333336</v>
      </c>
    </row>
    <row r="87" spans="1:23">
      <c r="A87" t="s">
        <v>84</v>
      </c>
      <c r="B87">
        <v>41</v>
      </c>
      <c r="C87" s="10">
        <v>45856</v>
      </c>
      <c r="D87" s="11">
        <v>45856.4375</v>
      </c>
      <c r="E87" s="11">
        <v>45856.4375</v>
      </c>
      <c r="F87" t="s">
        <v>106</v>
      </c>
      <c r="G87" t="s">
        <v>109</v>
      </c>
      <c r="H87">
        <v>-1</v>
      </c>
      <c r="I87">
        <v>158</v>
      </c>
      <c r="J87" s="7">
        <v>625.64530000000002</v>
      </c>
      <c r="K87" s="7">
        <v>628.04323011389999</v>
      </c>
      <c r="L87" s="7">
        <v>625.76150549390002</v>
      </c>
      <c r="M87" s="7">
        <v>8.6538640000000003E-4</v>
      </c>
      <c r="N87" s="7">
        <v>626.62694202299997</v>
      </c>
      <c r="O87" s="7">
        <v>628.04323011389999</v>
      </c>
      <c r="P87" s="7">
        <v>625.76150549390002</v>
      </c>
      <c r="Q87" s="7">
        <v>1</v>
      </c>
      <c r="R87" s="7">
        <v>0</v>
      </c>
      <c r="S87" s="7">
        <v>0.55300000000000005</v>
      </c>
      <c r="T87" s="7">
        <v>0.158</v>
      </c>
      <c r="U87" s="7">
        <v>-0.71099999999999997</v>
      </c>
      <c r="V87" s="7" t="s">
        <v>86</v>
      </c>
      <c r="W87" s="11">
        <v>45856.416666666664</v>
      </c>
    </row>
    <row r="88" spans="1:23">
      <c r="A88" t="s">
        <v>84</v>
      </c>
      <c r="B88">
        <v>41</v>
      </c>
      <c r="C88" s="10">
        <v>45856</v>
      </c>
      <c r="D88" s="11">
        <v>45856.666666666664</v>
      </c>
      <c r="E88" s="11">
        <v>45856.666666666664</v>
      </c>
      <c r="F88" t="s">
        <v>108</v>
      </c>
      <c r="G88" t="s">
        <v>107</v>
      </c>
      <c r="H88">
        <v>-1</v>
      </c>
      <c r="I88">
        <v>158</v>
      </c>
      <c r="J88" s="7">
        <v>625.84479999999996</v>
      </c>
      <c r="K88" s="7">
        <v>629.19692921700005</v>
      </c>
      <c r="L88" s="7">
        <v>624.61000660009995</v>
      </c>
      <c r="M88" s="7">
        <v>2.7039501000000001E-3</v>
      </c>
      <c r="N88" s="7">
        <v>625.8178794552</v>
      </c>
      <c r="O88" s="7">
        <v>629.19692921700005</v>
      </c>
      <c r="P88" s="7">
        <v>624.61000660009995</v>
      </c>
      <c r="Q88" s="7">
        <v>1</v>
      </c>
      <c r="R88" s="7">
        <v>-31.521000000000001</v>
      </c>
      <c r="S88" s="7">
        <v>0.55300000000000005</v>
      </c>
      <c r="T88" s="7">
        <v>0.158</v>
      </c>
      <c r="U88" s="7">
        <v>-32.231999999999999</v>
      </c>
      <c r="V88" s="7" t="s">
        <v>85</v>
      </c>
      <c r="W88" s="11">
        <v>45856.645833333336</v>
      </c>
    </row>
    <row r="89" spans="1:23">
      <c r="A89" t="s">
        <v>84</v>
      </c>
      <c r="B89">
        <v>42</v>
      </c>
      <c r="C89" s="10">
        <v>45861</v>
      </c>
      <c r="D89" s="11">
        <v>45861.4375</v>
      </c>
      <c r="E89" s="11">
        <v>45861.4375</v>
      </c>
      <c r="F89" t="s">
        <v>106</v>
      </c>
      <c r="G89" t="s">
        <v>107</v>
      </c>
      <c r="H89">
        <v>1</v>
      </c>
      <c r="I89">
        <v>158</v>
      </c>
      <c r="J89" s="7">
        <v>628.99609999999996</v>
      </c>
      <c r="K89" s="7">
        <v>628.88232014790003</v>
      </c>
      <c r="L89" s="7">
        <v>626.45833947530002</v>
      </c>
      <c r="M89" s="7">
        <v>1.0569895000000001E-3</v>
      </c>
      <c r="N89" s="7">
        <v>628.50008092079997</v>
      </c>
      <c r="O89" s="7">
        <v>628.88232014790003</v>
      </c>
      <c r="P89" s="7">
        <v>626.45833947530002</v>
      </c>
      <c r="Q89" s="7">
        <v>1</v>
      </c>
      <c r="R89" s="7">
        <v>0</v>
      </c>
      <c r="S89" s="7">
        <v>0.55300000000000005</v>
      </c>
      <c r="T89" s="7">
        <v>0.158</v>
      </c>
      <c r="U89" s="7">
        <v>-0.71099999999999997</v>
      </c>
      <c r="V89" s="7" t="s">
        <v>86</v>
      </c>
      <c r="W89" s="11">
        <v>45861.416666666664</v>
      </c>
    </row>
    <row r="90" spans="1:23">
      <c r="A90" t="s">
        <v>84</v>
      </c>
      <c r="B90">
        <v>42</v>
      </c>
      <c r="C90" s="10">
        <v>45861</v>
      </c>
      <c r="D90" s="11">
        <v>45861.666666666664</v>
      </c>
      <c r="E90" s="11">
        <v>45861.666666666664</v>
      </c>
      <c r="F90" t="s">
        <v>108</v>
      </c>
      <c r="G90" t="s">
        <v>109</v>
      </c>
      <c r="H90">
        <v>1</v>
      </c>
      <c r="I90">
        <v>158</v>
      </c>
      <c r="J90" s="7">
        <v>632.45650000000001</v>
      </c>
      <c r="K90" s="7">
        <v>630.17072247780004</v>
      </c>
      <c r="L90" s="7">
        <v>625.17218716929995</v>
      </c>
      <c r="M90" s="7">
        <v>3.1078727E-3</v>
      </c>
      <c r="N90" s="7">
        <v>630.48267975889996</v>
      </c>
      <c r="O90" s="7">
        <v>630.48267975889996</v>
      </c>
      <c r="P90" s="7">
        <v>625.17218716929995</v>
      </c>
      <c r="Q90" s="7">
        <v>1</v>
      </c>
      <c r="R90" s="7">
        <v>546.7432</v>
      </c>
      <c r="S90" s="7">
        <v>0.55300000000000005</v>
      </c>
      <c r="T90" s="7">
        <v>0.158</v>
      </c>
      <c r="U90" s="7">
        <v>546.03219999999999</v>
      </c>
      <c r="V90" s="7" t="s">
        <v>85</v>
      </c>
      <c r="W90" s="11">
        <v>45861.645833333336</v>
      </c>
    </row>
    <row r="91" spans="1:23">
      <c r="A91" t="s">
        <v>84</v>
      </c>
      <c r="B91">
        <v>43</v>
      </c>
      <c r="C91" s="10">
        <v>45863</v>
      </c>
      <c r="D91" s="11">
        <v>45863.520833333336</v>
      </c>
      <c r="E91" s="11">
        <v>45863.520833333336</v>
      </c>
      <c r="F91" t="s">
        <v>106</v>
      </c>
      <c r="G91" t="s">
        <v>107</v>
      </c>
      <c r="H91">
        <v>1</v>
      </c>
      <c r="I91">
        <v>157</v>
      </c>
      <c r="J91" s="7">
        <v>635.00450000000001</v>
      </c>
      <c r="K91" s="7">
        <v>634.88155851819999</v>
      </c>
      <c r="L91" s="7">
        <v>631.31948773390002</v>
      </c>
      <c r="M91" s="7">
        <v>2.1279990999999998E-3</v>
      </c>
      <c r="N91" s="7">
        <v>634.08592780740003</v>
      </c>
      <c r="O91" s="7">
        <v>634.88155851819999</v>
      </c>
      <c r="P91" s="7">
        <v>631.31948773390002</v>
      </c>
      <c r="Q91" s="7">
        <v>1</v>
      </c>
      <c r="R91" s="7">
        <v>0</v>
      </c>
      <c r="S91" s="7">
        <v>0.54949999999999999</v>
      </c>
      <c r="T91" s="7">
        <v>0.157</v>
      </c>
      <c r="U91" s="7">
        <v>-0.70650000000000002</v>
      </c>
      <c r="V91" s="7" t="s">
        <v>86</v>
      </c>
      <c r="W91" s="11">
        <v>45863.5</v>
      </c>
    </row>
    <row r="92" spans="1:23">
      <c r="A92" t="s">
        <v>84</v>
      </c>
      <c r="B92">
        <v>43</v>
      </c>
      <c r="C92" s="10">
        <v>45863</v>
      </c>
      <c r="D92" s="11">
        <v>45863.666666666664</v>
      </c>
      <c r="E92" s="11">
        <v>45863.666666666664</v>
      </c>
      <c r="F92" t="s">
        <v>108</v>
      </c>
      <c r="G92" t="s">
        <v>109</v>
      </c>
      <c r="H92">
        <v>1</v>
      </c>
      <c r="I92">
        <v>157</v>
      </c>
      <c r="J92" s="7">
        <v>635.33839999999998</v>
      </c>
      <c r="K92" s="7">
        <v>635.48523126120006</v>
      </c>
      <c r="L92" s="7">
        <v>630.71664169780001</v>
      </c>
      <c r="M92" s="7">
        <v>3.0808656000000001E-3</v>
      </c>
      <c r="N92" s="7">
        <v>634.79679535809998</v>
      </c>
      <c r="O92" s="7">
        <v>635.48523126120006</v>
      </c>
      <c r="P92" s="7">
        <v>630.71664169780001</v>
      </c>
      <c r="Q92" s="7">
        <v>1</v>
      </c>
      <c r="R92" s="7">
        <v>52.4223</v>
      </c>
      <c r="S92" s="7">
        <v>0.54949999999999999</v>
      </c>
      <c r="T92" s="7">
        <v>0.157</v>
      </c>
      <c r="U92" s="7">
        <v>51.715800000000002</v>
      </c>
      <c r="V92" s="7" t="s">
        <v>85</v>
      </c>
      <c r="W92" s="11">
        <v>45863.645833333336</v>
      </c>
    </row>
    <row r="93" spans="1:23">
      <c r="A93" t="s">
        <v>84</v>
      </c>
      <c r="B93">
        <v>44</v>
      </c>
      <c r="C93" s="10">
        <v>45867</v>
      </c>
      <c r="D93" s="11">
        <v>45867.479166666664</v>
      </c>
      <c r="E93" s="11">
        <v>45867.479166666664</v>
      </c>
      <c r="F93" t="s">
        <v>106</v>
      </c>
      <c r="G93" t="s">
        <v>109</v>
      </c>
      <c r="H93">
        <v>-1</v>
      </c>
      <c r="I93">
        <v>157</v>
      </c>
      <c r="J93" s="7">
        <v>633.48360000000002</v>
      </c>
      <c r="K93" s="7">
        <v>637.21822542519999</v>
      </c>
      <c r="L93" s="7">
        <v>634.2182036506</v>
      </c>
      <c r="M93" s="7">
        <v>1.5123243000000001E-3</v>
      </c>
      <c r="N93" s="7">
        <v>635.20084299730001</v>
      </c>
      <c r="O93" s="7">
        <v>637.21822542519999</v>
      </c>
      <c r="P93" s="7">
        <v>634.2182036506</v>
      </c>
      <c r="Q93" s="7">
        <v>1</v>
      </c>
      <c r="R93" s="7">
        <v>0</v>
      </c>
      <c r="S93" s="7">
        <v>0.54949999999999999</v>
      </c>
      <c r="T93" s="7">
        <v>0.157</v>
      </c>
      <c r="U93" s="7">
        <v>-0.70650000000000002</v>
      </c>
      <c r="V93" s="7" t="s">
        <v>86</v>
      </c>
      <c r="W93" s="11">
        <v>45867.458333333336</v>
      </c>
    </row>
    <row r="94" spans="1:23">
      <c r="A94" t="s">
        <v>84</v>
      </c>
      <c r="B94">
        <v>44</v>
      </c>
      <c r="C94" s="10">
        <v>45867</v>
      </c>
      <c r="D94" s="11">
        <v>45867.666666666664</v>
      </c>
      <c r="E94" s="11">
        <v>45867.666666666664</v>
      </c>
      <c r="F94" t="s">
        <v>108</v>
      </c>
      <c r="G94" t="s">
        <v>107</v>
      </c>
      <c r="H94">
        <v>-1</v>
      </c>
      <c r="I94">
        <v>157</v>
      </c>
      <c r="J94" s="7">
        <v>633.50360000000001</v>
      </c>
      <c r="K94" s="7">
        <v>638.14583741570004</v>
      </c>
      <c r="L94" s="7">
        <v>633.29216213430004</v>
      </c>
      <c r="M94" s="7">
        <v>2.9702469E-3</v>
      </c>
      <c r="N94" s="7">
        <v>634.25546008590004</v>
      </c>
      <c r="O94" s="7">
        <v>638.14583741570004</v>
      </c>
      <c r="P94" s="7">
        <v>633.29216213430004</v>
      </c>
      <c r="Q94" s="7">
        <v>1</v>
      </c>
      <c r="R94" s="7">
        <v>-3.14</v>
      </c>
      <c r="S94" s="7">
        <v>0.54949999999999999</v>
      </c>
      <c r="T94" s="7">
        <v>0.157</v>
      </c>
      <c r="U94" s="7">
        <v>-3.8464999999999998</v>
      </c>
      <c r="V94" s="7" t="s">
        <v>85</v>
      </c>
      <c r="W94" s="11">
        <v>45867.645833333336</v>
      </c>
    </row>
    <row r="95" spans="1:23">
      <c r="A95" t="s">
        <v>84</v>
      </c>
      <c r="B95">
        <v>45</v>
      </c>
      <c r="C95" s="10">
        <v>45868</v>
      </c>
      <c r="D95" s="11">
        <v>45868.4375</v>
      </c>
      <c r="E95" s="11">
        <v>45868.4375</v>
      </c>
      <c r="F95" t="s">
        <v>106</v>
      </c>
      <c r="G95" t="s">
        <v>107</v>
      </c>
      <c r="H95">
        <v>1</v>
      </c>
      <c r="I95">
        <v>157</v>
      </c>
      <c r="J95" s="7">
        <v>634.6105</v>
      </c>
      <c r="K95" s="7">
        <v>634.44776607680001</v>
      </c>
      <c r="L95" s="7">
        <v>633.00838468330005</v>
      </c>
      <c r="M95" s="7">
        <v>7.8155100000000001E-4</v>
      </c>
      <c r="N95" s="7">
        <v>634.19817326190002</v>
      </c>
      <c r="O95" s="7">
        <v>634.44776607680001</v>
      </c>
      <c r="P95" s="7">
        <v>633.00838468330005</v>
      </c>
      <c r="Q95" s="7">
        <v>1</v>
      </c>
      <c r="R95" s="7">
        <v>0</v>
      </c>
      <c r="S95" s="7">
        <v>0.54949999999999999</v>
      </c>
      <c r="T95" s="7">
        <v>0.157</v>
      </c>
      <c r="U95" s="7">
        <v>-0.70650000000000002</v>
      </c>
      <c r="V95" s="7" t="s">
        <v>86</v>
      </c>
      <c r="W95" s="11">
        <v>45868.416666666664</v>
      </c>
    </row>
    <row r="96" spans="1:23">
      <c r="A96" t="s">
        <v>84</v>
      </c>
      <c r="B96">
        <v>45</v>
      </c>
      <c r="C96" s="10">
        <v>45868</v>
      </c>
      <c r="D96" s="11">
        <v>45868.625</v>
      </c>
      <c r="E96" s="11">
        <v>45868.625</v>
      </c>
      <c r="F96" t="s">
        <v>108</v>
      </c>
      <c r="G96" t="s">
        <v>109</v>
      </c>
      <c r="H96">
        <v>1</v>
      </c>
      <c r="I96">
        <v>157</v>
      </c>
      <c r="J96" s="7">
        <v>630.98050000000001</v>
      </c>
      <c r="K96" s="7">
        <v>635.94832371769996</v>
      </c>
      <c r="L96" s="7">
        <v>631.50888934679995</v>
      </c>
      <c r="M96" s="7">
        <v>3.1485393000000002E-3</v>
      </c>
      <c r="N96" s="7">
        <v>633.4921286407</v>
      </c>
      <c r="O96" s="7">
        <v>635.94832371769996</v>
      </c>
      <c r="P96" s="7">
        <v>631.50888934679995</v>
      </c>
      <c r="Q96" s="7">
        <v>1</v>
      </c>
      <c r="R96" s="7">
        <v>-569.91</v>
      </c>
      <c r="S96" s="7">
        <v>0.54949999999999999</v>
      </c>
      <c r="T96" s="7">
        <v>0.157</v>
      </c>
      <c r="U96" s="7">
        <v>-570.61649999999997</v>
      </c>
      <c r="V96" s="7" t="s">
        <v>86</v>
      </c>
      <c r="W96" s="11">
        <v>45868.604166666664</v>
      </c>
    </row>
    <row r="97" spans="1:23">
      <c r="A97" t="s">
        <v>84</v>
      </c>
      <c r="B97">
        <v>46</v>
      </c>
      <c r="C97" s="10">
        <v>45868</v>
      </c>
      <c r="D97" s="11">
        <v>45868.625</v>
      </c>
      <c r="E97" s="11">
        <v>45868.625</v>
      </c>
      <c r="F97" t="s">
        <v>106</v>
      </c>
      <c r="G97" t="s">
        <v>109</v>
      </c>
      <c r="H97">
        <v>-1</v>
      </c>
      <c r="I97">
        <v>157</v>
      </c>
      <c r="J97" s="7">
        <v>630.98050000000001</v>
      </c>
      <c r="K97" s="7">
        <v>635.94832371769996</v>
      </c>
      <c r="L97" s="7">
        <v>631.50888934679995</v>
      </c>
      <c r="M97" s="7">
        <v>3.1485393000000002E-3</v>
      </c>
      <c r="N97" s="7">
        <v>633.4921286407</v>
      </c>
      <c r="O97" s="7">
        <v>635.94832371769996</v>
      </c>
      <c r="P97" s="7">
        <v>631.50888934679995</v>
      </c>
      <c r="Q97" s="7">
        <v>1</v>
      </c>
      <c r="R97" s="7">
        <v>0</v>
      </c>
      <c r="S97" s="7">
        <v>0.54949999999999999</v>
      </c>
      <c r="T97" s="7">
        <v>0.157</v>
      </c>
      <c r="U97" s="7">
        <v>-0.70650000000000002</v>
      </c>
      <c r="V97" s="7" t="s">
        <v>86</v>
      </c>
      <c r="W97" s="11">
        <v>45868.604166666664</v>
      </c>
    </row>
    <row r="98" spans="1:23">
      <c r="A98" t="s">
        <v>84</v>
      </c>
      <c r="B98">
        <v>46</v>
      </c>
      <c r="C98" s="10">
        <v>45868</v>
      </c>
      <c r="D98" s="11">
        <v>45868.666666666664</v>
      </c>
      <c r="E98" s="11">
        <v>45868.666666666664</v>
      </c>
      <c r="F98" t="s">
        <v>108</v>
      </c>
      <c r="G98" t="s">
        <v>107</v>
      </c>
      <c r="H98">
        <v>-1</v>
      </c>
      <c r="I98">
        <v>157</v>
      </c>
      <c r="J98" s="7">
        <v>632.70579999999995</v>
      </c>
      <c r="K98" s="7">
        <v>636.01812601159997</v>
      </c>
      <c r="L98" s="7">
        <v>631.43913646860005</v>
      </c>
      <c r="M98" s="7">
        <v>3.2586458E-3</v>
      </c>
      <c r="N98" s="7">
        <v>632.77469066419997</v>
      </c>
      <c r="O98" s="7">
        <v>636.01812601159997</v>
      </c>
      <c r="P98" s="7">
        <v>631.43913646860005</v>
      </c>
      <c r="Q98" s="7">
        <v>1</v>
      </c>
      <c r="R98" s="7">
        <v>-270.87209999999999</v>
      </c>
      <c r="S98" s="7">
        <v>0.54949999999999999</v>
      </c>
      <c r="T98" s="7">
        <v>0.157</v>
      </c>
      <c r="U98" s="7">
        <v>-271.57859999999999</v>
      </c>
      <c r="V98" s="7" t="s">
        <v>85</v>
      </c>
      <c r="W98" s="11">
        <v>45868.645833333336</v>
      </c>
    </row>
    <row r="99" spans="1:23">
      <c r="A99" t="s">
        <v>84</v>
      </c>
      <c r="B99">
        <v>47</v>
      </c>
      <c r="C99" s="10">
        <v>45874</v>
      </c>
      <c r="D99" s="11">
        <v>45874.4375</v>
      </c>
      <c r="E99" s="11">
        <v>45874.4375</v>
      </c>
      <c r="F99" t="s">
        <v>106</v>
      </c>
      <c r="G99" t="s">
        <v>109</v>
      </c>
      <c r="H99">
        <v>-1</v>
      </c>
      <c r="I99">
        <v>157</v>
      </c>
      <c r="J99" s="7">
        <v>628.10850000000005</v>
      </c>
      <c r="K99" s="7">
        <v>630.14410782050004</v>
      </c>
      <c r="L99" s="7">
        <v>628.77546429059998</v>
      </c>
      <c r="M99" s="7">
        <v>1.0316335000000001E-3</v>
      </c>
      <c r="N99" s="7">
        <v>628.7967247025</v>
      </c>
      <c r="O99" s="7">
        <v>630.14410782050004</v>
      </c>
      <c r="P99" s="7">
        <v>628.77546429059998</v>
      </c>
      <c r="Q99" s="7">
        <v>1</v>
      </c>
      <c r="R99" s="7">
        <v>0</v>
      </c>
      <c r="S99" s="7">
        <v>0.54949999999999999</v>
      </c>
      <c r="T99" s="7">
        <v>0.157</v>
      </c>
      <c r="U99" s="7">
        <v>-0.70650000000000002</v>
      </c>
      <c r="V99" s="7" t="s">
        <v>86</v>
      </c>
      <c r="W99" s="11">
        <v>45874.416666666664</v>
      </c>
    </row>
    <row r="100" spans="1:23">
      <c r="A100" t="s">
        <v>84</v>
      </c>
      <c r="B100">
        <v>47</v>
      </c>
      <c r="C100" s="10">
        <v>45874</v>
      </c>
      <c r="D100" s="11">
        <v>45874.666666666664</v>
      </c>
      <c r="E100" s="11">
        <v>45874.666666666664</v>
      </c>
      <c r="F100" t="s">
        <v>108</v>
      </c>
      <c r="G100" t="s">
        <v>107</v>
      </c>
      <c r="H100">
        <v>-1</v>
      </c>
      <c r="I100">
        <v>157</v>
      </c>
      <c r="J100" s="7">
        <v>626.2337</v>
      </c>
      <c r="K100" s="7">
        <v>631.72126262749998</v>
      </c>
      <c r="L100" s="7">
        <v>627.19848461319998</v>
      </c>
      <c r="M100" s="7">
        <v>3.5370633000000001E-3</v>
      </c>
      <c r="N100" s="7">
        <v>627.11433180029996</v>
      </c>
      <c r="O100" s="7">
        <v>631.72126262749998</v>
      </c>
      <c r="P100" s="7">
        <v>627.11433180029996</v>
      </c>
      <c r="Q100" s="7">
        <v>1</v>
      </c>
      <c r="R100" s="7">
        <v>294.34359999999998</v>
      </c>
      <c r="S100" s="7">
        <v>0.54949999999999999</v>
      </c>
      <c r="T100" s="7">
        <v>0.157</v>
      </c>
      <c r="U100" s="7">
        <v>293.63709999999998</v>
      </c>
      <c r="V100" s="7" t="s">
        <v>85</v>
      </c>
      <c r="W100" s="11">
        <v>45874.645833333336</v>
      </c>
    </row>
    <row r="101" spans="1:23">
      <c r="A101" t="s">
        <v>84</v>
      </c>
      <c r="B101">
        <v>48</v>
      </c>
      <c r="C101" s="10">
        <v>45875</v>
      </c>
      <c r="D101" s="11">
        <v>45875.458333333336</v>
      </c>
      <c r="E101" s="11">
        <v>45875.458333333336</v>
      </c>
      <c r="F101" t="s">
        <v>106</v>
      </c>
      <c r="G101" t="s">
        <v>107</v>
      </c>
      <c r="H101">
        <v>1</v>
      </c>
      <c r="I101">
        <v>158</v>
      </c>
      <c r="J101" s="7">
        <v>629.23540000000003</v>
      </c>
      <c r="K101" s="7">
        <v>628.21444655499999</v>
      </c>
      <c r="L101" s="7">
        <v>625.23181714700002</v>
      </c>
      <c r="M101" s="7">
        <v>1.5996952E-3</v>
      </c>
      <c r="N101" s="7">
        <v>627.68212717480003</v>
      </c>
      <c r="O101" s="7">
        <v>628.21444655499999</v>
      </c>
      <c r="P101" s="7">
        <v>625.23181714700002</v>
      </c>
      <c r="Q101" s="7">
        <v>1</v>
      </c>
      <c r="R101" s="7">
        <v>0</v>
      </c>
      <c r="S101" s="7">
        <v>0.55300000000000005</v>
      </c>
      <c r="T101" s="7">
        <v>0.158</v>
      </c>
      <c r="U101" s="7">
        <v>-0.71099999999999997</v>
      </c>
      <c r="V101" s="7" t="s">
        <v>86</v>
      </c>
      <c r="W101" s="11">
        <v>45875.4375</v>
      </c>
    </row>
    <row r="102" spans="1:23">
      <c r="A102" t="s">
        <v>84</v>
      </c>
      <c r="B102">
        <v>48</v>
      </c>
      <c r="C102" s="10">
        <v>45875</v>
      </c>
      <c r="D102" s="11">
        <v>45875.666666666664</v>
      </c>
      <c r="E102" s="11">
        <v>45875.666666666664</v>
      </c>
      <c r="F102" t="s">
        <v>108</v>
      </c>
      <c r="G102" t="s">
        <v>109</v>
      </c>
      <c r="H102">
        <v>1</v>
      </c>
      <c r="I102">
        <v>158</v>
      </c>
      <c r="J102" s="7">
        <v>631.03049999999996</v>
      </c>
      <c r="K102" s="7">
        <v>629.50538296349998</v>
      </c>
      <c r="L102" s="7">
        <v>623.94289264539998</v>
      </c>
      <c r="M102" s="7">
        <v>3.6579119000000001E-3</v>
      </c>
      <c r="N102" s="7">
        <v>629.89443884529999</v>
      </c>
      <c r="O102" s="7">
        <v>629.89443884529999</v>
      </c>
      <c r="P102" s="7">
        <v>623.94289264539998</v>
      </c>
      <c r="Q102" s="7">
        <v>1</v>
      </c>
      <c r="R102" s="7">
        <v>283.62580000000003</v>
      </c>
      <c r="S102" s="7">
        <v>0.55300000000000005</v>
      </c>
      <c r="T102" s="7">
        <v>0.158</v>
      </c>
      <c r="U102" s="7">
        <v>282.91480000000001</v>
      </c>
      <c r="V102" s="7" t="s">
        <v>85</v>
      </c>
      <c r="W102" s="11">
        <v>45875.645833333336</v>
      </c>
    </row>
    <row r="103" spans="1:23">
      <c r="A103" t="s">
        <v>84</v>
      </c>
      <c r="B103">
        <v>49</v>
      </c>
      <c r="C103" s="10">
        <v>45876</v>
      </c>
      <c r="D103" s="11">
        <v>45876.541666666664</v>
      </c>
      <c r="E103" s="11">
        <v>45876.541666666664</v>
      </c>
      <c r="F103" t="s">
        <v>106</v>
      </c>
      <c r="G103" t="s">
        <v>109</v>
      </c>
      <c r="H103">
        <v>-1</v>
      </c>
      <c r="I103">
        <v>156</v>
      </c>
      <c r="J103" s="7">
        <v>629.49469999999997</v>
      </c>
      <c r="K103" s="7">
        <v>636.20115968289997</v>
      </c>
      <c r="L103" s="7">
        <v>629.63746097190005</v>
      </c>
      <c r="M103" s="7">
        <v>2.2072458999999999E-3</v>
      </c>
      <c r="N103" s="7">
        <v>631.56682644049999</v>
      </c>
      <c r="O103" s="7">
        <v>636.20115968289997</v>
      </c>
      <c r="P103" s="7">
        <v>629.63746097190005</v>
      </c>
      <c r="Q103" s="7">
        <v>1</v>
      </c>
      <c r="R103" s="7">
        <v>0</v>
      </c>
      <c r="S103" s="7">
        <v>0.54600000000000004</v>
      </c>
      <c r="T103" s="7">
        <v>0.156</v>
      </c>
      <c r="U103" s="7">
        <v>-0.70199999999999996</v>
      </c>
      <c r="V103" s="7" t="s">
        <v>86</v>
      </c>
      <c r="W103" s="11">
        <v>45876.520833333336</v>
      </c>
    </row>
    <row r="104" spans="1:23">
      <c r="A104" t="s">
        <v>84</v>
      </c>
      <c r="B104">
        <v>49</v>
      </c>
      <c r="C104" s="10">
        <v>45876</v>
      </c>
      <c r="D104" s="11">
        <v>45876.666666666664</v>
      </c>
      <c r="E104" s="11">
        <v>45876.666666666664</v>
      </c>
      <c r="F104" t="s">
        <v>108</v>
      </c>
      <c r="G104" t="s">
        <v>107</v>
      </c>
      <c r="H104">
        <v>-1</v>
      </c>
      <c r="I104">
        <v>156</v>
      </c>
      <c r="J104" s="7">
        <v>630.50189999999998</v>
      </c>
      <c r="K104" s="7">
        <v>637.24094611839996</v>
      </c>
      <c r="L104" s="7">
        <v>628.6038492102</v>
      </c>
      <c r="M104" s="7">
        <v>3.8452207000000001E-3</v>
      </c>
      <c r="N104" s="7">
        <v>630.54592956390002</v>
      </c>
      <c r="O104" s="7">
        <v>637.24094611839996</v>
      </c>
      <c r="P104" s="7">
        <v>628.6038492102</v>
      </c>
      <c r="Q104" s="7">
        <v>1</v>
      </c>
      <c r="R104" s="7">
        <v>-157.1232</v>
      </c>
      <c r="S104" s="7">
        <v>0.54600000000000004</v>
      </c>
      <c r="T104" s="7">
        <v>0.156</v>
      </c>
      <c r="U104" s="7">
        <v>-157.8252</v>
      </c>
      <c r="V104" s="7" t="s">
        <v>85</v>
      </c>
      <c r="W104" s="11">
        <v>45876.645833333336</v>
      </c>
    </row>
    <row r="105" spans="1:23">
      <c r="A105" t="s">
        <v>84</v>
      </c>
      <c r="B105">
        <v>50</v>
      </c>
      <c r="C105" s="10">
        <v>45881</v>
      </c>
      <c r="D105" s="11">
        <v>45881.4375</v>
      </c>
      <c r="E105" s="11">
        <v>45881.4375</v>
      </c>
      <c r="F105" t="s">
        <v>106</v>
      </c>
      <c r="G105" t="s">
        <v>107</v>
      </c>
      <c r="H105">
        <v>1</v>
      </c>
      <c r="I105">
        <v>156</v>
      </c>
      <c r="J105" s="7">
        <v>637.56230000000005</v>
      </c>
      <c r="K105" s="7">
        <v>636.19278418809995</v>
      </c>
      <c r="L105" s="7">
        <v>633.3787548821</v>
      </c>
      <c r="M105" s="7">
        <v>1.2346143000000001E-3</v>
      </c>
      <c r="N105" s="7">
        <v>636.13115499410003</v>
      </c>
      <c r="O105" s="7">
        <v>636.19278418809995</v>
      </c>
      <c r="P105" s="7">
        <v>633.3787548821</v>
      </c>
      <c r="Q105" s="7">
        <v>1</v>
      </c>
      <c r="R105" s="7">
        <v>0</v>
      </c>
      <c r="S105" s="7">
        <v>0.54600000000000004</v>
      </c>
      <c r="T105" s="7">
        <v>0.156</v>
      </c>
      <c r="U105" s="7">
        <v>-0.70199999999999996</v>
      </c>
      <c r="V105" s="7" t="s">
        <v>86</v>
      </c>
      <c r="W105" s="11">
        <v>45881.416666666664</v>
      </c>
    </row>
    <row r="106" spans="1:23">
      <c r="A106" t="s">
        <v>84</v>
      </c>
      <c r="B106">
        <v>50</v>
      </c>
      <c r="C106" s="10">
        <v>45881</v>
      </c>
      <c r="D106" s="11">
        <v>45881.666666666664</v>
      </c>
      <c r="E106" s="11">
        <v>45881.666666666664</v>
      </c>
      <c r="F106" t="s">
        <v>108</v>
      </c>
      <c r="G106" t="s">
        <v>109</v>
      </c>
      <c r="H106">
        <v>1</v>
      </c>
      <c r="I106">
        <v>156</v>
      </c>
      <c r="J106" s="7">
        <v>640.91300000000001</v>
      </c>
      <c r="K106" s="7">
        <v>637.95765260630003</v>
      </c>
      <c r="L106" s="7">
        <v>631.61734893829998</v>
      </c>
      <c r="M106" s="7">
        <v>4.0121486999999999E-3</v>
      </c>
      <c r="N106" s="7">
        <v>638.87106395199999</v>
      </c>
      <c r="O106" s="7">
        <v>638.87106395199999</v>
      </c>
      <c r="P106" s="7">
        <v>631.61734893829998</v>
      </c>
      <c r="Q106" s="7">
        <v>1</v>
      </c>
      <c r="R106" s="7">
        <v>522.70920000000001</v>
      </c>
      <c r="S106" s="7">
        <v>0.54600000000000004</v>
      </c>
      <c r="T106" s="7">
        <v>0.156</v>
      </c>
      <c r="U106" s="7">
        <v>522.00720000000001</v>
      </c>
      <c r="V106" s="7" t="s">
        <v>85</v>
      </c>
      <c r="W106" s="11">
        <v>45881.645833333336</v>
      </c>
    </row>
    <row r="107" spans="1:23">
      <c r="A107" t="s">
        <v>84</v>
      </c>
      <c r="B107">
        <v>51</v>
      </c>
      <c r="C107" s="10">
        <v>45888</v>
      </c>
      <c r="D107" s="11">
        <v>45888.458333333336</v>
      </c>
      <c r="E107" s="11">
        <v>45888.458333333336</v>
      </c>
      <c r="F107" t="s">
        <v>106</v>
      </c>
      <c r="G107" t="s">
        <v>109</v>
      </c>
      <c r="H107">
        <v>-1</v>
      </c>
      <c r="I107">
        <v>156</v>
      </c>
      <c r="J107" s="7">
        <v>639.48199999999997</v>
      </c>
      <c r="K107" s="7">
        <v>642.97805377170005</v>
      </c>
      <c r="L107" s="7">
        <v>639.64669723099996</v>
      </c>
      <c r="M107" s="7">
        <v>2.2707801000000001E-3</v>
      </c>
      <c r="N107" s="7">
        <v>640.58670796989998</v>
      </c>
      <c r="O107" s="7">
        <v>642.97805377170005</v>
      </c>
      <c r="P107" s="7">
        <v>639.64669723099996</v>
      </c>
      <c r="Q107" s="7">
        <v>1</v>
      </c>
      <c r="R107" s="7">
        <v>0</v>
      </c>
      <c r="S107" s="7">
        <v>0.54600000000000004</v>
      </c>
      <c r="T107" s="7">
        <v>0.156</v>
      </c>
      <c r="U107" s="7">
        <v>-0.70199999999999996</v>
      </c>
      <c r="V107" s="7" t="s">
        <v>86</v>
      </c>
      <c r="W107" s="11">
        <v>45888.4375</v>
      </c>
    </row>
    <row r="108" spans="1:23">
      <c r="A108" t="s">
        <v>84</v>
      </c>
      <c r="B108">
        <v>51</v>
      </c>
      <c r="C108" s="10">
        <v>45888</v>
      </c>
      <c r="D108" s="11">
        <v>45888.666666666664</v>
      </c>
      <c r="E108" s="11">
        <v>45888.666666666664</v>
      </c>
      <c r="F108" t="s">
        <v>108</v>
      </c>
      <c r="G108" t="s">
        <v>107</v>
      </c>
      <c r="H108">
        <v>-1</v>
      </c>
      <c r="I108">
        <v>156</v>
      </c>
      <c r="J108" s="7">
        <v>638.04100000000005</v>
      </c>
      <c r="K108" s="7">
        <v>643.92192114579996</v>
      </c>
      <c r="L108" s="7">
        <v>638.70344603540002</v>
      </c>
      <c r="M108" s="7">
        <v>3.7420754999999998E-3</v>
      </c>
      <c r="N108" s="7">
        <v>638.87439333769998</v>
      </c>
      <c r="O108" s="7">
        <v>643.92192114579996</v>
      </c>
      <c r="P108" s="7">
        <v>638.70344603540002</v>
      </c>
      <c r="Q108" s="7">
        <v>1</v>
      </c>
      <c r="R108" s="7">
        <v>224.79599999999999</v>
      </c>
      <c r="S108" s="7">
        <v>0.54600000000000004</v>
      </c>
      <c r="T108" s="7">
        <v>0.156</v>
      </c>
      <c r="U108" s="7">
        <v>224.09399999999999</v>
      </c>
      <c r="V108" s="7" t="s">
        <v>85</v>
      </c>
      <c r="W108" s="11">
        <v>45888.645833333336</v>
      </c>
    </row>
    <row r="109" spans="1:23">
      <c r="A109" t="s">
        <v>84</v>
      </c>
      <c r="B109">
        <v>52</v>
      </c>
      <c r="C109" s="10">
        <v>45889</v>
      </c>
      <c r="D109" s="11">
        <v>45889.4375</v>
      </c>
      <c r="E109" s="11">
        <v>45889.4375</v>
      </c>
      <c r="F109" t="s">
        <v>106</v>
      </c>
      <c r="G109" t="s">
        <v>109</v>
      </c>
      <c r="H109">
        <v>-1</v>
      </c>
      <c r="I109">
        <v>158</v>
      </c>
      <c r="J109" s="7">
        <v>632.18730000000005</v>
      </c>
      <c r="K109" s="7">
        <v>638.98867689320002</v>
      </c>
      <c r="L109" s="7">
        <v>632.61248835260005</v>
      </c>
      <c r="M109" s="7">
        <v>1.4852915000000001E-3</v>
      </c>
      <c r="N109" s="7">
        <v>632.98813804470001</v>
      </c>
      <c r="O109" s="7">
        <v>638.98867689320002</v>
      </c>
      <c r="P109" s="7">
        <v>632.61248835260005</v>
      </c>
      <c r="Q109" s="7">
        <v>1</v>
      </c>
      <c r="R109" s="7">
        <v>0</v>
      </c>
      <c r="S109" s="7">
        <v>0.55300000000000005</v>
      </c>
      <c r="T109" s="7">
        <v>0.158</v>
      </c>
      <c r="U109" s="7">
        <v>-0.71099999999999997</v>
      </c>
      <c r="V109" s="7" t="s">
        <v>86</v>
      </c>
      <c r="W109" s="11">
        <v>45889.416666666664</v>
      </c>
    </row>
    <row r="110" spans="1:23">
      <c r="A110" t="s">
        <v>84</v>
      </c>
      <c r="B110">
        <v>52</v>
      </c>
      <c r="C110" s="10">
        <v>45889</v>
      </c>
      <c r="D110" s="11">
        <v>45889.666666666664</v>
      </c>
      <c r="E110" s="11">
        <v>45889.666666666664</v>
      </c>
      <c r="F110" t="s">
        <v>108</v>
      </c>
      <c r="G110" t="s">
        <v>107</v>
      </c>
      <c r="H110">
        <v>-1</v>
      </c>
      <c r="I110">
        <v>158</v>
      </c>
      <c r="J110" s="7">
        <v>636.34569999999997</v>
      </c>
      <c r="K110" s="7">
        <v>640.55662194770002</v>
      </c>
      <c r="L110" s="7">
        <v>631.05557104299999</v>
      </c>
      <c r="M110" s="7">
        <v>3.9427276999999998E-3</v>
      </c>
      <c r="N110" s="7">
        <v>634.24204567139998</v>
      </c>
      <c r="O110" s="7">
        <v>640.55662194770002</v>
      </c>
      <c r="P110" s="7">
        <v>631.05557104299999</v>
      </c>
      <c r="Q110" s="7">
        <v>1</v>
      </c>
      <c r="R110" s="7">
        <v>-657.02719999999999</v>
      </c>
      <c r="S110" s="7">
        <v>0.55300000000000005</v>
      </c>
      <c r="T110" s="7">
        <v>0.158</v>
      </c>
      <c r="U110" s="7">
        <v>-657.73820000000001</v>
      </c>
      <c r="V110" s="7" t="s">
        <v>85</v>
      </c>
      <c r="W110" s="11">
        <v>45889.645833333336</v>
      </c>
    </row>
    <row r="111" spans="1:23">
      <c r="A111" t="s">
        <v>84</v>
      </c>
      <c r="B111">
        <v>53</v>
      </c>
      <c r="C111" s="10">
        <v>45891</v>
      </c>
      <c r="D111" s="11">
        <v>45891.4375</v>
      </c>
      <c r="E111" s="11">
        <v>45891.4375</v>
      </c>
      <c r="F111" t="s">
        <v>106</v>
      </c>
      <c r="G111" t="s">
        <v>107</v>
      </c>
      <c r="H111">
        <v>1</v>
      </c>
      <c r="I111">
        <v>156</v>
      </c>
      <c r="J111" s="7">
        <v>642.4683</v>
      </c>
      <c r="K111" s="7">
        <v>638.18155971919998</v>
      </c>
      <c r="L111" s="7">
        <v>632.76009953840003</v>
      </c>
      <c r="M111" s="7">
        <v>1.6292400999999999E-3</v>
      </c>
      <c r="N111" s="7">
        <v>640.98642363490001</v>
      </c>
      <c r="O111" s="7">
        <v>640.98642363490001</v>
      </c>
      <c r="P111" s="7">
        <v>632.76009953840003</v>
      </c>
      <c r="Q111" s="7">
        <v>1</v>
      </c>
      <c r="R111" s="7">
        <v>0</v>
      </c>
      <c r="S111" s="7">
        <v>0.54600000000000004</v>
      </c>
      <c r="T111" s="7">
        <v>0.156</v>
      </c>
      <c r="U111" s="7">
        <v>-0.70199999999999996</v>
      </c>
      <c r="V111" s="7" t="s">
        <v>86</v>
      </c>
      <c r="W111" s="11">
        <v>45891.416666666664</v>
      </c>
    </row>
    <row r="112" spans="1:23">
      <c r="A112" t="s">
        <v>84</v>
      </c>
      <c r="B112">
        <v>53</v>
      </c>
      <c r="C112" s="10">
        <v>45891</v>
      </c>
      <c r="D112" s="11">
        <v>45891.666666666664</v>
      </c>
      <c r="E112" s="11">
        <v>45891.666666666664</v>
      </c>
      <c r="F112" t="s">
        <v>108</v>
      </c>
      <c r="G112" t="s">
        <v>109</v>
      </c>
      <c r="H112">
        <v>1</v>
      </c>
      <c r="I112">
        <v>156</v>
      </c>
      <c r="J112" s="7">
        <v>643.5258</v>
      </c>
      <c r="K112" s="7">
        <v>639.3268022538</v>
      </c>
      <c r="L112" s="7">
        <v>631.62087994629997</v>
      </c>
      <c r="M112" s="7">
        <v>3.4267041000000001E-3</v>
      </c>
      <c r="N112" s="7">
        <v>642.81313309459995</v>
      </c>
      <c r="O112" s="7">
        <v>642.81313309459995</v>
      </c>
      <c r="P112" s="7">
        <v>631.62087994629997</v>
      </c>
      <c r="Q112" s="7">
        <v>1</v>
      </c>
      <c r="R112" s="7">
        <v>164.97</v>
      </c>
      <c r="S112" s="7">
        <v>0.54600000000000004</v>
      </c>
      <c r="T112" s="7">
        <v>0.156</v>
      </c>
      <c r="U112" s="7">
        <v>164.268</v>
      </c>
      <c r="V112" s="7" t="s">
        <v>85</v>
      </c>
      <c r="W112" s="11">
        <v>45891.645833333336</v>
      </c>
    </row>
    <row r="113" spans="1:23">
      <c r="A113" t="s">
        <v>84</v>
      </c>
      <c r="B113">
        <v>54</v>
      </c>
      <c r="C113" s="10">
        <v>45897</v>
      </c>
      <c r="D113" s="11">
        <v>45897.604166666664</v>
      </c>
      <c r="E113" s="11">
        <v>45897.604166666664</v>
      </c>
      <c r="F113" t="s">
        <v>106</v>
      </c>
      <c r="G113" t="s">
        <v>107</v>
      </c>
      <c r="H113">
        <v>1</v>
      </c>
      <c r="I113">
        <v>154</v>
      </c>
      <c r="J113" s="7">
        <v>646.85659999999996</v>
      </c>
      <c r="K113" s="7">
        <v>646.62180719729997</v>
      </c>
      <c r="L113" s="7">
        <v>642.49546134879995</v>
      </c>
      <c r="M113" s="7">
        <v>2.7600671000000002E-3</v>
      </c>
      <c r="N113" s="7">
        <v>645.2110495595</v>
      </c>
      <c r="O113" s="7">
        <v>646.62180719729997</v>
      </c>
      <c r="P113" s="7">
        <v>642.49546134879995</v>
      </c>
      <c r="Q113" s="7">
        <v>1</v>
      </c>
      <c r="R113" s="7">
        <v>0</v>
      </c>
      <c r="S113" s="7">
        <v>0.53900000000000003</v>
      </c>
      <c r="T113" s="7">
        <v>0.154</v>
      </c>
      <c r="U113" s="7">
        <v>-0.69299999999999995</v>
      </c>
      <c r="V113" s="7" t="s">
        <v>86</v>
      </c>
      <c r="W113" s="11">
        <v>45897.583333333336</v>
      </c>
    </row>
    <row r="114" spans="1:23">
      <c r="A114" t="s">
        <v>84</v>
      </c>
      <c r="B114">
        <v>54</v>
      </c>
      <c r="C114" s="10">
        <v>45897</v>
      </c>
      <c r="D114" s="11">
        <v>45897.666666666664</v>
      </c>
      <c r="E114" s="11">
        <v>45897.666666666664</v>
      </c>
      <c r="F114" t="s">
        <v>108</v>
      </c>
      <c r="G114" t="s">
        <v>109</v>
      </c>
      <c r="H114">
        <v>1</v>
      </c>
      <c r="I114">
        <v>154</v>
      </c>
      <c r="J114" s="7">
        <v>647.12580000000003</v>
      </c>
      <c r="K114" s="7">
        <v>646.95155300210001</v>
      </c>
      <c r="L114" s="7">
        <v>642.1660061494</v>
      </c>
      <c r="M114" s="7">
        <v>3.2714262000000001E-3</v>
      </c>
      <c r="N114" s="7">
        <v>645.90020434899998</v>
      </c>
      <c r="O114" s="7">
        <v>646.95155300210001</v>
      </c>
      <c r="P114" s="7">
        <v>642.1660061494</v>
      </c>
      <c r="Q114" s="7">
        <v>1</v>
      </c>
      <c r="R114" s="7">
        <v>41.456800000000001</v>
      </c>
      <c r="S114" s="7">
        <v>0.53900000000000003</v>
      </c>
      <c r="T114" s="7">
        <v>0.154</v>
      </c>
      <c r="U114" s="7">
        <v>40.763800000000003</v>
      </c>
      <c r="V114" s="7" t="s">
        <v>85</v>
      </c>
      <c r="W114" s="11">
        <v>45897.645833333336</v>
      </c>
    </row>
    <row r="115" spans="1:23">
      <c r="A115" t="s">
        <v>84</v>
      </c>
      <c r="B115">
        <v>55</v>
      </c>
      <c r="C115" s="10">
        <v>45898</v>
      </c>
      <c r="D115" s="11">
        <v>45898.458333333336</v>
      </c>
      <c r="E115" s="11">
        <v>45898.458333333336</v>
      </c>
      <c r="F115" t="s">
        <v>106</v>
      </c>
      <c r="G115" t="s">
        <v>109</v>
      </c>
      <c r="H115">
        <v>-1</v>
      </c>
      <c r="I115">
        <v>155</v>
      </c>
      <c r="J115" s="7">
        <v>641.95510000000002</v>
      </c>
      <c r="K115" s="7">
        <v>648.66819449549996</v>
      </c>
      <c r="L115" s="7">
        <v>642.17844052279997</v>
      </c>
      <c r="M115" s="7">
        <v>2.3836088E-3</v>
      </c>
      <c r="N115" s="7">
        <v>642.9827050463</v>
      </c>
      <c r="O115" s="7">
        <v>648.66819449549996</v>
      </c>
      <c r="P115" s="7">
        <v>642.17844052279997</v>
      </c>
      <c r="Q115" s="7">
        <v>1</v>
      </c>
      <c r="R115" s="7">
        <v>0</v>
      </c>
      <c r="S115" s="7">
        <v>0.54249999999999998</v>
      </c>
      <c r="T115" s="7">
        <v>0.155</v>
      </c>
      <c r="U115" s="7">
        <v>-0.69750000000000001</v>
      </c>
      <c r="V115" s="7" t="s">
        <v>86</v>
      </c>
      <c r="W115" s="11">
        <v>45898.4375</v>
      </c>
    </row>
    <row r="116" spans="1:23">
      <c r="A116" t="s">
        <v>84</v>
      </c>
      <c r="B116">
        <v>55</v>
      </c>
      <c r="C116" s="10">
        <v>45898</v>
      </c>
      <c r="D116" s="11">
        <v>45898.666666666664</v>
      </c>
      <c r="E116" s="11">
        <v>45898.666666666664</v>
      </c>
      <c r="F116" t="s">
        <v>108</v>
      </c>
      <c r="G116" t="s">
        <v>107</v>
      </c>
      <c r="H116">
        <v>-1</v>
      </c>
      <c r="I116">
        <v>155</v>
      </c>
      <c r="J116" s="7">
        <v>643.26649999999995</v>
      </c>
      <c r="K116" s="7">
        <v>649.3579460661</v>
      </c>
      <c r="L116" s="7">
        <v>641.49232665839997</v>
      </c>
      <c r="M116" s="7">
        <v>3.4494782999999998E-3</v>
      </c>
      <c r="N116" s="7">
        <v>642.9327725764</v>
      </c>
      <c r="O116" s="7">
        <v>649.3579460661</v>
      </c>
      <c r="P116" s="7">
        <v>641.49232665839997</v>
      </c>
      <c r="Q116" s="7">
        <v>1</v>
      </c>
      <c r="R116" s="7">
        <v>-203.267</v>
      </c>
      <c r="S116" s="7">
        <v>0.54249999999999998</v>
      </c>
      <c r="T116" s="7">
        <v>0.155</v>
      </c>
      <c r="U116" s="7">
        <v>-203.96449999999999</v>
      </c>
      <c r="V116" s="7" t="s">
        <v>85</v>
      </c>
      <c r="W116" s="11">
        <v>45898.645833333336</v>
      </c>
    </row>
    <row r="117" spans="1:23">
      <c r="A117" t="s">
        <v>84</v>
      </c>
      <c r="B117">
        <v>56</v>
      </c>
      <c r="C117" s="10">
        <v>45902</v>
      </c>
      <c r="D117" s="11">
        <v>45902.458333333336</v>
      </c>
      <c r="E117" s="11">
        <v>45902.458333333336</v>
      </c>
      <c r="F117" t="s">
        <v>106</v>
      </c>
      <c r="G117" t="s">
        <v>109</v>
      </c>
      <c r="H117">
        <v>-1</v>
      </c>
      <c r="I117">
        <v>156</v>
      </c>
      <c r="J117" s="7">
        <v>635.88699999999994</v>
      </c>
      <c r="K117" s="7">
        <v>644.85743672429999</v>
      </c>
      <c r="L117" s="7">
        <v>635.98537163360004</v>
      </c>
      <c r="M117" s="7">
        <v>2.4733714E-3</v>
      </c>
      <c r="N117" s="7">
        <v>637.24883816090005</v>
      </c>
      <c r="O117" s="7">
        <v>644.85743672429999</v>
      </c>
      <c r="P117" s="7">
        <v>635.98537163360004</v>
      </c>
      <c r="Q117" s="7">
        <v>1</v>
      </c>
      <c r="R117" s="7">
        <v>0</v>
      </c>
      <c r="S117" s="7">
        <v>0.54600000000000004</v>
      </c>
      <c r="T117" s="7">
        <v>0.156</v>
      </c>
      <c r="U117" s="7">
        <v>-0.70199999999999996</v>
      </c>
      <c r="V117" s="7" t="s">
        <v>86</v>
      </c>
      <c r="W117" s="11">
        <v>45902.4375</v>
      </c>
    </row>
    <row r="118" spans="1:23">
      <c r="A118" t="s">
        <v>84</v>
      </c>
      <c r="B118">
        <v>56</v>
      </c>
      <c r="C118" s="10">
        <v>45902</v>
      </c>
      <c r="D118" s="11">
        <v>45902.666666666664</v>
      </c>
      <c r="E118" s="11">
        <v>45902.666666666664</v>
      </c>
      <c r="F118" t="s">
        <v>108</v>
      </c>
      <c r="G118" t="s">
        <v>107</v>
      </c>
      <c r="H118">
        <v>-1</v>
      </c>
      <c r="I118">
        <v>156</v>
      </c>
      <c r="J118" s="7">
        <v>638.49980000000005</v>
      </c>
      <c r="K118" s="7">
        <v>645.38893572860002</v>
      </c>
      <c r="L118" s="7">
        <v>635.45858564319997</v>
      </c>
      <c r="M118" s="7">
        <v>3.2996216000000002E-3</v>
      </c>
      <c r="N118" s="7">
        <v>636.7630690236</v>
      </c>
      <c r="O118" s="7">
        <v>645.38893572860002</v>
      </c>
      <c r="P118" s="7">
        <v>635.45858564319997</v>
      </c>
      <c r="Q118" s="7">
        <v>1</v>
      </c>
      <c r="R118" s="7">
        <v>-407.59679999999997</v>
      </c>
      <c r="S118" s="7">
        <v>0.54600000000000004</v>
      </c>
      <c r="T118" s="7">
        <v>0.156</v>
      </c>
      <c r="U118" s="7">
        <v>-408.29880000000003</v>
      </c>
      <c r="V118" s="7" t="s">
        <v>85</v>
      </c>
      <c r="W118" s="11">
        <v>45902.645833333336</v>
      </c>
    </row>
    <row r="119" spans="1:23">
      <c r="A119" t="s">
        <v>84</v>
      </c>
      <c r="B119">
        <v>57</v>
      </c>
      <c r="C119" s="10">
        <v>45903</v>
      </c>
      <c r="D119" s="11">
        <v>45903.458333333336</v>
      </c>
      <c r="E119" s="11">
        <v>45903.458333333336</v>
      </c>
      <c r="F119" t="s">
        <v>106</v>
      </c>
      <c r="G119" t="s">
        <v>107</v>
      </c>
      <c r="H119">
        <v>1</v>
      </c>
      <c r="I119">
        <v>154</v>
      </c>
      <c r="J119" s="7">
        <v>642.20939999999996</v>
      </c>
      <c r="K119" s="7">
        <v>641.78915880500006</v>
      </c>
      <c r="L119" s="7">
        <v>636.99443773619998</v>
      </c>
      <c r="M119" s="7">
        <v>2.3573424999999999E-3</v>
      </c>
      <c r="N119" s="7">
        <v>640.83733642029995</v>
      </c>
      <c r="O119" s="7">
        <v>641.78915880500006</v>
      </c>
      <c r="P119" s="7">
        <v>636.99443773619998</v>
      </c>
      <c r="Q119" s="7">
        <v>1</v>
      </c>
      <c r="R119" s="7">
        <v>0</v>
      </c>
      <c r="S119" s="7">
        <v>0.53900000000000003</v>
      </c>
      <c r="T119" s="7">
        <v>0.154</v>
      </c>
      <c r="U119" s="7">
        <v>-0.69299999999999995</v>
      </c>
      <c r="V119" s="7" t="s">
        <v>86</v>
      </c>
      <c r="W119" s="11">
        <v>45903.4375</v>
      </c>
    </row>
    <row r="120" spans="1:23">
      <c r="A120" t="s">
        <v>84</v>
      </c>
      <c r="B120">
        <v>57</v>
      </c>
      <c r="C120" s="10">
        <v>45903</v>
      </c>
      <c r="D120" s="11">
        <v>45903.666666666664</v>
      </c>
      <c r="E120" s="11">
        <v>45903.666666666664</v>
      </c>
      <c r="F120" t="s">
        <v>108</v>
      </c>
      <c r="G120" t="s">
        <v>109</v>
      </c>
      <c r="H120">
        <v>1</v>
      </c>
      <c r="I120">
        <v>154</v>
      </c>
      <c r="J120" s="7">
        <v>641.96010000000001</v>
      </c>
      <c r="K120" s="7">
        <v>642.06352342989999</v>
      </c>
      <c r="L120" s="7">
        <v>636.72083594009996</v>
      </c>
      <c r="M120" s="7">
        <v>2.7858498999999998E-3</v>
      </c>
      <c r="N120" s="7">
        <v>640.6604367891</v>
      </c>
      <c r="O120" s="7">
        <v>642.06352342989999</v>
      </c>
      <c r="P120" s="7">
        <v>636.72083594009996</v>
      </c>
      <c r="Q120" s="7">
        <v>1</v>
      </c>
      <c r="R120" s="7">
        <v>-38.392200000000003</v>
      </c>
      <c r="S120" s="7">
        <v>0.53900000000000003</v>
      </c>
      <c r="T120" s="7">
        <v>0.154</v>
      </c>
      <c r="U120" s="7">
        <v>-39.0852</v>
      </c>
      <c r="V120" s="7" t="s">
        <v>85</v>
      </c>
      <c r="W120" s="11">
        <v>45903.645833333336</v>
      </c>
    </row>
    <row r="121" spans="1:23">
      <c r="A121" t="s">
        <v>84</v>
      </c>
      <c r="B121">
        <v>58</v>
      </c>
      <c r="C121" s="10">
        <v>45904</v>
      </c>
      <c r="D121" s="11">
        <v>45904.5625</v>
      </c>
      <c r="E121" s="11">
        <v>45904.5625</v>
      </c>
      <c r="F121" t="s">
        <v>106</v>
      </c>
      <c r="G121" t="s">
        <v>107</v>
      </c>
      <c r="H121">
        <v>1</v>
      </c>
      <c r="I121">
        <v>154</v>
      </c>
      <c r="J121" s="7">
        <v>645.09019999999998</v>
      </c>
      <c r="K121" s="7">
        <v>644.8428584536</v>
      </c>
      <c r="L121" s="7">
        <v>640.35552839369996</v>
      </c>
      <c r="M121" s="7">
        <v>2.4994880999999998E-3</v>
      </c>
      <c r="N121" s="7">
        <v>643.82850511369998</v>
      </c>
      <c r="O121" s="7">
        <v>644.8428584536</v>
      </c>
      <c r="P121" s="7">
        <v>640.35552839369996</v>
      </c>
      <c r="Q121" s="7">
        <v>1</v>
      </c>
      <c r="R121" s="7">
        <v>0</v>
      </c>
      <c r="S121" s="7">
        <v>0.53900000000000003</v>
      </c>
      <c r="T121" s="7">
        <v>0.154</v>
      </c>
      <c r="U121" s="7">
        <v>-0.69299999999999995</v>
      </c>
      <c r="V121" s="7" t="s">
        <v>86</v>
      </c>
      <c r="W121" s="11">
        <v>45904.541666666664</v>
      </c>
    </row>
    <row r="122" spans="1:23">
      <c r="A122" t="s">
        <v>84</v>
      </c>
      <c r="B122">
        <v>58</v>
      </c>
      <c r="C122" s="10">
        <v>45904</v>
      </c>
      <c r="D122" s="11">
        <v>45904.666666666664</v>
      </c>
      <c r="E122" s="11">
        <v>45904.666666666664</v>
      </c>
      <c r="F122" t="s">
        <v>108</v>
      </c>
      <c r="G122" t="s">
        <v>109</v>
      </c>
      <c r="H122">
        <v>1</v>
      </c>
      <c r="I122">
        <v>154</v>
      </c>
      <c r="J122" s="7">
        <v>647.32529999999997</v>
      </c>
      <c r="K122" s="7">
        <v>645.09781171839995</v>
      </c>
      <c r="L122" s="7">
        <v>640.10108048899997</v>
      </c>
      <c r="M122" s="7">
        <v>2.8958489999999998E-3</v>
      </c>
      <c r="N122" s="7">
        <v>645.11155126899996</v>
      </c>
      <c r="O122" s="7">
        <v>645.11155126899996</v>
      </c>
      <c r="P122" s="7">
        <v>640.10108048899997</v>
      </c>
      <c r="Q122" s="7">
        <v>1</v>
      </c>
      <c r="R122" s="7">
        <v>344.2054</v>
      </c>
      <c r="S122" s="7">
        <v>0.53900000000000003</v>
      </c>
      <c r="T122" s="7">
        <v>0.154</v>
      </c>
      <c r="U122" s="7">
        <v>343.51240000000001</v>
      </c>
      <c r="V122" s="7" t="s">
        <v>85</v>
      </c>
      <c r="W122" s="11">
        <v>45904.645833333336</v>
      </c>
    </row>
    <row r="123" spans="1:23">
      <c r="A123" t="s">
        <v>84</v>
      </c>
      <c r="B123">
        <v>59</v>
      </c>
      <c r="C123" s="10">
        <v>45905</v>
      </c>
      <c r="D123" s="11">
        <v>45905.4375</v>
      </c>
      <c r="E123" s="11">
        <v>45905.4375</v>
      </c>
      <c r="F123" t="s">
        <v>106</v>
      </c>
      <c r="G123" t="s">
        <v>109</v>
      </c>
      <c r="H123">
        <v>-1</v>
      </c>
      <c r="I123">
        <v>153</v>
      </c>
      <c r="J123" s="7">
        <v>644.71749999999997</v>
      </c>
      <c r="K123" s="7">
        <v>650.24699092130004</v>
      </c>
      <c r="L123" s="7">
        <v>646.34105046599996</v>
      </c>
      <c r="M123" s="7">
        <v>1.5203325000000001E-3</v>
      </c>
      <c r="N123" s="7">
        <v>646.97050796940005</v>
      </c>
      <c r="O123" s="7">
        <v>650.24699092130004</v>
      </c>
      <c r="P123" s="7">
        <v>646.34105046599996</v>
      </c>
      <c r="Q123" s="7">
        <v>1</v>
      </c>
      <c r="R123" s="7">
        <v>0</v>
      </c>
      <c r="S123" s="7">
        <v>0.53549999999999998</v>
      </c>
      <c r="T123" s="7">
        <v>0.153</v>
      </c>
      <c r="U123" s="7">
        <v>-0.6885</v>
      </c>
      <c r="V123" s="7" t="s">
        <v>86</v>
      </c>
      <c r="W123" s="11">
        <v>45905.416666666664</v>
      </c>
    </row>
    <row r="124" spans="1:23">
      <c r="A124" t="s">
        <v>84</v>
      </c>
      <c r="B124">
        <v>59</v>
      </c>
      <c r="C124" s="10">
        <v>45905</v>
      </c>
      <c r="D124" s="11">
        <v>45905.666666666664</v>
      </c>
      <c r="E124" s="11">
        <v>45905.666666666664</v>
      </c>
      <c r="F124" t="s">
        <v>108</v>
      </c>
      <c r="G124" t="s">
        <v>107</v>
      </c>
      <c r="H124">
        <v>-1</v>
      </c>
      <c r="I124">
        <v>153</v>
      </c>
      <c r="J124" s="7">
        <v>645.45039999999995</v>
      </c>
      <c r="K124" s="7">
        <v>651.37144159290006</v>
      </c>
      <c r="L124" s="7">
        <v>645.21995049370003</v>
      </c>
      <c r="M124" s="7">
        <v>3.2522286E-3</v>
      </c>
      <c r="N124" s="7">
        <v>644.93508787220003</v>
      </c>
      <c r="O124" s="7">
        <v>651.37144159290006</v>
      </c>
      <c r="P124" s="7">
        <v>644.93508787220003</v>
      </c>
      <c r="Q124" s="7">
        <v>1</v>
      </c>
      <c r="R124" s="7">
        <v>-112.1337</v>
      </c>
      <c r="S124" s="7">
        <v>0.53549999999999998</v>
      </c>
      <c r="T124" s="7">
        <v>0.153</v>
      </c>
      <c r="U124" s="7">
        <v>-112.8222</v>
      </c>
      <c r="V124" s="7" t="s">
        <v>85</v>
      </c>
      <c r="W124" s="11">
        <v>45905.645833333336</v>
      </c>
    </row>
    <row r="125" spans="1:23">
      <c r="A125" t="s">
        <v>84</v>
      </c>
      <c r="B125">
        <v>60</v>
      </c>
      <c r="C125" s="10">
        <v>45911</v>
      </c>
      <c r="D125" s="11">
        <v>45911.479166666664</v>
      </c>
      <c r="E125" s="11">
        <v>45911.479166666664</v>
      </c>
      <c r="F125" t="s">
        <v>106</v>
      </c>
      <c r="G125" t="s">
        <v>107</v>
      </c>
      <c r="H125">
        <v>1</v>
      </c>
      <c r="I125">
        <v>151</v>
      </c>
      <c r="J125" s="7">
        <v>655.63229999999999</v>
      </c>
      <c r="K125" s="7">
        <v>655.49247382520002</v>
      </c>
      <c r="L125" s="7">
        <v>648.72520455200004</v>
      </c>
      <c r="M125" s="7">
        <v>2.5851451000000001E-3</v>
      </c>
      <c r="N125" s="7">
        <v>654.40606447899995</v>
      </c>
      <c r="O125" s="7">
        <v>655.49247382520002</v>
      </c>
      <c r="P125" s="7">
        <v>648.72520455200004</v>
      </c>
      <c r="Q125" s="7">
        <v>1</v>
      </c>
      <c r="R125" s="7">
        <v>0</v>
      </c>
      <c r="S125" s="7">
        <v>0.52849999999999997</v>
      </c>
      <c r="T125" s="7">
        <v>0.151</v>
      </c>
      <c r="U125" s="7">
        <v>-0.67949999999999999</v>
      </c>
      <c r="V125" s="7" t="s">
        <v>86</v>
      </c>
      <c r="W125" s="11">
        <v>45911.458333333336</v>
      </c>
    </row>
    <row r="126" spans="1:23">
      <c r="A126" t="s">
        <v>84</v>
      </c>
      <c r="B126">
        <v>60</v>
      </c>
      <c r="C126" s="10">
        <v>45911</v>
      </c>
      <c r="D126" s="11">
        <v>45911.666666666664</v>
      </c>
      <c r="E126" s="11">
        <v>45911.666666666664</v>
      </c>
      <c r="F126" t="s">
        <v>108</v>
      </c>
      <c r="G126" t="s">
        <v>109</v>
      </c>
      <c r="H126">
        <v>1</v>
      </c>
      <c r="I126">
        <v>151</v>
      </c>
      <c r="J126" s="7">
        <v>655.81169999999997</v>
      </c>
      <c r="K126" s="7">
        <v>655.95492025659996</v>
      </c>
      <c r="L126" s="7">
        <v>648.26515996190005</v>
      </c>
      <c r="M126" s="7">
        <v>3.2924636E-3</v>
      </c>
      <c r="N126" s="7">
        <v>655.17284369799995</v>
      </c>
      <c r="O126" s="7">
        <v>655.95492025659996</v>
      </c>
      <c r="P126" s="7">
        <v>648.26515996190005</v>
      </c>
      <c r="Q126" s="7">
        <v>1</v>
      </c>
      <c r="R126" s="7">
        <v>27.089400000000001</v>
      </c>
      <c r="S126" s="7">
        <v>0.52849999999999997</v>
      </c>
      <c r="T126" s="7">
        <v>0.151</v>
      </c>
      <c r="U126" s="7">
        <v>26.4099</v>
      </c>
      <c r="V126" s="7" t="s">
        <v>85</v>
      </c>
      <c r="W126" s="11">
        <v>45911.645833333336</v>
      </c>
    </row>
    <row r="127" spans="1:23">
      <c r="A127" t="s">
        <v>84</v>
      </c>
      <c r="B127">
        <v>61</v>
      </c>
      <c r="C127" s="10">
        <v>45917</v>
      </c>
      <c r="D127" s="11">
        <v>45917.4375</v>
      </c>
      <c r="E127" s="11">
        <v>45917.4375</v>
      </c>
      <c r="F127" t="s">
        <v>106</v>
      </c>
      <c r="G127" t="s">
        <v>109</v>
      </c>
      <c r="H127">
        <v>-1</v>
      </c>
      <c r="I127">
        <v>151</v>
      </c>
      <c r="J127" s="7">
        <v>657.34749999999997</v>
      </c>
      <c r="K127" s="7">
        <v>658.81261217669999</v>
      </c>
      <c r="L127" s="7">
        <v>657.45296986419999</v>
      </c>
      <c r="M127" s="7">
        <v>9.6860570000000001E-4</v>
      </c>
      <c r="N127" s="7">
        <v>657.79438013590004</v>
      </c>
      <c r="O127" s="7">
        <v>658.81261217669999</v>
      </c>
      <c r="P127" s="7">
        <v>657.45296986419999</v>
      </c>
      <c r="Q127" s="7">
        <v>1</v>
      </c>
      <c r="R127" s="7">
        <v>0</v>
      </c>
      <c r="S127" s="7">
        <v>0.52849999999999997</v>
      </c>
      <c r="T127" s="7">
        <v>0.151</v>
      </c>
      <c r="U127" s="7">
        <v>-0.67949999999999999</v>
      </c>
      <c r="V127" s="7" t="s">
        <v>86</v>
      </c>
      <c r="W127" s="11">
        <v>45917.416666666664</v>
      </c>
    </row>
    <row r="128" spans="1:23">
      <c r="A128" t="s">
        <v>84</v>
      </c>
      <c r="B128">
        <v>61</v>
      </c>
      <c r="C128" s="10">
        <v>45917</v>
      </c>
      <c r="D128" s="11">
        <v>45917.666666666664</v>
      </c>
      <c r="E128" s="11">
        <v>45917.666666666664</v>
      </c>
      <c r="F128" t="s">
        <v>108</v>
      </c>
      <c r="G128" t="s">
        <v>107</v>
      </c>
      <c r="H128">
        <v>-1</v>
      </c>
      <c r="I128">
        <v>151</v>
      </c>
      <c r="J128" s="7">
        <v>657.35739999999998</v>
      </c>
      <c r="K128" s="7">
        <v>659.69178471700002</v>
      </c>
      <c r="L128" s="7">
        <v>656.57391046379996</v>
      </c>
      <c r="M128" s="7">
        <v>2.3043788E-3</v>
      </c>
      <c r="N128" s="7">
        <v>657.41499797489996</v>
      </c>
      <c r="O128" s="7">
        <v>659.69178471700002</v>
      </c>
      <c r="P128" s="7">
        <v>656.57391046379996</v>
      </c>
      <c r="Q128" s="7">
        <v>1</v>
      </c>
      <c r="R128" s="7">
        <v>-1.4948999999999999</v>
      </c>
      <c r="S128" s="7">
        <v>0.52849999999999997</v>
      </c>
      <c r="T128" s="7">
        <v>0.151</v>
      </c>
      <c r="U128" s="7">
        <v>-2.1743999999999999</v>
      </c>
      <c r="V128" s="7" t="s">
        <v>85</v>
      </c>
      <c r="W128" s="11">
        <v>45917.645833333336</v>
      </c>
    </row>
    <row r="129" spans="1:23">
      <c r="A129" t="s">
        <v>84</v>
      </c>
      <c r="B129">
        <v>62</v>
      </c>
      <c r="C129" s="10">
        <v>45918</v>
      </c>
      <c r="D129" s="11">
        <v>45918.4375</v>
      </c>
      <c r="E129" s="11">
        <v>45918.4375</v>
      </c>
      <c r="F129" t="s">
        <v>106</v>
      </c>
      <c r="G129" t="s">
        <v>107</v>
      </c>
      <c r="H129">
        <v>1</v>
      </c>
      <c r="I129">
        <v>150</v>
      </c>
      <c r="J129" s="7">
        <v>662.65279999999996</v>
      </c>
      <c r="K129" s="7">
        <v>660.89425392759995</v>
      </c>
      <c r="L129" s="7">
        <v>656.72533640910001</v>
      </c>
      <c r="M129" s="7">
        <v>9.6152200000000003E-4</v>
      </c>
      <c r="N129" s="7">
        <v>661.19211677010003</v>
      </c>
      <c r="O129" s="7">
        <v>661.19211677010003</v>
      </c>
      <c r="P129" s="7">
        <v>656.72533640910001</v>
      </c>
      <c r="Q129" s="7">
        <v>1</v>
      </c>
      <c r="R129" s="7">
        <v>0</v>
      </c>
      <c r="S129" s="7">
        <v>0.52500000000000002</v>
      </c>
      <c r="T129" s="7">
        <v>0.15</v>
      </c>
      <c r="U129" s="7">
        <v>-0.67500000000000004</v>
      </c>
      <c r="V129" s="7" t="s">
        <v>86</v>
      </c>
      <c r="W129" s="11">
        <v>45918.416666666664</v>
      </c>
    </row>
    <row r="130" spans="1:23">
      <c r="A130" t="s">
        <v>84</v>
      </c>
      <c r="B130">
        <v>62</v>
      </c>
      <c r="C130" s="10">
        <v>45918</v>
      </c>
      <c r="D130" s="11">
        <v>45918.666666666664</v>
      </c>
      <c r="E130" s="11">
        <v>45918.666666666664</v>
      </c>
      <c r="F130" t="s">
        <v>108</v>
      </c>
      <c r="G130" t="s">
        <v>109</v>
      </c>
      <c r="H130">
        <v>1</v>
      </c>
      <c r="I130">
        <v>150</v>
      </c>
      <c r="J130" s="7">
        <v>660.42899999999997</v>
      </c>
      <c r="K130" s="7">
        <v>661.73822893659997</v>
      </c>
      <c r="L130" s="7">
        <v>655.88507087480002</v>
      </c>
      <c r="M130" s="7">
        <v>2.2397696000000002E-3</v>
      </c>
      <c r="N130" s="7">
        <v>661.04243955230004</v>
      </c>
      <c r="O130" s="7">
        <v>661.73822893659997</v>
      </c>
      <c r="P130" s="7">
        <v>655.88507087480002</v>
      </c>
      <c r="Q130" s="7">
        <v>1</v>
      </c>
      <c r="R130" s="7">
        <v>-333.57</v>
      </c>
      <c r="S130" s="7">
        <v>0.52500000000000002</v>
      </c>
      <c r="T130" s="7">
        <v>0.15</v>
      </c>
      <c r="U130" s="7">
        <v>-334.245</v>
      </c>
      <c r="V130" s="7" t="s">
        <v>85</v>
      </c>
      <c r="W130" s="11">
        <v>45918.645833333336</v>
      </c>
    </row>
    <row r="131" spans="1:23">
      <c r="A131" t="s">
        <v>84</v>
      </c>
      <c r="B131">
        <v>63</v>
      </c>
      <c r="C131" s="10">
        <v>45919</v>
      </c>
      <c r="D131" s="11">
        <v>45919.645833333336</v>
      </c>
      <c r="E131" s="11">
        <v>45919.645833333336</v>
      </c>
      <c r="F131" t="s">
        <v>106</v>
      </c>
      <c r="G131" t="s">
        <v>107</v>
      </c>
      <c r="H131">
        <v>1</v>
      </c>
      <c r="I131">
        <v>149</v>
      </c>
      <c r="J131" s="7">
        <v>663.85</v>
      </c>
      <c r="K131" s="7">
        <v>663.39113206139996</v>
      </c>
      <c r="L131" s="7">
        <v>659.16591145489997</v>
      </c>
      <c r="M131" s="7">
        <v>1.9122251000000001E-3</v>
      </c>
      <c r="N131" s="7">
        <v>662.32309012250005</v>
      </c>
      <c r="O131" s="7">
        <v>663.39113206139996</v>
      </c>
      <c r="P131" s="7">
        <v>659.16591145489997</v>
      </c>
      <c r="Q131" s="7">
        <v>1</v>
      </c>
      <c r="R131" s="7">
        <v>0</v>
      </c>
      <c r="S131" s="7">
        <v>0.52149999999999996</v>
      </c>
      <c r="T131" s="7">
        <v>0.14899999999999999</v>
      </c>
      <c r="U131" s="7">
        <v>-0.67049999999999998</v>
      </c>
      <c r="V131" s="7" t="s">
        <v>86</v>
      </c>
      <c r="W131" s="11">
        <v>45919.625</v>
      </c>
    </row>
    <row r="132" spans="1:23">
      <c r="A132" t="s">
        <v>84</v>
      </c>
      <c r="B132">
        <v>63</v>
      </c>
      <c r="C132" s="10">
        <v>45919</v>
      </c>
      <c r="D132" s="11">
        <v>45919.666666666664</v>
      </c>
      <c r="E132" s="11">
        <v>45919.666666666664</v>
      </c>
      <c r="F132" t="s">
        <v>108</v>
      </c>
      <c r="G132" t="s">
        <v>109</v>
      </c>
      <c r="H132">
        <v>1</v>
      </c>
      <c r="I132">
        <v>149</v>
      </c>
      <c r="J132" s="7">
        <v>663.7</v>
      </c>
      <c r="K132" s="7">
        <v>663.41078989870005</v>
      </c>
      <c r="L132" s="7">
        <v>659.14630397609994</v>
      </c>
      <c r="M132" s="7">
        <v>1.9419140999999999E-3</v>
      </c>
      <c r="N132" s="7">
        <v>662.67117351779996</v>
      </c>
      <c r="O132" s="7">
        <v>663.41078989870005</v>
      </c>
      <c r="P132" s="7">
        <v>659.14630397609994</v>
      </c>
      <c r="Q132" s="7">
        <v>1</v>
      </c>
      <c r="R132" s="7">
        <v>-22.35</v>
      </c>
      <c r="S132" s="7">
        <v>0.52149999999999996</v>
      </c>
      <c r="T132" s="7">
        <v>0.14899999999999999</v>
      </c>
      <c r="U132" s="7">
        <v>-23.020499999999998</v>
      </c>
      <c r="V132" s="7" t="s">
        <v>85</v>
      </c>
      <c r="W132" s="11">
        <v>45919.645833333336</v>
      </c>
    </row>
    <row r="133" spans="1:23">
      <c r="A133" t="s">
        <v>84</v>
      </c>
      <c r="B133">
        <v>64</v>
      </c>
      <c r="C133" s="10">
        <v>45922</v>
      </c>
      <c r="D133" s="11">
        <v>45922.458333333336</v>
      </c>
      <c r="E133" s="11">
        <v>45922.458333333336</v>
      </c>
      <c r="F133" t="s">
        <v>106</v>
      </c>
      <c r="G133" t="s">
        <v>107</v>
      </c>
      <c r="H133">
        <v>1</v>
      </c>
      <c r="I133">
        <v>149</v>
      </c>
      <c r="J133" s="7">
        <v>664.96</v>
      </c>
      <c r="K133" s="7">
        <v>664.9431044849</v>
      </c>
      <c r="L133" s="7">
        <v>662.18740122279996</v>
      </c>
      <c r="M133" s="7">
        <v>1.8729915E-3</v>
      </c>
      <c r="N133" s="7">
        <v>664.00973277100002</v>
      </c>
      <c r="O133" s="7">
        <v>664.9431044849</v>
      </c>
      <c r="P133" s="7">
        <v>662.18740122279996</v>
      </c>
      <c r="Q133" s="7">
        <v>1</v>
      </c>
      <c r="R133" s="7">
        <v>0</v>
      </c>
      <c r="S133" s="7">
        <v>0.52149999999999996</v>
      </c>
      <c r="T133" s="7">
        <v>0.14899999999999999</v>
      </c>
      <c r="U133" s="7">
        <v>-0.67049999999999998</v>
      </c>
      <c r="V133" s="7" t="s">
        <v>86</v>
      </c>
      <c r="W133" s="11">
        <v>45922.4375</v>
      </c>
    </row>
    <row r="134" spans="1:23">
      <c r="A134" t="s">
        <v>84</v>
      </c>
      <c r="B134">
        <v>64</v>
      </c>
      <c r="C134" s="10">
        <v>45922</v>
      </c>
      <c r="D134" s="11">
        <v>45922.666666666664</v>
      </c>
      <c r="E134" s="11">
        <v>45922.666666666664</v>
      </c>
      <c r="F134" t="s">
        <v>108</v>
      </c>
      <c r="G134" t="s">
        <v>109</v>
      </c>
      <c r="H134">
        <v>1</v>
      </c>
      <c r="I134">
        <v>149</v>
      </c>
      <c r="J134" s="7">
        <v>666.84</v>
      </c>
      <c r="K134" s="7">
        <v>665.06874762070004</v>
      </c>
      <c r="L134" s="7">
        <v>662.06180919990004</v>
      </c>
      <c r="M134" s="7">
        <v>2.0622987E-3</v>
      </c>
      <c r="N134" s="7">
        <v>665.63604221690002</v>
      </c>
      <c r="O134" s="7">
        <v>665.63604221690002</v>
      </c>
      <c r="P134" s="7">
        <v>662.06180919990004</v>
      </c>
      <c r="Q134" s="7">
        <v>1</v>
      </c>
      <c r="R134" s="7">
        <v>280.12</v>
      </c>
      <c r="S134" s="7">
        <v>0.52149999999999996</v>
      </c>
      <c r="T134" s="7">
        <v>0.14899999999999999</v>
      </c>
      <c r="U134" s="7">
        <v>279.4495</v>
      </c>
      <c r="V134" s="7" t="s">
        <v>85</v>
      </c>
      <c r="W134" s="11">
        <v>45922.645833333336</v>
      </c>
    </row>
    <row r="135" spans="1:23">
      <c r="A135" t="s">
        <v>84</v>
      </c>
      <c r="B135">
        <v>65</v>
      </c>
      <c r="C135" s="10">
        <v>45923</v>
      </c>
      <c r="D135" s="11">
        <v>45923.5</v>
      </c>
      <c r="E135" s="11">
        <v>45923.5</v>
      </c>
      <c r="F135" t="s">
        <v>106</v>
      </c>
      <c r="G135" t="s">
        <v>109</v>
      </c>
      <c r="H135">
        <v>-1</v>
      </c>
      <c r="I135">
        <v>148</v>
      </c>
      <c r="J135" s="7">
        <v>665.57069999999999</v>
      </c>
      <c r="K135" s="7">
        <v>667.8536830173</v>
      </c>
      <c r="L135" s="7">
        <v>665.76640819040006</v>
      </c>
      <c r="M135" s="7">
        <v>1.5201292999999999E-3</v>
      </c>
      <c r="N135" s="7">
        <v>666.43339372200001</v>
      </c>
      <c r="O135" s="7">
        <v>667.8536830173</v>
      </c>
      <c r="P135" s="7">
        <v>665.76640819040006</v>
      </c>
      <c r="Q135" s="7">
        <v>1</v>
      </c>
      <c r="R135" s="7">
        <v>0</v>
      </c>
      <c r="S135" s="7">
        <v>0.51800000000000002</v>
      </c>
      <c r="T135" s="7">
        <v>0.14799999999999999</v>
      </c>
      <c r="U135" s="7">
        <v>-0.66600000000000004</v>
      </c>
      <c r="V135" s="7" t="s">
        <v>86</v>
      </c>
      <c r="W135" s="11">
        <v>45923.479166666664</v>
      </c>
    </row>
    <row r="136" spans="1:23">
      <c r="A136" t="s">
        <v>84</v>
      </c>
      <c r="B136">
        <v>65</v>
      </c>
      <c r="C136" s="10">
        <v>45923</v>
      </c>
      <c r="D136" s="11">
        <v>45923.666666666664</v>
      </c>
      <c r="E136" s="11">
        <v>45923.666666666664</v>
      </c>
      <c r="F136" t="s">
        <v>108</v>
      </c>
      <c r="G136" t="s">
        <v>107</v>
      </c>
      <c r="H136">
        <v>-1</v>
      </c>
      <c r="I136">
        <v>148</v>
      </c>
      <c r="J136" s="7">
        <v>663.21</v>
      </c>
      <c r="K136" s="7">
        <v>668.39000723929996</v>
      </c>
      <c r="L136" s="7">
        <v>665.23013222509996</v>
      </c>
      <c r="M136" s="7">
        <v>2.3244065E-3</v>
      </c>
      <c r="N136" s="7">
        <v>664.32810369849994</v>
      </c>
      <c r="O136" s="7">
        <v>668.39000723929996</v>
      </c>
      <c r="P136" s="7">
        <v>664.32810369849994</v>
      </c>
      <c r="Q136" s="7">
        <v>1</v>
      </c>
      <c r="R136" s="7">
        <v>349.3836</v>
      </c>
      <c r="S136" s="7">
        <v>0.51800000000000002</v>
      </c>
      <c r="T136" s="7">
        <v>0.14799999999999999</v>
      </c>
      <c r="U136" s="7">
        <v>348.7176</v>
      </c>
      <c r="V136" s="7" t="s">
        <v>85</v>
      </c>
      <c r="W136" s="11">
        <v>45923.645833333336</v>
      </c>
    </row>
    <row r="137" spans="1:23">
      <c r="A137" t="s">
        <v>84</v>
      </c>
      <c r="B137">
        <v>66</v>
      </c>
      <c r="C137" s="10">
        <v>45924</v>
      </c>
      <c r="D137" s="11">
        <v>45924.5</v>
      </c>
      <c r="E137" s="11">
        <v>45924.5</v>
      </c>
      <c r="F137" t="s">
        <v>106</v>
      </c>
      <c r="G137" t="s">
        <v>109</v>
      </c>
      <c r="H137">
        <v>-1</v>
      </c>
      <c r="I137">
        <v>150</v>
      </c>
      <c r="J137" s="7">
        <v>660.38</v>
      </c>
      <c r="K137" s="7">
        <v>664.28452637520002</v>
      </c>
      <c r="L137" s="7">
        <v>661.94078956190003</v>
      </c>
      <c r="M137" s="7">
        <v>1.6201901999999999E-3</v>
      </c>
      <c r="N137" s="7">
        <v>662.41881930839997</v>
      </c>
      <c r="O137" s="7">
        <v>664.28452637520002</v>
      </c>
      <c r="P137" s="7">
        <v>661.94078956190003</v>
      </c>
      <c r="Q137" s="7">
        <v>1</v>
      </c>
      <c r="R137" s="7">
        <v>0</v>
      </c>
      <c r="S137" s="7">
        <v>0.52500000000000002</v>
      </c>
      <c r="T137" s="7">
        <v>0.15</v>
      </c>
      <c r="U137" s="7">
        <v>-0.67500000000000004</v>
      </c>
      <c r="V137" s="7" t="s">
        <v>86</v>
      </c>
      <c r="W137" s="11">
        <v>45924.479166666664</v>
      </c>
    </row>
    <row r="138" spans="1:23">
      <c r="A138" t="s">
        <v>84</v>
      </c>
      <c r="B138">
        <v>66</v>
      </c>
      <c r="C138" s="10">
        <v>45924</v>
      </c>
      <c r="D138" s="11">
        <v>45924.666666666664</v>
      </c>
      <c r="E138" s="11">
        <v>45924.666666666664</v>
      </c>
      <c r="F138" t="s">
        <v>108</v>
      </c>
      <c r="G138" t="s">
        <v>107</v>
      </c>
      <c r="H138">
        <v>-1</v>
      </c>
      <c r="I138">
        <v>150</v>
      </c>
      <c r="J138" s="7">
        <v>661.1</v>
      </c>
      <c r="K138" s="7">
        <v>664.88088462109999</v>
      </c>
      <c r="L138" s="7">
        <v>661.34460665990002</v>
      </c>
      <c r="M138" s="7">
        <v>2.5193899999999998E-3</v>
      </c>
      <c r="N138" s="7">
        <v>661.50044949380003</v>
      </c>
      <c r="O138" s="7">
        <v>664.88088462109999</v>
      </c>
      <c r="P138" s="7">
        <v>661.34460665990002</v>
      </c>
      <c r="Q138" s="7">
        <v>1</v>
      </c>
      <c r="R138" s="7">
        <v>-108</v>
      </c>
      <c r="S138" s="7">
        <v>0.52500000000000002</v>
      </c>
      <c r="T138" s="7">
        <v>0.15</v>
      </c>
      <c r="U138" s="7">
        <v>-108.675</v>
      </c>
      <c r="V138" s="7" t="s">
        <v>85</v>
      </c>
      <c r="W138" s="11">
        <v>45924.645833333336</v>
      </c>
    </row>
    <row r="139" spans="1:23">
      <c r="A139" t="s">
        <v>84</v>
      </c>
      <c r="B139">
        <v>67</v>
      </c>
      <c r="C139" s="10">
        <v>45930</v>
      </c>
      <c r="D139" s="11">
        <v>45930.645833333336</v>
      </c>
      <c r="E139" s="11">
        <v>45930.645833333336</v>
      </c>
      <c r="F139" t="s">
        <v>106</v>
      </c>
      <c r="G139" t="s">
        <v>107</v>
      </c>
      <c r="H139">
        <v>1</v>
      </c>
      <c r="I139">
        <v>150</v>
      </c>
      <c r="J139" s="7">
        <v>665.40499999999997</v>
      </c>
      <c r="K139" s="7">
        <v>665.29428213430003</v>
      </c>
      <c r="L139" s="7">
        <v>661.45221374250002</v>
      </c>
      <c r="M139" s="7">
        <v>2.43232E-3</v>
      </c>
      <c r="N139" s="7">
        <v>663.3506120024</v>
      </c>
      <c r="O139" s="7">
        <v>665.29428213430003</v>
      </c>
      <c r="P139" s="7">
        <v>661.45221374250002</v>
      </c>
      <c r="Q139" s="7">
        <v>1</v>
      </c>
      <c r="R139" s="7">
        <v>0</v>
      </c>
      <c r="S139" s="7">
        <v>0.52500000000000002</v>
      </c>
      <c r="T139" s="7">
        <v>0.15</v>
      </c>
      <c r="U139" s="7">
        <v>-0.67500000000000004</v>
      </c>
      <c r="V139" s="7" t="s">
        <v>86</v>
      </c>
      <c r="W139" s="11">
        <v>45930.625</v>
      </c>
    </row>
    <row r="140" spans="1:23">
      <c r="A140" t="s">
        <v>84</v>
      </c>
      <c r="B140">
        <v>67</v>
      </c>
      <c r="C140" s="10">
        <v>45930</v>
      </c>
      <c r="D140" s="11">
        <v>45930.666666666664</v>
      </c>
      <c r="E140" s="11">
        <v>45930.666666666664</v>
      </c>
      <c r="F140" t="s">
        <v>108</v>
      </c>
      <c r="G140" t="s">
        <v>109</v>
      </c>
      <c r="H140">
        <v>1</v>
      </c>
      <c r="I140">
        <v>150</v>
      </c>
      <c r="J140" s="7">
        <v>666.18</v>
      </c>
      <c r="K140" s="7">
        <v>664.99636711740004</v>
      </c>
      <c r="L140" s="7">
        <v>661.74985269599995</v>
      </c>
      <c r="M140" s="7">
        <v>1.9834365000000001E-3</v>
      </c>
      <c r="N140" s="7">
        <v>664.31106298069994</v>
      </c>
      <c r="O140" s="7">
        <v>664.99636711740004</v>
      </c>
      <c r="P140" s="7">
        <v>661.74985269599995</v>
      </c>
      <c r="Q140" s="7">
        <v>1</v>
      </c>
      <c r="R140" s="7">
        <v>116.25</v>
      </c>
      <c r="S140" s="7">
        <v>0.52500000000000002</v>
      </c>
      <c r="T140" s="7">
        <v>0.15</v>
      </c>
      <c r="U140" s="7">
        <v>115.575</v>
      </c>
      <c r="V140" s="7" t="s">
        <v>85</v>
      </c>
      <c r="W140" s="11">
        <v>45930.645833333336</v>
      </c>
    </row>
    <row r="141" spans="1:23">
      <c r="A141" t="s">
        <v>84</v>
      </c>
      <c r="B141">
        <v>68</v>
      </c>
      <c r="C141" s="10">
        <v>45931</v>
      </c>
      <c r="D141" s="11">
        <v>45931.5625</v>
      </c>
      <c r="E141" s="11">
        <v>45931.5625</v>
      </c>
      <c r="F141" t="s">
        <v>106</v>
      </c>
      <c r="G141" t="s">
        <v>107</v>
      </c>
      <c r="H141">
        <v>1</v>
      </c>
      <c r="I141">
        <v>150</v>
      </c>
      <c r="J141" s="7">
        <v>667.99869999999999</v>
      </c>
      <c r="K141" s="7">
        <v>667.48899663520001</v>
      </c>
      <c r="L141" s="7">
        <v>662.37831097239996</v>
      </c>
      <c r="M141" s="7">
        <v>1.9649293999999999E-3</v>
      </c>
      <c r="N141" s="7">
        <v>665.6464478721</v>
      </c>
      <c r="O141" s="7">
        <v>667.48899663520001</v>
      </c>
      <c r="P141" s="7">
        <v>662.37831097239996</v>
      </c>
      <c r="Q141" s="7">
        <v>1</v>
      </c>
      <c r="R141" s="7">
        <v>0</v>
      </c>
      <c r="S141" s="7">
        <v>0.52500000000000002</v>
      </c>
      <c r="T141" s="7">
        <v>0.15</v>
      </c>
      <c r="U141" s="7">
        <v>-0.67500000000000004</v>
      </c>
      <c r="V141" s="7" t="s">
        <v>86</v>
      </c>
      <c r="W141" s="11">
        <v>45931.541666666664</v>
      </c>
    </row>
    <row r="142" spans="1:23">
      <c r="A142" t="s">
        <v>84</v>
      </c>
      <c r="B142">
        <v>68</v>
      </c>
      <c r="C142" s="10">
        <v>45931</v>
      </c>
      <c r="D142" s="11">
        <v>45931.666666666664</v>
      </c>
      <c r="E142" s="11">
        <v>45931.666666666664</v>
      </c>
      <c r="F142" t="s">
        <v>108</v>
      </c>
      <c r="G142" t="s">
        <v>109</v>
      </c>
      <c r="H142">
        <v>1</v>
      </c>
      <c r="I142">
        <v>150</v>
      </c>
      <c r="J142" s="7">
        <v>668.45</v>
      </c>
      <c r="K142" s="7">
        <v>667.62646146489999</v>
      </c>
      <c r="L142" s="7">
        <v>662.24136151710002</v>
      </c>
      <c r="M142" s="7">
        <v>2.1712772000000002E-3</v>
      </c>
      <c r="N142" s="7">
        <v>666.87834276449996</v>
      </c>
      <c r="O142" s="7">
        <v>667.62646146489999</v>
      </c>
      <c r="P142" s="7">
        <v>662.24136151710002</v>
      </c>
      <c r="Q142" s="7">
        <v>1</v>
      </c>
      <c r="R142" s="7">
        <v>67.694999999999993</v>
      </c>
      <c r="S142" s="7">
        <v>0.52500000000000002</v>
      </c>
      <c r="T142" s="7">
        <v>0.15</v>
      </c>
      <c r="U142" s="7">
        <v>67.02</v>
      </c>
      <c r="V142" s="7" t="s">
        <v>85</v>
      </c>
      <c r="W142" s="11">
        <v>45931.645833333336</v>
      </c>
    </row>
    <row r="143" spans="1:23">
      <c r="A143" t="s">
        <v>84</v>
      </c>
      <c r="B143">
        <v>69</v>
      </c>
      <c r="C143" s="10">
        <v>45933</v>
      </c>
      <c r="D143" s="11">
        <v>45933.458333333336</v>
      </c>
      <c r="E143" s="11">
        <v>45933.458333333336</v>
      </c>
      <c r="F143" t="s">
        <v>106</v>
      </c>
      <c r="G143" t="s">
        <v>107</v>
      </c>
      <c r="H143">
        <v>1</v>
      </c>
      <c r="I143">
        <v>148</v>
      </c>
      <c r="J143" s="7">
        <v>672.1</v>
      </c>
      <c r="K143" s="7">
        <v>671.7319760826</v>
      </c>
      <c r="L143" s="7">
        <v>668.16031992789999</v>
      </c>
      <c r="M143" s="7">
        <v>1.5834555000000001E-3</v>
      </c>
      <c r="N143" s="7">
        <v>671.24897690110004</v>
      </c>
      <c r="O143" s="7">
        <v>671.7319760826</v>
      </c>
      <c r="P143" s="7">
        <v>668.16031992789999</v>
      </c>
      <c r="Q143" s="7">
        <v>1</v>
      </c>
      <c r="R143" s="7">
        <v>0</v>
      </c>
      <c r="S143" s="7">
        <v>0.51800000000000002</v>
      </c>
      <c r="T143" s="7">
        <v>0.14799999999999999</v>
      </c>
      <c r="U143" s="7">
        <v>-0.66600000000000004</v>
      </c>
      <c r="V143" s="7" t="s">
        <v>86</v>
      </c>
      <c r="W143" s="11">
        <v>45933.4375</v>
      </c>
    </row>
    <row r="144" spans="1:23">
      <c r="A144" t="s">
        <v>84</v>
      </c>
      <c r="B144">
        <v>69</v>
      </c>
      <c r="C144" s="10">
        <v>45933</v>
      </c>
      <c r="D144" s="11">
        <v>45933.666666666664</v>
      </c>
      <c r="E144" s="11">
        <v>45933.666666666664</v>
      </c>
      <c r="F144" t="s">
        <v>108</v>
      </c>
      <c r="G144" t="s">
        <v>109</v>
      </c>
      <c r="H144">
        <v>1</v>
      </c>
      <c r="I144">
        <v>148</v>
      </c>
      <c r="J144" s="7">
        <v>669.21</v>
      </c>
      <c r="K144" s="7">
        <v>672.31207653460001</v>
      </c>
      <c r="L144" s="7">
        <v>667.58147366289995</v>
      </c>
      <c r="M144" s="7">
        <v>2.4484121000000001E-3</v>
      </c>
      <c r="N144" s="7">
        <v>670.5199925316</v>
      </c>
      <c r="O144" s="7">
        <v>672.31207653460001</v>
      </c>
      <c r="P144" s="7">
        <v>667.58147366289995</v>
      </c>
      <c r="Q144" s="7">
        <v>1</v>
      </c>
      <c r="R144" s="7">
        <v>-427.72</v>
      </c>
      <c r="S144" s="7">
        <v>0.51800000000000002</v>
      </c>
      <c r="T144" s="7">
        <v>0.14799999999999999</v>
      </c>
      <c r="U144" s="7">
        <v>-428.38600000000002</v>
      </c>
      <c r="V144" s="7" t="s">
        <v>85</v>
      </c>
      <c r="W144" s="11">
        <v>45933.645833333336</v>
      </c>
    </row>
    <row r="145" spans="1:23">
      <c r="A145" t="s">
        <v>84</v>
      </c>
      <c r="B145">
        <v>70</v>
      </c>
      <c r="C145" s="10">
        <v>45936</v>
      </c>
      <c r="D145" s="11">
        <v>45936.5</v>
      </c>
      <c r="E145" s="11">
        <v>45936.5</v>
      </c>
      <c r="F145" t="s">
        <v>106</v>
      </c>
      <c r="G145" t="s">
        <v>107</v>
      </c>
      <c r="H145">
        <v>1</v>
      </c>
      <c r="I145">
        <v>148</v>
      </c>
      <c r="J145" s="7">
        <v>671.83</v>
      </c>
      <c r="K145" s="7">
        <v>671.44573716779996</v>
      </c>
      <c r="L145" s="7">
        <v>667.71591496370002</v>
      </c>
      <c r="M145" s="7">
        <v>2.2326100999999999E-3</v>
      </c>
      <c r="N145" s="7">
        <v>670.55558501919995</v>
      </c>
      <c r="O145" s="7">
        <v>671.44573716779996</v>
      </c>
      <c r="P145" s="7">
        <v>667.71591496370002</v>
      </c>
      <c r="Q145" s="7">
        <v>1</v>
      </c>
      <c r="R145" s="7">
        <v>0</v>
      </c>
      <c r="S145" s="7">
        <v>0.51800000000000002</v>
      </c>
      <c r="T145" s="7">
        <v>0.14799999999999999</v>
      </c>
      <c r="U145" s="7">
        <v>-0.66600000000000004</v>
      </c>
      <c r="V145" s="7" t="s">
        <v>86</v>
      </c>
      <c r="W145" s="11">
        <v>45936.479166666664</v>
      </c>
    </row>
    <row r="146" spans="1:23">
      <c r="A146" t="s">
        <v>84</v>
      </c>
      <c r="B146">
        <v>70</v>
      </c>
      <c r="C146" s="10">
        <v>45936</v>
      </c>
      <c r="D146" s="11">
        <v>45936.666666666664</v>
      </c>
      <c r="E146" s="11">
        <v>45936.666666666664</v>
      </c>
      <c r="F146" t="s">
        <v>108</v>
      </c>
      <c r="G146" t="s">
        <v>109</v>
      </c>
      <c r="H146">
        <v>1</v>
      </c>
      <c r="I146">
        <v>148</v>
      </c>
      <c r="J146" s="7">
        <v>671.61</v>
      </c>
      <c r="K146" s="7">
        <v>671.68073184340005</v>
      </c>
      <c r="L146" s="7">
        <v>667.48117985390002</v>
      </c>
      <c r="M146" s="7">
        <v>2.5833746E-3</v>
      </c>
      <c r="N146" s="7">
        <v>671.24554322070003</v>
      </c>
      <c r="O146" s="7">
        <v>671.68073184340005</v>
      </c>
      <c r="P146" s="7">
        <v>667.48117985390002</v>
      </c>
      <c r="Q146" s="7">
        <v>1</v>
      </c>
      <c r="R146" s="7">
        <v>-32.56</v>
      </c>
      <c r="S146" s="7">
        <v>0.51800000000000002</v>
      </c>
      <c r="T146" s="7">
        <v>0.14799999999999999</v>
      </c>
      <c r="U146" s="7">
        <v>-33.225999999999999</v>
      </c>
      <c r="V146" s="7" t="s">
        <v>85</v>
      </c>
      <c r="W146" s="11">
        <v>45936.645833333336</v>
      </c>
    </row>
    <row r="147" spans="1:23">
      <c r="A147" t="s">
        <v>84</v>
      </c>
      <c r="B147">
        <v>71</v>
      </c>
      <c r="C147" s="10">
        <v>45937</v>
      </c>
      <c r="D147" s="11">
        <v>45937.479166666664</v>
      </c>
      <c r="E147" s="11">
        <v>45937.479166666664</v>
      </c>
      <c r="F147" t="s">
        <v>106</v>
      </c>
      <c r="G147" t="s">
        <v>109</v>
      </c>
      <c r="H147">
        <v>-1</v>
      </c>
      <c r="I147">
        <v>147</v>
      </c>
      <c r="J147" s="7">
        <v>669.23</v>
      </c>
      <c r="K147" s="7">
        <v>673.41471522660004</v>
      </c>
      <c r="L147" s="7">
        <v>670.2912371118</v>
      </c>
      <c r="M147" s="7">
        <v>1.9635844000000001E-3</v>
      </c>
      <c r="N147" s="7">
        <v>670.58700342110001</v>
      </c>
      <c r="O147" s="7">
        <v>673.41471522660004</v>
      </c>
      <c r="P147" s="7">
        <v>670.2912371118</v>
      </c>
      <c r="Q147" s="7">
        <v>1</v>
      </c>
      <c r="R147" s="7">
        <v>0</v>
      </c>
      <c r="S147" s="7">
        <v>0.51449999999999996</v>
      </c>
      <c r="T147" s="7">
        <v>0.14699999999999999</v>
      </c>
      <c r="U147" s="7">
        <v>-0.66149999999999998</v>
      </c>
      <c r="V147" s="7" t="s">
        <v>86</v>
      </c>
      <c r="W147" s="11">
        <v>45937.458333333336</v>
      </c>
    </row>
    <row r="148" spans="1:23">
      <c r="A148" t="s">
        <v>84</v>
      </c>
      <c r="B148">
        <v>71</v>
      </c>
      <c r="C148" s="10">
        <v>45937</v>
      </c>
      <c r="D148" s="11">
        <v>45937.666666666664</v>
      </c>
      <c r="E148" s="11">
        <v>45937.666666666664</v>
      </c>
      <c r="F148" t="s">
        <v>108</v>
      </c>
      <c r="G148" t="s">
        <v>107</v>
      </c>
      <c r="H148">
        <v>-1</v>
      </c>
      <c r="I148">
        <v>147</v>
      </c>
      <c r="J148" s="7">
        <v>669.12</v>
      </c>
      <c r="K148" s="7">
        <v>673.9356845689</v>
      </c>
      <c r="L148" s="7">
        <v>669.77064371359995</v>
      </c>
      <c r="M148" s="7">
        <v>2.7387268000000002E-3</v>
      </c>
      <c r="N148" s="7">
        <v>669.40221292490003</v>
      </c>
      <c r="O148" s="7">
        <v>673.9356845689</v>
      </c>
      <c r="P148" s="7">
        <v>669.40221292490003</v>
      </c>
      <c r="Q148" s="7">
        <v>1</v>
      </c>
      <c r="R148" s="7">
        <v>16.170000000000002</v>
      </c>
      <c r="S148" s="7">
        <v>0.51449999999999996</v>
      </c>
      <c r="T148" s="7">
        <v>0.14699999999999999</v>
      </c>
      <c r="U148" s="7">
        <v>15.5085</v>
      </c>
      <c r="V148" s="7" t="s">
        <v>85</v>
      </c>
      <c r="W148" s="11">
        <v>45937.645833333336</v>
      </c>
    </row>
    <row r="149" spans="1:23">
      <c r="A149" t="s">
        <v>84</v>
      </c>
      <c r="B149">
        <v>72</v>
      </c>
      <c r="C149" s="10">
        <v>45938</v>
      </c>
      <c r="D149" s="11">
        <v>45938.4375</v>
      </c>
      <c r="E149" s="11">
        <v>45938.4375</v>
      </c>
      <c r="F149" t="s">
        <v>106</v>
      </c>
      <c r="G149" t="s">
        <v>107</v>
      </c>
      <c r="H149">
        <v>1</v>
      </c>
      <c r="I149">
        <v>148</v>
      </c>
      <c r="J149" s="7">
        <v>671.91</v>
      </c>
      <c r="K149" s="7">
        <v>671.40482756409995</v>
      </c>
      <c r="L149" s="7">
        <v>668.10209682540005</v>
      </c>
      <c r="M149" s="7">
        <v>1.5212565000000001E-3</v>
      </c>
      <c r="N149" s="7">
        <v>671.00160537980003</v>
      </c>
      <c r="O149" s="7">
        <v>671.40482756409995</v>
      </c>
      <c r="P149" s="7">
        <v>668.10209682540005</v>
      </c>
      <c r="Q149" s="7">
        <v>1</v>
      </c>
      <c r="R149" s="7">
        <v>0</v>
      </c>
      <c r="S149" s="7">
        <v>0.51800000000000002</v>
      </c>
      <c r="T149" s="7">
        <v>0.14799999999999999</v>
      </c>
      <c r="U149" s="7">
        <v>-0.66600000000000004</v>
      </c>
      <c r="V149" s="7" t="s">
        <v>86</v>
      </c>
      <c r="W149" s="11">
        <v>45938.416666666664</v>
      </c>
    </row>
    <row r="150" spans="1:23">
      <c r="A150" t="s">
        <v>84</v>
      </c>
      <c r="B150">
        <v>72</v>
      </c>
      <c r="C150" s="10">
        <v>45938</v>
      </c>
      <c r="D150" s="11">
        <v>45938.666666666664</v>
      </c>
      <c r="E150" s="11">
        <v>45938.666666666664</v>
      </c>
      <c r="F150" t="s">
        <v>108</v>
      </c>
      <c r="G150" t="s">
        <v>109</v>
      </c>
      <c r="H150">
        <v>1</v>
      </c>
      <c r="I150">
        <v>148</v>
      </c>
      <c r="J150" s="7">
        <v>673.11</v>
      </c>
      <c r="K150" s="7">
        <v>672.3796253946</v>
      </c>
      <c r="L150" s="7">
        <v>667.12913841449995</v>
      </c>
      <c r="M150" s="7">
        <v>2.9753431000000001E-3</v>
      </c>
      <c r="N150" s="7">
        <v>672.27716954940001</v>
      </c>
      <c r="O150" s="7">
        <v>672.3796253946</v>
      </c>
      <c r="P150" s="7">
        <v>667.12913841449995</v>
      </c>
      <c r="Q150" s="7">
        <v>1</v>
      </c>
      <c r="R150" s="7">
        <v>177.6</v>
      </c>
      <c r="S150" s="7">
        <v>0.51800000000000002</v>
      </c>
      <c r="T150" s="7">
        <v>0.14799999999999999</v>
      </c>
      <c r="U150" s="7">
        <v>176.934</v>
      </c>
      <c r="V150" s="7" t="s">
        <v>85</v>
      </c>
      <c r="W150" s="11">
        <v>45938.645833333336</v>
      </c>
    </row>
    <row r="151" spans="1:23">
      <c r="A151" t="s">
        <v>84</v>
      </c>
      <c r="B151">
        <v>73</v>
      </c>
      <c r="C151" s="10">
        <v>45939</v>
      </c>
      <c r="D151" s="11">
        <v>45939.541666666664</v>
      </c>
      <c r="E151" s="11">
        <v>45939.541666666664</v>
      </c>
      <c r="F151" t="s">
        <v>106</v>
      </c>
      <c r="G151" t="s">
        <v>109</v>
      </c>
      <c r="H151">
        <v>-1</v>
      </c>
      <c r="I151">
        <v>148</v>
      </c>
      <c r="J151" s="7">
        <v>669.76</v>
      </c>
      <c r="K151" s="7">
        <v>674.92758540780005</v>
      </c>
      <c r="L151" s="7">
        <v>669.91614097850004</v>
      </c>
      <c r="M151" s="7">
        <v>2.7002799000000002E-3</v>
      </c>
      <c r="N151" s="7">
        <v>671.21776956279996</v>
      </c>
      <c r="O151" s="7">
        <v>674.92758540780005</v>
      </c>
      <c r="P151" s="7">
        <v>669.91614097850004</v>
      </c>
      <c r="Q151" s="7">
        <v>1</v>
      </c>
      <c r="R151" s="7">
        <v>0</v>
      </c>
      <c r="S151" s="7">
        <v>0.51800000000000002</v>
      </c>
      <c r="T151" s="7">
        <v>0.14799999999999999</v>
      </c>
      <c r="U151" s="7">
        <v>-0.66600000000000004</v>
      </c>
      <c r="V151" s="7" t="s">
        <v>86</v>
      </c>
      <c r="W151" s="11">
        <v>45939.520833333336</v>
      </c>
    </row>
    <row r="152" spans="1:23">
      <c r="A152" t="s">
        <v>84</v>
      </c>
      <c r="B152">
        <v>73</v>
      </c>
      <c r="C152" s="10">
        <v>45939</v>
      </c>
      <c r="D152" s="11">
        <v>45939.666666666664</v>
      </c>
      <c r="E152" s="11">
        <v>45939.666666666664</v>
      </c>
      <c r="F152" t="s">
        <v>108</v>
      </c>
      <c r="G152" t="s">
        <v>107</v>
      </c>
      <c r="H152">
        <v>-1</v>
      </c>
      <c r="I152">
        <v>148</v>
      </c>
      <c r="J152" s="7">
        <v>671.16</v>
      </c>
      <c r="K152" s="7">
        <v>675.29581718600002</v>
      </c>
      <c r="L152" s="7">
        <v>669.54866414349999</v>
      </c>
      <c r="M152" s="7">
        <v>3.2473402000000001E-3</v>
      </c>
      <c r="N152" s="7">
        <v>670.86859615440005</v>
      </c>
      <c r="O152" s="7">
        <v>675.29581718600002</v>
      </c>
      <c r="P152" s="7">
        <v>669.54866414349999</v>
      </c>
      <c r="Q152" s="7">
        <v>1</v>
      </c>
      <c r="R152" s="7">
        <v>-207.2</v>
      </c>
      <c r="S152" s="7">
        <v>0.51800000000000002</v>
      </c>
      <c r="T152" s="7">
        <v>0.14799999999999999</v>
      </c>
      <c r="U152" s="7">
        <v>-207.86600000000001</v>
      </c>
      <c r="V152" s="7" t="s">
        <v>85</v>
      </c>
      <c r="W152" s="11">
        <v>45939.645833333336</v>
      </c>
    </row>
    <row r="153" spans="1:23">
      <c r="A153" t="s">
        <v>84</v>
      </c>
      <c r="B153">
        <v>74</v>
      </c>
      <c r="C153" s="10">
        <v>45940</v>
      </c>
      <c r="D153" s="11">
        <v>45940.458333333336</v>
      </c>
      <c r="E153" s="11">
        <v>45940.458333333336</v>
      </c>
      <c r="F153" t="s">
        <v>106</v>
      </c>
      <c r="G153" t="s">
        <v>109</v>
      </c>
      <c r="H153">
        <v>-1</v>
      </c>
      <c r="I153">
        <v>147</v>
      </c>
      <c r="J153" s="7">
        <v>668.72500000000002</v>
      </c>
      <c r="K153" s="7">
        <v>674.43125578290005</v>
      </c>
      <c r="L153" s="7">
        <v>669.90251016649995</v>
      </c>
      <c r="M153" s="7">
        <v>1.8736066000000001E-3</v>
      </c>
      <c r="N153" s="7">
        <v>671.40110267789998</v>
      </c>
      <c r="O153" s="7">
        <v>674.43125578290005</v>
      </c>
      <c r="P153" s="7">
        <v>669.90251016649995</v>
      </c>
      <c r="Q153" s="7">
        <v>1</v>
      </c>
      <c r="R153" s="7">
        <v>0</v>
      </c>
      <c r="S153" s="7">
        <v>0.51449999999999996</v>
      </c>
      <c r="T153" s="7">
        <v>0.14699999999999999</v>
      </c>
      <c r="U153" s="7">
        <v>-0.66149999999999998</v>
      </c>
      <c r="V153" s="7" t="s">
        <v>86</v>
      </c>
      <c r="W153" s="11">
        <v>45940.4375</v>
      </c>
    </row>
    <row r="154" spans="1:23">
      <c r="A154" t="s">
        <v>84</v>
      </c>
      <c r="B154">
        <v>74</v>
      </c>
      <c r="C154" s="10">
        <v>45940</v>
      </c>
      <c r="D154" s="11">
        <v>45940.666666666664</v>
      </c>
      <c r="E154" s="11">
        <v>45940.666666666664</v>
      </c>
      <c r="F154" t="s">
        <v>108</v>
      </c>
      <c r="G154" t="s">
        <v>107</v>
      </c>
      <c r="H154">
        <v>-1</v>
      </c>
      <c r="I154">
        <v>147</v>
      </c>
      <c r="J154" s="7">
        <v>653.02</v>
      </c>
      <c r="K154" s="7">
        <v>675.28243696380002</v>
      </c>
      <c r="L154" s="7">
        <v>669.05387050429999</v>
      </c>
      <c r="M154" s="7">
        <v>3.1380437999999999E-3</v>
      </c>
      <c r="N154" s="7">
        <v>660.93212764409998</v>
      </c>
      <c r="O154" s="7">
        <v>675.28243696380002</v>
      </c>
      <c r="P154" s="7">
        <v>660.93212764409998</v>
      </c>
      <c r="Q154" s="7">
        <v>1</v>
      </c>
      <c r="R154" s="7">
        <v>2308.6350000000002</v>
      </c>
      <c r="S154" s="7">
        <v>0.51449999999999996</v>
      </c>
      <c r="T154" s="7">
        <v>0.14699999999999999</v>
      </c>
      <c r="U154" s="7">
        <v>2307.9735000000001</v>
      </c>
      <c r="V154" s="7" t="s">
        <v>85</v>
      </c>
      <c r="W154" s="11">
        <v>45940.645833333336</v>
      </c>
    </row>
    <row r="155" spans="1:23">
      <c r="A155" t="s">
        <v>84</v>
      </c>
      <c r="B155">
        <v>75</v>
      </c>
      <c r="C155" s="10">
        <v>45946</v>
      </c>
      <c r="D155" s="11">
        <v>45946.583333333336</v>
      </c>
      <c r="E155" s="11">
        <v>45946.583333333336</v>
      </c>
      <c r="F155" t="s">
        <v>106</v>
      </c>
      <c r="G155" t="s">
        <v>109</v>
      </c>
      <c r="H155">
        <v>-1</v>
      </c>
      <c r="I155">
        <v>152</v>
      </c>
      <c r="J155" s="7">
        <v>661.81</v>
      </c>
      <c r="K155" s="7">
        <v>669.89078126699997</v>
      </c>
      <c r="L155" s="7">
        <v>661.95145256549995</v>
      </c>
      <c r="M155" s="7">
        <v>4.8386840000000002E-3</v>
      </c>
      <c r="N155" s="7">
        <v>664.66242217959996</v>
      </c>
      <c r="O155" s="7">
        <v>669.89078126699997</v>
      </c>
      <c r="P155" s="7">
        <v>661.95145256549995</v>
      </c>
      <c r="Q155" s="7">
        <v>1</v>
      </c>
      <c r="R155" s="7">
        <v>0</v>
      </c>
      <c r="S155" s="7">
        <v>0.53200000000000003</v>
      </c>
      <c r="T155" s="7">
        <v>0.152</v>
      </c>
      <c r="U155" s="7">
        <v>-0.68400000000000005</v>
      </c>
      <c r="V155" s="7" t="s">
        <v>86</v>
      </c>
      <c r="W155" s="11">
        <v>45946.5625</v>
      </c>
    </row>
    <row r="156" spans="1:23">
      <c r="A156" t="s">
        <v>84</v>
      </c>
      <c r="B156">
        <v>75</v>
      </c>
      <c r="C156" s="10">
        <v>45946</v>
      </c>
      <c r="D156" s="11">
        <v>45946.666666666664</v>
      </c>
      <c r="E156" s="11">
        <v>45946.666666666664</v>
      </c>
      <c r="F156" t="s">
        <v>108</v>
      </c>
      <c r="G156" t="s">
        <v>107</v>
      </c>
      <c r="H156">
        <v>-1</v>
      </c>
      <c r="I156">
        <v>152</v>
      </c>
      <c r="J156" s="7">
        <v>660.64</v>
      </c>
      <c r="K156" s="7">
        <v>670.03164667119995</v>
      </c>
      <c r="L156" s="7">
        <v>661.81090305279997</v>
      </c>
      <c r="M156" s="7">
        <v>5.0499825999999999E-3</v>
      </c>
      <c r="N156" s="7">
        <v>662.80307974389996</v>
      </c>
      <c r="O156" s="7">
        <v>670.03164667119995</v>
      </c>
      <c r="P156" s="7">
        <v>661.81090305279997</v>
      </c>
      <c r="Q156" s="7">
        <v>1</v>
      </c>
      <c r="R156" s="7">
        <v>177.84</v>
      </c>
      <c r="S156" s="7">
        <v>0.53200000000000003</v>
      </c>
      <c r="T156" s="7">
        <v>0.152</v>
      </c>
      <c r="U156" s="7">
        <v>177.15600000000001</v>
      </c>
      <c r="V156" s="7" t="s">
        <v>85</v>
      </c>
      <c r="W156" s="11">
        <v>45946.645833333336</v>
      </c>
    </row>
    <row r="157" spans="1:23">
      <c r="A157" t="s">
        <v>84</v>
      </c>
      <c r="B157">
        <v>76</v>
      </c>
      <c r="C157" s="10">
        <v>45947</v>
      </c>
      <c r="D157" s="11">
        <v>45947.4375</v>
      </c>
      <c r="E157" s="11">
        <v>45947.4375</v>
      </c>
      <c r="F157" t="s">
        <v>106</v>
      </c>
      <c r="G157" t="s">
        <v>107</v>
      </c>
      <c r="H157">
        <v>1</v>
      </c>
      <c r="I157">
        <v>153</v>
      </c>
      <c r="J157" s="7">
        <v>662.4</v>
      </c>
      <c r="K157" s="7">
        <v>661.64563398409996</v>
      </c>
      <c r="L157" s="7">
        <v>659.64438108640002</v>
      </c>
      <c r="M157" s="7">
        <v>1.5070521000000001E-3</v>
      </c>
      <c r="N157" s="7">
        <v>661.22370587529997</v>
      </c>
      <c r="O157" s="7">
        <v>661.64563398409996</v>
      </c>
      <c r="P157" s="7">
        <v>659.64438108640002</v>
      </c>
      <c r="Q157" s="7">
        <v>1</v>
      </c>
      <c r="R157" s="7">
        <v>0</v>
      </c>
      <c r="S157" s="7">
        <v>0.53549999999999998</v>
      </c>
      <c r="T157" s="7">
        <v>0.153</v>
      </c>
      <c r="U157" s="7">
        <v>-0.6885</v>
      </c>
      <c r="V157" s="7" t="s">
        <v>86</v>
      </c>
      <c r="W157" s="11">
        <v>45947.416666666664</v>
      </c>
    </row>
    <row r="158" spans="1:23">
      <c r="A158" t="s">
        <v>84</v>
      </c>
      <c r="B158">
        <v>76</v>
      </c>
      <c r="C158" s="10">
        <v>45947</v>
      </c>
      <c r="D158" s="11">
        <v>45947.666666666664</v>
      </c>
      <c r="E158" s="11">
        <v>45947.666666666664</v>
      </c>
      <c r="F158" t="s">
        <v>108</v>
      </c>
      <c r="G158" t="s">
        <v>109</v>
      </c>
      <c r="H158">
        <v>1</v>
      </c>
      <c r="I158">
        <v>153</v>
      </c>
      <c r="J158" s="7">
        <v>664.39</v>
      </c>
      <c r="K158" s="7">
        <v>664.41203224929995</v>
      </c>
      <c r="L158" s="7">
        <v>656.87802469509995</v>
      </c>
      <c r="M158" s="7">
        <v>5.6944407000000001E-3</v>
      </c>
      <c r="N158" s="7">
        <v>662.29460136190005</v>
      </c>
      <c r="O158" s="7">
        <v>664.41203224929995</v>
      </c>
      <c r="P158" s="7">
        <v>656.87802469509995</v>
      </c>
      <c r="Q158" s="7">
        <v>1</v>
      </c>
      <c r="R158" s="7">
        <v>304.47000000000003</v>
      </c>
      <c r="S158" s="7">
        <v>0.53549999999999998</v>
      </c>
      <c r="T158" s="7">
        <v>0.153</v>
      </c>
      <c r="U158" s="7">
        <v>303.78149999999999</v>
      </c>
      <c r="V158" s="7" t="s">
        <v>85</v>
      </c>
      <c r="W158" s="11">
        <v>45947.645833333336</v>
      </c>
    </row>
    <row r="159" spans="1:23">
      <c r="A159" t="s">
        <v>84</v>
      </c>
      <c r="B159">
        <v>77</v>
      </c>
      <c r="C159" s="10">
        <v>45950</v>
      </c>
      <c r="D159" s="11">
        <v>45950.4375</v>
      </c>
      <c r="E159" s="11">
        <v>45950.4375</v>
      </c>
      <c r="F159" t="s">
        <v>106</v>
      </c>
      <c r="G159" t="s">
        <v>107</v>
      </c>
      <c r="H159">
        <v>1</v>
      </c>
      <c r="I159">
        <v>152</v>
      </c>
      <c r="J159" s="7">
        <v>670.3</v>
      </c>
      <c r="K159" s="7">
        <v>669.88360946190005</v>
      </c>
      <c r="L159" s="7">
        <v>663.27373274360002</v>
      </c>
      <c r="M159" s="7">
        <v>1.6801386000000001E-3</v>
      </c>
      <c r="N159" s="7">
        <v>669.35279147469998</v>
      </c>
      <c r="O159" s="7">
        <v>669.88360946190005</v>
      </c>
      <c r="P159" s="7">
        <v>663.27373274360002</v>
      </c>
      <c r="Q159" s="7">
        <v>1</v>
      </c>
      <c r="R159" s="7">
        <v>0</v>
      </c>
      <c r="S159" s="7">
        <v>0.53200000000000003</v>
      </c>
      <c r="T159" s="7">
        <v>0.152</v>
      </c>
      <c r="U159" s="7">
        <v>-0.68400000000000005</v>
      </c>
      <c r="V159" s="7" t="s">
        <v>86</v>
      </c>
      <c r="W159" s="11">
        <v>45950.416666666664</v>
      </c>
    </row>
    <row r="160" spans="1:23">
      <c r="A160" t="s">
        <v>84</v>
      </c>
      <c r="B160">
        <v>77</v>
      </c>
      <c r="C160" s="10">
        <v>45950</v>
      </c>
      <c r="D160" s="11">
        <v>45950.666666666664</v>
      </c>
      <c r="E160" s="11">
        <v>45950.666666666664</v>
      </c>
      <c r="F160" t="s">
        <v>108</v>
      </c>
      <c r="G160" t="s">
        <v>109</v>
      </c>
      <c r="H160">
        <v>1</v>
      </c>
      <c r="I160">
        <v>152</v>
      </c>
      <c r="J160" s="7">
        <v>671.3</v>
      </c>
      <c r="K160" s="7">
        <v>672.77179304089998</v>
      </c>
      <c r="L160" s="7">
        <v>660.40442194740001</v>
      </c>
      <c r="M160" s="7">
        <v>5.9988532000000002E-3</v>
      </c>
      <c r="N160" s="7">
        <v>670.81268142399995</v>
      </c>
      <c r="O160" s="7">
        <v>672.77179304089998</v>
      </c>
      <c r="P160" s="7">
        <v>660.40442194740001</v>
      </c>
      <c r="Q160" s="7">
        <v>1</v>
      </c>
      <c r="R160" s="7">
        <v>152</v>
      </c>
      <c r="S160" s="7">
        <v>0.53200000000000003</v>
      </c>
      <c r="T160" s="7">
        <v>0.152</v>
      </c>
      <c r="U160" s="7">
        <v>151.316</v>
      </c>
      <c r="V160" s="7" t="s">
        <v>85</v>
      </c>
      <c r="W160" s="11">
        <v>45950.645833333336</v>
      </c>
    </row>
    <row r="161" spans="1:23">
      <c r="A161" t="s">
        <v>84</v>
      </c>
      <c r="B161">
        <v>78</v>
      </c>
      <c r="C161" s="10">
        <v>45952</v>
      </c>
      <c r="D161" s="11">
        <v>45952.4375</v>
      </c>
      <c r="E161" s="11">
        <v>45952.4375</v>
      </c>
      <c r="F161" t="s">
        <v>106</v>
      </c>
      <c r="G161" t="s">
        <v>109</v>
      </c>
      <c r="H161">
        <v>-1</v>
      </c>
      <c r="I161">
        <v>152</v>
      </c>
      <c r="J161" s="7">
        <v>669.33749999999998</v>
      </c>
      <c r="K161" s="7">
        <v>672.37887855880001</v>
      </c>
      <c r="L161" s="7">
        <v>670.1262430964</v>
      </c>
      <c r="M161" s="7">
        <v>1.6220688E-3</v>
      </c>
      <c r="N161" s="7">
        <v>670.39811205520004</v>
      </c>
      <c r="O161" s="7">
        <v>672.37887855880001</v>
      </c>
      <c r="P161" s="7">
        <v>670.1262430964</v>
      </c>
      <c r="Q161" s="7">
        <v>1</v>
      </c>
      <c r="R161" s="7">
        <v>0</v>
      </c>
      <c r="S161" s="7">
        <v>0.53200000000000003</v>
      </c>
      <c r="T161" s="7">
        <v>0.152</v>
      </c>
      <c r="U161" s="7">
        <v>-0.68400000000000005</v>
      </c>
      <c r="V161" s="7" t="s">
        <v>86</v>
      </c>
      <c r="W161" s="11">
        <v>45952.416666666664</v>
      </c>
    </row>
    <row r="162" spans="1:23">
      <c r="A162" t="s">
        <v>84</v>
      </c>
      <c r="B162">
        <v>78</v>
      </c>
      <c r="C162" s="10">
        <v>45952</v>
      </c>
      <c r="D162" s="11">
        <v>45952.666666666664</v>
      </c>
      <c r="E162" s="11">
        <v>45952.666666666664</v>
      </c>
      <c r="F162" t="s">
        <v>108</v>
      </c>
      <c r="G162" t="s">
        <v>107</v>
      </c>
      <c r="H162">
        <v>-1</v>
      </c>
      <c r="I162">
        <v>152</v>
      </c>
      <c r="J162" s="7">
        <v>667.8</v>
      </c>
      <c r="K162" s="7">
        <v>674.98014665189999</v>
      </c>
      <c r="L162" s="7">
        <v>667.52526563039999</v>
      </c>
      <c r="M162" s="7">
        <v>5.4970975999999996E-3</v>
      </c>
      <c r="N162" s="7">
        <v>667.7749560149</v>
      </c>
      <c r="O162" s="7">
        <v>674.98014665189999</v>
      </c>
      <c r="P162" s="7">
        <v>667.52526563039999</v>
      </c>
      <c r="Q162" s="7">
        <v>1</v>
      </c>
      <c r="R162" s="7">
        <v>233.7</v>
      </c>
      <c r="S162" s="7">
        <v>0.53200000000000003</v>
      </c>
      <c r="T162" s="7">
        <v>0.152</v>
      </c>
      <c r="U162" s="7">
        <v>233.01599999999999</v>
      </c>
      <c r="V162" s="7" t="s">
        <v>85</v>
      </c>
      <c r="W162" s="11">
        <v>45952.645833333336</v>
      </c>
    </row>
    <row r="163" spans="1:23">
      <c r="A163" t="s">
        <v>84</v>
      </c>
      <c r="B163">
        <v>79</v>
      </c>
      <c r="C163" s="10">
        <v>45960</v>
      </c>
      <c r="D163" s="11">
        <v>45960.4375</v>
      </c>
      <c r="E163" s="11">
        <v>45960.4375</v>
      </c>
      <c r="F163" t="s">
        <v>106</v>
      </c>
      <c r="G163" t="s">
        <v>109</v>
      </c>
      <c r="H163">
        <v>-1</v>
      </c>
      <c r="I163">
        <v>149</v>
      </c>
      <c r="J163" s="7">
        <v>683.44</v>
      </c>
      <c r="K163" s="7">
        <v>688.48993574270003</v>
      </c>
      <c r="L163" s="7">
        <v>683.95380863770004</v>
      </c>
      <c r="M163" s="7">
        <v>1.6001626E-3</v>
      </c>
      <c r="N163" s="7">
        <v>684.48701690680002</v>
      </c>
      <c r="O163" s="7">
        <v>688.48993574270003</v>
      </c>
      <c r="P163" s="7">
        <v>683.95380863770004</v>
      </c>
      <c r="Q163" s="7">
        <v>1</v>
      </c>
      <c r="R163" s="7">
        <v>0</v>
      </c>
      <c r="S163" s="7">
        <v>0.52149999999999996</v>
      </c>
      <c r="T163" s="7">
        <v>0.14899999999999999</v>
      </c>
      <c r="U163" s="7">
        <v>-0.67049999999999998</v>
      </c>
      <c r="V163" s="7" t="s">
        <v>86</v>
      </c>
      <c r="W163" s="11">
        <v>45960.416666666664</v>
      </c>
    </row>
    <row r="164" spans="1:23">
      <c r="A164" t="s">
        <v>84</v>
      </c>
      <c r="B164">
        <v>79</v>
      </c>
      <c r="C164" s="10">
        <v>45960</v>
      </c>
      <c r="D164" s="11">
        <v>45960.666666666664</v>
      </c>
      <c r="E164" s="11">
        <v>45960.666666666664</v>
      </c>
      <c r="F164" t="s">
        <v>108</v>
      </c>
      <c r="G164" t="s">
        <v>107</v>
      </c>
      <c r="H164">
        <v>-1</v>
      </c>
      <c r="I164">
        <v>149</v>
      </c>
      <c r="J164" s="7">
        <v>679.83</v>
      </c>
      <c r="K164" s="7">
        <v>691.26768114970002</v>
      </c>
      <c r="L164" s="7">
        <v>681.18551917900004</v>
      </c>
      <c r="M164" s="7">
        <v>5.6411661E-3</v>
      </c>
      <c r="N164" s="7">
        <v>682.95646095860002</v>
      </c>
      <c r="O164" s="7">
        <v>691.26768114970002</v>
      </c>
      <c r="P164" s="7">
        <v>681.18551917900004</v>
      </c>
      <c r="Q164" s="7">
        <v>1</v>
      </c>
      <c r="R164" s="7">
        <v>537.89</v>
      </c>
      <c r="S164" s="7">
        <v>0.52149999999999996</v>
      </c>
      <c r="T164" s="7">
        <v>0.14899999999999999</v>
      </c>
      <c r="U164" s="7">
        <v>537.21950000000004</v>
      </c>
      <c r="V164" s="7" t="s">
        <v>85</v>
      </c>
      <c r="W164" s="11">
        <v>45960.645833333336</v>
      </c>
    </row>
    <row r="165" spans="1:23">
      <c r="A165" t="s">
        <v>84</v>
      </c>
      <c r="B165">
        <v>80</v>
      </c>
      <c r="C165" s="10">
        <v>45964</v>
      </c>
      <c r="D165" s="11">
        <v>45964.4375</v>
      </c>
      <c r="E165" s="11">
        <v>45964.4375</v>
      </c>
      <c r="F165" t="s">
        <v>106</v>
      </c>
      <c r="G165" t="s">
        <v>109</v>
      </c>
      <c r="H165">
        <v>-1</v>
      </c>
      <c r="I165">
        <v>150</v>
      </c>
      <c r="J165" s="7">
        <v>680.38990000000001</v>
      </c>
      <c r="K165" s="7">
        <v>683.55718801370006</v>
      </c>
      <c r="L165" s="7">
        <v>681.02351102290004</v>
      </c>
      <c r="M165" s="7">
        <v>1.5196449E-3</v>
      </c>
      <c r="N165" s="7">
        <v>681.63184732510001</v>
      </c>
      <c r="O165" s="7">
        <v>683.55718801370006</v>
      </c>
      <c r="P165" s="7">
        <v>681.02351102290004</v>
      </c>
      <c r="Q165" s="7">
        <v>1</v>
      </c>
      <c r="R165" s="7">
        <v>0</v>
      </c>
      <c r="S165" s="7">
        <v>0.52500000000000002</v>
      </c>
      <c r="T165" s="7">
        <v>0.15</v>
      </c>
      <c r="U165" s="7">
        <v>-0.67500000000000004</v>
      </c>
      <c r="V165" s="7" t="s">
        <v>86</v>
      </c>
      <c r="W165" s="11">
        <v>45964.416666666664</v>
      </c>
    </row>
    <row r="166" spans="1:23">
      <c r="A166" t="s">
        <v>84</v>
      </c>
      <c r="B166">
        <v>80</v>
      </c>
      <c r="C166" s="10">
        <v>45964</v>
      </c>
      <c r="D166" s="11">
        <v>45964.666666666664</v>
      </c>
      <c r="E166" s="11">
        <v>45964.666666666664</v>
      </c>
      <c r="F166" t="s">
        <v>108</v>
      </c>
      <c r="G166" t="s">
        <v>107</v>
      </c>
      <c r="H166">
        <v>-1</v>
      </c>
      <c r="I166">
        <v>150</v>
      </c>
      <c r="J166" s="7">
        <v>683.34</v>
      </c>
      <c r="K166" s="7">
        <v>685.37691312790002</v>
      </c>
      <c r="L166" s="7">
        <v>679.20501235409995</v>
      </c>
      <c r="M166" s="7">
        <v>4.1858306E-3</v>
      </c>
      <c r="N166" s="7">
        <v>682.71117670269996</v>
      </c>
      <c r="O166" s="7">
        <v>685.37691312790002</v>
      </c>
      <c r="P166" s="7">
        <v>679.20501235409995</v>
      </c>
      <c r="Q166" s="7">
        <v>1</v>
      </c>
      <c r="R166" s="7">
        <v>-442.51499999999999</v>
      </c>
      <c r="S166" s="7">
        <v>0.52500000000000002</v>
      </c>
      <c r="T166" s="7">
        <v>0.15</v>
      </c>
      <c r="U166" s="7">
        <v>-443.19</v>
      </c>
      <c r="V166" s="7" t="s">
        <v>85</v>
      </c>
      <c r="W166" s="11">
        <v>45964.645833333336</v>
      </c>
    </row>
    <row r="167" spans="1:23">
      <c r="A167" t="s">
        <v>84</v>
      </c>
      <c r="B167">
        <v>81</v>
      </c>
      <c r="C167" s="10">
        <v>45965</v>
      </c>
      <c r="D167" s="11">
        <v>45965.520833333336</v>
      </c>
      <c r="E167" s="11">
        <v>45965.520833333336</v>
      </c>
      <c r="F167" t="s">
        <v>106</v>
      </c>
      <c r="G167" t="s">
        <v>109</v>
      </c>
      <c r="H167">
        <v>-1</v>
      </c>
      <c r="I167">
        <v>151</v>
      </c>
      <c r="J167" s="7">
        <v>676.94</v>
      </c>
      <c r="K167" s="7">
        <v>684.95452796070003</v>
      </c>
      <c r="L167" s="7">
        <v>677.19619870090003</v>
      </c>
      <c r="M167" s="7">
        <v>2.3627008E-3</v>
      </c>
      <c r="N167" s="7">
        <v>678.38625947000003</v>
      </c>
      <c r="O167" s="7">
        <v>684.95452796070003</v>
      </c>
      <c r="P167" s="7">
        <v>677.19619870090003</v>
      </c>
      <c r="Q167" s="7">
        <v>1</v>
      </c>
      <c r="R167" s="7">
        <v>0</v>
      </c>
      <c r="S167" s="7">
        <v>0.52849999999999997</v>
      </c>
      <c r="T167" s="7">
        <v>0.151</v>
      </c>
      <c r="U167" s="7">
        <v>-0.67949999999999999</v>
      </c>
      <c r="V167" s="7" t="s">
        <v>86</v>
      </c>
      <c r="W167" s="11">
        <v>45965.5</v>
      </c>
    </row>
    <row r="168" spans="1:23">
      <c r="A168" t="s">
        <v>84</v>
      </c>
      <c r="B168">
        <v>81</v>
      </c>
      <c r="C168" s="10">
        <v>45965</v>
      </c>
      <c r="D168" s="11">
        <v>45965.666666666664</v>
      </c>
      <c r="E168" s="11">
        <v>45965.666666666664</v>
      </c>
      <c r="F168" t="s">
        <v>108</v>
      </c>
      <c r="G168" t="s">
        <v>107</v>
      </c>
      <c r="H168">
        <v>-1</v>
      </c>
      <c r="I168">
        <v>151</v>
      </c>
      <c r="J168" s="7">
        <v>675.24</v>
      </c>
      <c r="K168" s="7">
        <v>685.85545761770004</v>
      </c>
      <c r="L168" s="7">
        <v>676.30125467419998</v>
      </c>
      <c r="M168" s="7">
        <v>3.6811216000000001E-3</v>
      </c>
      <c r="N168" s="7">
        <v>676.8789495533</v>
      </c>
      <c r="O168" s="7">
        <v>685.85545761770004</v>
      </c>
      <c r="P168" s="7">
        <v>676.30125467419998</v>
      </c>
      <c r="Q168" s="7">
        <v>1</v>
      </c>
      <c r="R168" s="7">
        <v>256.7</v>
      </c>
      <c r="S168" s="7">
        <v>0.52849999999999997</v>
      </c>
      <c r="T168" s="7">
        <v>0.151</v>
      </c>
      <c r="U168" s="7">
        <v>256.02050000000003</v>
      </c>
      <c r="V168" s="7" t="s">
        <v>85</v>
      </c>
      <c r="W168" s="11">
        <v>45965.645833333336</v>
      </c>
    </row>
    <row r="169" spans="1:23">
      <c r="A169" t="s">
        <v>84</v>
      </c>
      <c r="B169">
        <v>82</v>
      </c>
      <c r="C169" s="10">
        <v>45966</v>
      </c>
      <c r="D169" s="11">
        <v>45966.479166666664</v>
      </c>
      <c r="E169" s="11">
        <v>45966.479166666664</v>
      </c>
      <c r="F169" t="s">
        <v>106</v>
      </c>
      <c r="G169" t="s">
        <v>107</v>
      </c>
      <c r="H169">
        <v>1</v>
      </c>
      <c r="I169">
        <v>151</v>
      </c>
      <c r="J169" s="7">
        <v>678.34</v>
      </c>
      <c r="K169" s="7">
        <v>678.11960855079997</v>
      </c>
      <c r="L169" s="7">
        <v>674.29309792540005</v>
      </c>
      <c r="M169" s="7">
        <v>1.4023193000000001E-3</v>
      </c>
      <c r="N169" s="7">
        <v>677.55040512979997</v>
      </c>
      <c r="O169" s="7">
        <v>678.11960855079997</v>
      </c>
      <c r="P169" s="7">
        <v>674.29309792540005</v>
      </c>
      <c r="Q169" s="7">
        <v>1</v>
      </c>
      <c r="R169" s="7">
        <v>0</v>
      </c>
      <c r="S169" s="7">
        <v>0.52849999999999997</v>
      </c>
      <c r="T169" s="7">
        <v>0.151</v>
      </c>
      <c r="U169" s="7">
        <v>-0.67949999999999999</v>
      </c>
      <c r="V169" s="7" t="s">
        <v>86</v>
      </c>
      <c r="W169" s="11">
        <v>45966.458333333336</v>
      </c>
    </row>
    <row r="170" spans="1:23">
      <c r="A170" t="s">
        <v>84</v>
      </c>
      <c r="B170">
        <v>82</v>
      </c>
      <c r="C170" s="10">
        <v>45966</v>
      </c>
      <c r="D170" s="11">
        <v>45966.666666666664</v>
      </c>
      <c r="E170" s="11">
        <v>45966.666666666664</v>
      </c>
      <c r="F170" t="s">
        <v>108</v>
      </c>
      <c r="G170" t="s">
        <v>109</v>
      </c>
      <c r="H170">
        <v>1</v>
      </c>
      <c r="I170">
        <v>151</v>
      </c>
      <c r="J170" s="7">
        <v>677.58</v>
      </c>
      <c r="K170" s="7">
        <v>679.68192257810006</v>
      </c>
      <c r="L170" s="7">
        <v>672.73523664419997</v>
      </c>
      <c r="M170" s="7">
        <v>3.7094416000000002E-3</v>
      </c>
      <c r="N170" s="7">
        <v>678.47470574780004</v>
      </c>
      <c r="O170" s="7">
        <v>679.68192257810006</v>
      </c>
      <c r="P170" s="7">
        <v>672.73523664419997</v>
      </c>
      <c r="Q170" s="7">
        <v>1</v>
      </c>
      <c r="R170" s="7">
        <v>-114.76</v>
      </c>
      <c r="S170" s="7">
        <v>0.52849999999999997</v>
      </c>
      <c r="T170" s="7">
        <v>0.151</v>
      </c>
      <c r="U170" s="7">
        <v>-115.4395</v>
      </c>
      <c r="V170" s="7" t="s">
        <v>85</v>
      </c>
      <c r="W170" s="11">
        <v>45966.645833333336</v>
      </c>
    </row>
    <row r="171" spans="1:23">
      <c r="A171" t="s">
        <v>84</v>
      </c>
      <c r="B171">
        <v>83</v>
      </c>
      <c r="C171" s="10">
        <v>45967</v>
      </c>
      <c r="D171" s="11">
        <v>45967.458333333336</v>
      </c>
      <c r="E171" s="11">
        <v>45967.458333333336</v>
      </c>
      <c r="F171" t="s">
        <v>106</v>
      </c>
      <c r="G171" t="s">
        <v>109</v>
      </c>
      <c r="H171">
        <v>-1</v>
      </c>
      <c r="I171">
        <v>152</v>
      </c>
      <c r="J171" s="7">
        <v>670.91</v>
      </c>
      <c r="K171" s="7">
        <v>678.46799375679996</v>
      </c>
      <c r="L171" s="7">
        <v>673.16663243929997</v>
      </c>
      <c r="M171" s="7">
        <v>1.3105371000000001E-3</v>
      </c>
      <c r="N171" s="7">
        <v>673.18105446660002</v>
      </c>
      <c r="O171" s="7">
        <v>678.46799375679996</v>
      </c>
      <c r="P171" s="7">
        <v>673.16663243929997</v>
      </c>
      <c r="Q171" s="7">
        <v>1</v>
      </c>
      <c r="R171" s="7">
        <v>0</v>
      </c>
      <c r="S171" s="7">
        <v>0.53200000000000003</v>
      </c>
      <c r="T171" s="7">
        <v>0.152</v>
      </c>
      <c r="U171" s="7">
        <v>-0.68400000000000005</v>
      </c>
      <c r="V171" s="7" t="s">
        <v>86</v>
      </c>
      <c r="W171" s="11">
        <v>45967.4375</v>
      </c>
    </row>
    <row r="172" spans="1:23">
      <c r="A172" t="s">
        <v>84</v>
      </c>
      <c r="B172">
        <v>83</v>
      </c>
      <c r="C172" s="10">
        <v>45967</v>
      </c>
      <c r="D172" s="11">
        <v>45967.666666666664</v>
      </c>
      <c r="E172" s="11">
        <v>45967.666666666664</v>
      </c>
      <c r="F172" t="s">
        <v>108</v>
      </c>
      <c r="G172" t="s">
        <v>107</v>
      </c>
      <c r="H172">
        <v>-1</v>
      </c>
      <c r="I172">
        <v>152</v>
      </c>
      <c r="J172" s="7">
        <v>670.31</v>
      </c>
      <c r="K172" s="7">
        <v>679.68534371199996</v>
      </c>
      <c r="L172" s="7">
        <v>671.95562453280002</v>
      </c>
      <c r="M172" s="7">
        <v>3.1071515E-3</v>
      </c>
      <c r="N172" s="7">
        <v>671.72273696139996</v>
      </c>
      <c r="O172" s="7">
        <v>679.68534371199996</v>
      </c>
      <c r="P172" s="7">
        <v>671.72273696139996</v>
      </c>
      <c r="Q172" s="7">
        <v>1</v>
      </c>
      <c r="R172" s="7">
        <v>91.2</v>
      </c>
      <c r="S172" s="7">
        <v>0.53200000000000003</v>
      </c>
      <c r="T172" s="7">
        <v>0.152</v>
      </c>
      <c r="U172" s="7">
        <v>90.516000000000005</v>
      </c>
      <c r="V172" s="7" t="s">
        <v>85</v>
      </c>
      <c r="W172" s="11">
        <v>45967.645833333336</v>
      </c>
    </row>
    <row r="173" spans="1:23">
      <c r="A173" t="s">
        <v>84</v>
      </c>
      <c r="B173">
        <v>84</v>
      </c>
      <c r="C173" s="10">
        <v>45968</v>
      </c>
      <c r="D173" s="11">
        <v>45968.458333333336</v>
      </c>
      <c r="E173" s="11">
        <v>45968.458333333336</v>
      </c>
      <c r="F173" t="s">
        <v>106</v>
      </c>
      <c r="G173" t="s">
        <v>109</v>
      </c>
      <c r="H173">
        <v>-1</v>
      </c>
      <c r="I173">
        <v>154</v>
      </c>
      <c r="J173" s="7">
        <v>663.36</v>
      </c>
      <c r="K173" s="7">
        <v>671.33323656849996</v>
      </c>
      <c r="L173" s="7">
        <v>665.32781605340006</v>
      </c>
      <c r="M173" s="7">
        <v>1.5265125E-3</v>
      </c>
      <c r="N173" s="7">
        <v>665.41627858109996</v>
      </c>
      <c r="O173" s="7">
        <v>671.33323656849996</v>
      </c>
      <c r="P173" s="7">
        <v>665.32781605340006</v>
      </c>
      <c r="Q173" s="7">
        <v>1</v>
      </c>
      <c r="R173" s="7">
        <v>0</v>
      </c>
      <c r="S173" s="7">
        <v>0.53900000000000003</v>
      </c>
      <c r="T173" s="7">
        <v>0.154</v>
      </c>
      <c r="U173" s="7">
        <v>-0.69299999999999995</v>
      </c>
      <c r="V173" s="7" t="s">
        <v>86</v>
      </c>
      <c r="W173" s="11">
        <v>45968.4375</v>
      </c>
    </row>
    <row r="174" spans="1:23">
      <c r="A174" t="s">
        <v>84</v>
      </c>
      <c r="B174">
        <v>84</v>
      </c>
      <c r="C174" s="10">
        <v>45968</v>
      </c>
      <c r="D174" s="11">
        <v>45968.666666666664</v>
      </c>
      <c r="E174" s="11">
        <v>45968.666666666664</v>
      </c>
      <c r="F174" t="s">
        <v>108</v>
      </c>
      <c r="G174" t="s">
        <v>107</v>
      </c>
      <c r="H174">
        <v>-1</v>
      </c>
      <c r="I174">
        <v>154</v>
      </c>
      <c r="J174" s="7">
        <v>670.97</v>
      </c>
      <c r="K174" s="7">
        <v>672.38736631220002</v>
      </c>
      <c r="L174" s="7">
        <v>664.2799216702</v>
      </c>
      <c r="M174" s="7">
        <v>3.0991128000000001E-3</v>
      </c>
      <c r="N174" s="7">
        <v>666.35471556009998</v>
      </c>
      <c r="O174" s="7">
        <v>672.38736631220002</v>
      </c>
      <c r="P174" s="7">
        <v>664.2799216702</v>
      </c>
      <c r="Q174" s="7">
        <v>1</v>
      </c>
      <c r="R174" s="7">
        <v>-1171.94</v>
      </c>
      <c r="S174" s="7">
        <v>0.53900000000000003</v>
      </c>
      <c r="T174" s="7">
        <v>0.154</v>
      </c>
      <c r="U174" s="7">
        <v>-1172.633</v>
      </c>
      <c r="V174" s="7" t="s">
        <v>85</v>
      </c>
      <c r="W174" s="11">
        <v>45968.645833333336</v>
      </c>
    </row>
    <row r="175" spans="1:23">
      <c r="A175" t="s">
        <v>84</v>
      </c>
      <c r="B175">
        <v>85</v>
      </c>
      <c r="C175" s="10">
        <v>45971</v>
      </c>
      <c r="D175" s="11">
        <v>45971.604166666664</v>
      </c>
      <c r="E175" s="11">
        <v>45971.604166666664</v>
      </c>
      <c r="F175" t="s">
        <v>106</v>
      </c>
      <c r="G175" t="s">
        <v>107</v>
      </c>
      <c r="H175">
        <v>1</v>
      </c>
      <c r="I175">
        <v>149</v>
      </c>
      <c r="J175" s="7">
        <v>680.755</v>
      </c>
      <c r="K175" s="7">
        <v>680.34725822589996</v>
      </c>
      <c r="L175" s="7">
        <v>669.16803160999996</v>
      </c>
      <c r="M175" s="7">
        <v>2.6856168999999999E-3</v>
      </c>
      <c r="N175" s="7">
        <v>678.08747553260002</v>
      </c>
      <c r="O175" s="7">
        <v>680.34725822589996</v>
      </c>
      <c r="P175" s="7">
        <v>669.16803160999996</v>
      </c>
      <c r="Q175" s="7">
        <v>1</v>
      </c>
      <c r="R175" s="7">
        <v>0</v>
      </c>
      <c r="S175" s="7">
        <v>0.52149999999999996</v>
      </c>
      <c r="T175" s="7">
        <v>0.14899999999999999</v>
      </c>
      <c r="U175" s="7">
        <v>-0.67049999999999998</v>
      </c>
      <c r="V175" s="7" t="s">
        <v>86</v>
      </c>
      <c r="W175" s="11">
        <v>45971.583333333336</v>
      </c>
    </row>
    <row r="176" spans="1:23">
      <c r="A176" t="s">
        <v>84</v>
      </c>
      <c r="B176">
        <v>85</v>
      </c>
      <c r="C176" s="10">
        <v>45971</v>
      </c>
      <c r="D176" s="11">
        <v>45971.666666666664</v>
      </c>
      <c r="E176" s="11">
        <v>45971.666666666664</v>
      </c>
      <c r="F176" t="s">
        <v>108</v>
      </c>
      <c r="G176" t="s">
        <v>109</v>
      </c>
      <c r="H176">
        <v>1</v>
      </c>
      <c r="I176">
        <v>149</v>
      </c>
      <c r="J176" s="7">
        <v>681.44</v>
      </c>
      <c r="K176" s="7">
        <v>680.78014347730004</v>
      </c>
      <c r="L176" s="7">
        <v>668.73996629600003</v>
      </c>
      <c r="M176" s="7">
        <v>3.3235967000000001E-3</v>
      </c>
      <c r="N176" s="7">
        <v>679.1472405961</v>
      </c>
      <c r="O176" s="7">
        <v>680.78014347730004</v>
      </c>
      <c r="P176" s="7">
        <v>668.73996629600003</v>
      </c>
      <c r="Q176" s="7">
        <v>1</v>
      </c>
      <c r="R176" s="7">
        <v>102.065</v>
      </c>
      <c r="S176" s="7">
        <v>0.52149999999999996</v>
      </c>
      <c r="T176" s="7">
        <v>0.14899999999999999</v>
      </c>
      <c r="U176" s="7">
        <v>101.39449999999999</v>
      </c>
      <c r="V176" s="7" t="s">
        <v>85</v>
      </c>
      <c r="W176" s="11">
        <v>45971.645833333336</v>
      </c>
    </row>
    <row r="177" spans="1:23">
      <c r="A177" t="s">
        <v>84</v>
      </c>
      <c r="B177">
        <v>86</v>
      </c>
      <c r="C177" s="10">
        <v>45972</v>
      </c>
      <c r="D177" s="11">
        <v>45972.4375</v>
      </c>
      <c r="E177" s="11">
        <v>45972.4375</v>
      </c>
      <c r="F177" t="s">
        <v>106</v>
      </c>
      <c r="G177" t="s">
        <v>109</v>
      </c>
      <c r="H177">
        <v>-1</v>
      </c>
      <c r="I177">
        <v>149</v>
      </c>
      <c r="J177" s="7">
        <v>679.36500000000001</v>
      </c>
      <c r="K177" s="7">
        <v>682.201765464</v>
      </c>
      <c r="L177" s="7">
        <v>679.88412324750004</v>
      </c>
      <c r="M177" s="7">
        <v>1.1178761000000001E-3</v>
      </c>
      <c r="N177" s="7">
        <v>680.10247133220003</v>
      </c>
      <c r="O177" s="7">
        <v>682.201765464</v>
      </c>
      <c r="P177" s="7">
        <v>679.88412324750004</v>
      </c>
      <c r="Q177" s="7">
        <v>1</v>
      </c>
      <c r="R177" s="7">
        <v>0</v>
      </c>
      <c r="S177" s="7">
        <v>0.52149999999999996</v>
      </c>
      <c r="T177" s="7">
        <v>0.14899999999999999</v>
      </c>
      <c r="U177" s="7">
        <v>-0.67049999999999998</v>
      </c>
      <c r="V177" s="7" t="s">
        <v>86</v>
      </c>
      <c r="W177" s="11">
        <v>45972.416666666664</v>
      </c>
    </row>
    <row r="178" spans="1:23">
      <c r="A178" t="s">
        <v>84</v>
      </c>
      <c r="B178">
        <v>86</v>
      </c>
      <c r="C178" s="10">
        <v>45972</v>
      </c>
      <c r="D178" s="11">
        <v>45972.666666666664</v>
      </c>
      <c r="E178" s="11">
        <v>45972.666666666664</v>
      </c>
      <c r="F178" t="s">
        <v>108</v>
      </c>
      <c r="G178" t="s">
        <v>107</v>
      </c>
      <c r="H178">
        <v>-1</v>
      </c>
      <c r="I178">
        <v>149</v>
      </c>
      <c r="J178" s="7">
        <v>683</v>
      </c>
      <c r="K178" s="7">
        <v>683.86240495319998</v>
      </c>
      <c r="L178" s="7">
        <v>678.22542113860004</v>
      </c>
      <c r="M178" s="7">
        <v>3.5548323000000001E-3</v>
      </c>
      <c r="N178" s="7">
        <v>681.69063016739995</v>
      </c>
      <c r="O178" s="7">
        <v>683.86240495319998</v>
      </c>
      <c r="P178" s="7">
        <v>678.22542113860004</v>
      </c>
      <c r="Q178" s="7">
        <v>1</v>
      </c>
      <c r="R178" s="7">
        <v>-541.61500000000001</v>
      </c>
      <c r="S178" s="7">
        <v>0.52149999999999996</v>
      </c>
      <c r="T178" s="7">
        <v>0.14899999999999999</v>
      </c>
      <c r="U178" s="7">
        <v>-542.28549999999996</v>
      </c>
      <c r="V178" s="7" t="s">
        <v>85</v>
      </c>
      <c r="W178" s="11">
        <v>45972.645833333336</v>
      </c>
    </row>
    <row r="179" spans="1:23">
      <c r="A179" t="s">
        <v>84</v>
      </c>
      <c r="B179">
        <v>87</v>
      </c>
      <c r="C179" s="10">
        <v>45974</v>
      </c>
      <c r="D179" s="11">
        <v>45974.458333333336</v>
      </c>
      <c r="E179" s="11">
        <v>45974.458333333336</v>
      </c>
      <c r="F179" t="s">
        <v>106</v>
      </c>
      <c r="G179" t="s">
        <v>109</v>
      </c>
      <c r="H179">
        <v>-1</v>
      </c>
      <c r="I179">
        <v>148</v>
      </c>
      <c r="J179" s="7">
        <v>676.3</v>
      </c>
      <c r="K179" s="7">
        <v>684.58794795159997</v>
      </c>
      <c r="L179" s="7">
        <v>677.52028910169997</v>
      </c>
      <c r="M179" s="7">
        <v>1.7676079999999999E-3</v>
      </c>
      <c r="N179" s="7">
        <v>677.93765824319996</v>
      </c>
      <c r="O179" s="7">
        <v>684.58794795159997</v>
      </c>
      <c r="P179" s="7">
        <v>677.52028910169997</v>
      </c>
      <c r="Q179" s="7">
        <v>1</v>
      </c>
      <c r="R179" s="7">
        <v>0</v>
      </c>
      <c r="S179" s="7">
        <v>0.51800000000000002</v>
      </c>
      <c r="T179" s="7">
        <v>0.14799999999999999</v>
      </c>
      <c r="U179" s="7">
        <v>-0.66600000000000004</v>
      </c>
      <c r="V179" s="7" t="s">
        <v>86</v>
      </c>
      <c r="W179" s="11">
        <v>45974.4375</v>
      </c>
    </row>
    <row r="180" spans="1:23">
      <c r="A180" t="s">
        <v>84</v>
      </c>
      <c r="B180">
        <v>87</v>
      </c>
      <c r="C180" s="10">
        <v>45974</v>
      </c>
      <c r="D180" s="11">
        <v>45974.666666666664</v>
      </c>
      <c r="E180" s="11">
        <v>45974.666666666664</v>
      </c>
      <c r="F180" t="s">
        <v>108</v>
      </c>
      <c r="G180" t="s">
        <v>107</v>
      </c>
      <c r="H180">
        <v>-1</v>
      </c>
      <c r="I180">
        <v>148</v>
      </c>
      <c r="J180" s="7">
        <v>672.04</v>
      </c>
      <c r="K180" s="7">
        <v>685.62668743380004</v>
      </c>
      <c r="L180" s="7">
        <v>676.48863283230003</v>
      </c>
      <c r="M180" s="7">
        <v>3.2876107000000001E-3</v>
      </c>
      <c r="N180" s="7">
        <v>674.41437908939997</v>
      </c>
      <c r="O180" s="7">
        <v>685.62668743380004</v>
      </c>
      <c r="P180" s="7">
        <v>674.41437908939997</v>
      </c>
      <c r="Q180" s="7">
        <v>1</v>
      </c>
      <c r="R180" s="7">
        <v>630.48</v>
      </c>
      <c r="S180" s="7">
        <v>0.51800000000000002</v>
      </c>
      <c r="T180" s="7">
        <v>0.14799999999999999</v>
      </c>
      <c r="U180" s="7">
        <v>629.81399999999996</v>
      </c>
      <c r="V180" s="7" t="s">
        <v>85</v>
      </c>
      <c r="W180" s="11">
        <v>45974.645833333336</v>
      </c>
    </row>
    <row r="181" spans="1:23">
      <c r="A181" t="s">
        <v>84</v>
      </c>
      <c r="B181">
        <v>88</v>
      </c>
      <c r="C181" s="10">
        <v>45975</v>
      </c>
      <c r="D181" s="11">
        <v>45975.479166666664</v>
      </c>
      <c r="E181" s="11">
        <v>45975.479166666664</v>
      </c>
      <c r="F181" t="s">
        <v>106</v>
      </c>
      <c r="G181" t="s">
        <v>107</v>
      </c>
      <c r="H181">
        <v>1</v>
      </c>
      <c r="I181">
        <v>152</v>
      </c>
      <c r="J181" s="7">
        <v>674.48</v>
      </c>
      <c r="K181" s="7">
        <v>673.41905589739997</v>
      </c>
      <c r="L181" s="7">
        <v>667.3776953286</v>
      </c>
      <c r="M181" s="7">
        <v>2.0520444E-3</v>
      </c>
      <c r="N181" s="7">
        <v>670.61807095059999</v>
      </c>
      <c r="O181" s="7">
        <v>673.41905589739997</v>
      </c>
      <c r="P181" s="7">
        <v>667.3776953286</v>
      </c>
      <c r="Q181" s="7">
        <v>1</v>
      </c>
      <c r="R181" s="7">
        <v>0</v>
      </c>
      <c r="S181" s="7">
        <v>0.53200000000000003</v>
      </c>
      <c r="T181" s="7">
        <v>0.152</v>
      </c>
      <c r="U181" s="7">
        <v>-0.68400000000000005</v>
      </c>
      <c r="V181" s="7" t="s">
        <v>86</v>
      </c>
      <c r="W181" s="11">
        <v>45975.458333333336</v>
      </c>
    </row>
    <row r="182" spans="1:23">
      <c r="A182" t="s">
        <v>84</v>
      </c>
      <c r="B182">
        <v>88</v>
      </c>
      <c r="C182" s="10">
        <v>45975</v>
      </c>
      <c r="D182" s="11">
        <v>45975.666666666664</v>
      </c>
      <c r="E182" s="11">
        <v>45975.666666666664</v>
      </c>
      <c r="F182" t="s">
        <v>108</v>
      </c>
      <c r="G182" t="s">
        <v>109</v>
      </c>
      <c r="H182">
        <v>1</v>
      </c>
      <c r="I182">
        <v>152</v>
      </c>
      <c r="J182" s="7">
        <v>671.93</v>
      </c>
      <c r="K182" s="7">
        <v>674.70626438459999</v>
      </c>
      <c r="L182" s="7">
        <v>666.09678842450001</v>
      </c>
      <c r="M182" s="7">
        <v>3.9674191999999999E-3</v>
      </c>
      <c r="N182" s="7">
        <v>672.15997790280005</v>
      </c>
      <c r="O182" s="7">
        <v>674.70626438459999</v>
      </c>
      <c r="P182" s="7">
        <v>666.09678842450001</v>
      </c>
      <c r="Q182" s="7">
        <v>1</v>
      </c>
      <c r="R182" s="7">
        <v>-387.6</v>
      </c>
      <c r="S182" s="7">
        <v>0.53200000000000003</v>
      </c>
      <c r="T182" s="7">
        <v>0.152</v>
      </c>
      <c r="U182" s="7">
        <v>-388.28399999999999</v>
      </c>
      <c r="V182" s="7" t="s">
        <v>85</v>
      </c>
      <c r="W182" s="11">
        <v>45975.645833333336</v>
      </c>
    </row>
    <row r="183" spans="1:23">
      <c r="A183" t="s">
        <v>84</v>
      </c>
      <c r="B183">
        <v>89</v>
      </c>
      <c r="C183" s="10">
        <v>45978</v>
      </c>
      <c r="D183" s="11">
        <v>45978.541666666664</v>
      </c>
      <c r="E183" s="11">
        <v>45978.541666666664</v>
      </c>
      <c r="F183" t="s">
        <v>106</v>
      </c>
      <c r="G183" t="s">
        <v>109</v>
      </c>
      <c r="H183">
        <v>-1</v>
      </c>
      <c r="I183">
        <v>150</v>
      </c>
      <c r="J183" s="7">
        <v>669.23299999999995</v>
      </c>
      <c r="K183" s="7">
        <v>675.01109891060003</v>
      </c>
      <c r="L183" s="7">
        <v>669.74179945449998</v>
      </c>
      <c r="M183" s="7">
        <v>3.2565900000000002E-3</v>
      </c>
      <c r="N183" s="7">
        <v>671.60577250300003</v>
      </c>
      <c r="O183" s="7">
        <v>675.01109891060003</v>
      </c>
      <c r="P183" s="7">
        <v>669.74179945449998</v>
      </c>
      <c r="Q183" s="7">
        <v>1</v>
      </c>
      <c r="R183" s="7">
        <v>0</v>
      </c>
      <c r="S183" s="7">
        <v>0.52500000000000002</v>
      </c>
      <c r="T183" s="7">
        <v>0.15</v>
      </c>
      <c r="U183" s="7">
        <v>-0.67500000000000004</v>
      </c>
      <c r="V183" s="7" t="s">
        <v>86</v>
      </c>
      <c r="W183" s="11">
        <v>45978.520833333336</v>
      </c>
    </row>
    <row r="184" spans="1:23">
      <c r="A184" t="s">
        <v>84</v>
      </c>
      <c r="B184">
        <v>89</v>
      </c>
      <c r="C184" s="10">
        <v>45978</v>
      </c>
      <c r="D184" s="11">
        <v>45978.666666666664</v>
      </c>
      <c r="E184" s="11">
        <v>45978.666666666664</v>
      </c>
      <c r="F184" t="s">
        <v>108</v>
      </c>
      <c r="G184" t="s">
        <v>107</v>
      </c>
      <c r="H184">
        <v>-1</v>
      </c>
      <c r="I184">
        <v>150</v>
      </c>
      <c r="J184" s="7">
        <v>665.67</v>
      </c>
      <c r="K184" s="7">
        <v>675.57050304920006</v>
      </c>
      <c r="L184" s="7">
        <v>669.18313529049999</v>
      </c>
      <c r="M184" s="7">
        <v>4.0880220999999998E-3</v>
      </c>
      <c r="N184" s="7">
        <v>667.96508228590005</v>
      </c>
      <c r="O184" s="7">
        <v>675.57050304920006</v>
      </c>
      <c r="P184" s="7">
        <v>667.96508228590005</v>
      </c>
      <c r="Q184" s="7">
        <v>1</v>
      </c>
      <c r="R184" s="7">
        <v>534.45000000000005</v>
      </c>
      <c r="S184" s="7">
        <v>0.52500000000000002</v>
      </c>
      <c r="T184" s="7">
        <v>0.15</v>
      </c>
      <c r="U184" s="7">
        <v>533.77499999999998</v>
      </c>
      <c r="V184" s="7" t="s">
        <v>85</v>
      </c>
      <c r="W184" s="11">
        <v>45978.645833333336</v>
      </c>
    </row>
    <row r="185" spans="1:23">
      <c r="A185" t="s">
        <v>84</v>
      </c>
      <c r="B185">
        <v>90</v>
      </c>
      <c r="C185" s="10">
        <v>45981</v>
      </c>
      <c r="D185" s="11">
        <v>45981.5</v>
      </c>
      <c r="E185" s="11">
        <v>45981.5</v>
      </c>
      <c r="F185" t="s">
        <v>106</v>
      </c>
      <c r="G185" t="s">
        <v>109</v>
      </c>
      <c r="H185">
        <v>-1</v>
      </c>
      <c r="I185">
        <v>150</v>
      </c>
      <c r="J185" s="7">
        <v>659.75</v>
      </c>
      <c r="K185" s="7">
        <v>677.58553996850003</v>
      </c>
      <c r="L185" s="7">
        <v>660.20012404600004</v>
      </c>
      <c r="M185" s="7">
        <v>3.6670177000000001E-3</v>
      </c>
      <c r="N185" s="7">
        <v>668.35007427970004</v>
      </c>
      <c r="O185" s="7">
        <v>677.58553996850003</v>
      </c>
      <c r="P185" s="7">
        <v>660.20012404600004</v>
      </c>
      <c r="Q185" s="7">
        <v>1</v>
      </c>
      <c r="R185" s="7">
        <v>0</v>
      </c>
      <c r="S185" s="7">
        <v>0.52500000000000002</v>
      </c>
      <c r="T185" s="7">
        <v>0.15</v>
      </c>
      <c r="U185" s="7">
        <v>-0.67500000000000004</v>
      </c>
      <c r="V185" s="7" t="s">
        <v>86</v>
      </c>
      <c r="W185" s="11">
        <v>45981.479166666664</v>
      </c>
    </row>
    <row r="186" spans="1:23">
      <c r="A186" t="s">
        <v>84</v>
      </c>
      <c r="B186">
        <v>90</v>
      </c>
      <c r="C186" s="10">
        <v>45981</v>
      </c>
      <c r="D186" s="11">
        <v>45981.666666666664</v>
      </c>
      <c r="E186" s="11">
        <v>45981.666666666664</v>
      </c>
      <c r="F186" t="s">
        <v>108</v>
      </c>
      <c r="G186" t="s">
        <v>107</v>
      </c>
      <c r="H186">
        <v>-1</v>
      </c>
      <c r="I186">
        <v>150</v>
      </c>
      <c r="J186" s="7">
        <v>652.53</v>
      </c>
      <c r="K186" s="7">
        <v>678.10841128130005</v>
      </c>
      <c r="L186" s="7">
        <v>659.68691839170003</v>
      </c>
      <c r="M186" s="7">
        <v>4.4415158000000003E-3</v>
      </c>
      <c r="N186" s="7">
        <v>660.94844387440003</v>
      </c>
      <c r="O186" s="7">
        <v>678.10841128130005</v>
      </c>
      <c r="P186" s="7">
        <v>659.68691839170003</v>
      </c>
      <c r="Q186" s="7">
        <v>1</v>
      </c>
      <c r="R186" s="7">
        <v>1083</v>
      </c>
      <c r="S186" s="7">
        <v>0.52500000000000002</v>
      </c>
      <c r="T186" s="7">
        <v>0.15</v>
      </c>
      <c r="U186" s="7">
        <v>1082.325</v>
      </c>
      <c r="V186" s="7" t="s">
        <v>85</v>
      </c>
      <c r="W186" s="11">
        <v>45981.645833333336</v>
      </c>
    </row>
    <row r="187" spans="1:23">
      <c r="A187" t="s">
        <v>84</v>
      </c>
      <c r="B187">
        <v>91</v>
      </c>
      <c r="C187" s="10">
        <v>45982</v>
      </c>
      <c r="D187" s="11">
        <v>45982.5</v>
      </c>
      <c r="E187" s="11">
        <v>45982.5</v>
      </c>
      <c r="F187" t="s">
        <v>106</v>
      </c>
      <c r="G187" t="s">
        <v>107</v>
      </c>
      <c r="H187">
        <v>1</v>
      </c>
      <c r="I187">
        <v>157</v>
      </c>
      <c r="J187" s="7">
        <v>660.82</v>
      </c>
      <c r="K187" s="7">
        <v>658.19349475119998</v>
      </c>
      <c r="L187" s="7">
        <v>649.17831905989999</v>
      </c>
      <c r="M187" s="7">
        <v>5.1364395999999998E-3</v>
      </c>
      <c r="N187" s="7">
        <v>655.2402900024</v>
      </c>
      <c r="O187" s="7">
        <v>658.19349475119998</v>
      </c>
      <c r="P187" s="7">
        <v>649.17831905989999</v>
      </c>
      <c r="Q187" s="7">
        <v>1</v>
      </c>
      <c r="R187" s="7">
        <v>0</v>
      </c>
      <c r="S187" s="7">
        <v>0.54949999999999999</v>
      </c>
      <c r="T187" s="7">
        <v>0.157</v>
      </c>
      <c r="U187" s="7">
        <v>-0.70650000000000002</v>
      </c>
      <c r="V187" s="7" t="s">
        <v>86</v>
      </c>
      <c r="W187" s="11">
        <v>45982.479166666664</v>
      </c>
    </row>
    <row r="188" spans="1:23">
      <c r="A188" t="s">
        <v>84</v>
      </c>
      <c r="B188">
        <v>91</v>
      </c>
      <c r="C188" s="10">
        <v>45982</v>
      </c>
      <c r="D188" s="11">
        <v>45982.666666666664</v>
      </c>
      <c r="E188" s="11">
        <v>45982.666666666664</v>
      </c>
      <c r="F188" t="s">
        <v>108</v>
      </c>
      <c r="G188" t="s">
        <v>109</v>
      </c>
      <c r="H188">
        <v>1</v>
      </c>
      <c r="I188">
        <v>157</v>
      </c>
      <c r="J188" s="7">
        <v>659.03</v>
      </c>
      <c r="K188" s="7">
        <v>659.20088185580005</v>
      </c>
      <c r="L188" s="7">
        <v>648.17447026349998</v>
      </c>
      <c r="M188" s="7">
        <v>6.6748344999999999E-3</v>
      </c>
      <c r="N188" s="7">
        <v>658.13040770099997</v>
      </c>
      <c r="O188" s="7">
        <v>659.20088185580005</v>
      </c>
      <c r="P188" s="7">
        <v>648.17447026349998</v>
      </c>
      <c r="Q188" s="7">
        <v>1</v>
      </c>
      <c r="R188" s="7">
        <v>-281.02999999999997</v>
      </c>
      <c r="S188" s="7">
        <v>0.54949999999999999</v>
      </c>
      <c r="T188" s="7">
        <v>0.157</v>
      </c>
      <c r="U188" s="7">
        <v>-281.73649999999998</v>
      </c>
      <c r="V188" s="7" t="s">
        <v>85</v>
      </c>
      <c r="W188" s="11">
        <v>45982.645833333336</v>
      </c>
    </row>
    <row r="189" spans="1:23">
      <c r="A189" t="s">
        <v>84</v>
      </c>
      <c r="B189">
        <v>92</v>
      </c>
      <c r="C189" s="10">
        <v>45985</v>
      </c>
      <c r="D189" s="11">
        <v>45985.4375</v>
      </c>
      <c r="E189" s="11">
        <v>45985.4375</v>
      </c>
      <c r="F189" t="s">
        <v>106</v>
      </c>
      <c r="G189" t="s">
        <v>107</v>
      </c>
      <c r="H189">
        <v>1</v>
      </c>
      <c r="I189">
        <v>154</v>
      </c>
      <c r="J189" s="7">
        <v>665.43499999999995</v>
      </c>
      <c r="K189" s="7">
        <v>664.83744500549994</v>
      </c>
      <c r="L189" s="7">
        <v>658.41737950979996</v>
      </c>
      <c r="M189" s="7">
        <v>9.2957909999999996E-4</v>
      </c>
      <c r="N189" s="7">
        <v>664.71933623270002</v>
      </c>
      <c r="O189" s="7">
        <v>664.83744500549994</v>
      </c>
      <c r="P189" s="7">
        <v>658.41737950979996</v>
      </c>
      <c r="Q189" s="7">
        <v>1</v>
      </c>
      <c r="R189" s="7">
        <v>0</v>
      </c>
      <c r="S189" s="7">
        <v>0.53900000000000003</v>
      </c>
      <c r="T189" s="7">
        <v>0.154</v>
      </c>
      <c r="U189" s="7">
        <v>-0.69299999999999995</v>
      </c>
      <c r="V189" s="7" t="s">
        <v>86</v>
      </c>
      <c r="W189" s="11">
        <v>45985.416666666664</v>
      </c>
    </row>
    <row r="190" spans="1:23">
      <c r="A190" t="s">
        <v>84</v>
      </c>
      <c r="B190">
        <v>92</v>
      </c>
      <c r="C190" s="10">
        <v>45985</v>
      </c>
      <c r="D190" s="11">
        <v>45985.666666666664</v>
      </c>
      <c r="E190" s="11">
        <v>45985.666666666664</v>
      </c>
      <c r="F190" t="s">
        <v>108</v>
      </c>
      <c r="G190" t="s">
        <v>109</v>
      </c>
      <c r="H190">
        <v>1</v>
      </c>
      <c r="I190">
        <v>154</v>
      </c>
      <c r="J190" s="7">
        <v>668.73</v>
      </c>
      <c r="K190" s="7">
        <v>668.90085944340001</v>
      </c>
      <c r="L190" s="7">
        <v>654.38571527659997</v>
      </c>
      <c r="M190" s="7">
        <v>7.0471522000000002E-3</v>
      </c>
      <c r="N190" s="7">
        <v>667.49507416250003</v>
      </c>
      <c r="O190" s="7">
        <v>668.90085944340001</v>
      </c>
      <c r="P190" s="7">
        <v>654.38571527659997</v>
      </c>
      <c r="Q190" s="7">
        <v>1</v>
      </c>
      <c r="R190" s="7">
        <v>507.43</v>
      </c>
      <c r="S190" s="7">
        <v>0.53900000000000003</v>
      </c>
      <c r="T190" s="7">
        <v>0.154</v>
      </c>
      <c r="U190" s="7">
        <v>506.73700000000002</v>
      </c>
      <c r="V190" s="7" t="s">
        <v>85</v>
      </c>
      <c r="W190" s="11">
        <v>45985.645833333336</v>
      </c>
    </row>
    <row r="191" spans="1:23">
      <c r="A191" t="s">
        <v>84</v>
      </c>
      <c r="B191">
        <v>93</v>
      </c>
      <c r="C191" s="10">
        <v>45986</v>
      </c>
      <c r="D191" s="11">
        <v>45986.520833333336</v>
      </c>
      <c r="E191" s="11">
        <v>45986.520833333336</v>
      </c>
      <c r="F191" t="s">
        <v>106</v>
      </c>
      <c r="G191" t="s">
        <v>107</v>
      </c>
      <c r="H191">
        <v>1</v>
      </c>
      <c r="I191">
        <v>154</v>
      </c>
      <c r="J191" s="7">
        <v>673.33</v>
      </c>
      <c r="K191" s="7">
        <v>672.60824500930005</v>
      </c>
      <c r="L191" s="7">
        <v>664.93220931949998</v>
      </c>
      <c r="M191" s="7">
        <v>5.6791092E-3</v>
      </c>
      <c r="N191" s="7">
        <v>669.90336674859998</v>
      </c>
      <c r="O191" s="7">
        <v>672.60824500930005</v>
      </c>
      <c r="P191" s="7">
        <v>664.93220931949998</v>
      </c>
      <c r="Q191" s="7">
        <v>1</v>
      </c>
      <c r="R191" s="7">
        <v>0</v>
      </c>
      <c r="S191" s="7">
        <v>0.53900000000000003</v>
      </c>
      <c r="T191" s="7">
        <v>0.154</v>
      </c>
      <c r="U191" s="7">
        <v>-0.69299999999999995</v>
      </c>
      <c r="V191" s="7" t="s">
        <v>86</v>
      </c>
      <c r="W191" s="11">
        <v>45986.5</v>
      </c>
    </row>
    <row r="192" spans="1:23">
      <c r="A192" t="s">
        <v>84</v>
      </c>
      <c r="B192">
        <v>93</v>
      </c>
      <c r="C192" s="10">
        <v>45986</v>
      </c>
      <c r="D192" s="11">
        <v>45986.666666666664</v>
      </c>
      <c r="E192" s="11">
        <v>45986.666666666664</v>
      </c>
      <c r="F192" t="s">
        <v>108</v>
      </c>
      <c r="G192" t="s">
        <v>109</v>
      </c>
      <c r="H192">
        <v>1</v>
      </c>
      <c r="I192">
        <v>154</v>
      </c>
      <c r="J192" s="7">
        <v>675.02</v>
      </c>
      <c r="K192" s="7">
        <v>673.59703149890004</v>
      </c>
      <c r="L192" s="7">
        <v>663.94354110400002</v>
      </c>
      <c r="M192" s="7">
        <v>7.1575357999999999E-3</v>
      </c>
      <c r="N192" s="7">
        <v>671.97859804960001</v>
      </c>
      <c r="O192" s="7">
        <v>673.59703149890004</v>
      </c>
      <c r="P192" s="7">
        <v>663.94354110400002</v>
      </c>
      <c r="Q192" s="7">
        <v>1</v>
      </c>
      <c r="R192" s="7">
        <v>260.26</v>
      </c>
      <c r="S192" s="7">
        <v>0.53900000000000003</v>
      </c>
      <c r="T192" s="7">
        <v>0.154</v>
      </c>
      <c r="U192" s="7">
        <v>259.56700000000001</v>
      </c>
      <c r="V192" s="7" t="s">
        <v>85</v>
      </c>
      <c r="W192" s="11">
        <v>45986.645833333336</v>
      </c>
    </row>
    <row r="193" spans="1:23">
      <c r="A193" t="s">
        <v>84</v>
      </c>
      <c r="B193">
        <v>94</v>
      </c>
      <c r="C193" s="10">
        <v>45987</v>
      </c>
      <c r="D193" s="11">
        <v>45987.4375</v>
      </c>
      <c r="E193" s="11">
        <v>45987.4375</v>
      </c>
      <c r="F193" t="s">
        <v>106</v>
      </c>
      <c r="G193" t="s">
        <v>107</v>
      </c>
      <c r="H193">
        <v>1</v>
      </c>
      <c r="I193">
        <v>152</v>
      </c>
      <c r="J193" s="7">
        <v>678.2</v>
      </c>
      <c r="K193" s="7">
        <v>677.87478758700001</v>
      </c>
      <c r="L193" s="7">
        <v>674.32742857589994</v>
      </c>
      <c r="M193" s="7">
        <v>1.0260013E-3</v>
      </c>
      <c r="N193" s="7">
        <v>677.55403661050002</v>
      </c>
      <c r="O193" s="7">
        <v>677.87478758700001</v>
      </c>
      <c r="P193" s="7">
        <v>674.32742857589994</v>
      </c>
      <c r="Q193" s="7">
        <v>1</v>
      </c>
      <c r="R193" s="7">
        <v>0</v>
      </c>
      <c r="S193" s="7">
        <v>0.53200000000000003</v>
      </c>
      <c r="T193" s="7">
        <v>0.152</v>
      </c>
      <c r="U193" s="7">
        <v>-0.68400000000000005</v>
      </c>
      <c r="V193" s="7" t="s">
        <v>86</v>
      </c>
      <c r="W193" s="11">
        <v>45987.416666666664</v>
      </c>
    </row>
    <row r="194" spans="1:23">
      <c r="A194" t="s">
        <v>84</v>
      </c>
      <c r="B194">
        <v>94</v>
      </c>
      <c r="C194" s="10">
        <v>45987</v>
      </c>
      <c r="D194" s="11">
        <v>45987.666666666664</v>
      </c>
      <c r="E194" s="11">
        <v>45987.666666666664</v>
      </c>
      <c r="F194" t="s">
        <v>108</v>
      </c>
      <c r="G194" t="s">
        <v>109</v>
      </c>
      <c r="H194">
        <v>1</v>
      </c>
      <c r="I194">
        <v>152</v>
      </c>
      <c r="J194" s="7">
        <v>679.68</v>
      </c>
      <c r="K194" s="7">
        <v>682.44677654730003</v>
      </c>
      <c r="L194" s="7">
        <v>669.77002288170002</v>
      </c>
      <c r="M194" s="7">
        <v>7.7775133999999999E-3</v>
      </c>
      <c r="N194" s="7">
        <v>679.92593192849995</v>
      </c>
      <c r="O194" s="7">
        <v>682.44677654730003</v>
      </c>
      <c r="P194" s="7">
        <v>669.77002288170002</v>
      </c>
      <c r="Q194" s="7">
        <v>1</v>
      </c>
      <c r="R194" s="7">
        <v>224.96</v>
      </c>
      <c r="S194" s="7">
        <v>0.53200000000000003</v>
      </c>
      <c r="T194" s="7">
        <v>0.152</v>
      </c>
      <c r="U194" s="7">
        <v>224.27600000000001</v>
      </c>
      <c r="V194" s="7" t="s">
        <v>85</v>
      </c>
      <c r="W194" s="11">
        <v>45987.645833333336</v>
      </c>
    </row>
    <row r="195" spans="1:23">
      <c r="A195" t="s">
        <v>84</v>
      </c>
      <c r="B195">
        <v>95</v>
      </c>
      <c r="C195" s="10">
        <v>45992</v>
      </c>
      <c r="D195" s="11">
        <v>45992.4375</v>
      </c>
      <c r="E195" s="11">
        <v>45992.4375</v>
      </c>
      <c r="F195" t="s">
        <v>106</v>
      </c>
      <c r="G195" t="s">
        <v>109</v>
      </c>
      <c r="H195">
        <v>-1</v>
      </c>
      <c r="I195">
        <v>152</v>
      </c>
      <c r="J195" s="7">
        <v>679.67499999999995</v>
      </c>
      <c r="K195" s="7">
        <v>684.12087625230004</v>
      </c>
      <c r="L195" s="7">
        <v>680.82109160259995</v>
      </c>
      <c r="M195" s="7">
        <v>1.0694863E-3</v>
      </c>
      <c r="N195" s="7">
        <v>680.83389950050002</v>
      </c>
      <c r="O195" s="7">
        <v>684.12087625230004</v>
      </c>
      <c r="P195" s="7">
        <v>680.82109160259995</v>
      </c>
      <c r="Q195" s="7">
        <v>1</v>
      </c>
      <c r="R195" s="7">
        <v>0</v>
      </c>
      <c r="S195" s="7">
        <v>0.53200000000000003</v>
      </c>
      <c r="T195" s="7">
        <v>0.152</v>
      </c>
      <c r="U195" s="7">
        <v>-0.68400000000000005</v>
      </c>
      <c r="V195" s="7" t="s">
        <v>86</v>
      </c>
      <c r="W195" s="11">
        <v>45992.416666666664</v>
      </c>
    </row>
    <row r="196" spans="1:23">
      <c r="A196" t="s">
        <v>84</v>
      </c>
      <c r="B196">
        <v>95</v>
      </c>
      <c r="C196" s="10">
        <v>45992</v>
      </c>
      <c r="D196" s="11">
        <v>45992.666666666664</v>
      </c>
      <c r="E196" s="11">
        <v>45992.666666666664</v>
      </c>
      <c r="F196" t="s">
        <v>108</v>
      </c>
      <c r="G196" t="s">
        <v>107</v>
      </c>
      <c r="H196">
        <v>-1</v>
      </c>
      <c r="I196">
        <v>152</v>
      </c>
      <c r="J196" s="7">
        <v>680.27</v>
      </c>
      <c r="K196" s="7">
        <v>688.6514495701</v>
      </c>
      <c r="L196" s="7">
        <v>676.30271667049999</v>
      </c>
      <c r="M196" s="7">
        <v>7.6990438000000003E-3</v>
      </c>
      <c r="N196" s="7">
        <v>680.91970744809998</v>
      </c>
      <c r="O196" s="7">
        <v>688.6514495701</v>
      </c>
      <c r="P196" s="7">
        <v>676.30271667049999</v>
      </c>
      <c r="Q196" s="7">
        <v>1</v>
      </c>
      <c r="R196" s="7">
        <v>-90.44</v>
      </c>
      <c r="S196" s="7">
        <v>0.53200000000000003</v>
      </c>
      <c r="T196" s="7">
        <v>0.152</v>
      </c>
      <c r="U196" s="7">
        <v>-91.123999999999995</v>
      </c>
      <c r="V196" s="7" t="s">
        <v>85</v>
      </c>
      <c r="W196" s="11">
        <v>45992.645833333336</v>
      </c>
    </row>
    <row r="197" spans="1:23">
      <c r="A197" t="s">
        <v>87</v>
      </c>
      <c r="B197">
        <v>1</v>
      </c>
      <c r="C197" s="10">
        <v>45749</v>
      </c>
      <c r="D197" s="11">
        <v>45749.479166666664</v>
      </c>
      <c r="E197" s="11">
        <v>45749.479166666664</v>
      </c>
      <c r="F197" t="s">
        <v>106</v>
      </c>
      <c r="G197" t="s">
        <v>107</v>
      </c>
      <c r="H197">
        <v>1</v>
      </c>
      <c r="I197">
        <v>180</v>
      </c>
      <c r="J197" s="7">
        <v>560.08669999999995</v>
      </c>
      <c r="K197" s="7">
        <v>559.54864381289997</v>
      </c>
      <c r="L197" s="7">
        <v>553.61246595590001</v>
      </c>
      <c r="M197" s="7">
        <v>3.1892078000000002E-3</v>
      </c>
      <c r="N197" s="7">
        <v>557.4300935791</v>
      </c>
      <c r="O197" s="7">
        <v>559.54864381289997</v>
      </c>
      <c r="P197" s="7">
        <v>553.61246595590001</v>
      </c>
      <c r="Q197" s="7">
        <v>1</v>
      </c>
      <c r="R197" s="7">
        <v>0</v>
      </c>
      <c r="S197" s="7">
        <v>0.63</v>
      </c>
      <c r="T197" s="7">
        <v>0.18</v>
      </c>
      <c r="U197" s="7">
        <v>-0.81</v>
      </c>
      <c r="V197" s="7" t="s">
        <v>110</v>
      </c>
      <c r="W197" s="11">
        <v>45749.458333333336</v>
      </c>
    </row>
    <row r="198" spans="1:23">
      <c r="A198" t="s">
        <v>87</v>
      </c>
      <c r="B198">
        <v>1</v>
      </c>
      <c r="C198" s="10">
        <v>45749</v>
      </c>
      <c r="D198" s="11">
        <v>45749.5</v>
      </c>
      <c r="E198" s="11">
        <v>45749.5</v>
      </c>
      <c r="F198" t="s">
        <v>108</v>
      </c>
      <c r="G198" t="s">
        <v>109</v>
      </c>
      <c r="H198">
        <v>1</v>
      </c>
      <c r="I198">
        <v>180</v>
      </c>
      <c r="J198" s="7">
        <v>559.13220000000001</v>
      </c>
      <c r="K198" s="7">
        <v>560.00378763000003</v>
      </c>
      <c r="L198" s="7">
        <v>553.15926921200003</v>
      </c>
      <c r="M198" s="7">
        <v>4.0052144000000001E-3</v>
      </c>
      <c r="N198" s="7">
        <v>557.72998803509995</v>
      </c>
      <c r="O198" s="7">
        <v>560.00378763000003</v>
      </c>
      <c r="P198" s="7">
        <v>553.15926921200003</v>
      </c>
      <c r="Q198" s="7">
        <v>1</v>
      </c>
      <c r="R198" s="7">
        <v>-171.81</v>
      </c>
      <c r="S198" s="7">
        <v>0.63</v>
      </c>
      <c r="T198" s="7">
        <v>0.18</v>
      </c>
      <c r="U198" s="7">
        <v>-172.62</v>
      </c>
      <c r="V198" s="7" t="s">
        <v>88</v>
      </c>
      <c r="W198" s="11">
        <v>45749.479166666664</v>
      </c>
    </row>
    <row r="199" spans="1:23">
      <c r="A199" t="s">
        <v>87</v>
      </c>
      <c r="B199">
        <v>2</v>
      </c>
      <c r="C199" s="10">
        <v>45749</v>
      </c>
      <c r="D199" s="11">
        <v>45749.520833333336</v>
      </c>
      <c r="E199" s="11">
        <v>45749.520833333336</v>
      </c>
      <c r="F199" t="s">
        <v>106</v>
      </c>
      <c r="G199" t="s">
        <v>107</v>
      </c>
      <c r="H199">
        <v>1</v>
      </c>
      <c r="I199">
        <v>180</v>
      </c>
      <c r="J199" s="7">
        <v>561.10090000000002</v>
      </c>
      <c r="K199" s="7">
        <v>559.92788137599996</v>
      </c>
      <c r="L199" s="7">
        <v>553.23485074439998</v>
      </c>
      <c r="M199" s="7">
        <v>3.8691254999999999E-3</v>
      </c>
      <c r="N199" s="7">
        <v>558.10635377949995</v>
      </c>
      <c r="O199" s="7">
        <v>559.92788137599996</v>
      </c>
      <c r="P199" s="7">
        <v>553.23485074439998</v>
      </c>
      <c r="Q199" s="7">
        <v>1</v>
      </c>
      <c r="R199" s="7">
        <v>0</v>
      </c>
      <c r="S199" s="7">
        <v>0.63</v>
      </c>
      <c r="T199" s="7">
        <v>0.18</v>
      </c>
      <c r="U199" s="7">
        <v>-0.81</v>
      </c>
      <c r="V199" s="7" t="s">
        <v>110</v>
      </c>
      <c r="W199" s="11">
        <v>45749.5</v>
      </c>
    </row>
    <row r="200" spans="1:23">
      <c r="A200" t="s">
        <v>87</v>
      </c>
      <c r="B200">
        <v>2</v>
      </c>
      <c r="C200" s="10">
        <v>45749</v>
      </c>
      <c r="D200" s="11">
        <v>45749.604166666664</v>
      </c>
      <c r="E200" s="11">
        <v>45749.604166666664</v>
      </c>
      <c r="F200" t="s">
        <v>108</v>
      </c>
      <c r="G200" t="s">
        <v>109</v>
      </c>
      <c r="H200">
        <v>1</v>
      </c>
      <c r="I200">
        <v>180</v>
      </c>
      <c r="J200" s="7">
        <v>557.7998</v>
      </c>
      <c r="K200" s="7">
        <v>560.21433813930003</v>
      </c>
      <c r="L200" s="7">
        <v>552.94961942309999</v>
      </c>
      <c r="M200" s="7">
        <v>4.3827008000000001E-3</v>
      </c>
      <c r="N200" s="7">
        <v>559.31226130109997</v>
      </c>
      <c r="O200" s="7">
        <v>560.21433813930003</v>
      </c>
      <c r="P200" s="7">
        <v>552.94961942309999</v>
      </c>
      <c r="Q200" s="7">
        <v>1</v>
      </c>
      <c r="R200" s="7">
        <v>-594.19799999999998</v>
      </c>
      <c r="S200" s="7">
        <v>0.63</v>
      </c>
      <c r="T200" s="7">
        <v>0.18</v>
      </c>
      <c r="U200" s="7">
        <v>-595.00800000000004</v>
      </c>
      <c r="V200" s="7" t="s">
        <v>88</v>
      </c>
      <c r="W200" s="11">
        <v>45749.583333333336</v>
      </c>
    </row>
    <row r="201" spans="1:23">
      <c r="A201" t="s">
        <v>87</v>
      </c>
      <c r="B201">
        <v>3</v>
      </c>
      <c r="C201" s="10">
        <v>45750</v>
      </c>
      <c r="D201" s="11">
        <v>45750.4375</v>
      </c>
      <c r="E201" s="11">
        <v>45750.4375</v>
      </c>
      <c r="F201" t="s">
        <v>106</v>
      </c>
      <c r="G201" t="s">
        <v>109</v>
      </c>
      <c r="H201">
        <v>-1</v>
      </c>
      <c r="I201">
        <v>183</v>
      </c>
      <c r="J201" s="7">
        <v>539.87260000000003</v>
      </c>
      <c r="K201" s="7">
        <v>562.42341006940001</v>
      </c>
      <c r="L201" s="7">
        <v>539.95765424989997</v>
      </c>
      <c r="M201" s="7">
        <v>2.0023357999999999E-3</v>
      </c>
      <c r="N201" s="7">
        <v>540.57172269780006</v>
      </c>
      <c r="O201" s="7">
        <v>562.42341006940001</v>
      </c>
      <c r="P201" s="7">
        <v>539.95765424989997</v>
      </c>
      <c r="Q201" s="7">
        <v>1</v>
      </c>
      <c r="R201" s="7">
        <v>0</v>
      </c>
      <c r="S201" s="7">
        <v>0.64049999999999996</v>
      </c>
      <c r="T201" s="7">
        <v>0.183</v>
      </c>
      <c r="U201" s="7">
        <v>-0.82350000000000001</v>
      </c>
      <c r="V201" s="7" t="s">
        <v>110</v>
      </c>
      <c r="W201" s="11">
        <v>45750.416666666664</v>
      </c>
    </row>
    <row r="202" spans="1:23">
      <c r="A202" t="s">
        <v>87</v>
      </c>
      <c r="B202">
        <v>3</v>
      </c>
      <c r="C202" s="10">
        <v>45750</v>
      </c>
      <c r="D202" s="11">
        <v>45750.5</v>
      </c>
      <c r="E202" s="11">
        <v>45750.5</v>
      </c>
      <c r="F202" t="s">
        <v>108</v>
      </c>
      <c r="G202" t="s">
        <v>107</v>
      </c>
      <c r="H202">
        <v>-1</v>
      </c>
      <c r="I202">
        <v>183</v>
      </c>
      <c r="J202" s="7">
        <v>540.49900000000002</v>
      </c>
      <c r="K202" s="7">
        <v>563.65895502069998</v>
      </c>
      <c r="L202" s="7">
        <v>538.76670275970002</v>
      </c>
      <c r="M202" s="7">
        <v>4.2035579999999996E-3</v>
      </c>
      <c r="N202" s="7">
        <v>539.69409277759996</v>
      </c>
      <c r="O202" s="7">
        <v>563.65895502069998</v>
      </c>
      <c r="P202" s="7">
        <v>538.76670275970002</v>
      </c>
      <c r="Q202" s="7">
        <v>1</v>
      </c>
      <c r="R202" s="7">
        <v>-114.63120000000001</v>
      </c>
      <c r="S202" s="7">
        <v>0.64049999999999996</v>
      </c>
      <c r="T202" s="7">
        <v>0.183</v>
      </c>
      <c r="U202" s="7">
        <v>-115.4547</v>
      </c>
      <c r="V202" s="7" t="s">
        <v>88</v>
      </c>
      <c r="W202" s="11">
        <v>45750.479166666664</v>
      </c>
    </row>
    <row r="203" spans="1:23">
      <c r="A203" t="s">
        <v>87</v>
      </c>
      <c r="B203">
        <v>4</v>
      </c>
      <c r="C203" s="10">
        <v>45750</v>
      </c>
      <c r="D203" s="11">
        <v>45750.604166666664</v>
      </c>
      <c r="E203" s="11">
        <v>45750.604166666664</v>
      </c>
      <c r="F203" t="s">
        <v>106</v>
      </c>
      <c r="G203" t="s">
        <v>109</v>
      </c>
      <c r="H203">
        <v>-1</v>
      </c>
      <c r="I203">
        <v>183</v>
      </c>
      <c r="J203" s="7">
        <v>537.66030000000001</v>
      </c>
      <c r="K203" s="7">
        <v>563.81293429159996</v>
      </c>
      <c r="L203" s="7">
        <v>538.61828093019994</v>
      </c>
      <c r="M203" s="7">
        <v>4.4778843999999998E-3</v>
      </c>
      <c r="N203" s="7">
        <v>539.7735395569</v>
      </c>
      <c r="O203" s="7">
        <v>563.81293429159996</v>
      </c>
      <c r="P203" s="7">
        <v>538.61828093019994</v>
      </c>
      <c r="Q203" s="7">
        <v>1</v>
      </c>
      <c r="R203" s="7">
        <v>0</v>
      </c>
      <c r="S203" s="7">
        <v>0.64049999999999996</v>
      </c>
      <c r="T203" s="7">
        <v>0.183</v>
      </c>
      <c r="U203" s="7">
        <v>-0.82350000000000001</v>
      </c>
      <c r="V203" s="7" t="s">
        <v>110</v>
      </c>
      <c r="W203" s="11">
        <v>45750.583333333336</v>
      </c>
    </row>
    <row r="204" spans="1:23">
      <c r="A204" t="s">
        <v>87</v>
      </c>
      <c r="B204">
        <v>4</v>
      </c>
      <c r="C204" s="10">
        <v>45750</v>
      </c>
      <c r="D204" s="11">
        <v>45750.625</v>
      </c>
      <c r="E204" s="11">
        <v>45750.625</v>
      </c>
      <c r="F204" t="s">
        <v>108</v>
      </c>
      <c r="G204" t="s">
        <v>107</v>
      </c>
      <c r="H204">
        <v>-1</v>
      </c>
      <c r="I204">
        <v>183</v>
      </c>
      <c r="J204" s="7">
        <v>538.70929999999998</v>
      </c>
      <c r="K204" s="7">
        <v>564.38980507400004</v>
      </c>
      <c r="L204" s="7">
        <v>538.06223064870005</v>
      </c>
      <c r="M204" s="7">
        <v>5.5056259E-3</v>
      </c>
      <c r="N204" s="7">
        <v>539.69769368660002</v>
      </c>
      <c r="O204" s="7">
        <v>564.38980507400004</v>
      </c>
      <c r="P204" s="7">
        <v>538.06223064870005</v>
      </c>
      <c r="Q204" s="7">
        <v>1</v>
      </c>
      <c r="R204" s="7">
        <v>-191.96700000000001</v>
      </c>
      <c r="S204" s="7">
        <v>0.64049999999999996</v>
      </c>
      <c r="T204" s="7">
        <v>0.183</v>
      </c>
      <c r="U204" s="7">
        <v>-192.79050000000001</v>
      </c>
      <c r="V204" s="7" t="s">
        <v>88</v>
      </c>
      <c r="W204" s="11">
        <v>45750.604166666664</v>
      </c>
    </row>
    <row r="205" spans="1:23">
      <c r="A205" t="s">
        <v>87</v>
      </c>
      <c r="B205">
        <v>5</v>
      </c>
      <c r="C205" s="10">
        <v>45750</v>
      </c>
      <c r="D205" s="11">
        <v>45750.645833333336</v>
      </c>
      <c r="E205" s="11">
        <v>45750.645833333336</v>
      </c>
      <c r="F205" t="s">
        <v>106</v>
      </c>
      <c r="G205" t="s">
        <v>109</v>
      </c>
      <c r="H205">
        <v>-1</v>
      </c>
      <c r="I205">
        <v>183</v>
      </c>
      <c r="J205" s="7">
        <v>536.11419999999998</v>
      </c>
      <c r="K205" s="7">
        <v>564.52394343449998</v>
      </c>
      <c r="L205" s="7">
        <v>537.93293362860004</v>
      </c>
      <c r="M205" s="7">
        <v>5.7446041E-3</v>
      </c>
      <c r="N205" s="7">
        <v>539.37496063549997</v>
      </c>
      <c r="O205" s="7">
        <v>564.52394343449998</v>
      </c>
      <c r="P205" s="7">
        <v>537.93293362860004</v>
      </c>
      <c r="Q205" s="7">
        <v>1</v>
      </c>
      <c r="R205" s="7">
        <v>0</v>
      </c>
      <c r="S205" s="7">
        <v>0.64049999999999996</v>
      </c>
      <c r="T205" s="7">
        <v>0.183</v>
      </c>
      <c r="U205" s="7">
        <v>-0.82350000000000001</v>
      </c>
      <c r="V205" s="7" t="s">
        <v>110</v>
      </c>
      <c r="W205" s="11">
        <v>45750.625</v>
      </c>
    </row>
    <row r="206" spans="1:23">
      <c r="A206" t="s">
        <v>87</v>
      </c>
      <c r="B206">
        <v>5</v>
      </c>
      <c r="C206" s="10">
        <v>45750</v>
      </c>
      <c r="D206" s="11">
        <v>45750.666666666664</v>
      </c>
      <c r="E206" s="11">
        <v>45750.666666666664</v>
      </c>
      <c r="F206" t="s">
        <v>108</v>
      </c>
      <c r="G206" t="s">
        <v>107</v>
      </c>
      <c r="H206">
        <v>-1</v>
      </c>
      <c r="I206">
        <v>183</v>
      </c>
      <c r="J206" s="7">
        <v>533.63840000000005</v>
      </c>
      <c r="K206" s="7">
        <v>564.95842808750001</v>
      </c>
      <c r="L206" s="7">
        <v>537.51413045640004</v>
      </c>
      <c r="M206" s="7">
        <v>6.5186732999999997E-3</v>
      </c>
      <c r="N206" s="7">
        <v>537.86789182790005</v>
      </c>
      <c r="O206" s="7">
        <v>564.95842808750001</v>
      </c>
      <c r="P206" s="7">
        <v>537.51413045640004</v>
      </c>
      <c r="Q206" s="7">
        <v>1</v>
      </c>
      <c r="R206" s="7">
        <v>453.07139999999998</v>
      </c>
      <c r="S206" s="7">
        <v>0.64049999999999996</v>
      </c>
      <c r="T206" s="7">
        <v>0.183</v>
      </c>
      <c r="U206" s="7">
        <v>452.24790000000002</v>
      </c>
      <c r="V206" s="7" t="s">
        <v>85</v>
      </c>
      <c r="W206" s="11">
        <v>45750.645833333336</v>
      </c>
    </row>
    <row r="207" spans="1:23">
      <c r="A207" t="s">
        <v>87</v>
      </c>
      <c r="B207">
        <v>6</v>
      </c>
      <c r="C207" s="10">
        <v>45751</v>
      </c>
      <c r="D207" s="11">
        <v>45751.4375</v>
      </c>
      <c r="E207" s="11">
        <v>45751.4375</v>
      </c>
      <c r="F207" t="s">
        <v>106</v>
      </c>
      <c r="G207" t="s">
        <v>109</v>
      </c>
      <c r="H207">
        <v>-1</v>
      </c>
      <c r="I207">
        <v>191</v>
      </c>
      <c r="J207" s="7">
        <v>513.20069999999998</v>
      </c>
      <c r="K207" s="7">
        <v>534.78861002890005</v>
      </c>
      <c r="L207" s="7">
        <v>518.8558410329</v>
      </c>
      <c r="M207" s="7">
        <v>2.1557865E-3</v>
      </c>
      <c r="N207" s="7">
        <v>517.50886119769996</v>
      </c>
      <c r="O207" s="7">
        <v>534.78861002890005</v>
      </c>
      <c r="P207" s="7">
        <v>517.50886119769996</v>
      </c>
      <c r="Q207" s="7">
        <v>1</v>
      </c>
      <c r="R207" s="7">
        <v>0</v>
      </c>
      <c r="S207" s="7">
        <v>0.66849999999999998</v>
      </c>
      <c r="T207" s="7">
        <v>0.191</v>
      </c>
      <c r="U207" s="7">
        <v>-0.85950000000000004</v>
      </c>
      <c r="V207" s="7" t="s">
        <v>110</v>
      </c>
      <c r="W207" s="11">
        <v>45751.416666666664</v>
      </c>
    </row>
    <row r="208" spans="1:23">
      <c r="A208" t="s">
        <v>87</v>
      </c>
      <c r="B208">
        <v>6</v>
      </c>
      <c r="C208" s="10">
        <v>45751</v>
      </c>
      <c r="D208" s="11">
        <v>45751.666666666664</v>
      </c>
      <c r="E208" s="11">
        <v>45751.666666666664</v>
      </c>
      <c r="F208" t="s">
        <v>108</v>
      </c>
      <c r="G208" t="s">
        <v>107</v>
      </c>
      <c r="H208">
        <v>-1</v>
      </c>
      <c r="I208">
        <v>191</v>
      </c>
      <c r="J208" s="7">
        <v>502.39760000000001</v>
      </c>
      <c r="K208" s="7">
        <v>537.2345141577</v>
      </c>
      <c r="L208" s="7">
        <v>516.47255325089998</v>
      </c>
      <c r="M208" s="7">
        <v>6.7392366999999998E-3</v>
      </c>
      <c r="N208" s="7">
        <v>509.55477975159999</v>
      </c>
      <c r="O208" s="7">
        <v>537.2345141577</v>
      </c>
      <c r="P208" s="7">
        <v>509.55477975159999</v>
      </c>
      <c r="Q208" s="7">
        <v>1</v>
      </c>
      <c r="R208" s="7">
        <v>2063.3921</v>
      </c>
      <c r="S208" s="7">
        <v>0.66849999999999998</v>
      </c>
      <c r="T208" s="7">
        <v>0.191</v>
      </c>
      <c r="U208" s="7">
        <v>2062.5326</v>
      </c>
      <c r="V208" s="7" t="s">
        <v>85</v>
      </c>
      <c r="W208" s="11">
        <v>45751.645833333336</v>
      </c>
    </row>
    <row r="209" spans="1:23">
      <c r="A209" t="s">
        <v>87</v>
      </c>
      <c r="B209">
        <v>7</v>
      </c>
      <c r="C209" s="10">
        <v>45754</v>
      </c>
      <c r="D209" s="11">
        <v>45754.583333333336</v>
      </c>
      <c r="E209" s="11">
        <v>45754.583333333336</v>
      </c>
      <c r="F209" t="s">
        <v>106</v>
      </c>
      <c r="G209" t="s">
        <v>107</v>
      </c>
      <c r="H209">
        <v>1</v>
      </c>
      <c r="I209">
        <v>205</v>
      </c>
      <c r="J209" s="7">
        <v>506.30520000000001</v>
      </c>
      <c r="K209" s="7">
        <v>505.09717605510002</v>
      </c>
      <c r="L209" s="7">
        <v>489.97167062810001</v>
      </c>
      <c r="M209" s="7">
        <v>5.3735857999999996E-3</v>
      </c>
      <c r="N209" s="7">
        <v>496.59523573849998</v>
      </c>
      <c r="O209" s="7">
        <v>505.09717605510002</v>
      </c>
      <c r="P209" s="7">
        <v>489.97167062810001</v>
      </c>
      <c r="Q209" s="7">
        <v>1</v>
      </c>
      <c r="R209" s="7">
        <v>0</v>
      </c>
      <c r="S209" s="7">
        <v>0.71750000000000003</v>
      </c>
      <c r="T209" s="7">
        <v>0.20499999999999999</v>
      </c>
      <c r="U209" s="7">
        <v>-0.92249999999999999</v>
      </c>
      <c r="V209" s="7" t="s">
        <v>110</v>
      </c>
      <c r="W209" s="11">
        <v>45754.5625</v>
      </c>
    </row>
    <row r="210" spans="1:23">
      <c r="A210" t="s">
        <v>87</v>
      </c>
      <c r="B210">
        <v>7</v>
      </c>
      <c r="C210" s="10">
        <v>45754</v>
      </c>
      <c r="D210" s="11">
        <v>45754.604166666664</v>
      </c>
      <c r="E210" s="11">
        <v>45754.604166666664</v>
      </c>
      <c r="F210" t="s">
        <v>108</v>
      </c>
      <c r="G210" t="s">
        <v>109</v>
      </c>
      <c r="H210">
        <v>1</v>
      </c>
      <c r="I210">
        <v>205</v>
      </c>
      <c r="J210" s="7">
        <v>502.28829999999999</v>
      </c>
      <c r="K210" s="7">
        <v>505.38901514439999</v>
      </c>
      <c r="L210" s="7">
        <v>489.68551191509999</v>
      </c>
      <c r="M210" s="7">
        <v>5.9544786000000002E-3</v>
      </c>
      <c r="N210" s="7">
        <v>496.84862268090001</v>
      </c>
      <c r="O210" s="7">
        <v>505.38901514439999</v>
      </c>
      <c r="P210" s="7">
        <v>489.68551191509999</v>
      </c>
      <c r="Q210" s="7">
        <v>1</v>
      </c>
      <c r="R210" s="7">
        <v>-823.46450000000004</v>
      </c>
      <c r="S210" s="7">
        <v>0.71750000000000003</v>
      </c>
      <c r="T210" s="7">
        <v>0.20499999999999999</v>
      </c>
      <c r="U210" s="7">
        <v>-824.38699999999994</v>
      </c>
      <c r="V210" s="7" t="s">
        <v>88</v>
      </c>
      <c r="W210" s="11">
        <v>45754.583333333336</v>
      </c>
    </row>
    <row r="211" spans="1:23">
      <c r="A211" t="s">
        <v>87</v>
      </c>
      <c r="B211">
        <v>8</v>
      </c>
      <c r="C211" s="10">
        <v>45755</v>
      </c>
      <c r="D211" s="11">
        <v>45755.645833333336</v>
      </c>
      <c r="E211" s="11">
        <v>45755.645833333336</v>
      </c>
      <c r="F211" t="s">
        <v>106</v>
      </c>
      <c r="G211" t="s">
        <v>109</v>
      </c>
      <c r="H211">
        <v>-1</v>
      </c>
      <c r="I211">
        <v>193</v>
      </c>
      <c r="J211" s="7">
        <v>494.4271</v>
      </c>
      <c r="K211" s="7">
        <v>524.08276777959998</v>
      </c>
      <c r="L211" s="7">
        <v>497.6197818123</v>
      </c>
      <c r="M211" s="7">
        <v>7.7423689999999998E-3</v>
      </c>
      <c r="N211" s="7">
        <v>507.39754010310003</v>
      </c>
      <c r="O211" s="7">
        <v>524.08276777959998</v>
      </c>
      <c r="P211" s="7">
        <v>497.6197818123</v>
      </c>
      <c r="Q211" s="7">
        <v>1</v>
      </c>
      <c r="R211" s="7">
        <v>0</v>
      </c>
      <c r="S211" s="7">
        <v>0.67549999999999999</v>
      </c>
      <c r="T211" s="7">
        <v>0.193</v>
      </c>
      <c r="U211" s="7">
        <v>-0.86850000000000005</v>
      </c>
      <c r="V211" s="7" t="s">
        <v>110</v>
      </c>
      <c r="W211" s="11">
        <v>45755.625</v>
      </c>
    </row>
    <row r="212" spans="1:23">
      <c r="A212" t="s">
        <v>87</v>
      </c>
      <c r="B212">
        <v>8</v>
      </c>
      <c r="C212" s="10">
        <v>45755</v>
      </c>
      <c r="D212" s="11">
        <v>45755.666666666664</v>
      </c>
      <c r="E212" s="11">
        <v>45755.666666666664</v>
      </c>
      <c r="F212" t="s">
        <v>108</v>
      </c>
      <c r="G212" t="s">
        <v>107</v>
      </c>
      <c r="H212">
        <v>-1</v>
      </c>
      <c r="I212">
        <v>193</v>
      </c>
      <c r="J212" s="7">
        <v>493.64789999999999</v>
      </c>
      <c r="K212" s="7">
        <v>525.35520704630005</v>
      </c>
      <c r="L212" s="7">
        <v>496.3927385083</v>
      </c>
      <c r="M212" s="7">
        <v>1.0189102699999999E-2</v>
      </c>
      <c r="N212" s="7">
        <v>504.27580488349997</v>
      </c>
      <c r="O212" s="7">
        <v>525.35520704630005</v>
      </c>
      <c r="P212" s="7">
        <v>496.3927385083</v>
      </c>
      <c r="Q212" s="7">
        <v>1</v>
      </c>
      <c r="R212" s="7">
        <v>150.38560000000001</v>
      </c>
      <c r="S212" s="7">
        <v>0.67549999999999999</v>
      </c>
      <c r="T212" s="7">
        <v>0.193</v>
      </c>
      <c r="U212" s="7">
        <v>149.5171</v>
      </c>
      <c r="V212" s="7" t="s">
        <v>85</v>
      </c>
      <c r="W212" s="11">
        <v>45755.645833333336</v>
      </c>
    </row>
    <row r="213" spans="1:23">
      <c r="A213" t="s">
        <v>87</v>
      </c>
      <c r="B213">
        <v>9</v>
      </c>
      <c r="C213" s="10">
        <v>45756</v>
      </c>
      <c r="D213" s="11">
        <v>45756.458333333336</v>
      </c>
      <c r="E213" s="11">
        <v>45756.458333333336</v>
      </c>
      <c r="F213" t="s">
        <v>106</v>
      </c>
      <c r="G213" t="s">
        <v>109</v>
      </c>
      <c r="H213">
        <v>-1</v>
      </c>
      <c r="I213">
        <v>202</v>
      </c>
      <c r="J213" s="7">
        <v>490.31700000000001</v>
      </c>
      <c r="K213" s="7">
        <v>500.56817538220002</v>
      </c>
      <c r="L213" s="7">
        <v>490.44998498529998</v>
      </c>
      <c r="M213" s="7">
        <v>6.4775257000000003E-3</v>
      </c>
      <c r="N213" s="7">
        <v>495.30708028359999</v>
      </c>
      <c r="O213" s="7">
        <v>500.56817538220002</v>
      </c>
      <c r="P213" s="7">
        <v>490.44998498529998</v>
      </c>
      <c r="Q213" s="7">
        <v>1</v>
      </c>
      <c r="R213" s="7">
        <v>0</v>
      </c>
      <c r="S213" s="7">
        <v>0.70699999999999996</v>
      </c>
      <c r="T213" s="7">
        <v>0.20200000000000001</v>
      </c>
      <c r="U213" s="7">
        <v>-0.90900000000000003</v>
      </c>
      <c r="V213" s="7" t="s">
        <v>110</v>
      </c>
      <c r="W213" s="11">
        <v>45756.4375</v>
      </c>
    </row>
    <row r="214" spans="1:23">
      <c r="A214" t="s">
        <v>87</v>
      </c>
      <c r="B214">
        <v>9</v>
      </c>
      <c r="C214" s="10">
        <v>45756</v>
      </c>
      <c r="D214" s="11">
        <v>45756.479166666664</v>
      </c>
      <c r="E214" s="11">
        <v>45756.479166666664</v>
      </c>
      <c r="F214" t="s">
        <v>108</v>
      </c>
      <c r="G214" t="s">
        <v>107</v>
      </c>
      <c r="H214">
        <v>-1</v>
      </c>
      <c r="I214">
        <v>202</v>
      </c>
      <c r="J214" s="7">
        <v>495.35809999999998</v>
      </c>
      <c r="K214" s="7">
        <v>500.07817236509999</v>
      </c>
      <c r="L214" s="7">
        <v>490.93634362009999</v>
      </c>
      <c r="M214" s="7">
        <v>5.4922911999999999E-3</v>
      </c>
      <c r="N214" s="7">
        <v>495.31457667879999</v>
      </c>
      <c r="O214" s="7">
        <v>500.07817236509999</v>
      </c>
      <c r="P214" s="7">
        <v>490.93634362009999</v>
      </c>
      <c r="Q214" s="7">
        <v>1</v>
      </c>
      <c r="R214" s="7">
        <v>-1018.3022</v>
      </c>
      <c r="S214" s="7">
        <v>0.70699999999999996</v>
      </c>
      <c r="T214" s="7">
        <v>0.20200000000000001</v>
      </c>
      <c r="U214" s="7">
        <v>-1019.2112</v>
      </c>
      <c r="V214" s="7" t="s">
        <v>88</v>
      </c>
      <c r="W214" s="11">
        <v>45756.458333333336</v>
      </c>
    </row>
    <row r="215" spans="1:23">
      <c r="A215" t="s">
        <v>87</v>
      </c>
      <c r="B215">
        <v>10</v>
      </c>
      <c r="C215" s="10">
        <v>45756</v>
      </c>
      <c r="D215" s="11">
        <v>45756.5625</v>
      </c>
      <c r="E215" s="11">
        <v>45756.5625</v>
      </c>
      <c r="F215" t="s">
        <v>106</v>
      </c>
      <c r="G215" t="s">
        <v>107</v>
      </c>
      <c r="H215">
        <v>1</v>
      </c>
      <c r="I215">
        <v>202</v>
      </c>
      <c r="J215" s="7">
        <v>521.77650000000006</v>
      </c>
      <c r="K215" s="7">
        <v>502.47450922519999</v>
      </c>
      <c r="L215" s="7">
        <v>488.55782944150002</v>
      </c>
      <c r="M215" s="7">
        <v>1.03105344E-2</v>
      </c>
      <c r="N215" s="7">
        <v>506.47916999130001</v>
      </c>
      <c r="O215" s="7">
        <v>506.47916999130001</v>
      </c>
      <c r="P215" s="7">
        <v>488.55782944150002</v>
      </c>
      <c r="Q215" s="7">
        <v>1</v>
      </c>
      <c r="R215" s="7">
        <v>0</v>
      </c>
      <c r="S215" s="7">
        <v>0.70699999999999996</v>
      </c>
      <c r="T215" s="7">
        <v>0.20200000000000001</v>
      </c>
      <c r="U215" s="7">
        <v>-0.90900000000000003</v>
      </c>
      <c r="V215" s="7" t="s">
        <v>110</v>
      </c>
      <c r="W215" s="11">
        <v>45756.541666666664</v>
      </c>
    </row>
    <row r="216" spans="1:23">
      <c r="A216" t="s">
        <v>87</v>
      </c>
      <c r="B216">
        <v>10</v>
      </c>
      <c r="C216" s="10">
        <v>45756</v>
      </c>
      <c r="D216" s="11">
        <v>45756.666666666664</v>
      </c>
      <c r="E216" s="11">
        <v>45756.666666666664</v>
      </c>
      <c r="F216" t="s">
        <v>108</v>
      </c>
      <c r="G216" t="s">
        <v>109</v>
      </c>
      <c r="H216">
        <v>1</v>
      </c>
      <c r="I216">
        <v>202</v>
      </c>
      <c r="J216" s="7">
        <v>545.49040000000002</v>
      </c>
      <c r="K216" s="7">
        <v>504.02787899139997</v>
      </c>
      <c r="L216" s="7">
        <v>487.0160128151</v>
      </c>
      <c r="M216" s="7">
        <v>1.3433848700000001E-2</v>
      </c>
      <c r="N216" s="7">
        <v>523.88149199019995</v>
      </c>
      <c r="O216" s="7">
        <v>523.88149199019995</v>
      </c>
      <c r="P216" s="7">
        <v>487.0160128151</v>
      </c>
      <c r="Q216" s="7">
        <v>1</v>
      </c>
      <c r="R216" s="7">
        <v>4790.2078000000001</v>
      </c>
      <c r="S216" s="7">
        <v>0.70699999999999996</v>
      </c>
      <c r="T216" s="7">
        <v>0.20200000000000001</v>
      </c>
      <c r="U216" s="7">
        <v>4789.2987999999996</v>
      </c>
      <c r="V216" s="7" t="s">
        <v>85</v>
      </c>
      <c r="W216" s="11">
        <v>45756.645833333336</v>
      </c>
    </row>
    <row r="217" spans="1:23">
      <c r="A217" t="s">
        <v>87</v>
      </c>
      <c r="B217">
        <v>11</v>
      </c>
      <c r="C217" s="10">
        <v>45757</v>
      </c>
      <c r="D217" s="11">
        <v>45757.479166666664</v>
      </c>
      <c r="E217" s="11">
        <v>45757.479166666664</v>
      </c>
      <c r="F217" t="s">
        <v>106</v>
      </c>
      <c r="G217" t="s">
        <v>109</v>
      </c>
      <c r="H217">
        <v>-1</v>
      </c>
      <c r="I217">
        <v>198</v>
      </c>
      <c r="J217" s="7">
        <v>520.81200000000001</v>
      </c>
      <c r="K217" s="7">
        <v>548.48380842580002</v>
      </c>
      <c r="L217" s="7">
        <v>523.00037572669999</v>
      </c>
      <c r="M217" s="7">
        <v>5.4879233999999997E-3</v>
      </c>
      <c r="N217" s="7">
        <v>524.32108434539998</v>
      </c>
      <c r="O217" s="7">
        <v>548.48380842580002</v>
      </c>
      <c r="P217" s="7">
        <v>523.00037572669999</v>
      </c>
      <c r="Q217" s="7">
        <v>1</v>
      </c>
      <c r="R217" s="7">
        <v>0</v>
      </c>
      <c r="S217" s="7">
        <v>0.69299999999999995</v>
      </c>
      <c r="T217" s="7">
        <v>0.19800000000000001</v>
      </c>
      <c r="U217" s="7">
        <v>-0.89100000000000001</v>
      </c>
      <c r="V217" s="7" t="s">
        <v>110</v>
      </c>
      <c r="W217" s="11">
        <v>45757.458333333336</v>
      </c>
    </row>
    <row r="218" spans="1:23">
      <c r="A218" t="s">
        <v>87</v>
      </c>
      <c r="B218">
        <v>11</v>
      </c>
      <c r="C218" s="10">
        <v>45757</v>
      </c>
      <c r="D218" s="11">
        <v>45757.583333333336</v>
      </c>
      <c r="E218" s="11">
        <v>45757.583333333336</v>
      </c>
      <c r="F218" t="s">
        <v>108</v>
      </c>
      <c r="G218" t="s">
        <v>107</v>
      </c>
      <c r="H218">
        <v>-1</v>
      </c>
      <c r="I218">
        <v>198</v>
      </c>
      <c r="J218" s="7">
        <v>521.19979999999998</v>
      </c>
      <c r="K218" s="7">
        <v>553.29312729339995</v>
      </c>
      <c r="L218" s="7">
        <v>518.36389392420006</v>
      </c>
      <c r="M218" s="7">
        <v>1.43044317E-2</v>
      </c>
      <c r="N218" s="7">
        <v>518.3352502898</v>
      </c>
      <c r="O218" s="7">
        <v>553.29312729339995</v>
      </c>
      <c r="P218" s="7">
        <v>518.3352502898</v>
      </c>
      <c r="Q218" s="7">
        <v>1</v>
      </c>
      <c r="R218" s="7">
        <v>-76.784400000000005</v>
      </c>
      <c r="S218" s="7">
        <v>0.69299999999999995</v>
      </c>
      <c r="T218" s="7">
        <v>0.19800000000000001</v>
      </c>
      <c r="U218" s="7">
        <v>-77.675399999999996</v>
      </c>
      <c r="V218" s="7" t="s">
        <v>88</v>
      </c>
      <c r="W218" s="11">
        <v>45757.5625</v>
      </c>
    </row>
    <row r="219" spans="1:23">
      <c r="A219" t="s">
        <v>87</v>
      </c>
      <c r="B219">
        <v>12</v>
      </c>
      <c r="C219" s="10">
        <v>45758</v>
      </c>
      <c r="D219" s="11">
        <v>45758.4375</v>
      </c>
      <c r="E219" s="11">
        <v>45758.4375</v>
      </c>
      <c r="F219" t="s">
        <v>106</v>
      </c>
      <c r="G219" t="s">
        <v>109</v>
      </c>
      <c r="H219">
        <v>-1</v>
      </c>
      <c r="I219">
        <v>200</v>
      </c>
      <c r="J219" s="7">
        <v>517.5607</v>
      </c>
      <c r="K219" s="7">
        <v>523.82764540220001</v>
      </c>
      <c r="L219" s="7">
        <v>519.90785482909996</v>
      </c>
      <c r="M219" s="7">
        <v>3.2198736E-3</v>
      </c>
      <c r="N219" s="7">
        <v>519.99486563619996</v>
      </c>
      <c r="O219" s="7">
        <v>523.82764540220001</v>
      </c>
      <c r="P219" s="7">
        <v>519.90785482909996</v>
      </c>
      <c r="Q219" s="7">
        <v>1</v>
      </c>
      <c r="R219" s="7">
        <v>0</v>
      </c>
      <c r="S219" s="7">
        <v>0.7</v>
      </c>
      <c r="T219" s="7">
        <v>0.2</v>
      </c>
      <c r="U219" s="7">
        <v>-0.9</v>
      </c>
      <c r="V219" s="7" t="s">
        <v>110</v>
      </c>
      <c r="W219" s="11">
        <v>45758.416666666664</v>
      </c>
    </row>
    <row r="220" spans="1:23">
      <c r="A220" t="s">
        <v>87</v>
      </c>
      <c r="B220">
        <v>12</v>
      </c>
      <c r="C220" s="10">
        <v>45758</v>
      </c>
      <c r="D220" s="11">
        <v>45758.458333333336</v>
      </c>
      <c r="E220" s="11">
        <v>45758.458333333336</v>
      </c>
      <c r="F220" t="s">
        <v>108</v>
      </c>
      <c r="G220" t="s">
        <v>107</v>
      </c>
      <c r="H220">
        <v>-1</v>
      </c>
      <c r="I220">
        <v>200</v>
      </c>
      <c r="J220" s="7">
        <v>519.93700000000001</v>
      </c>
      <c r="K220" s="7">
        <v>525.93634756949996</v>
      </c>
      <c r="L220" s="7">
        <v>517.80141060209996</v>
      </c>
      <c r="M220" s="7">
        <v>7.2584002999999996E-3</v>
      </c>
      <c r="N220" s="7">
        <v>519.98202372469996</v>
      </c>
      <c r="O220" s="7">
        <v>525.93634756949996</v>
      </c>
      <c r="P220" s="7">
        <v>517.80141060209996</v>
      </c>
      <c r="Q220" s="7">
        <v>1</v>
      </c>
      <c r="R220" s="7">
        <v>-475.26</v>
      </c>
      <c r="S220" s="7">
        <v>0.7</v>
      </c>
      <c r="T220" s="7">
        <v>0.2</v>
      </c>
      <c r="U220" s="7">
        <v>-476.16</v>
      </c>
      <c r="V220" s="7" t="s">
        <v>88</v>
      </c>
      <c r="W220" s="11">
        <v>45758.4375</v>
      </c>
    </row>
    <row r="221" spans="1:23">
      <c r="A221" t="s">
        <v>87</v>
      </c>
      <c r="B221">
        <v>13</v>
      </c>
      <c r="C221" s="10">
        <v>45758</v>
      </c>
      <c r="D221" s="11">
        <v>45758.541666666664</v>
      </c>
      <c r="E221" s="11">
        <v>45758.541666666664</v>
      </c>
      <c r="F221" t="s">
        <v>106</v>
      </c>
      <c r="G221" t="s">
        <v>107</v>
      </c>
      <c r="H221">
        <v>1</v>
      </c>
      <c r="I221">
        <v>200</v>
      </c>
      <c r="J221" s="7">
        <v>528.78629999999998</v>
      </c>
      <c r="K221" s="7">
        <v>526.66127550019996</v>
      </c>
      <c r="L221" s="7">
        <v>517.07725890430004</v>
      </c>
      <c r="M221" s="7">
        <v>8.6467617E-3</v>
      </c>
      <c r="N221" s="7">
        <v>521.79019514319998</v>
      </c>
      <c r="O221" s="7">
        <v>526.66127550019996</v>
      </c>
      <c r="P221" s="7">
        <v>517.07725890430004</v>
      </c>
      <c r="Q221" s="7">
        <v>1</v>
      </c>
      <c r="R221" s="7">
        <v>0</v>
      </c>
      <c r="S221" s="7">
        <v>0.7</v>
      </c>
      <c r="T221" s="7">
        <v>0.2</v>
      </c>
      <c r="U221" s="7">
        <v>-0.9</v>
      </c>
      <c r="V221" s="7" t="s">
        <v>110</v>
      </c>
      <c r="W221" s="11">
        <v>45758.520833333336</v>
      </c>
    </row>
    <row r="222" spans="1:23">
      <c r="A222" t="s">
        <v>87</v>
      </c>
      <c r="B222">
        <v>13</v>
      </c>
      <c r="C222" s="10">
        <v>45758</v>
      </c>
      <c r="D222" s="11">
        <v>45758.5625</v>
      </c>
      <c r="E222" s="11">
        <v>45758.5625</v>
      </c>
      <c r="F222" t="s">
        <v>108</v>
      </c>
      <c r="G222" t="s">
        <v>109</v>
      </c>
      <c r="H222">
        <v>1</v>
      </c>
      <c r="I222">
        <v>200</v>
      </c>
      <c r="J222" s="7">
        <v>526.80269999999996</v>
      </c>
      <c r="K222" s="7">
        <v>529.79821633380004</v>
      </c>
      <c r="L222" s="7">
        <v>513.94367702060003</v>
      </c>
      <c r="M222" s="7">
        <v>1.4654542E-2</v>
      </c>
      <c r="N222" s="7">
        <v>522.20396479119995</v>
      </c>
      <c r="O222" s="7">
        <v>529.79821633380004</v>
      </c>
      <c r="P222" s="7">
        <v>513.94367702060003</v>
      </c>
      <c r="Q222" s="7">
        <v>1</v>
      </c>
      <c r="R222" s="7">
        <v>-396.72</v>
      </c>
      <c r="S222" s="7">
        <v>0.7</v>
      </c>
      <c r="T222" s="7">
        <v>0.2</v>
      </c>
      <c r="U222" s="7">
        <v>-397.62</v>
      </c>
      <c r="V222" s="7" t="s">
        <v>88</v>
      </c>
      <c r="W222" s="11">
        <v>45758.541666666664</v>
      </c>
    </row>
    <row r="223" spans="1:23">
      <c r="A223" t="s">
        <v>87</v>
      </c>
      <c r="B223">
        <v>14</v>
      </c>
      <c r="C223" s="10">
        <v>45758</v>
      </c>
      <c r="D223" s="11">
        <v>45758.583333333336</v>
      </c>
      <c r="E223" s="11">
        <v>45758.583333333336</v>
      </c>
      <c r="F223" t="s">
        <v>106</v>
      </c>
      <c r="G223" t="s">
        <v>107</v>
      </c>
      <c r="H223">
        <v>1</v>
      </c>
      <c r="I223">
        <v>200</v>
      </c>
      <c r="J223" s="7">
        <v>531.66970000000003</v>
      </c>
      <c r="K223" s="7">
        <v>529.75032881039999</v>
      </c>
      <c r="L223" s="7">
        <v>513.99151326740002</v>
      </c>
      <c r="M223" s="7">
        <v>1.4562829100000001E-2</v>
      </c>
      <c r="N223" s="7">
        <v>523.4489113221</v>
      </c>
      <c r="O223" s="7">
        <v>529.75032881039999</v>
      </c>
      <c r="P223" s="7">
        <v>513.99151326740002</v>
      </c>
      <c r="Q223" s="7">
        <v>1</v>
      </c>
      <c r="R223" s="7">
        <v>0</v>
      </c>
      <c r="S223" s="7">
        <v>0.7</v>
      </c>
      <c r="T223" s="7">
        <v>0.2</v>
      </c>
      <c r="U223" s="7">
        <v>-0.9</v>
      </c>
      <c r="V223" s="7" t="s">
        <v>110</v>
      </c>
      <c r="W223" s="11">
        <v>45758.5625</v>
      </c>
    </row>
    <row r="224" spans="1:23">
      <c r="A224" t="s">
        <v>87</v>
      </c>
      <c r="B224">
        <v>14</v>
      </c>
      <c r="C224" s="10">
        <v>45758</v>
      </c>
      <c r="D224" s="11">
        <v>45758.625</v>
      </c>
      <c r="E224" s="11">
        <v>45758.625</v>
      </c>
      <c r="F224" t="s">
        <v>108</v>
      </c>
      <c r="G224" t="s">
        <v>109</v>
      </c>
      <c r="H224">
        <v>1</v>
      </c>
      <c r="I224">
        <v>200</v>
      </c>
      <c r="J224" s="7">
        <v>529.13419999999996</v>
      </c>
      <c r="K224" s="7">
        <v>529.68387985089998</v>
      </c>
      <c r="L224" s="7">
        <v>514.05789107520002</v>
      </c>
      <c r="M224" s="7">
        <v>1.4435567999999999E-2</v>
      </c>
      <c r="N224" s="7">
        <v>524.24135086269996</v>
      </c>
      <c r="O224" s="7">
        <v>529.68387985089998</v>
      </c>
      <c r="P224" s="7">
        <v>514.05789107520002</v>
      </c>
      <c r="Q224" s="7">
        <v>1</v>
      </c>
      <c r="R224" s="7">
        <v>-507.1</v>
      </c>
      <c r="S224" s="7">
        <v>0.7</v>
      </c>
      <c r="T224" s="7">
        <v>0.2</v>
      </c>
      <c r="U224" s="7">
        <v>-508</v>
      </c>
      <c r="V224" s="7" t="s">
        <v>88</v>
      </c>
      <c r="W224" s="11">
        <v>45758.604166666664</v>
      </c>
    </row>
    <row r="225" spans="1:23">
      <c r="A225" t="s">
        <v>87</v>
      </c>
      <c r="B225">
        <v>15</v>
      </c>
      <c r="C225" s="10">
        <v>45758</v>
      </c>
      <c r="D225" s="11">
        <v>45758.645833333336</v>
      </c>
      <c r="E225" s="11">
        <v>45758.645833333336</v>
      </c>
      <c r="F225" t="s">
        <v>106</v>
      </c>
      <c r="G225" t="s">
        <v>107</v>
      </c>
      <c r="H225">
        <v>1</v>
      </c>
      <c r="I225">
        <v>200</v>
      </c>
      <c r="J225" s="7">
        <v>531.44100000000003</v>
      </c>
      <c r="K225" s="7">
        <v>531.0477206393</v>
      </c>
      <c r="L225" s="7">
        <v>512.69551064990003</v>
      </c>
      <c r="M225" s="7">
        <v>1.7047557200000001E-2</v>
      </c>
      <c r="N225" s="7">
        <v>524.79000829309996</v>
      </c>
      <c r="O225" s="7">
        <v>531.0477206393</v>
      </c>
      <c r="P225" s="7">
        <v>512.69551064990003</v>
      </c>
      <c r="Q225" s="7">
        <v>1</v>
      </c>
      <c r="R225" s="7">
        <v>0</v>
      </c>
      <c r="S225" s="7">
        <v>0.7</v>
      </c>
      <c r="T225" s="7">
        <v>0.2</v>
      </c>
      <c r="U225" s="7">
        <v>-0.9</v>
      </c>
      <c r="V225" s="7" t="s">
        <v>110</v>
      </c>
      <c r="W225" s="11">
        <v>45758.625</v>
      </c>
    </row>
    <row r="226" spans="1:23">
      <c r="A226" t="s">
        <v>87</v>
      </c>
      <c r="B226">
        <v>15</v>
      </c>
      <c r="C226" s="10">
        <v>45758</v>
      </c>
      <c r="D226" s="11">
        <v>45758.666666666664</v>
      </c>
      <c r="E226" s="11">
        <v>45758.666666666664</v>
      </c>
      <c r="F226" t="s">
        <v>108</v>
      </c>
      <c r="G226" t="s">
        <v>109</v>
      </c>
      <c r="H226">
        <v>1</v>
      </c>
      <c r="I226">
        <v>200</v>
      </c>
      <c r="J226" s="7">
        <v>530.89419999999996</v>
      </c>
      <c r="K226" s="7">
        <v>532.7325785283</v>
      </c>
      <c r="L226" s="7">
        <v>511.01245686039999</v>
      </c>
      <c r="M226" s="7">
        <v>2.0274349399999999E-2</v>
      </c>
      <c r="N226" s="7">
        <v>525.91875868620002</v>
      </c>
      <c r="O226" s="7">
        <v>532.7325785283</v>
      </c>
      <c r="P226" s="7">
        <v>511.01245686039999</v>
      </c>
      <c r="Q226" s="7">
        <v>1</v>
      </c>
      <c r="R226" s="7">
        <v>-109.36</v>
      </c>
      <c r="S226" s="7">
        <v>0.7</v>
      </c>
      <c r="T226" s="7">
        <v>0.2</v>
      </c>
      <c r="U226" s="7">
        <v>-110.26</v>
      </c>
      <c r="V226" s="7" t="s">
        <v>85</v>
      </c>
      <c r="W226" s="11">
        <v>45758.645833333336</v>
      </c>
    </row>
    <row r="227" spans="1:23">
      <c r="A227" t="s">
        <v>87</v>
      </c>
      <c r="B227">
        <v>16</v>
      </c>
      <c r="C227" s="10">
        <v>45768</v>
      </c>
      <c r="D227" s="11">
        <v>45768.479166666664</v>
      </c>
      <c r="E227" s="11">
        <v>45768.479166666664</v>
      </c>
      <c r="F227" t="s">
        <v>106</v>
      </c>
      <c r="G227" t="s">
        <v>109</v>
      </c>
      <c r="H227">
        <v>-1</v>
      </c>
      <c r="I227">
        <v>200</v>
      </c>
      <c r="J227" s="7">
        <v>510.14319999999998</v>
      </c>
      <c r="K227" s="7">
        <v>526.91823026530005</v>
      </c>
      <c r="L227" s="7">
        <v>510.98743451889999</v>
      </c>
      <c r="M227" s="7">
        <v>6.7086052000000004E-3</v>
      </c>
      <c r="N227" s="7">
        <v>512.440768693</v>
      </c>
      <c r="O227" s="7">
        <v>526.91823026530005</v>
      </c>
      <c r="P227" s="7">
        <v>510.98743451889999</v>
      </c>
      <c r="Q227" s="7">
        <v>1</v>
      </c>
      <c r="R227" s="7">
        <v>0</v>
      </c>
      <c r="S227" s="7">
        <v>0.7</v>
      </c>
      <c r="T227" s="7">
        <v>0.2</v>
      </c>
      <c r="U227" s="7">
        <v>-0.9</v>
      </c>
      <c r="V227" s="7" t="s">
        <v>110</v>
      </c>
      <c r="W227" s="11">
        <v>45768.458333333336</v>
      </c>
    </row>
    <row r="228" spans="1:23">
      <c r="A228" t="s">
        <v>87</v>
      </c>
      <c r="B228">
        <v>16</v>
      </c>
      <c r="C228" s="10">
        <v>45768</v>
      </c>
      <c r="D228" s="11">
        <v>45768.5625</v>
      </c>
      <c r="E228" s="11">
        <v>45768.5625</v>
      </c>
      <c r="F228" t="s">
        <v>108</v>
      </c>
      <c r="G228" t="s">
        <v>107</v>
      </c>
      <c r="H228">
        <v>-1</v>
      </c>
      <c r="I228">
        <v>200</v>
      </c>
      <c r="J228" s="7">
        <v>507.00130000000001</v>
      </c>
      <c r="K228" s="7">
        <v>531.11887113980004</v>
      </c>
      <c r="L228" s="7">
        <v>506.85876940089997</v>
      </c>
      <c r="M228" s="7">
        <v>1.47341794E-2</v>
      </c>
      <c r="N228" s="7">
        <v>510.30653389539998</v>
      </c>
      <c r="O228" s="7">
        <v>531.11887113980004</v>
      </c>
      <c r="P228" s="7">
        <v>506.85876940089997</v>
      </c>
      <c r="Q228" s="7">
        <v>1</v>
      </c>
      <c r="R228" s="7">
        <v>628.38</v>
      </c>
      <c r="S228" s="7">
        <v>0.7</v>
      </c>
      <c r="T228" s="7">
        <v>0.2</v>
      </c>
      <c r="U228" s="7">
        <v>627.48</v>
      </c>
      <c r="V228" s="7" t="s">
        <v>88</v>
      </c>
      <c r="W228" s="11">
        <v>45768.541666666664</v>
      </c>
    </row>
    <row r="229" spans="1:23">
      <c r="A229" t="s">
        <v>87</v>
      </c>
      <c r="B229">
        <v>17</v>
      </c>
      <c r="C229" s="10">
        <v>45768</v>
      </c>
      <c r="D229" s="11">
        <v>45768.583333333336</v>
      </c>
      <c r="E229" s="11">
        <v>45768.583333333336</v>
      </c>
      <c r="F229" t="s">
        <v>106</v>
      </c>
      <c r="G229" t="s">
        <v>109</v>
      </c>
      <c r="H229">
        <v>-1</v>
      </c>
      <c r="I229">
        <v>200</v>
      </c>
      <c r="J229" s="7">
        <v>506.09350000000001</v>
      </c>
      <c r="K229" s="7">
        <v>531.52496738050002</v>
      </c>
      <c r="L229" s="7">
        <v>506.45963140420002</v>
      </c>
      <c r="M229" s="7">
        <v>1.5510050399999999E-2</v>
      </c>
      <c r="N229" s="7">
        <v>510.01118954639998</v>
      </c>
      <c r="O229" s="7">
        <v>531.52496738050002</v>
      </c>
      <c r="P229" s="7">
        <v>506.45963140420002</v>
      </c>
      <c r="Q229" s="7">
        <v>1</v>
      </c>
      <c r="R229" s="7">
        <v>0</v>
      </c>
      <c r="S229" s="7">
        <v>0.7</v>
      </c>
      <c r="T229" s="7">
        <v>0.2</v>
      </c>
      <c r="U229" s="7">
        <v>-0.9</v>
      </c>
      <c r="V229" s="7" t="s">
        <v>110</v>
      </c>
      <c r="W229" s="11">
        <v>45768.5625</v>
      </c>
    </row>
    <row r="230" spans="1:23">
      <c r="A230" t="s">
        <v>87</v>
      </c>
      <c r="B230">
        <v>17</v>
      </c>
      <c r="C230" s="10">
        <v>45768</v>
      </c>
      <c r="D230" s="11">
        <v>45768.604166666664</v>
      </c>
      <c r="E230" s="11">
        <v>45768.604166666664</v>
      </c>
      <c r="F230" t="s">
        <v>108</v>
      </c>
      <c r="G230" t="s">
        <v>107</v>
      </c>
      <c r="H230">
        <v>-1</v>
      </c>
      <c r="I230">
        <v>200</v>
      </c>
      <c r="J230" s="7">
        <v>507.03100000000001</v>
      </c>
      <c r="K230" s="7">
        <v>531.64248327140001</v>
      </c>
      <c r="L230" s="7">
        <v>506.34412908590002</v>
      </c>
      <c r="M230" s="7">
        <v>1.5734571499999999E-2</v>
      </c>
      <c r="N230" s="7">
        <v>509.74257229969999</v>
      </c>
      <c r="O230" s="7">
        <v>531.64248327140001</v>
      </c>
      <c r="P230" s="7">
        <v>506.34412908590002</v>
      </c>
      <c r="Q230" s="7">
        <v>1</v>
      </c>
      <c r="R230" s="7">
        <v>-187.5</v>
      </c>
      <c r="S230" s="7">
        <v>0.7</v>
      </c>
      <c r="T230" s="7">
        <v>0.2</v>
      </c>
      <c r="U230" s="7">
        <v>-188.4</v>
      </c>
      <c r="V230" s="7" t="s">
        <v>88</v>
      </c>
      <c r="W230" s="11">
        <v>45768.583333333336</v>
      </c>
    </row>
    <row r="231" spans="1:23">
      <c r="A231" t="s">
        <v>87</v>
      </c>
      <c r="B231">
        <v>18</v>
      </c>
      <c r="C231" s="10">
        <v>45768</v>
      </c>
      <c r="D231" s="11">
        <v>45768.625</v>
      </c>
      <c r="E231" s="11">
        <v>45768.625</v>
      </c>
      <c r="F231" t="s">
        <v>106</v>
      </c>
      <c r="G231" t="s">
        <v>109</v>
      </c>
      <c r="H231">
        <v>-1</v>
      </c>
      <c r="I231">
        <v>200</v>
      </c>
      <c r="J231" s="7">
        <v>505.86770000000001</v>
      </c>
      <c r="K231" s="7">
        <v>531.14059498170002</v>
      </c>
      <c r="L231" s="7">
        <v>506.83741778550001</v>
      </c>
      <c r="M231" s="7">
        <v>1.4775684000000001E-2</v>
      </c>
      <c r="N231" s="7">
        <v>509.4192125335</v>
      </c>
      <c r="O231" s="7">
        <v>531.14059498170002</v>
      </c>
      <c r="P231" s="7">
        <v>506.83741778550001</v>
      </c>
      <c r="Q231" s="7">
        <v>1</v>
      </c>
      <c r="R231" s="7">
        <v>0</v>
      </c>
      <c r="S231" s="7">
        <v>0.7</v>
      </c>
      <c r="T231" s="7">
        <v>0.2</v>
      </c>
      <c r="U231" s="7">
        <v>-0.9</v>
      </c>
      <c r="V231" s="7" t="s">
        <v>110</v>
      </c>
      <c r="W231" s="11">
        <v>45768.604166666664</v>
      </c>
    </row>
    <row r="232" spans="1:23">
      <c r="A232" t="s">
        <v>87</v>
      </c>
      <c r="B232">
        <v>18</v>
      </c>
      <c r="C232" s="10">
        <v>45768</v>
      </c>
      <c r="D232" s="11">
        <v>45768.645833333336</v>
      </c>
      <c r="E232" s="11">
        <v>45768.645833333336</v>
      </c>
      <c r="F232" t="s">
        <v>108</v>
      </c>
      <c r="G232" t="s">
        <v>107</v>
      </c>
      <c r="H232">
        <v>-1</v>
      </c>
      <c r="I232">
        <v>200</v>
      </c>
      <c r="J232" s="7">
        <v>507.50830000000002</v>
      </c>
      <c r="K232" s="7">
        <v>532.89990248590004</v>
      </c>
      <c r="L232" s="7">
        <v>505.1082550836</v>
      </c>
      <c r="M232" s="7">
        <v>1.8136945599999999E-2</v>
      </c>
      <c r="N232" s="7">
        <v>509.23221881630002</v>
      </c>
      <c r="O232" s="7">
        <v>532.89990248590004</v>
      </c>
      <c r="P232" s="7">
        <v>505.1082550836</v>
      </c>
      <c r="Q232" s="7">
        <v>1</v>
      </c>
      <c r="R232" s="7">
        <v>-328.12</v>
      </c>
      <c r="S232" s="7">
        <v>0.7</v>
      </c>
      <c r="T232" s="7">
        <v>0.2</v>
      </c>
      <c r="U232" s="7">
        <v>-329.02</v>
      </c>
      <c r="V232" s="7" t="s">
        <v>88</v>
      </c>
      <c r="W232" s="11">
        <v>45768.625</v>
      </c>
    </row>
    <row r="233" spans="1:23">
      <c r="A233" t="s">
        <v>87</v>
      </c>
      <c r="B233">
        <v>19</v>
      </c>
      <c r="C233" s="10">
        <v>45769</v>
      </c>
      <c r="D233" s="11">
        <v>45769.5</v>
      </c>
      <c r="E233" s="11">
        <v>45769.5</v>
      </c>
      <c r="F233" t="s">
        <v>106</v>
      </c>
      <c r="G233" t="s">
        <v>107</v>
      </c>
      <c r="H233">
        <v>1</v>
      </c>
      <c r="I233">
        <v>198</v>
      </c>
      <c r="J233" s="7">
        <v>523.20830000000001</v>
      </c>
      <c r="K233" s="7">
        <v>523.1512204572</v>
      </c>
      <c r="L233" s="7">
        <v>506.80471170070001</v>
      </c>
      <c r="M233" s="7">
        <v>8.1097979999999997E-3</v>
      </c>
      <c r="N233" s="7">
        <v>521.04227744139996</v>
      </c>
      <c r="O233" s="7">
        <v>523.1512204572</v>
      </c>
      <c r="P233" s="7">
        <v>506.80471170070001</v>
      </c>
      <c r="Q233" s="7">
        <v>1</v>
      </c>
      <c r="R233" s="7">
        <v>0</v>
      </c>
      <c r="S233" s="7">
        <v>0.69299999999999995</v>
      </c>
      <c r="T233" s="7">
        <v>0.19800000000000001</v>
      </c>
      <c r="U233" s="7">
        <v>-0.89100000000000001</v>
      </c>
      <c r="V233" s="7" t="s">
        <v>110</v>
      </c>
      <c r="W233" s="11">
        <v>45769.479166666664</v>
      </c>
    </row>
    <row r="234" spans="1:23">
      <c r="A234" t="s">
        <v>87</v>
      </c>
      <c r="B234">
        <v>19</v>
      </c>
      <c r="C234" s="10">
        <v>45769</v>
      </c>
      <c r="D234" s="11">
        <v>45769.5625</v>
      </c>
      <c r="E234" s="11">
        <v>45769.5625</v>
      </c>
      <c r="F234" t="s">
        <v>108</v>
      </c>
      <c r="G234" t="s">
        <v>109</v>
      </c>
      <c r="H234">
        <v>1</v>
      </c>
      <c r="I234">
        <v>198</v>
      </c>
      <c r="J234" s="7">
        <v>519.60389999999995</v>
      </c>
      <c r="K234" s="7">
        <v>526.85952727150004</v>
      </c>
      <c r="L234" s="7">
        <v>503.15353126510001</v>
      </c>
      <c r="M234" s="7">
        <v>1.52556867E-2</v>
      </c>
      <c r="N234" s="7">
        <v>521.90915189069995</v>
      </c>
      <c r="O234" s="7">
        <v>526.85952727150004</v>
      </c>
      <c r="P234" s="7">
        <v>503.15353126510001</v>
      </c>
      <c r="Q234" s="7">
        <v>1</v>
      </c>
      <c r="R234" s="7">
        <v>-713.6712</v>
      </c>
      <c r="S234" s="7">
        <v>0.69299999999999995</v>
      </c>
      <c r="T234" s="7">
        <v>0.19800000000000001</v>
      </c>
      <c r="U234" s="7">
        <v>-714.56219999999996</v>
      </c>
      <c r="V234" s="7" t="s">
        <v>88</v>
      </c>
      <c r="W234" s="11">
        <v>45769.541666666664</v>
      </c>
    </row>
    <row r="235" spans="1:23">
      <c r="A235" t="s">
        <v>87</v>
      </c>
      <c r="B235">
        <v>20</v>
      </c>
      <c r="C235" s="10">
        <v>45771</v>
      </c>
      <c r="D235" s="11">
        <v>45771.4375</v>
      </c>
      <c r="E235" s="11">
        <v>45771.4375</v>
      </c>
      <c r="F235" t="s">
        <v>106</v>
      </c>
      <c r="G235" t="s">
        <v>107</v>
      </c>
      <c r="H235">
        <v>1</v>
      </c>
      <c r="I235">
        <v>190</v>
      </c>
      <c r="J235" s="7">
        <v>539.03880000000004</v>
      </c>
      <c r="K235" s="7">
        <v>538.61639015239996</v>
      </c>
      <c r="L235" s="7">
        <v>530.16697618410001</v>
      </c>
      <c r="M235" s="7">
        <v>4.1297262999999999E-3</v>
      </c>
      <c r="N235" s="7">
        <v>537.73591460240004</v>
      </c>
      <c r="O235" s="7">
        <v>538.61639015239996</v>
      </c>
      <c r="P235" s="7">
        <v>530.16697618410001</v>
      </c>
      <c r="Q235" s="7">
        <v>1</v>
      </c>
      <c r="R235" s="7">
        <v>0</v>
      </c>
      <c r="S235" s="7">
        <v>0.66500000000000004</v>
      </c>
      <c r="T235" s="7">
        <v>0.19</v>
      </c>
      <c r="U235" s="7">
        <v>-0.85499999999999998</v>
      </c>
      <c r="V235" s="7" t="s">
        <v>110</v>
      </c>
      <c r="W235" s="11">
        <v>45771.416666666664</v>
      </c>
    </row>
    <row r="236" spans="1:23">
      <c r="A236" t="s">
        <v>87</v>
      </c>
      <c r="B236">
        <v>20</v>
      </c>
      <c r="C236" s="10">
        <v>45771</v>
      </c>
      <c r="D236" s="11">
        <v>45771.458333333336</v>
      </c>
      <c r="E236" s="11">
        <v>45771.458333333336</v>
      </c>
      <c r="F236" t="s">
        <v>108</v>
      </c>
      <c r="G236" t="s">
        <v>109</v>
      </c>
      <c r="H236">
        <v>1</v>
      </c>
      <c r="I236">
        <v>190</v>
      </c>
      <c r="J236" s="7">
        <v>539.3954</v>
      </c>
      <c r="K236" s="7">
        <v>540.46280450560005</v>
      </c>
      <c r="L236" s="7">
        <v>528.33445362379996</v>
      </c>
      <c r="M236" s="7">
        <v>7.5719526999999997E-3</v>
      </c>
      <c r="N236" s="7">
        <v>538.29364669630002</v>
      </c>
      <c r="O236" s="7">
        <v>540.46280450560005</v>
      </c>
      <c r="P236" s="7">
        <v>528.33445362379996</v>
      </c>
      <c r="Q236" s="7">
        <v>1</v>
      </c>
      <c r="R236" s="7">
        <v>67.754000000000005</v>
      </c>
      <c r="S236" s="7">
        <v>0.66500000000000004</v>
      </c>
      <c r="T236" s="7">
        <v>0.19</v>
      </c>
      <c r="U236" s="7">
        <v>66.899000000000001</v>
      </c>
      <c r="V236" s="7" t="s">
        <v>88</v>
      </c>
      <c r="W236" s="11">
        <v>45771.4375</v>
      </c>
    </row>
    <row r="237" spans="1:23">
      <c r="A237" t="s">
        <v>87</v>
      </c>
      <c r="B237">
        <v>21</v>
      </c>
      <c r="C237" s="10">
        <v>45771</v>
      </c>
      <c r="D237" s="11">
        <v>45771.541666666664</v>
      </c>
      <c r="E237" s="11">
        <v>45771.541666666664</v>
      </c>
      <c r="F237" t="s">
        <v>106</v>
      </c>
      <c r="G237" t="s">
        <v>107</v>
      </c>
      <c r="H237">
        <v>1</v>
      </c>
      <c r="I237">
        <v>190</v>
      </c>
      <c r="J237" s="7">
        <v>542.33849999999995</v>
      </c>
      <c r="K237" s="7">
        <v>541.68679723729997</v>
      </c>
      <c r="L237" s="7">
        <v>527.11966979670001</v>
      </c>
      <c r="M237" s="7">
        <v>9.8538132000000004E-3</v>
      </c>
      <c r="N237" s="7">
        <v>539.35782140900005</v>
      </c>
      <c r="O237" s="7">
        <v>541.68679723729997</v>
      </c>
      <c r="P237" s="7">
        <v>527.11966979670001</v>
      </c>
      <c r="Q237" s="7">
        <v>1</v>
      </c>
      <c r="R237" s="7">
        <v>0</v>
      </c>
      <c r="S237" s="7">
        <v>0.66500000000000004</v>
      </c>
      <c r="T237" s="7">
        <v>0.19</v>
      </c>
      <c r="U237" s="7">
        <v>-0.85499999999999998</v>
      </c>
      <c r="V237" s="7" t="s">
        <v>110</v>
      </c>
      <c r="W237" s="11">
        <v>45771.520833333336</v>
      </c>
    </row>
    <row r="238" spans="1:23">
      <c r="A238" t="s">
        <v>87</v>
      </c>
      <c r="B238">
        <v>21</v>
      </c>
      <c r="C238" s="10">
        <v>45771</v>
      </c>
      <c r="D238" s="11">
        <v>45771.5625</v>
      </c>
      <c r="E238" s="11">
        <v>45771.5625</v>
      </c>
      <c r="F238" t="s">
        <v>108</v>
      </c>
      <c r="G238" t="s">
        <v>109</v>
      </c>
      <c r="H238">
        <v>1</v>
      </c>
      <c r="I238">
        <v>190</v>
      </c>
      <c r="J238" s="7">
        <v>541.86320000000001</v>
      </c>
      <c r="K238" s="7">
        <v>544.37431103419999</v>
      </c>
      <c r="L238" s="7">
        <v>524.45237593859997</v>
      </c>
      <c r="M238" s="7">
        <v>1.48640813E-2</v>
      </c>
      <c r="N238" s="7">
        <v>539.55160931240005</v>
      </c>
      <c r="O238" s="7">
        <v>544.37431103419999</v>
      </c>
      <c r="P238" s="7">
        <v>524.45237593859997</v>
      </c>
      <c r="Q238" s="7">
        <v>1</v>
      </c>
      <c r="R238" s="7">
        <v>-90.307000000000002</v>
      </c>
      <c r="S238" s="7">
        <v>0.66500000000000004</v>
      </c>
      <c r="T238" s="7">
        <v>0.19</v>
      </c>
      <c r="U238" s="7">
        <v>-91.162000000000006</v>
      </c>
      <c r="V238" s="7" t="s">
        <v>88</v>
      </c>
      <c r="W238" s="11">
        <v>45771.541666666664</v>
      </c>
    </row>
    <row r="239" spans="1:23">
      <c r="A239" t="s">
        <v>87</v>
      </c>
      <c r="B239">
        <v>22</v>
      </c>
      <c r="C239" s="10">
        <v>45778</v>
      </c>
      <c r="D239" s="11">
        <v>45778.458333333336</v>
      </c>
      <c r="E239" s="11">
        <v>45778.458333333336</v>
      </c>
      <c r="F239" t="s">
        <v>106</v>
      </c>
      <c r="G239" t="s">
        <v>107</v>
      </c>
      <c r="H239">
        <v>1</v>
      </c>
      <c r="I239">
        <v>183</v>
      </c>
      <c r="J239" s="7">
        <v>560.17610000000002</v>
      </c>
      <c r="K239" s="7">
        <v>559.723150949</v>
      </c>
      <c r="L239" s="7">
        <v>548.97175107019996</v>
      </c>
      <c r="M239" s="7">
        <v>4.3611748999999997E-3</v>
      </c>
      <c r="N239" s="7">
        <v>558.46022632589995</v>
      </c>
      <c r="O239" s="7">
        <v>559.723150949</v>
      </c>
      <c r="P239" s="7">
        <v>548.97175107019996</v>
      </c>
      <c r="Q239" s="7">
        <v>1</v>
      </c>
      <c r="R239" s="7">
        <v>0</v>
      </c>
      <c r="S239" s="7">
        <v>0.64049999999999996</v>
      </c>
      <c r="T239" s="7">
        <v>0.183</v>
      </c>
      <c r="U239" s="7">
        <v>-0.82350000000000001</v>
      </c>
      <c r="V239" s="7" t="s">
        <v>110</v>
      </c>
      <c r="W239" s="11">
        <v>45778.4375</v>
      </c>
    </row>
    <row r="240" spans="1:23">
      <c r="A240" t="s">
        <v>87</v>
      </c>
      <c r="B240">
        <v>22</v>
      </c>
      <c r="C240" s="10">
        <v>45778</v>
      </c>
      <c r="D240" s="11">
        <v>45778.479166666664</v>
      </c>
      <c r="E240" s="11">
        <v>45778.479166666664</v>
      </c>
      <c r="F240" t="s">
        <v>108</v>
      </c>
      <c r="G240" t="s">
        <v>109</v>
      </c>
      <c r="H240">
        <v>1</v>
      </c>
      <c r="I240">
        <v>183</v>
      </c>
      <c r="J240" s="7">
        <v>560.15620000000001</v>
      </c>
      <c r="K240" s="7">
        <v>560.73438651460003</v>
      </c>
      <c r="L240" s="7">
        <v>547.97125092780004</v>
      </c>
      <c r="M240" s="7">
        <v>6.1757251000000004E-3</v>
      </c>
      <c r="N240" s="7">
        <v>558.76951850880005</v>
      </c>
      <c r="O240" s="7">
        <v>560.73438651460003</v>
      </c>
      <c r="P240" s="7">
        <v>547.97125092780004</v>
      </c>
      <c r="Q240" s="7">
        <v>1</v>
      </c>
      <c r="R240" s="7">
        <v>-3.6417000000000002</v>
      </c>
      <c r="S240" s="7">
        <v>0.64049999999999996</v>
      </c>
      <c r="T240" s="7">
        <v>0.183</v>
      </c>
      <c r="U240" s="7">
        <v>-4.4652000000000003</v>
      </c>
      <c r="V240" s="7" t="s">
        <v>88</v>
      </c>
      <c r="W240" s="11">
        <v>45778.458333333336</v>
      </c>
    </row>
    <row r="241" spans="1:23">
      <c r="A241" t="s">
        <v>87</v>
      </c>
      <c r="B241">
        <v>23</v>
      </c>
      <c r="C241" s="10">
        <v>45779</v>
      </c>
      <c r="D241" s="11">
        <v>45779.4375</v>
      </c>
      <c r="E241" s="11">
        <v>45779.4375</v>
      </c>
      <c r="F241" t="s">
        <v>106</v>
      </c>
      <c r="G241" t="s">
        <v>107</v>
      </c>
      <c r="H241">
        <v>1</v>
      </c>
      <c r="I241">
        <v>182</v>
      </c>
      <c r="J241" s="7">
        <v>563.06209999999999</v>
      </c>
      <c r="K241" s="7">
        <v>562.37263327070002</v>
      </c>
      <c r="L241" s="7">
        <v>553.19570140969995</v>
      </c>
      <c r="M241" s="7">
        <v>3.7607756999999999E-3</v>
      </c>
      <c r="N241" s="7">
        <v>561.287103763</v>
      </c>
      <c r="O241" s="7">
        <v>562.37263327070002</v>
      </c>
      <c r="P241" s="7">
        <v>553.19570140969995</v>
      </c>
      <c r="Q241" s="7">
        <v>1</v>
      </c>
      <c r="R241" s="7">
        <v>0</v>
      </c>
      <c r="S241" s="7">
        <v>0.63700000000000001</v>
      </c>
      <c r="T241" s="7">
        <v>0.182</v>
      </c>
      <c r="U241" s="7">
        <v>-0.81899999999999995</v>
      </c>
      <c r="V241" s="7" t="s">
        <v>110</v>
      </c>
      <c r="W241" s="11">
        <v>45779.416666666664</v>
      </c>
    </row>
    <row r="242" spans="1:23">
      <c r="A242" t="s">
        <v>87</v>
      </c>
      <c r="B242">
        <v>23</v>
      </c>
      <c r="C242" s="10">
        <v>45779</v>
      </c>
      <c r="D242" s="11">
        <v>45779.458333333336</v>
      </c>
      <c r="E242" s="11">
        <v>45779.458333333336</v>
      </c>
      <c r="F242" t="s">
        <v>108</v>
      </c>
      <c r="G242" t="s">
        <v>109</v>
      </c>
      <c r="H242">
        <v>1</v>
      </c>
      <c r="I242">
        <v>182</v>
      </c>
      <c r="J242" s="7">
        <v>562.53269999999998</v>
      </c>
      <c r="K242" s="7">
        <v>562.72513429829996</v>
      </c>
      <c r="L242" s="7">
        <v>552.84633464390004</v>
      </c>
      <c r="M242" s="7">
        <v>4.3899433999999996E-3</v>
      </c>
      <c r="N242" s="7">
        <v>561.56361863660004</v>
      </c>
      <c r="O242" s="7">
        <v>562.72513429829996</v>
      </c>
      <c r="P242" s="7">
        <v>552.84633464390004</v>
      </c>
      <c r="Q242" s="7">
        <v>1</v>
      </c>
      <c r="R242" s="7">
        <v>-96.350800000000007</v>
      </c>
      <c r="S242" s="7">
        <v>0.63700000000000001</v>
      </c>
      <c r="T242" s="7">
        <v>0.182</v>
      </c>
      <c r="U242" s="7">
        <v>-97.169799999999995</v>
      </c>
      <c r="V242" s="7" t="s">
        <v>88</v>
      </c>
      <c r="W242" s="11">
        <v>45779.4375</v>
      </c>
    </row>
    <row r="243" spans="1:23">
      <c r="A243" t="s">
        <v>87</v>
      </c>
      <c r="B243">
        <v>24</v>
      </c>
      <c r="C243" s="10">
        <v>45785</v>
      </c>
      <c r="D243" s="11">
        <v>45785.5</v>
      </c>
      <c r="E243" s="11">
        <v>45785.5</v>
      </c>
      <c r="F243" t="s">
        <v>106</v>
      </c>
      <c r="G243" t="s">
        <v>107</v>
      </c>
      <c r="H243">
        <v>1</v>
      </c>
      <c r="I243">
        <v>182</v>
      </c>
      <c r="J243" s="7">
        <v>565.1277</v>
      </c>
      <c r="K243" s="7">
        <v>564.1482895373</v>
      </c>
      <c r="L243" s="7">
        <v>554.66977419809996</v>
      </c>
      <c r="M243" s="7">
        <v>5.8767513999999996E-3</v>
      </c>
      <c r="N243" s="7">
        <v>562.30683878089997</v>
      </c>
      <c r="O243" s="7">
        <v>564.1482895373</v>
      </c>
      <c r="P243" s="7">
        <v>554.66977419809996</v>
      </c>
      <c r="Q243" s="7">
        <v>1</v>
      </c>
      <c r="R243" s="7">
        <v>0</v>
      </c>
      <c r="S243" s="7">
        <v>0.63700000000000001</v>
      </c>
      <c r="T243" s="7">
        <v>0.182</v>
      </c>
      <c r="U243" s="7">
        <v>-0.81899999999999995</v>
      </c>
      <c r="V243" s="7" t="s">
        <v>110</v>
      </c>
      <c r="W243" s="11">
        <v>45785.479166666664</v>
      </c>
    </row>
    <row r="244" spans="1:23">
      <c r="A244" t="s">
        <v>87</v>
      </c>
      <c r="B244">
        <v>24</v>
      </c>
      <c r="C244" s="10">
        <v>45785</v>
      </c>
      <c r="D244" s="11">
        <v>45785.604166666664</v>
      </c>
      <c r="E244" s="11">
        <v>45785.604166666664</v>
      </c>
      <c r="F244" t="s">
        <v>108</v>
      </c>
      <c r="G244" t="s">
        <v>109</v>
      </c>
      <c r="H244">
        <v>1</v>
      </c>
      <c r="I244">
        <v>182</v>
      </c>
      <c r="J244" s="7">
        <v>564.78970000000004</v>
      </c>
      <c r="K244" s="7">
        <v>565.21287672369999</v>
      </c>
      <c r="L244" s="7">
        <v>553.6106985079</v>
      </c>
      <c r="M244" s="7">
        <v>7.7749109999999998E-3</v>
      </c>
      <c r="N244" s="7">
        <v>563.27469378939998</v>
      </c>
      <c r="O244" s="7">
        <v>565.21287672369999</v>
      </c>
      <c r="P244" s="7">
        <v>553.6106985079</v>
      </c>
      <c r="Q244" s="7">
        <v>1</v>
      </c>
      <c r="R244" s="7">
        <v>-61.515999999999998</v>
      </c>
      <c r="S244" s="7">
        <v>0.63700000000000001</v>
      </c>
      <c r="T244" s="7">
        <v>0.182</v>
      </c>
      <c r="U244" s="7">
        <v>-62.335000000000001</v>
      </c>
      <c r="V244" s="7" t="s">
        <v>88</v>
      </c>
      <c r="W244" s="11">
        <v>45785.583333333336</v>
      </c>
    </row>
    <row r="245" spans="1:23">
      <c r="A245" t="s">
        <v>87</v>
      </c>
      <c r="B245">
        <v>25</v>
      </c>
      <c r="C245" s="10">
        <v>45785</v>
      </c>
      <c r="D245" s="11">
        <v>45785.625</v>
      </c>
      <c r="E245" s="11">
        <v>45785.625</v>
      </c>
      <c r="F245" t="s">
        <v>106</v>
      </c>
      <c r="G245" t="s">
        <v>107</v>
      </c>
      <c r="H245">
        <v>1</v>
      </c>
      <c r="I245">
        <v>182</v>
      </c>
      <c r="J245" s="7">
        <v>565.06809999999996</v>
      </c>
      <c r="K245" s="7">
        <v>565.04375454420006</v>
      </c>
      <c r="L245" s="7">
        <v>553.77894512140006</v>
      </c>
      <c r="M245" s="7">
        <v>7.4733661E-3</v>
      </c>
      <c r="N245" s="7">
        <v>563.36726124059999</v>
      </c>
      <c r="O245" s="7">
        <v>565.04375454420006</v>
      </c>
      <c r="P245" s="7">
        <v>553.77894512140006</v>
      </c>
      <c r="Q245" s="7">
        <v>1</v>
      </c>
      <c r="R245" s="7">
        <v>0</v>
      </c>
      <c r="S245" s="7">
        <v>0.63700000000000001</v>
      </c>
      <c r="T245" s="7">
        <v>0.182</v>
      </c>
      <c r="U245" s="7">
        <v>-0.81899999999999995</v>
      </c>
      <c r="V245" s="7" t="s">
        <v>110</v>
      </c>
      <c r="W245" s="11">
        <v>45785.604166666664</v>
      </c>
    </row>
    <row r="246" spans="1:23">
      <c r="A246" t="s">
        <v>87</v>
      </c>
      <c r="B246">
        <v>25</v>
      </c>
      <c r="C246" s="10">
        <v>45785</v>
      </c>
      <c r="D246" s="11">
        <v>45785.666666666664</v>
      </c>
      <c r="E246" s="11">
        <v>45785.666666666664</v>
      </c>
      <c r="F246" t="s">
        <v>108</v>
      </c>
      <c r="G246" t="s">
        <v>109</v>
      </c>
      <c r="H246">
        <v>1</v>
      </c>
      <c r="I246">
        <v>182</v>
      </c>
      <c r="J246" s="7">
        <v>561.83659999999998</v>
      </c>
      <c r="K246" s="7">
        <v>565.02603455899998</v>
      </c>
      <c r="L246" s="7">
        <v>553.79657336820003</v>
      </c>
      <c r="M246" s="7">
        <v>7.4417713000000003E-3</v>
      </c>
      <c r="N246" s="7">
        <v>563.27859073269997</v>
      </c>
      <c r="O246" s="7">
        <v>565.02603455899998</v>
      </c>
      <c r="P246" s="7">
        <v>553.79657336820003</v>
      </c>
      <c r="Q246" s="7">
        <v>1</v>
      </c>
      <c r="R246" s="7">
        <v>-588.13300000000004</v>
      </c>
      <c r="S246" s="7">
        <v>0.63700000000000001</v>
      </c>
      <c r="T246" s="7">
        <v>0.182</v>
      </c>
      <c r="U246" s="7">
        <v>-588.952</v>
      </c>
      <c r="V246" s="7" t="s">
        <v>85</v>
      </c>
      <c r="W246" s="11">
        <v>45785.645833333336</v>
      </c>
    </row>
    <row r="247" spans="1:23">
      <c r="A247" t="s">
        <v>87</v>
      </c>
      <c r="B247">
        <v>26</v>
      </c>
      <c r="C247" s="10">
        <v>45793</v>
      </c>
      <c r="D247" s="11">
        <v>45793.645833333336</v>
      </c>
      <c r="E247" s="11">
        <v>45793.645833333336</v>
      </c>
      <c r="F247" t="s">
        <v>106</v>
      </c>
      <c r="G247" t="s">
        <v>107</v>
      </c>
      <c r="H247">
        <v>1</v>
      </c>
      <c r="I247">
        <v>172</v>
      </c>
      <c r="J247" s="7">
        <v>590.40269999999998</v>
      </c>
      <c r="K247" s="7">
        <v>590.37734522740004</v>
      </c>
      <c r="L247" s="7">
        <v>583.97585323390001</v>
      </c>
      <c r="M247" s="7">
        <v>5.3069184999999996E-3</v>
      </c>
      <c r="N247" s="7">
        <v>588.54969016519999</v>
      </c>
      <c r="O247" s="7">
        <v>590.37734522740004</v>
      </c>
      <c r="P247" s="7">
        <v>583.97585323390001</v>
      </c>
      <c r="Q247" s="7">
        <v>1</v>
      </c>
      <c r="R247" s="7">
        <v>0</v>
      </c>
      <c r="S247" s="7">
        <v>0.60199999999999998</v>
      </c>
      <c r="T247" s="7">
        <v>0.17199999999999999</v>
      </c>
      <c r="U247" s="7">
        <v>-0.77400000000000002</v>
      </c>
      <c r="V247" s="7" t="s">
        <v>110</v>
      </c>
      <c r="W247" s="11">
        <v>45793.625</v>
      </c>
    </row>
    <row r="248" spans="1:23">
      <c r="A248" t="s">
        <v>87</v>
      </c>
      <c r="B248">
        <v>26</v>
      </c>
      <c r="C248" s="10">
        <v>45793</v>
      </c>
      <c r="D248" s="11">
        <v>45793.666666666664</v>
      </c>
      <c r="E248" s="11">
        <v>45793.666666666664</v>
      </c>
      <c r="F248" t="s">
        <v>108</v>
      </c>
      <c r="G248" t="s">
        <v>109</v>
      </c>
      <c r="H248">
        <v>1</v>
      </c>
      <c r="I248">
        <v>172</v>
      </c>
      <c r="J248" s="7">
        <v>590.81039999999996</v>
      </c>
      <c r="K248" s="7">
        <v>590.09954132749999</v>
      </c>
      <c r="L248" s="7">
        <v>584.25357704639998</v>
      </c>
      <c r="M248" s="7">
        <v>4.8338681999999999E-3</v>
      </c>
      <c r="N248" s="7">
        <v>589.08443369739996</v>
      </c>
      <c r="O248" s="7">
        <v>590.09954132749999</v>
      </c>
      <c r="P248" s="7">
        <v>584.25357704639998</v>
      </c>
      <c r="Q248" s="7">
        <v>1</v>
      </c>
      <c r="R248" s="7">
        <v>70.124399999999994</v>
      </c>
      <c r="S248" s="7">
        <v>0.60199999999999998</v>
      </c>
      <c r="T248" s="7">
        <v>0.17199999999999999</v>
      </c>
      <c r="U248" s="7">
        <v>69.350399999999993</v>
      </c>
      <c r="V248" s="7" t="s">
        <v>85</v>
      </c>
      <c r="W248" s="11">
        <v>45793.645833333336</v>
      </c>
    </row>
    <row r="249" spans="1:23">
      <c r="A249" t="s">
        <v>87</v>
      </c>
      <c r="B249">
        <v>27</v>
      </c>
      <c r="C249" s="10">
        <v>45798</v>
      </c>
      <c r="D249" s="11">
        <v>45798.5625</v>
      </c>
      <c r="E249" s="11">
        <v>45798.5625</v>
      </c>
      <c r="F249" t="s">
        <v>106</v>
      </c>
      <c r="G249" t="s">
        <v>109</v>
      </c>
      <c r="H249">
        <v>-1</v>
      </c>
      <c r="I249">
        <v>173</v>
      </c>
      <c r="J249" s="7">
        <v>581.13589999999999</v>
      </c>
      <c r="K249" s="7">
        <v>591.94661845300004</v>
      </c>
      <c r="L249" s="7">
        <v>584.15763849309997</v>
      </c>
      <c r="M249" s="7">
        <v>4.2050100999999999E-3</v>
      </c>
      <c r="N249" s="7">
        <v>585.73321335289995</v>
      </c>
      <c r="O249" s="7">
        <v>591.94661845300004</v>
      </c>
      <c r="P249" s="7">
        <v>584.15763849309997</v>
      </c>
      <c r="Q249" s="7">
        <v>1</v>
      </c>
      <c r="R249" s="7">
        <v>0</v>
      </c>
      <c r="S249" s="7">
        <v>0.60550000000000004</v>
      </c>
      <c r="T249" s="7">
        <v>0.17299999999999999</v>
      </c>
      <c r="U249" s="7">
        <v>-0.77849999999999997</v>
      </c>
      <c r="V249" s="7" t="s">
        <v>110</v>
      </c>
      <c r="W249" s="11">
        <v>45798.541666666664</v>
      </c>
    </row>
    <row r="250" spans="1:23">
      <c r="A250" t="s">
        <v>87</v>
      </c>
      <c r="B250">
        <v>27</v>
      </c>
      <c r="C250" s="10">
        <v>45798</v>
      </c>
      <c r="D250" s="11">
        <v>45798.666666666664</v>
      </c>
      <c r="E250" s="11">
        <v>45798.666666666664</v>
      </c>
      <c r="F250" t="s">
        <v>108</v>
      </c>
      <c r="G250" t="s">
        <v>107</v>
      </c>
      <c r="H250">
        <v>-1</v>
      </c>
      <c r="I250">
        <v>173</v>
      </c>
      <c r="J250" s="7">
        <v>579.53510000000006</v>
      </c>
      <c r="K250" s="7">
        <v>591.49845488079995</v>
      </c>
      <c r="L250" s="7">
        <v>584.60364019509996</v>
      </c>
      <c r="M250" s="7">
        <v>3.4447251000000001E-3</v>
      </c>
      <c r="N250" s="7">
        <v>583.0727492259</v>
      </c>
      <c r="O250" s="7">
        <v>591.49845488079995</v>
      </c>
      <c r="P250" s="7">
        <v>583.0727492259</v>
      </c>
      <c r="Q250" s="7">
        <v>1</v>
      </c>
      <c r="R250" s="7">
        <v>276.9384</v>
      </c>
      <c r="S250" s="7">
        <v>0.60550000000000004</v>
      </c>
      <c r="T250" s="7">
        <v>0.17299999999999999</v>
      </c>
      <c r="U250" s="7">
        <v>276.15989999999999</v>
      </c>
      <c r="V250" s="7" t="s">
        <v>85</v>
      </c>
      <c r="W250" s="11">
        <v>45798.645833333336</v>
      </c>
    </row>
    <row r="251" spans="1:23">
      <c r="A251" t="s">
        <v>87</v>
      </c>
      <c r="B251">
        <v>28</v>
      </c>
      <c r="C251" s="10">
        <v>45804</v>
      </c>
      <c r="D251" s="11">
        <v>45804.4375</v>
      </c>
      <c r="E251" s="11">
        <v>45804.4375</v>
      </c>
      <c r="F251" t="s">
        <v>106</v>
      </c>
      <c r="G251" t="s">
        <v>107</v>
      </c>
      <c r="H251">
        <v>1</v>
      </c>
      <c r="I251">
        <v>174</v>
      </c>
      <c r="J251" s="7">
        <v>584.52560000000005</v>
      </c>
      <c r="K251" s="7">
        <v>583.90554975270004</v>
      </c>
      <c r="L251" s="7">
        <v>574.86780245190005</v>
      </c>
      <c r="M251" s="7">
        <v>1.6298841000000001E-3</v>
      </c>
      <c r="N251" s="7">
        <v>583.61959368750001</v>
      </c>
      <c r="O251" s="7">
        <v>583.90554975270004</v>
      </c>
      <c r="P251" s="7">
        <v>574.86780245190005</v>
      </c>
      <c r="Q251" s="7">
        <v>1</v>
      </c>
      <c r="R251" s="7">
        <v>0</v>
      </c>
      <c r="S251" s="7">
        <v>0.60899999999999999</v>
      </c>
      <c r="T251" s="7">
        <v>0.17399999999999999</v>
      </c>
      <c r="U251" s="7">
        <v>-0.78300000000000003</v>
      </c>
      <c r="V251" s="7" t="s">
        <v>110</v>
      </c>
      <c r="W251" s="11">
        <v>45804.416666666664</v>
      </c>
    </row>
    <row r="252" spans="1:23">
      <c r="A252" t="s">
        <v>87</v>
      </c>
      <c r="B252">
        <v>28</v>
      </c>
      <c r="C252" s="10">
        <v>45804</v>
      </c>
      <c r="D252" s="11">
        <v>45804.666666666664</v>
      </c>
      <c r="E252" s="11">
        <v>45804.666666666664</v>
      </c>
      <c r="F252" t="s">
        <v>108</v>
      </c>
      <c r="G252" t="s">
        <v>109</v>
      </c>
      <c r="H252">
        <v>1</v>
      </c>
      <c r="I252">
        <v>174</v>
      </c>
      <c r="J252" s="7">
        <v>587.77779999999996</v>
      </c>
      <c r="K252" s="7">
        <v>585.31230067340005</v>
      </c>
      <c r="L252" s="7">
        <v>573.47830328489999</v>
      </c>
      <c r="M252" s="7">
        <v>4.0430205999999998E-3</v>
      </c>
      <c r="N252" s="7">
        <v>586.05813061610002</v>
      </c>
      <c r="O252" s="7">
        <v>586.05813061610002</v>
      </c>
      <c r="P252" s="7">
        <v>573.47830328489999</v>
      </c>
      <c r="Q252" s="7">
        <v>1</v>
      </c>
      <c r="R252" s="7">
        <v>565.88279999999997</v>
      </c>
      <c r="S252" s="7">
        <v>0.60899999999999999</v>
      </c>
      <c r="T252" s="7">
        <v>0.17399999999999999</v>
      </c>
      <c r="U252" s="7">
        <v>565.09979999999996</v>
      </c>
      <c r="V252" s="7" t="s">
        <v>85</v>
      </c>
      <c r="W252" s="11">
        <v>45804.645833333336</v>
      </c>
    </row>
    <row r="253" spans="1:23">
      <c r="A253" t="s">
        <v>87</v>
      </c>
      <c r="B253">
        <v>29</v>
      </c>
      <c r="C253" s="10">
        <v>45805</v>
      </c>
      <c r="D253" s="11">
        <v>45805.458333333336</v>
      </c>
      <c r="E253" s="11">
        <v>45805.458333333336</v>
      </c>
      <c r="F253" t="s">
        <v>106</v>
      </c>
      <c r="G253" t="s">
        <v>109</v>
      </c>
      <c r="H253">
        <v>-1</v>
      </c>
      <c r="I253">
        <v>174</v>
      </c>
      <c r="J253" s="7">
        <v>585.98310000000004</v>
      </c>
      <c r="K253" s="7">
        <v>588.75974584820005</v>
      </c>
      <c r="L253" s="7">
        <v>586.40850181129997</v>
      </c>
      <c r="M253" s="7">
        <v>1.6709481E-3</v>
      </c>
      <c r="N253" s="7">
        <v>586.91767772189996</v>
      </c>
      <c r="O253" s="7">
        <v>588.75974584820005</v>
      </c>
      <c r="P253" s="7">
        <v>586.40850181129997</v>
      </c>
      <c r="Q253" s="7">
        <v>1</v>
      </c>
      <c r="R253" s="7">
        <v>0</v>
      </c>
      <c r="S253" s="7">
        <v>0.60899999999999999</v>
      </c>
      <c r="T253" s="7">
        <v>0.17399999999999999</v>
      </c>
      <c r="U253" s="7">
        <v>-0.78300000000000003</v>
      </c>
      <c r="V253" s="7" t="s">
        <v>110</v>
      </c>
      <c r="W253" s="11">
        <v>45805.4375</v>
      </c>
    </row>
    <row r="254" spans="1:23">
      <c r="A254" t="s">
        <v>87</v>
      </c>
      <c r="B254">
        <v>29</v>
      </c>
      <c r="C254" s="10">
        <v>45805</v>
      </c>
      <c r="D254" s="11">
        <v>45805.479166666664</v>
      </c>
      <c r="E254" s="11">
        <v>45805.479166666664</v>
      </c>
      <c r="F254" t="s">
        <v>108</v>
      </c>
      <c r="G254" t="s">
        <v>107</v>
      </c>
      <c r="H254">
        <v>-1</v>
      </c>
      <c r="I254">
        <v>174</v>
      </c>
      <c r="J254" s="7">
        <v>585.98800000000006</v>
      </c>
      <c r="K254" s="7">
        <v>589.3352606743</v>
      </c>
      <c r="L254" s="7">
        <v>585.8333664987</v>
      </c>
      <c r="M254" s="7">
        <v>2.6500851E-3</v>
      </c>
      <c r="N254" s="7">
        <v>586.75675749280003</v>
      </c>
      <c r="O254" s="7">
        <v>589.3352606743</v>
      </c>
      <c r="P254" s="7">
        <v>585.8333664987</v>
      </c>
      <c r="Q254" s="7">
        <v>1</v>
      </c>
      <c r="R254" s="7">
        <v>-0.85260000000000002</v>
      </c>
      <c r="S254" s="7">
        <v>0.60899999999999999</v>
      </c>
      <c r="T254" s="7">
        <v>0.17399999999999999</v>
      </c>
      <c r="U254" s="7">
        <v>-1.6355999999999999</v>
      </c>
      <c r="V254" s="7" t="s">
        <v>88</v>
      </c>
      <c r="W254" s="11">
        <v>45805.458333333336</v>
      </c>
    </row>
    <row r="255" spans="1:23">
      <c r="A255" t="s">
        <v>87</v>
      </c>
      <c r="B255">
        <v>30</v>
      </c>
      <c r="C255" s="10">
        <v>45805</v>
      </c>
      <c r="D255" s="11">
        <v>45805.5</v>
      </c>
      <c r="E255" s="11">
        <v>45805.5</v>
      </c>
      <c r="F255" t="s">
        <v>106</v>
      </c>
      <c r="G255" t="s">
        <v>109</v>
      </c>
      <c r="H255">
        <v>-1</v>
      </c>
      <c r="I255">
        <v>174</v>
      </c>
      <c r="J255" s="7">
        <v>585.7296</v>
      </c>
      <c r="K255" s="7">
        <v>589.37282988150002</v>
      </c>
      <c r="L255" s="7">
        <v>585.79582206589998</v>
      </c>
      <c r="M255" s="7">
        <v>2.7140024999999998E-3</v>
      </c>
      <c r="N255" s="7">
        <v>586.61903047819999</v>
      </c>
      <c r="O255" s="7">
        <v>589.37282988150002</v>
      </c>
      <c r="P255" s="7">
        <v>585.79582206589998</v>
      </c>
      <c r="Q255" s="7">
        <v>1</v>
      </c>
      <c r="R255" s="7">
        <v>0</v>
      </c>
      <c r="S255" s="7">
        <v>0.60899999999999999</v>
      </c>
      <c r="T255" s="7">
        <v>0.17399999999999999</v>
      </c>
      <c r="U255" s="7">
        <v>-0.78300000000000003</v>
      </c>
      <c r="V255" s="7" t="s">
        <v>110</v>
      </c>
      <c r="W255" s="11">
        <v>45805.479166666664</v>
      </c>
    </row>
    <row r="256" spans="1:23">
      <c r="A256" t="s">
        <v>87</v>
      </c>
      <c r="B256">
        <v>30</v>
      </c>
      <c r="C256" s="10">
        <v>45805</v>
      </c>
      <c r="D256" s="11">
        <v>45805.520833333336</v>
      </c>
      <c r="E256" s="11">
        <v>45805.520833333336</v>
      </c>
      <c r="F256" t="s">
        <v>108</v>
      </c>
      <c r="G256" t="s">
        <v>107</v>
      </c>
      <c r="H256">
        <v>-1</v>
      </c>
      <c r="I256">
        <v>174</v>
      </c>
      <c r="J256" s="7">
        <v>586.46529999999996</v>
      </c>
      <c r="K256" s="7">
        <v>589.74230591610001</v>
      </c>
      <c r="L256" s="7">
        <v>585.42658967600005</v>
      </c>
      <c r="M256" s="7">
        <v>3.3426009000000001E-3</v>
      </c>
      <c r="N256" s="7">
        <v>586.60374116269998</v>
      </c>
      <c r="O256" s="7">
        <v>589.74230591610001</v>
      </c>
      <c r="P256" s="7">
        <v>585.42658967600005</v>
      </c>
      <c r="Q256" s="7">
        <v>1</v>
      </c>
      <c r="R256" s="7">
        <v>-128.01179999999999</v>
      </c>
      <c r="S256" s="7">
        <v>0.60899999999999999</v>
      </c>
      <c r="T256" s="7">
        <v>0.17399999999999999</v>
      </c>
      <c r="U256" s="7">
        <v>-128.79480000000001</v>
      </c>
      <c r="V256" s="7" t="s">
        <v>88</v>
      </c>
      <c r="W256" s="11">
        <v>45805.5</v>
      </c>
    </row>
    <row r="257" spans="1:23">
      <c r="A257" t="s">
        <v>87</v>
      </c>
      <c r="B257">
        <v>31</v>
      </c>
      <c r="C257" s="10">
        <v>45807</v>
      </c>
      <c r="D257" s="11">
        <v>45807.520833333336</v>
      </c>
      <c r="E257" s="11">
        <v>45807.520833333336</v>
      </c>
      <c r="F257" t="s">
        <v>106</v>
      </c>
      <c r="G257" t="s">
        <v>109</v>
      </c>
      <c r="H257">
        <v>-1</v>
      </c>
      <c r="I257">
        <v>175</v>
      </c>
      <c r="J257" s="7">
        <v>581.75239999999997</v>
      </c>
      <c r="K257" s="7">
        <v>588.35674346400003</v>
      </c>
      <c r="L257" s="7">
        <v>582.40361241820005</v>
      </c>
      <c r="M257" s="7">
        <v>2.8515249000000001E-3</v>
      </c>
      <c r="N257" s="7">
        <v>584.2875594546</v>
      </c>
      <c r="O257" s="7">
        <v>588.35674346400003</v>
      </c>
      <c r="P257" s="7">
        <v>582.40361241820005</v>
      </c>
      <c r="Q257" s="7">
        <v>1</v>
      </c>
      <c r="R257" s="7">
        <v>0</v>
      </c>
      <c r="S257" s="7">
        <v>0.61250000000000004</v>
      </c>
      <c r="T257" s="7">
        <v>0.17499999999999999</v>
      </c>
      <c r="U257" s="7">
        <v>-0.78749999999999998</v>
      </c>
      <c r="V257" s="7" t="s">
        <v>110</v>
      </c>
      <c r="W257" s="11">
        <v>45807.5</v>
      </c>
    </row>
    <row r="258" spans="1:23">
      <c r="A258" t="s">
        <v>87</v>
      </c>
      <c r="B258">
        <v>31</v>
      </c>
      <c r="C258" s="10">
        <v>45807</v>
      </c>
      <c r="D258" s="11">
        <v>45807.5625</v>
      </c>
      <c r="E258" s="11">
        <v>45807.5625</v>
      </c>
      <c r="F258" t="s">
        <v>108</v>
      </c>
      <c r="G258" t="s">
        <v>107</v>
      </c>
      <c r="H258">
        <v>-1</v>
      </c>
      <c r="I258">
        <v>175</v>
      </c>
      <c r="J258" s="7">
        <v>582.54790000000003</v>
      </c>
      <c r="K258" s="7">
        <v>589.3583065862</v>
      </c>
      <c r="L258" s="7">
        <v>581.40651300720003</v>
      </c>
      <c r="M258" s="7">
        <v>4.5586849000000002E-3</v>
      </c>
      <c r="N258" s="7">
        <v>583.31614697839996</v>
      </c>
      <c r="O258" s="7">
        <v>589.3583065862</v>
      </c>
      <c r="P258" s="7">
        <v>581.40651300720003</v>
      </c>
      <c r="Q258" s="7">
        <v>1</v>
      </c>
      <c r="R258" s="7">
        <v>-139.21250000000001</v>
      </c>
      <c r="S258" s="7">
        <v>0.61250000000000004</v>
      </c>
      <c r="T258" s="7">
        <v>0.17499999999999999</v>
      </c>
      <c r="U258" s="7">
        <v>-140</v>
      </c>
      <c r="V258" s="7" t="s">
        <v>88</v>
      </c>
      <c r="W258" s="11">
        <v>45807.541666666664</v>
      </c>
    </row>
    <row r="259" spans="1:23">
      <c r="A259" t="s">
        <v>87</v>
      </c>
      <c r="B259">
        <v>32</v>
      </c>
      <c r="C259" s="10">
        <v>45810</v>
      </c>
      <c r="D259" s="11">
        <v>45810.645833333336</v>
      </c>
      <c r="E259" s="11">
        <v>45810.645833333336</v>
      </c>
      <c r="F259" t="s">
        <v>106</v>
      </c>
      <c r="G259" t="s">
        <v>107</v>
      </c>
      <c r="H259">
        <v>1</v>
      </c>
      <c r="I259">
        <v>175</v>
      </c>
      <c r="J259" s="7">
        <v>588.93119999999999</v>
      </c>
      <c r="K259" s="7">
        <v>588.84359245749999</v>
      </c>
      <c r="L259" s="7">
        <v>580.18392646799998</v>
      </c>
      <c r="M259" s="7">
        <v>4.8052216000000003E-3</v>
      </c>
      <c r="N259" s="7">
        <v>585.97825452560005</v>
      </c>
      <c r="O259" s="7">
        <v>588.84359245749999</v>
      </c>
      <c r="P259" s="7">
        <v>580.18392646799998</v>
      </c>
      <c r="Q259" s="7">
        <v>1</v>
      </c>
      <c r="R259" s="7">
        <v>0</v>
      </c>
      <c r="S259" s="7">
        <v>0.61250000000000004</v>
      </c>
      <c r="T259" s="7">
        <v>0.17499999999999999</v>
      </c>
      <c r="U259" s="7">
        <v>-0.78749999999999998</v>
      </c>
      <c r="V259" s="7" t="s">
        <v>110</v>
      </c>
      <c r="W259" s="11">
        <v>45810.625</v>
      </c>
    </row>
    <row r="260" spans="1:23">
      <c r="A260" t="s">
        <v>87</v>
      </c>
      <c r="B260">
        <v>32</v>
      </c>
      <c r="C260" s="10">
        <v>45810</v>
      </c>
      <c r="D260" s="11">
        <v>45810.666666666664</v>
      </c>
      <c r="E260" s="11">
        <v>45810.666666666664</v>
      </c>
      <c r="F260" t="s">
        <v>108</v>
      </c>
      <c r="G260" t="s">
        <v>109</v>
      </c>
      <c r="H260">
        <v>1</v>
      </c>
      <c r="I260">
        <v>175</v>
      </c>
      <c r="J260" s="7">
        <v>589.32889999999998</v>
      </c>
      <c r="K260" s="7">
        <v>588.80063775830001</v>
      </c>
      <c r="L260" s="7">
        <v>580.22665817250004</v>
      </c>
      <c r="M260" s="7">
        <v>4.7319234999999996E-3</v>
      </c>
      <c r="N260" s="7">
        <v>586.67392263349996</v>
      </c>
      <c r="O260" s="7">
        <v>588.80063775830001</v>
      </c>
      <c r="P260" s="7">
        <v>580.22665817250004</v>
      </c>
      <c r="Q260" s="7">
        <v>1</v>
      </c>
      <c r="R260" s="7">
        <v>69.597499999999997</v>
      </c>
      <c r="S260" s="7">
        <v>0.61250000000000004</v>
      </c>
      <c r="T260" s="7">
        <v>0.17499999999999999</v>
      </c>
      <c r="U260" s="7">
        <v>68.81</v>
      </c>
      <c r="V260" s="7" t="s">
        <v>85</v>
      </c>
      <c r="W260" s="11">
        <v>45810.645833333336</v>
      </c>
    </row>
    <row r="261" spans="1:23">
      <c r="A261" t="s">
        <v>87</v>
      </c>
      <c r="B261">
        <v>33</v>
      </c>
      <c r="C261" s="10">
        <v>45811</v>
      </c>
      <c r="D261" s="11">
        <v>45811.4375</v>
      </c>
      <c r="E261" s="11">
        <v>45811.4375</v>
      </c>
      <c r="F261" t="s">
        <v>106</v>
      </c>
      <c r="G261" t="s">
        <v>107</v>
      </c>
      <c r="H261">
        <v>1</v>
      </c>
      <c r="I261">
        <v>173</v>
      </c>
      <c r="J261" s="7">
        <v>590.44749999999999</v>
      </c>
      <c r="K261" s="7">
        <v>590.2985131575</v>
      </c>
      <c r="L261" s="7">
        <v>588.14074641119998</v>
      </c>
      <c r="M261" s="7">
        <v>1.6456235000000001E-3</v>
      </c>
      <c r="N261" s="7">
        <v>589.72069426890005</v>
      </c>
      <c r="O261" s="7">
        <v>590.2985131575</v>
      </c>
      <c r="P261" s="7">
        <v>588.14074641119998</v>
      </c>
      <c r="Q261" s="7">
        <v>1</v>
      </c>
      <c r="R261" s="7">
        <v>0</v>
      </c>
      <c r="S261" s="7">
        <v>0.60550000000000004</v>
      </c>
      <c r="T261" s="7">
        <v>0.17299999999999999</v>
      </c>
      <c r="U261" s="7">
        <v>-0.77849999999999997</v>
      </c>
      <c r="V261" s="7" t="s">
        <v>110</v>
      </c>
      <c r="W261" s="11">
        <v>45811.416666666664</v>
      </c>
    </row>
    <row r="262" spans="1:23">
      <c r="A262" t="s">
        <v>87</v>
      </c>
      <c r="B262">
        <v>33</v>
      </c>
      <c r="C262" s="10">
        <v>45811</v>
      </c>
      <c r="D262" s="11">
        <v>45811.666666666664</v>
      </c>
      <c r="E262" s="11">
        <v>45811.666666666664</v>
      </c>
      <c r="F262" t="s">
        <v>108</v>
      </c>
      <c r="G262" t="s">
        <v>109</v>
      </c>
      <c r="H262">
        <v>1</v>
      </c>
      <c r="I262">
        <v>173</v>
      </c>
      <c r="J262" s="7">
        <v>592.68960000000004</v>
      </c>
      <c r="K262" s="7">
        <v>592.27797279260005</v>
      </c>
      <c r="L262" s="7">
        <v>586.16202068220002</v>
      </c>
      <c r="M262" s="7">
        <v>5.0044614999999997E-3</v>
      </c>
      <c r="N262" s="7">
        <v>592.04488410240003</v>
      </c>
      <c r="O262" s="7">
        <v>592.27797279260005</v>
      </c>
      <c r="P262" s="7">
        <v>586.16202068220002</v>
      </c>
      <c r="Q262" s="7">
        <v>1</v>
      </c>
      <c r="R262" s="7">
        <v>387.88330000000002</v>
      </c>
      <c r="S262" s="7">
        <v>0.60550000000000004</v>
      </c>
      <c r="T262" s="7">
        <v>0.17299999999999999</v>
      </c>
      <c r="U262" s="7">
        <v>387.10480000000001</v>
      </c>
      <c r="V262" s="7" t="s">
        <v>85</v>
      </c>
      <c r="W262" s="11">
        <v>45811.645833333336</v>
      </c>
    </row>
    <row r="263" spans="1:23">
      <c r="A263" t="s">
        <v>87</v>
      </c>
      <c r="B263">
        <v>34</v>
      </c>
      <c r="C263" s="10">
        <v>45813</v>
      </c>
      <c r="D263" s="11">
        <v>45813.458333333336</v>
      </c>
      <c r="E263" s="11">
        <v>45813.458333333336</v>
      </c>
      <c r="F263" t="s">
        <v>106</v>
      </c>
      <c r="G263" t="s">
        <v>107</v>
      </c>
      <c r="H263">
        <v>1</v>
      </c>
      <c r="I263">
        <v>173</v>
      </c>
      <c r="J263" s="7">
        <v>593.95240000000001</v>
      </c>
      <c r="K263" s="7">
        <v>593.55211580340006</v>
      </c>
      <c r="L263" s="7">
        <v>589.84116444890003</v>
      </c>
      <c r="M263" s="7">
        <v>1.7244954000000001E-3</v>
      </c>
      <c r="N263" s="7">
        <v>592.55999709440005</v>
      </c>
      <c r="O263" s="7">
        <v>593.55211580340006</v>
      </c>
      <c r="P263" s="7">
        <v>589.84116444890003</v>
      </c>
      <c r="Q263" s="7">
        <v>1</v>
      </c>
      <c r="R263" s="7">
        <v>0</v>
      </c>
      <c r="S263" s="7">
        <v>0.60550000000000004</v>
      </c>
      <c r="T263" s="7">
        <v>0.17299999999999999</v>
      </c>
      <c r="U263" s="7">
        <v>-0.77849999999999997</v>
      </c>
      <c r="V263" s="7" t="s">
        <v>110</v>
      </c>
      <c r="W263" s="11">
        <v>45813.4375</v>
      </c>
    </row>
    <row r="264" spans="1:23">
      <c r="A264" t="s">
        <v>87</v>
      </c>
      <c r="B264">
        <v>34</v>
      </c>
      <c r="C264" s="10">
        <v>45813</v>
      </c>
      <c r="D264" s="11">
        <v>45813.541666666664</v>
      </c>
      <c r="E264" s="11">
        <v>45813.541666666664</v>
      </c>
      <c r="F264" t="s">
        <v>108</v>
      </c>
      <c r="G264" t="s">
        <v>109</v>
      </c>
      <c r="H264">
        <v>1</v>
      </c>
      <c r="I264">
        <v>173</v>
      </c>
      <c r="J264" s="7">
        <v>591.28769999999997</v>
      </c>
      <c r="K264" s="7">
        <v>594.80696854969995</v>
      </c>
      <c r="L264" s="7">
        <v>588.58984882979996</v>
      </c>
      <c r="M264" s="7">
        <v>3.8422820999999998E-3</v>
      </c>
      <c r="N264" s="7">
        <v>593.11243623739995</v>
      </c>
      <c r="O264" s="7">
        <v>594.80696854969995</v>
      </c>
      <c r="P264" s="7">
        <v>588.58984882979996</v>
      </c>
      <c r="Q264" s="7">
        <v>1</v>
      </c>
      <c r="R264" s="7">
        <v>-460.99310000000003</v>
      </c>
      <c r="S264" s="7">
        <v>0.60550000000000004</v>
      </c>
      <c r="T264" s="7">
        <v>0.17299999999999999</v>
      </c>
      <c r="U264" s="7">
        <v>-461.77159999999998</v>
      </c>
      <c r="V264" s="7" t="s">
        <v>88</v>
      </c>
      <c r="W264" s="11">
        <v>45813.520833333336</v>
      </c>
    </row>
    <row r="265" spans="1:23">
      <c r="A265" t="s">
        <v>87</v>
      </c>
      <c r="B265">
        <v>35</v>
      </c>
      <c r="C265" s="10">
        <v>45819</v>
      </c>
      <c r="D265" s="11">
        <v>45819.604166666664</v>
      </c>
      <c r="E265" s="11">
        <v>45819.604166666664</v>
      </c>
      <c r="F265" t="s">
        <v>106</v>
      </c>
      <c r="G265" t="s">
        <v>109</v>
      </c>
      <c r="H265">
        <v>-1</v>
      </c>
      <c r="I265">
        <v>170</v>
      </c>
      <c r="J265" s="7">
        <v>597.15409999999997</v>
      </c>
      <c r="K265" s="7">
        <v>602.5781638126</v>
      </c>
      <c r="L265" s="7">
        <v>597.25031683079999</v>
      </c>
      <c r="M265" s="7">
        <v>3.9843659E-3</v>
      </c>
      <c r="N265" s="7">
        <v>599.63917396229999</v>
      </c>
      <c r="O265" s="7">
        <v>602.5781638126</v>
      </c>
      <c r="P265" s="7">
        <v>597.25031683079999</v>
      </c>
      <c r="Q265" s="7">
        <v>1</v>
      </c>
      <c r="R265" s="7">
        <v>0</v>
      </c>
      <c r="S265" s="7">
        <v>0.59499999999999997</v>
      </c>
      <c r="T265" s="7">
        <v>0.17</v>
      </c>
      <c r="U265" s="7">
        <v>-0.76500000000000001</v>
      </c>
      <c r="V265" s="7" t="s">
        <v>110</v>
      </c>
      <c r="W265" s="11">
        <v>45819.583333333336</v>
      </c>
    </row>
    <row r="266" spans="1:23">
      <c r="A266" t="s">
        <v>87</v>
      </c>
      <c r="B266">
        <v>35</v>
      </c>
      <c r="C266" s="10">
        <v>45819</v>
      </c>
      <c r="D266" s="11">
        <v>45819.625</v>
      </c>
      <c r="E266" s="11">
        <v>45819.625</v>
      </c>
      <c r="F266" t="s">
        <v>108</v>
      </c>
      <c r="G266" t="s">
        <v>107</v>
      </c>
      <c r="H266">
        <v>-1</v>
      </c>
      <c r="I266">
        <v>170</v>
      </c>
      <c r="J266" s="7">
        <v>597.31309999999996</v>
      </c>
      <c r="K266" s="7">
        <v>602.75581572349995</v>
      </c>
      <c r="L266" s="7">
        <v>597.07282691770001</v>
      </c>
      <c r="M266" s="7">
        <v>4.2803603000000001E-3</v>
      </c>
      <c r="N266" s="7">
        <v>599.34701762530005</v>
      </c>
      <c r="O266" s="7">
        <v>602.75581572349995</v>
      </c>
      <c r="P266" s="7">
        <v>597.07282691770001</v>
      </c>
      <c r="Q266" s="7">
        <v>1</v>
      </c>
      <c r="R266" s="7">
        <v>-27.03</v>
      </c>
      <c r="S266" s="7">
        <v>0.59499999999999997</v>
      </c>
      <c r="T266" s="7">
        <v>0.17</v>
      </c>
      <c r="U266" s="7">
        <v>-27.795000000000002</v>
      </c>
      <c r="V266" s="7" t="s">
        <v>88</v>
      </c>
      <c r="W266" s="11">
        <v>45819.604166666664</v>
      </c>
    </row>
    <row r="267" spans="1:23">
      <c r="A267" t="s">
        <v>87</v>
      </c>
      <c r="B267">
        <v>36</v>
      </c>
      <c r="C267" s="10">
        <v>45821</v>
      </c>
      <c r="D267" s="11">
        <v>45821.4375</v>
      </c>
      <c r="E267" s="11">
        <v>45821.4375</v>
      </c>
      <c r="F267" t="s">
        <v>106</v>
      </c>
      <c r="G267" t="s">
        <v>109</v>
      </c>
      <c r="H267">
        <v>-1</v>
      </c>
      <c r="I267">
        <v>171</v>
      </c>
      <c r="J267" s="7">
        <v>593.44529999999997</v>
      </c>
      <c r="K267" s="7">
        <v>601.6168954044</v>
      </c>
      <c r="L267" s="7">
        <v>594.06389766480004</v>
      </c>
      <c r="M267" s="7">
        <v>2.1842127999999999E-3</v>
      </c>
      <c r="N267" s="7">
        <v>594.61821508929995</v>
      </c>
      <c r="O267" s="7">
        <v>601.6168954044</v>
      </c>
      <c r="P267" s="7">
        <v>594.06389766480004</v>
      </c>
      <c r="Q267" s="7">
        <v>1</v>
      </c>
      <c r="R267" s="7">
        <v>0</v>
      </c>
      <c r="S267" s="7">
        <v>0.59850000000000003</v>
      </c>
      <c r="T267" s="7">
        <v>0.17100000000000001</v>
      </c>
      <c r="U267" s="7">
        <v>-0.76949999999999996</v>
      </c>
      <c r="V267" s="7" t="s">
        <v>110</v>
      </c>
      <c r="W267" s="11">
        <v>45821.416666666664</v>
      </c>
    </row>
    <row r="268" spans="1:23">
      <c r="A268" t="s">
        <v>87</v>
      </c>
      <c r="B268">
        <v>36</v>
      </c>
      <c r="C268" s="10">
        <v>45821</v>
      </c>
      <c r="D268" s="11">
        <v>45821.458333333336</v>
      </c>
      <c r="E268" s="11">
        <v>45821.458333333336</v>
      </c>
      <c r="F268" t="s">
        <v>108</v>
      </c>
      <c r="G268" t="s">
        <v>107</v>
      </c>
      <c r="H268">
        <v>-1</v>
      </c>
      <c r="I268">
        <v>171</v>
      </c>
      <c r="J268" s="7">
        <v>595.78689999999995</v>
      </c>
      <c r="K268" s="7">
        <v>601.68618907330006</v>
      </c>
      <c r="L268" s="7">
        <v>593.99517438479995</v>
      </c>
      <c r="M268" s="7">
        <v>2.2996434999999998E-3</v>
      </c>
      <c r="N268" s="7">
        <v>594.93785695509996</v>
      </c>
      <c r="O268" s="7">
        <v>601.68618907330006</v>
      </c>
      <c r="P268" s="7">
        <v>593.99517438479995</v>
      </c>
      <c r="Q268" s="7">
        <v>1</v>
      </c>
      <c r="R268" s="7">
        <v>-400.41359999999997</v>
      </c>
      <c r="S268" s="7">
        <v>0.59850000000000003</v>
      </c>
      <c r="T268" s="7">
        <v>0.17100000000000001</v>
      </c>
      <c r="U268" s="7">
        <v>-401.18310000000002</v>
      </c>
      <c r="V268" s="7" t="s">
        <v>88</v>
      </c>
      <c r="W268" s="11">
        <v>45821.4375</v>
      </c>
    </row>
    <row r="269" spans="1:23">
      <c r="A269" t="s">
        <v>87</v>
      </c>
      <c r="B269">
        <v>37</v>
      </c>
      <c r="C269" s="10">
        <v>45825</v>
      </c>
      <c r="D269" s="11">
        <v>45825.5625</v>
      </c>
      <c r="E269" s="11">
        <v>45825.5625</v>
      </c>
      <c r="F269" t="s">
        <v>106</v>
      </c>
      <c r="G269" t="s">
        <v>109</v>
      </c>
      <c r="H269">
        <v>-1</v>
      </c>
      <c r="I269">
        <v>170</v>
      </c>
      <c r="J269" s="7">
        <v>595.39409999999998</v>
      </c>
      <c r="K269" s="7">
        <v>600.93697833440001</v>
      </c>
      <c r="L269" s="7">
        <v>595.87117473629996</v>
      </c>
      <c r="M269" s="7">
        <v>2.8288720000000001E-3</v>
      </c>
      <c r="N269" s="7">
        <v>596.99869615959994</v>
      </c>
      <c r="O269" s="7">
        <v>600.93697833440001</v>
      </c>
      <c r="P269" s="7">
        <v>595.87117473629996</v>
      </c>
      <c r="Q269" s="7">
        <v>1</v>
      </c>
      <c r="R269" s="7">
        <v>0</v>
      </c>
      <c r="S269" s="7">
        <v>0.59499999999999997</v>
      </c>
      <c r="T269" s="7">
        <v>0.17</v>
      </c>
      <c r="U269" s="7">
        <v>-0.76500000000000001</v>
      </c>
      <c r="V269" s="7" t="s">
        <v>110</v>
      </c>
      <c r="W269" s="11">
        <v>45825.541666666664</v>
      </c>
    </row>
    <row r="270" spans="1:23">
      <c r="A270" t="s">
        <v>87</v>
      </c>
      <c r="B270">
        <v>37</v>
      </c>
      <c r="C270" s="10">
        <v>45825</v>
      </c>
      <c r="D270" s="11">
        <v>45825.666666666664</v>
      </c>
      <c r="E270" s="11">
        <v>45825.666666666664</v>
      </c>
      <c r="F270" t="s">
        <v>108</v>
      </c>
      <c r="G270" t="s">
        <v>107</v>
      </c>
      <c r="H270">
        <v>-1</v>
      </c>
      <c r="I270">
        <v>170</v>
      </c>
      <c r="J270" s="7">
        <v>594.12149999999997</v>
      </c>
      <c r="K270" s="7">
        <v>601.41166152760002</v>
      </c>
      <c r="L270" s="7">
        <v>595.39782249619998</v>
      </c>
      <c r="M270" s="7">
        <v>3.6210116000000001E-3</v>
      </c>
      <c r="N270" s="7">
        <v>595.61994164580005</v>
      </c>
      <c r="O270" s="7">
        <v>601.41166152760002</v>
      </c>
      <c r="P270" s="7">
        <v>595.39782249619998</v>
      </c>
      <c r="Q270" s="7">
        <v>1</v>
      </c>
      <c r="R270" s="7">
        <v>216.34200000000001</v>
      </c>
      <c r="S270" s="7">
        <v>0.59499999999999997</v>
      </c>
      <c r="T270" s="7">
        <v>0.17</v>
      </c>
      <c r="U270" s="7">
        <v>215.577</v>
      </c>
      <c r="V270" s="7" t="s">
        <v>85</v>
      </c>
      <c r="W270" s="11">
        <v>45825.645833333336</v>
      </c>
    </row>
    <row r="271" spans="1:23">
      <c r="A271" t="s">
        <v>87</v>
      </c>
      <c r="B271">
        <v>38</v>
      </c>
      <c r="C271" s="10">
        <v>45826</v>
      </c>
      <c r="D271" s="11">
        <v>45826.4375</v>
      </c>
      <c r="E271" s="11">
        <v>45826.4375</v>
      </c>
      <c r="F271" t="s">
        <v>106</v>
      </c>
      <c r="G271" t="s">
        <v>107</v>
      </c>
      <c r="H271">
        <v>1</v>
      </c>
      <c r="I271">
        <v>171</v>
      </c>
      <c r="J271" s="7">
        <v>597.31510000000003</v>
      </c>
      <c r="K271" s="7">
        <v>597.0489628194</v>
      </c>
      <c r="L271" s="7">
        <v>592.83578282359997</v>
      </c>
      <c r="M271" s="7">
        <v>2.1635604999999999E-3</v>
      </c>
      <c r="N271" s="7">
        <v>596.46294557420003</v>
      </c>
      <c r="O271" s="7">
        <v>597.0489628194</v>
      </c>
      <c r="P271" s="7">
        <v>592.83578282359997</v>
      </c>
      <c r="Q271" s="7">
        <v>1</v>
      </c>
      <c r="R271" s="7">
        <v>0</v>
      </c>
      <c r="S271" s="7">
        <v>0.59850000000000003</v>
      </c>
      <c r="T271" s="7">
        <v>0.17100000000000001</v>
      </c>
      <c r="U271" s="7">
        <v>-0.76949999999999996</v>
      </c>
      <c r="V271" s="7" t="s">
        <v>110</v>
      </c>
      <c r="W271" s="11">
        <v>45826.416666666664</v>
      </c>
    </row>
    <row r="272" spans="1:23">
      <c r="A272" t="s">
        <v>87</v>
      </c>
      <c r="B272">
        <v>38</v>
      </c>
      <c r="C272" s="10">
        <v>45826</v>
      </c>
      <c r="D272" s="11">
        <v>45826.479166666664</v>
      </c>
      <c r="E272" s="11">
        <v>45826.479166666664</v>
      </c>
      <c r="F272" t="s">
        <v>108</v>
      </c>
      <c r="G272" t="s">
        <v>109</v>
      </c>
      <c r="H272">
        <v>1</v>
      </c>
      <c r="I272">
        <v>171</v>
      </c>
      <c r="J272" s="7">
        <v>596.71659999999997</v>
      </c>
      <c r="K272" s="7">
        <v>597.10192133880003</v>
      </c>
      <c r="L272" s="7">
        <v>592.78296998099995</v>
      </c>
      <c r="M272" s="7">
        <v>2.2524529000000001E-3</v>
      </c>
      <c r="N272" s="7">
        <v>596.67613795670002</v>
      </c>
      <c r="O272" s="7">
        <v>597.10192133880003</v>
      </c>
      <c r="P272" s="7">
        <v>592.78296998099995</v>
      </c>
      <c r="Q272" s="7">
        <v>1</v>
      </c>
      <c r="R272" s="7">
        <v>-102.34350000000001</v>
      </c>
      <c r="S272" s="7">
        <v>0.59850000000000003</v>
      </c>
      <c r="T272" s="7">
        <v>0.17100000000000001</v>
      </c>
      <c r="U272" s="7">
        <v>-103.113</v>
      </c>
      <c r="V272" s="7" t="s">
        <v>88</v>
      </c>
      <c r="W272" s="11">
        <v>45826.458333333336</v>
      </c>
    </row>
    <row r="273" spans="1:23">
      <c r="A273" t="s">
        <v>87</v>
      </c>
      <c r="B273">
        <v>39</v>
      </c>
      <c r="C273" s="10">
        <v>45828</v>
      </c>
      <c r="D273" s="11">
        <v>45828.458333333336</v>
      </c>
      <c r="E273" s="11">
        <v>45828.458333333336</v>
      </c>
      <c r="F273" t="s">
        <v>106</v>
      </c>
      <c r="G273" t="s">
        <v>109</v>
      </c>
      <c r="H273">
        <v>-1</v>
      </c>
      <c r="I273">
        <v>171</v>
      </c>
      <c r="J273" s="7">
        <v>592.59699999999998</v>
      </c>
      <c r="K273" s="7">
        <v>596.92555170599996</v>
      </c>
      <c r="L273" s="7">
        <v>592.70833919580002</v>
      </c>
      <c r="M273" s="7">
        <v>2.2277613000000001E-3</v>
      </c>
      <c r="N273" s="7">
        <v>594.42711123890001</v>
      </c>
      <c r="O273" s="7">
        <v>596.92555170599996</v>
      </c>
      <c r="P273" s="7">
        <v>592.70833919580002</v>
      </c>
      <c r="Q273" s="7">
        <v>1</v>
      </c>
      <c r="R273" s="7">
        <v>0</v>
      </c>
      <c r="S273" s="7">
        <v>0.59850000000000003</v>
      </c>
      <c r="T273" s="7">
        <v>0.17100000000000001</v>
      </c>
      <c r="U273" s="7">
        <v>-0.76949999999999996</v>
      </c>
      <c r="V273" s="7" t="s">
        <v>110</v>
      </c>
      <c r="W273" s="11">
        <v>45828.4375</v>
      </c>
    </row>
    <row r="274" spans="1:23">
      <c r="A274" t="s">
        <v>87</v>
      </c>
      <c r="B274">
        <v>39</v>
      </c>
      <c r="C274" s="10">
        <v>45828</v>
      </c>
      <c r="D274" s="11">
        <v>45828.479166666664</v>
      </c>
      <c r="E274" s="11">
        <v>45828.479166666664</v>
      </c>
      <c r="F274" t="s">
        <v>108</v>
      </c>
      <c r="G274" t="s">
        <v>107</v>
      </c>
      <c r="H274">
        <v>-1</v>
      </c>
      <c r="I274">
        <v>171</v>
      </c>
      <c r="J274" s="7">
        <v>593.46950000000004</v>
      </c>
      <c r="K274" s="7">
        <v>596.9743849404</v>
      </c>
      <c r="L274" s="7">
        <v>592.65963444010004</v>
      </c>
      <c r="M274" s="7">
        <v>2.3097514000000002E-3</v>
      </c>
      <c r="N274" s="7">
        <v>594.2485326446</v>
      </c>
      <c r="O274" s="7">
        <v>596.9743849404</v>
      </c>
      <c r="P274" s="7">
        <v>592.65963444010004</v>
      </c>
      <c r="Q274" s="7">
        <v>1</v>
      </c>
      <c r="R274" s="7">
        <v>-149.19749999999999</v>
      </c>
      <c r="S274" s="7">
        <v>0.59850000000000003</v>
      </c>
      <c r="T274" s="7">
        <v>0.17100000000000001</v>
      </c>
      <c r="U274" s="7">
        <v>-149.96700000000001</v>
      </c>
      <c r="V274" s="7" t="s">
        <v>88</v>
      </c>
      <c r="W274" s="11">
        <v>45828.458333333336</v>
      </c>
    </row>
    <row r="275" spans="1:23">
      <c r="A275" t="s">
        <v>87</v>
      </c>
      <c r="B275">
        <v>40</v>
      </c>
      <c r="C275" s="10">
        <v>45828</v>
      </c>
      <c r="D275" s="11">
        <v>45828.5625</v>
      </c>
      <c r="E275" s="11">
        <v>45828.5625</v>
      </c>
      <c r="F275" t="s">
        <v>106</v>
      </c>
      <c r="G275" t="s">
        <v>109</v>
      </c>
      <c r="H275">
        <v>-1</v>
      </c>
      <c r="I275">
        <v>171</v>
      </c>
      <c r="J275" s="7">
        <v>591.71939999999995</v>
      </c>
      <c r="K275" s="7">
        <v>597.29381869830002</v>
      </c>
      <c r="L275" s="7">
        <v>592.34104110149997</v>
      </c>
      <c r="M275" s="7">
        <v>2.8460752000000001E-3</v>
      </c>
      <c r="N275" s="7">
        <v>593.76520741360002</v>
      </c>
      <c r="O275" s="7">
        <v>597.29381869830002</v>
      </c>
      <c r="P275" s="7">
        <v>592.34104110149997</v>
      </c>
      <c r="Q275" s="7">
        <v>1</v>
      </c>
      <c r="R275" s="7">
        <v>0</v>
      </c>
      <c r="S275" s="7">
        <v>0.59850000000000003</v>
      </c>
      <c r="T275" s="7">
        <v>0.17100000000000001</v>
      </c>
      <c r="U275" s="7">
        <v>-0.76949999999999996</v>
      </c>
      <c r="V275" s="7" t="s">
        <v>110</v>
      </c>
      <c r="W275" s="11">
        <v>45828.541666666664</v>
      </c>
    </row>
    <row r="276" spans="1:23">
      <c r="A276" t="s">
        <v>87</v>
      </c>
      <c r="B276">
        <v>40</v>
      </c>
      <c r="C276" s="10">
        <v>45828</v>
      </c>
      <c r="D276" s="11">
        <v>45828.583333333336</v>
      </c>
      <c r="E276" s="11">
        <v>45828.583333333336</v>
      </c>
      <c r="F276" t="s">
        <v>108</v>
      </c>
      <c r="G276" t="s">
        <v>107</v>
      </c>
      <c r="H276">
        <v>-1</v>
      </c>
      <c r="I276">
        <v>171</v>
      </c>
      <c r="J276" s="7">
        <v>592.34770000000003</v>
      </c>
      <c r="K276" s="7">
        <v>597.31582136580005</v>
      </c>
      <c r="L276" s="7">
        <v>592.31909632240001</v>
      </c>
      <c r="M276" s="7">
        <v>2.8830173E-3</v>
      </c>
      <c r="N276" s="7">
        <v>593.62778684950001</v>
      </c>
      <c r="O276" s="7">
        <v>597.31582136580005</v>
      </c>
      <c r="P276" s="7">
        <v>592.31909632240001</v>
      </c>
      <c r="Q276" s="7">
        <v>1</v>
      </c>
      <c r="R276" s="7">
        <v>-107.4393</v>
      </c>
      <c r="S276" s="7">
        <v>0.59850000000000003</v>
      </c>
      <c r="T276" s="7">
        <v>0.17100000000000001</v>
      </c>
      <c r="U276" s="7">
        <v>-108.2088</v>
      </c>
      <c r="V276" s="7" t="s">
        <v>88</v>
      </c>
      <c r="W276" s="11">
        <v>45828.5625</v>
      </c>
    </row>
    <row r="277" spans="1:23">
      <c r="A277" t="s">
        <v>87</v>
      </c>
      <c r="B277">
        <v>41</v>
      </c>
      <c r="C277" s="10">
        <v>45828</v>
      </c>
      <c r="D277" s="11">
        <v>45828.625</v>
      </c>
      <c r="E277" s="11">
        <v>45828.625</v>
      </c>
      <c r="F277" t="s">
        <v>106</v>
      </c>
      <c r="G277" t="s">
        <v>109</v>
      </c>
      <c r="H277">
        <v>-1</v>
      </c>
      <c r="I277">
        <v>171</v>
      </c>
      <c r="J277" s="7">
        <v>591.84910000000002</v>
      </c>
      <c r="K277" s="7">
        <v>597.68927361960004</v>
      </c>
      <c r="L277" s="7">
        <v>591.94662660879999</v>
      </c>
      <c r="M277" s="7">
        <v>3.5100372000000002E-3</v>
      </c>
      <c r="N277" s="7">
        <v>593.49381483499997</v>
      </c>
      <c r="O277" s="7">
        <v>597.68927361960004</v>
      </c>
      <c r="P277" s="7">
        <v>591.94662660879999</v>
      </c>
      <c r="Q277" s="7">
        <v>1</v>
      </c>
      <c r="R277" s="7">
        <v>0</v>
      </c>
      <c r="S277" s="7">
        <v>0.59850000000000003</v>
      </c>
      <c r="T277" s="7">
        <v>0.17100000000000001</v>
      </c>
      <c r="U277" s="7">
        <v>-0.76949999999999996</v>
      </c>
      <c r="V277" s="7" t="s">
        <v>110</v>
      </c>
      <c r="W277" s="11">
        <v>45828.604166666664</v>
      </c>
    </row>
    <row r="278" spans="1:23">
      <c r="A278" t="s">
        <v>87</v>
      </c>
      <c r="B278">
        <v>41</v>
      </c>
      <c r="C278" s="10">
        <v>45828</v>
      </c>
      <c r="D278" s="11">
        <v>45828.645833333336</v>
      </c>
      <c r="E278" s="11">
        <v>45828.645833333336</v>
      </c>
      <c r="F278" t="s">
        <v>108</v>
      </c>
      <c r="G278" t="s">
        <v>107</v>
      </c>
      <c r="H278">
        <v>-1</v>
      </c>
      <c r="I278">
        <v>171</v>
      </c>
      <c r="J278" s="7">
        <v>591.81920000000002</v>
      </c>
      <c r="K278" s="7">
        <v>598.02331733840003</v>
      </c>
      <c r="L278" s="7">
        <v>591.61346174769994</v>
      </c>
      <c r="M278" s="7">
        <v>4.0708908999999996E-3</v>
      </c>
      <c r="N278" s="7">
        <v>593.35774411199998</v>
      </c>
      <c r="O278" s="7">
        <v>598.02331733840003</v>
      </c>
      <c r="P278" s="7">
        <v>591.61346174769994</v>
      </c>
      <c r="Q278" s="7">
        <v>1</v>
      </c>
      <c r="R278" s="7">
        <v>5.1128999999999998</v>
      </c>
      <c r="S278" s="7">
        <v>0.59850000000000003</v>
      </c>
      <c r="T278" s="7">
        <v>0.17100000000000001</v>
      </c>
      <c r="U278" s="7">
        <v>4.3433999999999999</v>
      </c>
      <c r="V278" s="7" t="s">
        <v>88</v>
      </c>
      <c r="W278" s="11">
        <v>45828.625</v>
      </c>
    </row>
    <row r="279" spans="1:23">
      <c r="A279" t="s">
        <v>87</v>
      </c>
      <c r="B279">
        <v>42</v>
      </c>
      <c r="C279" s="10">
        <v>45831</v>
      </c>
      <c r="D279" s="11">
        <v>45831.645833333336</v>
      </c>
      <c r="E279" s="11">
        <v>45831.645833333336</v>
      </c>
      <c r="F279" t="s">
        <v>106</v>
      </c>
      <c r="G279" t="s">
        <v>107</v>
      </c>
      <c r="H279">
        <v>1</v>
      </c>
      <c r="I279">
        <v>170</v>
      </c>
      <c r="J279" s="7">
        <v>597.56320000000005</v>
      </c>
      <c r="K279" s="7">
        <v>597.56149673770005</v>
      </c>
      <c r="L279" s="7">
        <v>590.18549173279996</v>
      </c>
      <c r="M279" s="7">
        <v>4.1362741000000001E-3</v>
      </c>
      <c r="N279" s="7">
        <v>595.07835826849998</v>
      </c>
      <c r="O279" s="7">
        <v>597.56149673770005</v>
      </c>
      <c r="P279" s="7">
        <v>590.18549173279996</v>
      </c>
      <c r="Q279" s="7">
        <v>1</v>
      </c>
      <c r="R279" s="7">
        <v>0</v>
      </c>
      <c r="S279" s="7">
        <v>0.59499999999999997</v>
      </c>
      <c r="T279" s="7">
        <v>0.17</v>
      </c>
      <c r="U279" s="7">
        <v>-0.76500000000000001</v>
      </c>
      <c r="V279" s="7" t="s">
        <v>110</v>
      </c>
      <c r="W279" s="11">
        <v>45831.625</v>
      </c>
    </row>
    <row r="280" spans="1:23">
      <c r="A280" t="s">
        <v>87</v>
      </c>
      <c r="B280">
        <v>42</v>
      </c>
      <c r="C280" s="10">
        <v>45831</v>
      </c>
      <c r="D280" s="11">
        <v>45831.666666666664</v>
      </c>
      <c r="E280" s="11">
        <v>45831.666666666664</v>
      </c>
      <c r="F280" t="s">
        <v>108</v>
      </c>
      <c r="G280" t="s">
        <v>109</v>
      </c>
      <c r="H280">
        <v>1</v>
      </c>
      <c r="I280">
        <v>170</v>
      </c>
      <c r="J280" s="7">
        <v>598.49069999999995</v>
      </c>
      <c r="K280" s="7">
        <v>597.39279335549998</v>
      </c>
      <c r="L280" s="7">
        <v>590.35349682859999</v>
      </c>
      <c r="M280" s="7">
        <v>3.8527867000000002E-3</v>
      </c>
      <c r="N280" s="7">
        <v>595.61287413390005</v>
      </c>
      <c r="O280" s="7">
        <v>597.39279335549998</v>
      </c>
      <c r="P280" s="7">
        <v>590.35349682859999</v>
      </c>
      <c r="Q280" s="7">
        <v>1</v>
      </c>
      <c r="R280" s="7">
        <v>157.67500000000001</v>
      </c>
      <c r="S280" s="7">
        <v>0.59499999999999997</v>
      </c>
      <c r="T280" s="7">
        <v>0.17</v>
      </c>
      <c r="U280" s="7">
        <v>156.91</v>
      </c>
      <c r="V280" s="7" t="s">
        <v>85</v>
      </c>
      <c r="W280" s="11">
        <v>45831.645833333336</v>
      </c>
    </row>
    <row r="281" spans="1:23">
      <c r="A281" t="s">
        <v>87</v>
      </c>
      <c r="B281">
        <v>43</v>
      </c>
      <c r="C281" s="10">
        <v>45832</v>
      </c>
      <c r="D281" s="11">
        <v>45832.479166666664</v>
      </c>
      <c r="E281" s="11">
        <v>45832.479166666664</v>
      </c>
      <c r="F281" t="s">
        <v>106</v>
      </c>
      <c r="G281" t="s">
        <v>107</v>
      </c>
      <c r="H281">
        <v>1</v>
      </c>
      <c r="I281">
        <v>168</v>
      </c>
      <c r="J281" s="7">
        <v>604.10509999999999</v>
      </c>
      <c r="K281" s="7">
        <v>603.49880293959995</v>
      </c>
      <c r="L281" s="7">
        <v>597.21005581559996</v>
      </c>
      <c r="M281" s="7">
        <v>2.1396229000000002E-3</v>
      </c>
      <c r="N281" s="7">
        <v>602.91799702059996</v>
      </c>
      <c r="O281" s="7">
        <v>603.49880293959995</v>
      </c>
      <c r="P281" s="7">
        <v>597.21005581559996</v>
      </c>
      <c r="Q281" s="7">
        <v>1</v>
      </c>
      <c r="R281" s="7">
        <v>0</v>
      </c>
      <c r="S281" s="7">
        <v>0.58799999999999997</v>
      </c>
      <c r="T281" s="7">
        <v>0.16800000000000001</v>
      </c>
      <c r="U281" s="7">
        <v>-0.75600000000000001</v>
      </c>
      <c r="V281" s="7" t="s">
        <v>110</v>
      </c>
      <c r="W281" s="11">
        <v>45832.458333333336</v>
      </c>
    </row>
    <row r="282" spans="1:23">
      <c r="A282" t="s">
        <v>87</v>
      </c>
      <c r="B282">
        <v>43</v>
      </c>
      <c r="C282" s="10">
        <v>45832</v>
      </c>
      <c r="D282" s="11">
        <v>45832.666666666664</v>
      </c>
      <c r="E282" s="11">
        <v>45832.666666666664</v>
      </c>
      <c r="F282" t="s">
        <v>108</v>
      </c>
      <c r="G282" t="s">
        <v>109</v>
      </c>
      <c r="H282">
        <v>1</v>
      </c>
      <c r="I282">
        <v>168</v>
      </c>
      <c r="J282" s="7">
        <v>605.10239999999999</v>
      </c>
      <c r="K282" s="7">
        <v>604.30751786760004</v>
      </c>
      <c r="L282" s="7">
        <v>596.40633611429996</v>
      </c>
      <c r="M282" s="7">
        <v>3.4825339999999998E-3</v>
      </c>
      <c r="N282" s="7">
        <v>604.30846066610002</v>
      </c>
      <c r="O282" s="7">
        <v>604.30846066610002</v>
      </c>
      <c r="P282" s="7">
        <v>596.40633611429996</v>
      </c>
      <c r="Q282" s="7">
        <v>1</v>
      </c>
      <c r="R282" s="7">
        <v>167.54640000000001</v>
      </c>
      <c r="S282" s="7">
        <v>0.58799999999999997</v>
      </c>
      <c r="T282" s="7">
        <v>0.16800000000000001</v>
      </c>
      <c r="U282" s="7">
        <v>166.79040000000001</v>
      </c>
      <c r="V282" s="7" t="s">
        <v>85</v>
      </c>
      <c r="W282" s="11">
        <v>45832.645833333336</v>
      </c>
    </row>
    <row r="283" spans="1:23">
      <c r="A283" t="s">
        <v>87</v>
      </c>
      <c r="B283">
        <v>44</v>
      </c>
      <c r="C283" s="10">
        <v>45834</v>
      </c>
      <c r="D283" s="11">
        <v>45834.520833333336</v>
      </c>
      <c r="E283" s="11">
        <v>45834.520833333336</v>
      </c>
      <c r="F283" t="s">
        <v>106</v>
      </c>
      <c r="G283" t="s">
        <v>107</v>
      </c>
      <c r="H283">
        <v>1</v>
      </c>
      <c r="I283">
        <v>167</v>
      </c>
      <c r="J283" s="7">
        <v>609.20100000000002</v>
      </c>
      <c r="K283" s="7">
        <v>609.0937288033</v>
      </c>
      <c r="L283" s="7">
        <v>603.88844247580005</v>
      </c>
      <c r="M283" s="7">
        <v>2.5648358E-3</v>
      </c>
      <c r="N283" s="7">
        <v>608.32328420600004</v>
      </c>
      <c r="O283" s="7">
        <v>609.0937288033</v>
      </c>
      <c r="P283" s="7">
        <v>603.88844247580005</v>
      </c>
      <c r="Q283" s="7">
        <v>1</v>
      </c>
      <c r="R283" s="7">
        <v>0</v>
      </c>
      <c r="S283" s="7">
        <v>0.58450000000000002</v>
      </c>
      <c r="T283" s="7">
        <v>0.16700000000000001</v>
      </c>
      <c r="U283" s="7">
        <v>-0.75149999999999995</v>
      </c>
      <c r="V283" s="7" t="s">
        <v>110</v>
      </c>
      <c r="W283" s="11">
        <v>45834.5</v>
      </c>
    </row>
    <row r="284" spans="1:23">
      <c r="A284" t="s">
        <v>87</v>
      </c>
      <c r="B284">
        <v>44</v>
      </c>
      <c r="C284" s="10">
        <v>45834</v>
      </c>
      <c r="D284" s="11">
        <v>45834.666666666664</v>
      </c>
      <c r="E284" s="11">
        <v>45834.666666666664</v>
      </c>
      <c r="F284" t="s">
        <v>108</v>
      </c>
      <c r="G284" t="s">
        <v>109</v>
      </c>
      <c r="H284">
        <v>1</v>
      </c>
      <c r="I284">
        <v>167</v>
      </c>
      <c r="J284" s="7">
        <v>610.17819999999995</v>
      </c>
      <c r="K284" s="7">
        <v>609.61125469030003</v>
      </c>
      <c r="L284" s="7">
        <v>603.37270052199995</v>
      </c>
      <c r="M284" s="7">
        <v>3.4166804999999998E-3</v>
      </c>
      <c r="N284" s="7">
        <v>609.28205231530001</v>
      </c>
      <c r="O284" s="7">
        <v>609.61125469030003</v>
      </c>
      <c r="P284" s="7">
        <v>603.37270052199995</v>
      </c>
      <c r="Q284" s="7">
        <v>1</v>
      </c>
      <c r="R284" s="7">
        <v>163.19239999999999</v>
      </c>
      <c r="S284" s="7">
        <v>0.58450000000000002</v>
      </c>
      <c r="T284" s="7">
        <v>0.16700000000000001</v>
      </c>
      <c r="U284" s="7">
        <v>162.4409</v>
      </c>
      <c r="V284" s="7" t="s">
        <v>85</v>
      </c>
      <c r="W284" s="11">
        <v>45834.645833333336</v>
      </c>
    </row>
    <row r="285" spans="1:23">
      <c r="A285" t="s">
        <v>87</v>
      </c>
      <c r="B285">
        <v>45</v>
      </c>
      <c r="C285" s="10">
        <v>45835</v>
      </c>
      <c r="D285" s="11">
        <v>45835.5</v>
      </c>
      <c r="E285" s="11">
        <v>45835.5</v>
      </c>
      <c r="F285" t="s">
        <v>106</v>
      </c>
      <c r="G285" t="s">
        <v>107</v>
      </c>
      <c r="H285">
        <v>1</v>
      </c>
      <c r="I285">
        <v>166</v>
      </c>
      <c r="J285" s="7">
        <v>614.19709999999998</v>
      </c>
      <c r="K285" s="7">
        <v>613.93466185320005</v>
      </c>
      <c r="L285" s="7">
        <v>608.99970761459997</v>
      </c>
      <c r="M285" s="7">
        <v>1.9313905E-3</v>
      </c>
      <c r="N285" s="7">
        <v>613.25316714439998</v>
      </c>
      <c r="O285" s="7">
        <v>613.93466185320005</v>
      </c>
      <c r="P285" s="7">
        <v>608.99970761459997</v>
      </c>
      <c r="Q285" s="7">
        <v>1</v>
      </c>
      <c r="R285" s="7">
        <v>0</v>
      </c>
      <c r="S285" s="7">
        <v>0.58099999999999996</v>
      </c>
      <c r="T285" s="7">
        <v>0.16600000000000001</v>
      </c>
      <c r="U285" s="7">
        <v>-0.747</v>
      </c>
      <c r="V285" s="7" t="s">
        <v>110</v>
      </c>
      <c r="W285" s="11">
        <v>45835.479166666664</v>
      </c>
    </row>
    <row r="286" spans="1:23">
      <c r="A286" t="s">
        <v>87</v>
      </c>
      <c r="B286">
        <v>45</v>
      </c>
      <c r="C286" s="10">
        <v>45835</v>
      </c>
      <c r="D286" s="11">
        <v>45835.541666666664</v>
      </c>
      <c r="E286" s="11">
        <v>45835.541666666664</v>
      </c>
      <c r="F286" t="s">
        <v>108</v>
      </c>
      <c r="G286" t="s">
        <v>109</v>
      </c>
      <c r="H286">
        <v>1</v>
      </c>
      <c r="I286">
        <v>166</v>
      </c>
      <c r="J286" s="7">
        <v>614.24199999999996</v>
      </c>
      <c r="K286" s="7">
        <v>614.43449806499996</v>
      </c>
      <c r="L286" s="7">
        <v>608.50197026210003</v>
      </c>
      <c r="M286" s="7">
        <v>2.7471151000000001E-3</v>
      </c>
      <c r="N286" s="7">
        <v>613.48887903479999</v>
      </c>
      <c r="O286" s="7">
        <v>614.43449806499996</v>
      </c>
      <c r="P286" s="7">
        <v>608.50197026210003</v>
      </c>
      <c r="Q286" s="7">
        <v>1</v>
      </c>
      <c r="R286" s="7">
        <v>7.4534000000000002</v>
      </c>
      <c r="S286" s="7">
        <v>0.58099999999999996</v>
      </c>
      <c r="T286" s="7">
        <v>0.16600000000000001</v>
      </c>
      <c r="U286" s="7">
        <v>6.7064000000000004</v>
      </c>
      <c r="V286" s="7" t="s">
        <v>88</v>
      </c>
      <c r="W286" s="11">
        <v>45835.520833333336</v>
      </c>
    </row>
    <row r="287" spans="1:23">
      <c r="A287" t="s">
        <v>87</v>
      </c>
      <c r="B287">
        <v>46</v>
      </c>
      <c r="C287" s="10">
        <v>45840</v>
      </c>
      <c r="D287" s="11">
        <v>45840.4375</v>
      </c>
      <c r="E287" s="11">
        <v>45840.4375</v>
      </c>
      <c r="F287" t="s">
        <v>106</v>
      </c>
      <c r="G287" t="s">
        <v>107</v>
      </c>
      <c r="H287">
        <v>1</v>
      </c>
      <c r="I287">
        <v>165</v>
      </c>
      <c r="J287" s="7">
        <v>616.93949999999995</v>
      </c>
      <c r="K287" s="7">
        <v>616.83306457790002</v>
      </c>
      <c r="L287" s="7">
        <v>614.70284019630003</v>
      </c>
      <c r="M287" s="7">
        <v>1.4463443999999999E-3</v>
      </c>
      <c r="N287" s="7">
        <v>616.26159339150001</v>
      </c>
      <c r="O287" s="7">
        <v>616.83306457790002</v>
      </c>
      <c r="P287" s="7">
        <v>614.70284019630003</v>
      </c>
      <c r="Q287" s="7">
        <v>1</v>
      </c>
      <c r="R287" s="7">
        <v>0</v>
      </c>
      <c r="S287" s="7">
        <v>0.57750000000000001</v>
      </c>
      <c r="T287" s="7">
        <v>0.16500000000000001</v>
      </c>
      <c r="U287" s="7">
        <v>-0.74250000000000005</v>
      </c>
      <c r="V287" s="7" t="s">
        <v>110</v>
      </c>
      <c r="W287" s="11">
        <v>45840.416666666664</v>
      </c>
    </row>
    <row r="288" spans="1:23">
      <c r="A288" t="s">
        <v>87</v>
      </c>
      <c r="B288">
        <v>46</v>
      </c>
      <c r="C288" s="10">
        <v>45840</v>
      </c>
      <c r="D288" s="11">
        <v>45840.625</v>
      </c>
      <c r="E288" s="11">
        <v>45840.625</v>
      </c>
      <c r="F288" t="s">
        <v>108</v>
      </c>
      <c r="G288" t="s">
        <v>109</v>
      </c>
      <c r="H288">
        <v>1</v>
      </c>
      <c r="I288">
        <v>165</v>
      </c>
      <c r="J288" s="7">
        <v>618.13400000000001</v>
      </c>
      <c r="K288" s="7">
        <v>618.14230572199995</v>
      </c>
      <c r="L288" s="7">
        <v>613.39434088339999</v>
      </c>
      <c r="M288" s="7">
        <v>3.5719354000000002E-3</v>
      </c>
      <c r="N288" s="7">
        <v>617.18764718989996</v>
      </c>
      <c r="O288" s="7">
        <v>618.14230572199995</v>
      </c>
      <c r="P288" s="7">
        <v>613.39434088339999</v>
      </c>
      <c r="Q288" s="7">
        <v>1</v>
      </c>
      <c r="R288" s="7">
        <v>197.0925</v>
      </c>
      <c r="S288" s="7">
        <v>0.57750000000000001</v>
      </c>
      <c r="T288" s="7">
        <v>0.16500000000000001</v>
      </c>
      <c r="U288" s="7">
        <v>196.35</v>
      </c>
      <c r="V288" s="7" t="s">
        <v>88</v>
      </c>
      <c r="W288" s="11">
        <v>45840.604166666664</v>
      </c>
    </row>
    <row r="289" spans="1:23">
      <c r="A289" t="s">
        <v>87</v>
      </c>
      <c r="B289">
        <v>47</v>
      </c>
      <c r="C289" s="10">
        <v>45841</v>
      </c>
      <c r="D289" s="11">
        <v>45841.458333333336</v>
      </c>
      <c r="E289" s="11">
        <v>45841.458333333336</v>
      </c>
      <c r="F289" t="s">
        <v>106</v>
      </c>
      <c r="G289" t="s">
        <v>107</v>
      </c>
      <c r="H289">
        <v>1</v>
      </c>
      <c r="I289">
        <v>164</v>
      </c>
      <c r="J289" s="7">
        <v>623.5711</v>
      </c>
      <c r="K289" s="7">
        <v>623.55998768469999</v>
      </c>
      <c r="L289" s="7">
        <v>617.69476304010004</v>
      </c>
      <c r="M289" s="7">
        <v>1.6802637E-3</v>
      </c>
      <c r="N289" s="7">
        <v>622.96996815770001</v>
      </c>
      <c r="O289" s="7">
        <v>623.55998768469999</v>
      </c>
      <c r="P289" s="7">
        <v>617.69476304010004</v>
      </c>
      <c r="Q289" s="7">
        <v>1</v>
      </c>
      <c r="R289" s="7">
        <v>0</v>
      </c>
      <c r="S289" s="7">
        <v>0.57399999999999995</v>
      </c>
      <c r="T289" s="7">
        <v>0.16400000000000001</v>
      </c>
      <c r="U289" s="7">
        <v>-0.73799999999999999</v>
      </c>
      <c r="V289" s="7" t="s">
        <v>110</v>
      </c>
      <c r="W289" s="11">
        <v>45841.4375</v>
      </c>
    </row>
    <row r="290" spans="1:23">
      <c r="A290" t="s">
        <v>87</v>
      </c>
      <c r="B290">
        <v>47</v>
      </c>
      <c r="C290" s="10">
        <v>45841</v>
      </c>
      <c r="D290" s="11">
        <v>45841.541666666664</v>
      </c>
      <c r="E290" s="11">
        <v>45841.541666666664</v>
      </c>
      <c r="F290" t="s">
        <v>108</v>
      </c>
      <c r="G290" t="s">
        <v>109</v>
      </c>
      <c r="H290">
        <v>1</v>
      </c>
      <c r="I290">
        <v>164</v>
      </c>
      <c r="J290" s="7">
        <v>623.61099999999999</v>
      </c>
      <c r="K290" s="7">
        <v>624.04862359039998</v>
      </c>
      <c r="L290" s="7">
        <v>617.20909389220003</v>
      </c>
      <c r="M290" s="7">
        <v>2.4652033000000001E-3</v>
      </c>
      <c r="N290" s="7">
        <v>623.44028029260005</v>
      </c>
      <c r="O290" s="7">
        <v>624.04862359039998</v>
      </c>
      <c r="P290" s="7">
        <v>617.20909389220003</v>
      </c>
      <c r="Q290" s="7">
        <v>1</v>
      </c>
      <c r="R290" s="7">
        <v>6.5435999999999996</v>
      </c>
      <c r="S290" s="7">
        <v>0.57399999999999995</v>
      </c>
      <c r="T290" s="7">
        <v>0.16400000000000001</v>
      </c>
      <c r="U290" s="7">
        <v>5.8056000000000001</v>
      </c>
      <c r="V290" s="7" t="s">
        <v>85</v>
      </c>
      <c r="W290" s="11">
        <v>45841.520833333336</v>
      </c>
    </row>
    <row r="291" spans="1:23">
      <c r="A291" t="s">
        <v>87</v>
      </c>
      <c r="B291">
        <v>48</v>
      </c>
      <c r="C291" s="10">
        <v>45845</v>
      </c>
      <c r="D291" s="11">
        <v>45845.458333333336</v>
      </c>
      <c r="E291" s="11">
        <v>45845.458333333336</v>
      </c>
      <c r="F291" t="s">
        <v>106</v>
      </c>
      <c r="G291" t="s">
        <v>109</v>
      </c>
      <c r="H291">
        <v>-1</v>
      </c>
      <c r="I291">
        <v>164</v>
      </c>
      <c r="J291" s="7">
        <v>620.37990000000002</v>
      </c>
      <c r="K291" s="7">
        <v>624.5943417551</v>
      </c>
      <c r="L291" s="7">
        <v>620.8951943971</v>
      </c>
      <c r="M291" s="7">
        <v>1.5768512000000001E-3</v>
      </c>
      <c r="N291" s="7">
        <v>621.25774506760001</v>
      </c>
      <c r="O291" s="7">
        <v>624.5943417551</v>
      </c>
      <c r="P291" s="7">
        <v>620.8951943971</v>
      </c>
      <c r="Q291" s="7">
        <v>1</v>
      </c>
      <c r="R291" s="7">
        <v>0</v>
      </c>
      <c r="S291" s="7">
        <v>0.57399999999999995</v>
      </c>
      <c r="T291" s="7">
        <v>0.16400000000000001</v>
      </c>
      <c r="U291" s="7">
        <v>-0.73799999999999999</v>
      </c>
      <c r="V291" s="7" t="s">
        <v>110</v>
      </c>
      <c r="W291" s="11">
        <v>45845.4375</v>
      </c>
    </row>
    <row r="292" spans="1:23">
      <c r="A292" t="s">
        <v>87</v>
      </c>
      <c r="B292">
        <v>48</v>
      </c>
      <c r="C292" s="10">
        <v>45845</v>
      </c>
      <c r="D292" s="11">
        <v>45845.666666666664</v>
      </c>
      <c r="E292" s="11">
        <v>45845.666666666664</v>
      </c>
      <c r="F292" t="s">
        <v>108</v>
      </c>
      <c r="G292" t="s">
        <v>107</v>
      </c>
      <c r="H292">
        <v>-1</v>
      </c>
      <c r="I292">
        <v>164</v>
      </c>
      <c r="J292" s="7">
        <v>618.96389999999997</v>
      </c>
      <c r="K292" s="7">
        <v>625.67822695159998</v>
      </c>
      <c r="L292" s="7">
        <v>619.81432511529999</v>
      </c>
      <c r="M292" s="7">
        <v>3.3149301999999999E-3</v>
      </c>
      <c r="N292" s="7">
        <v>619.00166425290001</v>
      </c>
      <c r="O292" s="7">
        <v>625.67822695159998</v>
      </c>
      <c r="P292" s="7">
        <v>619.00166425290001</v>
      </c>
      <c r="Q292" s="7">
        <v>1</v>
      </c>
      <c r="R292" s="7">
        <v>232.22399999999999</v>
      </c>
      <c r="S292" s="7">
        <v>0.57399999999999995</v>
      </c>
      <c r="T292" s="7">
        <v>0.16400000000000001</v>
      </c>
      <c r="U292" s="7">
        <v>231.48599999999999</v>
      </c>
      <c r="V292" s="7" t="s">
        <v>85</v>
      </c>
      <c r="W292" s="11">
        <v>45845.645833333336</v>
      </c>
    </row>
    <row r="293" spans="1:23">
      <c r="A293" t="s">
        <v>87</v>
      </c>
      <c r="B293">
        <v>49</v>
      </c>
      <c r="C293" s="10">
        <v>45848</v>
      </c>
      <c r="D293" s="11">
        <v>45848.479166666664</v>
      </c>
      <c r="E293" s="11">
        <v>45848.479166666664</v>
      </c>
      <c r="F293" t="s">
        <v>106</v>
      </c>
      <c r="G293" t="s">
        <v>107</v>
      </c>
      <c r="H293">
        <v>1</v>
      </c>
      <c r="I293">
        <v>164</v>
      </c>
      <c r="J293" s="7">
        <v>623.78060000000005</v>
      </c>
      <c r="K293" s="7">
        <v>623.44597228309999</v>
      </c>
      <c r="L293" s="7">
        <v>620.5262743257</v>
      </c>
      <c r="M293" s="7">
        <v>1.7859725E-3</v>
      </c>
      <c r="N293" s="7">
        <v>622.47535658499999</v>
      </c>
      <c r="O293" s="7">
        <v>623.44597228309999</v>
      </c>
      <c r="P293" s="7">
        <v>620.5262743257</v>
      </c>
      <c r="Q293" s="7">
        <v>1</v>
      </c>
      <c r="R293" s="7">
        <v>0</v>
      </c>
      <c r="S293" s="7">
        <v>0.57399999999999995</v>
      </c>
      <c r="T293" s="7">
        <v>0.16400000000000001</v>
      </c>
      <c r="U293" s="7">
        <v>-0.73799999999999999</v>
      </c>
      <c r="V293" s="7" t="s">
        <v>110</v>
      </c>
      <c r="W293" s="11">
        <v>45848.458333333336</v>
      </c>
    </row>
    <row r="294" spans="1:23">
      <c r="A294" t="s">
        <v>87</v>
      </c>
      <c r="B294">
        <v>49</v>
      </c>
      <c r="C294" s="10">
        <v>45848</v>
      </c>
      <c r="D294" s="11">
        <v>45848.520833333336</v>
      </c>
      <c r="E294" s="11">
        <v>45848.520833333336</v>
      </c>
      <c r="F294" t="s">
        <v>108</v>
      </c>
      <c r="G294" t="s">
        <v>109</v>
      </c>
      <c r="H294">
        <v>1</v>
      </c>
      <c r="I294">
        <v>164</v>
      </c>
      <c r="J294" s="7">
        <v>623.84040000000005</v>
      </c>
      <c r="K294" s="7">
        <v>623.98888160050001</v>
      </c>
      <c r="L294" s="7">
        <v>619.9839739263</v>
      </c>
      <c r="M294" s="7">
        <v>2.6583479E-3</v>
      </c>
      <c r="N294" s="7">
        <v>622.77349170269997</v>
      </c>
      <c r="O294" s="7">
        <v>623.98888160050001</v>
      </c>
      <c r="P294" s="7">
        <v>619.9839739263</v>
      </c>
      <c r="Q294" s="7">
        <v>1</v>
      </c>
      <c r="R294" s="7">
        <v>9.8071999999999999</v>
      </c>
      <c r="S294" s="7">
        <v>0.57399999999999995</v>
      </c>
      <c r="T294" s="7">
        <v>0.16400000000000001</v>
      </c>
      <c r="U294" s="7">
        <v>9.0692000000000004</v>
      </c>
      <c r="V294" s="7" t="s">
        <v>88</v>
      </c>
      <c r="W294" s="11">
        <v>45848.5</v>
      </c>
    </row>
    <row r="295" spans="1:23">
      <c r="A295" t="s">
        <v>87</v>
      </c>
      <c r="B295">
        <v>50</v>
      </c>
      <c r="C295" s="10">
        <v>45848</v>
      </c>
      <c r="D295" s="11">
        <v>45848.5625</v>
      </c>
      <c r="E295" s="11">
        <v>45848.5625</v>
      </c>
      <c r="F295" t="s">
        <v>106</v>
      </c>
      <c r="G295" t="s">
        <v>107</v>
      </c>
      <c r="H295">
        <v>1</v>
      </c>
      <c r="I295">
        <v>164</v>
      </c>
      <c r="J295" s="7">
        <v>624.35889999999995</v>
      </c>
      <c r="K295" s="7">
        <v>623.95787212740004</v>
      </c>
      <c r="L295" s="7">
        <v>620.01494861979995</v>
      </c>
      <c r="M295" s="7">
        <v>2.6085202000000001E-3</v>
      </c>
      <c r="N295" s="7">
        <v>622.98061964470003</v>
      </c>
      <c r="O295" s="7">
        <v>623.95787212740004</v>
      </c>
      <c r="P295" s="7">
        <v>620.01494861979995</v>
      </c>
      <c r="Q295" s="7">
        <v>1</v>
      </c>
      <c r="R295" s="7">
        <v>0</v>
      </c>
      <c r="S295" s="7">
        <v>0.57399999999999995</v>
      </c>
      <c r="T295" s="7">
        <v>0.16400000000000001</v>
      </c>
      <c r="U295" s="7">
        <v>-0.73799999999999999</v>
      </c>
      <c r="V295" s="7" t="s">
        <v>110</v>
      </c>
      <c r="W295" s="11">
        <v>45848.541666666664</v>
      </c>
    </row>
    <row r="296" spans="1:23">
      <c r="A296" t="s">
        <v>87</v>
      </c>
      <c r="B296">
        <v>50</v>
      </c>
      <c r="C296" s="10">
        <v>45848</v>
      </c>
      <c r="D296" s="11">
        <v>45848.645833333336</v>
      </c>
      <c r="E296" s="11">
        <v>45848.645833333336</v>
      </c>
      <c r="F296" t="s">
        <v>108</v>
      </c>
      <c r="G296" t="s">
        <v>109</v>
      </c>
      <c r="H296">
        <v>1</v>
      </c>
      <c r="I296">
        <v>164</v>
      </c>
      <c r="J296" s="7">
        <v>624.48850000000004</v>
      </c>
      <c r="K296" s="7">
        <v>624.52648318419995</v>
      </c>
      <c r="L296" s="7">
        <v>619.44697530760004</v>
      </c>
      <c r="M296" s="7">
        <v>3.5221946E-3</v>
      </c>
      <c r="N296" s="7">
        <v>623.50548751509996</v>
      </c>
      <c r="O296" s="7">
        <v>624.52648318419995</v>
      </c>
      <c r="P296" s="7">
        <v>619.44697530760004</v>
      </c>
      <c r="Q296" s="7">
        <v>1</v>
      </c>
      <c r="R296" s="7">
        <v>21.2544</v>
      </c>
      <c r="S296" s="7">
        <v>0.57399999999999995</v>
      </c>
      <c r="T296" s="7">
        <v>0.16400000000000001</v>
      </c>
      <c r="U296" s="7">
        <v>20.516400000000001</v>
      </c>
      <c r="V296" s="7" t="s">
        <v>88</v>
      </c>
      <c r="W296" s="11">
        <v>45848.625</v>
      </c>
    </row>
    <row r="297" spans="1:23">
      <c r="A297" t="s">
        <v>87</v>
      </c>
      <c r="B297">
        <v>51</v>
      </c>
      <c r="C297" s="10">
        <v>45853</v>
      </c>
      <c r="D297" s="11">
        <v>45853.541666666664</v>
      </c>
      <c r="E297" s="11">
        <v>45853.541666666664</v>
      </c>
      <c r="F297" t="s">
        <v>106</v>
      </c>
      <c r="G297" t="s">
        <v>109</v>
      </c>
      <c r="H297">
        <v>-1</v>
      </c>
      <c r="I297">
        <v>164</v>
      </c>
      <c r="J297" s="7">
        <v>621.447</v>
      </c>
      <c r="K297" s="7">
        <v>625.56275177290001</v>
      </c>
      <c r="L297" s="7">
        <v>621.49191392329999</v>
      </c>
      <c r="M297" s="7">
        <v>2.5526095000000001E-3</v>
      </c>
      <c r="N297" s="7">
        <v>622.99899845820005</v>
      </c>
      <c r="O297" s="7">
        <v>625.56275177290001</v>
      </c>
      <c r="P297" s="7">
        <v>621.49191392329999</v>
      </c>
      <c r="Q297" s="7">
        <v>1</v>
      </c>
      <c r="R297" s="7">
        <v>0</v>
      </c>
      <c r="S297" s="7">
        <v>0.57399999999999995</v>
      </c>
      <c r="T297" s="7">
        <v>0.16400000000000001</v>
      </c>
      <c r="U297" s="7">
        <v>-0.73799999999999999</v>
      </c>
      <c r="V297" s="7" t="s">
        <v>110</v>
      </c>
      <c r="W297" s="11">
        <v>45853.520833333336</v>
      </c>
    </row>
    <row r="298" spans="1:23">
      <c r="A298" t="s">
        <v>87</v>
      </c>
      <c r="B298">
        <v>51</v>
      </c>
      <c r="C298" s="10">
        <v>45853</v>
      </c>
      <c r="D298" s="11">
        <v>45853.5625</v>
      </c>
      <c r="E298" s="11">
        <v>45853.5625</v>
      </c>
      <c r="F298" t="s">
        <v>108</v>
      </c>
      <c r="G298" t="s">
        <v>107</v>
      </c>
      <c r="H298">
        <v>-1</v>
      </c>
      <c r="I298">
        <v>164</v>
      </c>
      <c r="J298" s="7">
        <v>622.12509999999997</v>
      </c>
      <c r="K298" s="7">
        <v>625.62725349970003</v>
      </c>
      <c r="L298" s="7">
        <v>621.42750395049995</v>
      </c>
      <c r="M298" s="7">
        <v>2.6559827000000001E-3</v>
      </c>
      <c r="N298" s="7">
        <v>622.90586683619995</v>
      </c>
      <c r="O298" s="7">
        <v>625.62725349970003</v>
      </c>
      <c r="P298" s="7">
        <v>621.42750395049995</v>
      </c>
      <c r="Q298" s="7">
        <v>1</v>
      </c>
      <c r="R298" s="7">
        <v>-111.2084</v>
      </c>
      <c r="S298" s="7">
        <v>0.57399999999999995</v>
      </c>
      <c r="T298" s="7">
        <v>0.16400000000000001</v>
      </c>
      <c r="U298" s="7">
        <v>-111.9464</v>
      </c>
      <c r="V298" s="7" t="s">
        <v>88</v>
      </c>
      <c r="W298" s="11">
        <v>45853.541666666664</v>
      </c>
    </row>
    <row r="299" spans="1:23">
      <c r="A299" t="s">
        <v>87</v>
      </c>
      <c r="B299">
        <v>52</v>
      </c>
      <c r="C299" s="10">
        <v>45854</v>
      </c>
      <c r="D299" s="11">
        <v>45854.625</v>
      </c>
      <c r="E299" s="11">
        <v>45854.625</v>
      </c>
      <c r="F299" t="s">
        <v>106</v>
      </c>
      <c r="G299" t="s">
        <v>107</v>
      </c>
      <c r="H299">
        <v>1</v>
      </c>
      <c r="I299">
        <v>165</v>
      </c>
      <c r="J299" s="7">
        <v>622.60379999999998</v>
      </c>
      <c r="K299" s="7">
        <v>622.30286872470003</v>
      </c>
      <c r="L299" s="7">
        <v>618.44730352850002</v>
      </c>
      <c r="M299" s="7">
        <v>3.0351524999999999E-3</v>
      </c>
      <c r="N299" s="7">
        <v>620.43848780810004</v>
      </c>
      <c r="O299" s="7">
        <v>622.30286872470003</v>
      </c>
      <c r="P299" s="7">
        <v>618.44730352850002</v>
      </c>
      <c r="Q299" s="7">
        <v>1</v>
      </c>
      <c r="R299" s="7">
        <v>0</v>
      </c>
      <c r="S299" s="7">
        <v>0.57750000000000001</v>
      </c>
      <c r="T299" s="7">
        <v>0.16500000000000001</v>
      </c>
      <c r="U299" s="7">
        <v>-0.74250000000000005</v>
      </c>
      <c r="V299" s="7" t="s">
        <v>110</v>
      </c>
      <c r="W299" s="11">
        <v>45854.604166666664</v>
      </c>
    </row>
    <row r="300" spans="1:23">
      <c r="A300" t="s">
        <v>87</v>
      </c>
      <c r="B300">
        <v>52</v>
      </c>
      <c r="C300" s="10">
        <v>45854</v>
      </c>
      <c r="D300" s="11">
        <v>45854.666666666664</v>
      </c>
      <c r="E300" s="11">
        <v>45854.666666666664</v>
      </c>
      <c r="F300" t="s">
        <v>108</v>
      </c>
      <c r="G300" t="s">
        <v>109</v>
      </c>
      <c r="H300">
        <v>1</v>
      </c>
      <c r="I300">
        <v>165</v>
      </c>
      <c r="J300" s="7">
        <v>622.4941</v>
      </c>
      <c r="K300" s="7">
        <v>622.05698436759997</v>
      </c>
      <c r="L300" s="7">
        <v>618.69315233580005</v>
      </c>
      <c r="M300" s="7">
        <v>2.6388331999999998E-3</v>
      </c>
      <c r="N300" s="7">
        <v>620.72906325830002</v>
      </c>
      <c r="O300" s="7">
        <v>622.05698436759997</v>
      </c>
      <c r="P300" s="7">
        <v>618.69315233580005</v>
      </c>
      <c r="Q300" s="7">
        <v>1</v>
      </c>
      <c r="R300" s="7">
        <v>-18.1005</v>
      </c>
      <c r="S300" s="7">
        <v>0.57750000000000001</v>
      </c>
      <c r="T300" s="7">
        <v>0.16500000000000001</v>
      </c>
      <c r="U300" s="7">
        <v>-18.843</v>
      </c>
      <c r="V300" s="7" t="s">
        <v>85</v>
      </c>
      <c r="W300" s="11">
        <v>45854.645833333336</v>
      </c>
    </row>
    <row r="301" spans="1:23">
      <c r="A301" t="s">
        <v>87</v>
      </c>
      <c r="B301">
        <v>53</v>
      </c>
      <c r="C301" s="10">
        <v>45855</v>
      </c>
      <c r="D301" s="11">
        <v>45855.5</v>
      </c>
      <c r="E301" s="11">
        <v>45855.5</v>
      </c>
      <c r="F301" t="s">
        <v>106</v>
      </c>
      <c r="G301" t="s">
        <v>107</v>
      </c>
      <c r="H301">
        <v>1</v>
      </c>
      <c r="I301">
        <v>164</v>
      </c>
      <c r="J301" s="7">
        <v>625.48080000000004</v>
      </c>
      <c r="K301" s="7">
        <v>625.31235213590003</v>
      </c>
      <c r="L301" s="7">
        <v>621.32424000649996</v>
      </c>
      <c r="M301" s="7">
        <v>1.8791506E-3</v>
      </c>
      <c r="N301" s="7">
        <v>624.41869644070005</v>
      </c>
      <c r="O301" s="7">
        <v>625.31235213590003</v>
      </c>
      <c r="P301" s="7">
        <v>621.32424000649996</v>
      </c>
      <c r="Q301" s="7">
        <v>1</v>
      </c>
      <c r="R301" s="7">
        <v>0</v>
      </c>
      <c r="S301" s="7">
        <v>0.57399999999999995</v>
      </c>
      <c r="T301" s="7">
        <v>0.16400000000000001</v>
      </c>
      <c r="U301" s="7">
        <v>-0.73799999999999999</v>
      </c>
      <c r="V301" s="7" t="s">
        <v>110</v>
      </c>
      <c r="W301" s="11">
        <v>45855.479166666664</v>
      </c>
    </row>
    <row r="302" spans="1:23">
      <c r="A302" t="s">
        <v>87</v>
      </c>
      <c r="B302">
        <v>53</v>
      </c>
      <c r="C302" s="10">
        <v>45855</v>
      </c>
      <c r="D302" s="11">
        <v>45855.520833333336</v>
      </c>
      <c r="E302" s="11">
        <v>45855.520833333336</v>
      </c>
      <c r="F302" t="s">
        <v>108</v>
      </c>
      <c r="G302" t="s">
        <v>109</v>
      </c>
      <c r="H302">
        <v>1</v>
      </c>
      <c r="I302">
        <v>164</v>
      </c>
      <c r="J302" s="7">
        <v>625.1069</v>
      </c>
      <c r="K302" s="7">
        <v>625.56203568390004</v>
      </c>
      <c r="L302" s="7">
        <v>621.0752147316</v>
      </c>
      <c r="M302" s="7">
        <v>2.2791951E-3</v>
      </c>
      <c r="N302" s="7">
        <v>624.51060359999997</v>
      </c>
      <c r="O302" s="7">
        <v>625.56203568390004</v>
      </c>
      <c r="P302" s="7">
        <v>621.0752147316</v>
      </c>
      <c r="Q302" s="7">
        <v>1</v>
      </c>
      <c r="R302" s="7">
        <v>-61.319600000000001</v>
      </c>
      <c r="S302" s="7">
        <v>0.57399999999999995</v>
      </c>
      <c r="T302" s="7">
        <v>0.16400000000000001</v>
      </c>
      <c r="U302" s="7">
        <v>-62.057600000000001</v>
      </c>
      <c r="V302" s="7" t="s">
        <v>88</v>
      </c>
      <c r="W302" s="11">
        <v>45855.5</v>
      </c>
    </row>
    <row r="303" spans="1:23">
      <c r="A303" t="s">
        <v>87</v>
      </c>
      <c r="B303">
        <v>54</v>
      </c>
      <c r="C303" s="10">
        <v>45855</v>
      </c>
      <c r="D303" s="11">
        <v>45855.604166666664</v>
      </c>
      <c r="E303" s="11">
        <v>45855.604166666664</v>
      </c>
      <c r="F303" t="s">
        <v>106</v>
      </c>
      <c r="G303" t="s">
        <v>107</v>
      </c>
      <c r="H303">
        <v>1</v>
      </c>
      <c r="I303">
        <v>164</v>
      </c>
      <c r="J303" s="7">
        <v>626.10410000000002</v>
      </c>
      <c r="K303" s="7">
        <v>625.99905635990001</v>
      </c>
      <c r="L303" s="7">
        <v>620.63934623</v>
      </c>
      <c r="M303" s="7">
        <v>2.9793922E-3</v>
      </c>
      <c r="N303" s="7">
        <v>624.82256470489995</v>
      </c>
      <c r="O303" s="7">
        <v>625.99905635990001</v>
      </c>
      <c r="P303" s="7">
        <v>620.63934623</v>
      </c>
      <c r="Q303" s="7">
        <v>1</v>
      </c>
      <c r="R303" s="7">
        <v>0</v>
      </c>
      <c r="S303" s="7">
        <v>0.57399999999999995</v>
      </c>
      <c r="T303" s="7">
        <v>0.16400000000000001</v>
      </c>
      <c r="U303" s="7">
        <v>-0.73799999999999999</v>
      </c>
      <c r="V303" s="7" t="s">
        <v>110</v>
      </c>
      <c r="W303" s="11">
        <v>45855.583333333336</v>
      </c>
    </row>
    <row r="304" spans="1:23">
      <c r="A304" t="s">
        <v>87</v>
      </c>
      <c r="B304">
        <v>54</v>
      </c>
      <c r="C304" s="10">
        <v>45855</v>
      </c>
      <c r="D304" s="11">
        <v>45855.666666666664</v>
      </c>
      <c r="E304" s="11">
        <v>45855.666666666664</v>
      </c>
      <c r="F304" t="s">
        <v>108</v>
      </c>
      <c r="G304" t="s">
        <v>109</v>
      </c>
      <c r="H304">
        <v>1</v>
      </c>
      <c r="I304">
        <v>164</v>
      </c>
      <c r="J304" s="7">
        <v>626.30349999999999</v>
      </c>
      <c r="K304" s="7">
        <v>625.86952091579997</v>
      </c>
      <c r="L304" s="7">
        <v>620.76854016300001</v>
      </c>
      <c r="M304" s="7">
        <v>2.7718497000000001E-3</v>
      </c>
      <c r="N304" s="7">
        <v>625.40575317540004</v>
      </c>
      <c r="O304" s="7">
        <v>625.86952091579997</v>
      </c>
      <c r="P304" s="7">
        <v>620.76854016300001</v>
      </c>
      <c r="Q304" s="7">
        <v>1</v>
      </c>
      <c r="R304" s="7">
        <v>32.701599999999999</v>
      </c>
      <c r="S304" s="7">
        <v>0.57399999999999995</v>
      </c>
      <c r="T304" s="7">
        <v>0.16400000000000001</v>
      </c>
      <c r="U304" s="7">
        <v>31.9636</v>
      </c>
      <c r="V304" s="7" t="s">
        <v>85</v>
      </c>
      <c r="W304" s="11">
        <v>45855.645833333336</v>
      </c>
    </row>
    <row r="305" spans="1:23">
      <c r="A305" t="s">
        <v>87</v>
      </c>
      <c r="B305">
        <v>55</v>
      </c>
      <c r="C305" s="10">
        <v>45856</v>
      </c>
      <c r="D305" s="11">
        <v>45856.4375</v>
      </c>
      <c r="E305" s="11">
        <v>45856.4375</v>
      </c>
      <c r="F305" t="s">
        <v>106</v>
      </c>
      <c r="G305" t="s">
        <v>109</v>
      </c>
      <c r="H305">
        <v>-1</v>
      </c>
      <c r="I305">
        <v>163</v>
      </c>
      <c r="J305" s="7">
        <v>625.64530000000002</v>
      </c>
      <c r="K305" s="7">
        <v>628.04323011389999</v>
      </c>
      <c r="L305" s="7">
        <v>625.76150549390002</v>
      </c>
      <c r="M305" s="7">
        <v>8.6538640000000003E-4</v>
      </c>
      <c r="N305" s="7">
        <v>626.62694202299997</v>
      </c>
      <c r="O305" s="7">
        <v>628.04323011389999</v>
      </c>
      <c r="P305" s="7">
        <v>625.76150549390002</v>
      </c>
      <c r="Q305" s="7">
        <v>1</v>
      </c>
      <c r="R305" s="7">
        <v>0</v>
      </c>
      <c r="S305" s="7">
        <v>0.57050000000000001</v>
      </c>
      <c r="T305" s="7">
        <v>0.16300000000000001</v>
      </c>
      <c r="U305" s="7">
        <v>-0.73350000000000004</v>
      </c>
      <c r="V305" s="7" t="s">
        <v>110</v>
      </c>
      <c r="W305" s="11">
        <v>45856.416666666664</v>
      </c>
    </row>
    <row r="306" spans="1:23">
      <c r="A306" t="s">
        <v>87</v>
      </c>
      <c r="B306">
        <v>55</v>
      </c>
      <c r="C306" s="10">
        <v>45856</v>
      </c>
      <c r="D306" s="11">
        <v>45856.458333333336</v>
      </c>
      <c r="E306" s="11">
        <v>45856.458333333336</v>
      </c>
      <c r="F306" t="s">
        <v>108</v>
      </c>
      <c r="G306" t="s">
        <v>107</v>
      </c>
      <c r="H306">
        <v>-1</v>
      </c>
      <c r="I306">
        <v>163</v>
      </c>
      <c r="J306" s="7">
        <v>625.43589999999995</v>
      </c>
      <c r="K306" s="7">
        <v>628.46648010909996</v>
      </c>
      <c r="L306" s="7">
        <v>625.33906267500004</v>
      </c>
      <c r="M306" s="7">
        <v>1.5398880999999999E-3</v>
      </c>
      <c r="N306" s="7">
        <v>626.37361205929994</v>
      </c>
      <c r="O306" s="7">
        <v>628.46648010909996</v>
      </c>
      <c r="P306" s="7">
        <v>625.33906267500004</v>
      </c>
      <c r="Q306" s="7">
        <v>1</v>
      </c>
      <c r="R306" s="7">
        <v>34.132199999999997</v>
      </c>
      <c r="S306" s="7">
        <v>0.57050000000000001</v>
      </c>
      <c r="T306" s="7">
        <v>0.16300000000000001</v>
      </c>
      <c r="U306" s="7">
        <v>33.398699999999998</v>
      </c>
      <c r="V306" s="7" t="s">
        <v>88</v>
      </c>
      <c r="W306" s="11">
        <v>45856.4375</v>
      </c>
    </row>
    <row r="307" spans="1:23">
      <c r="A307" t="s">
        <v>87</v>
      </c>
      <c r="B307">
        <v>56</v>
      </c>
      <c r="C307" s="10">
        <v>45861</v>
      </c>
      <c r="D307" s="11">
        <v>45861.4375</v>
      </c>
      <c r="E307" s="11">
        <v>45861.4375</v>
      </c>
      <c r="F307" t="s">
        <v>106</v>
      </c>
      <c r="G307" t="s">
        <v>107</v>
      </c>
      <c r="H307">
        <v>1</v>
      </c>
      <c r="I307">
        <v>163</v>
      </c>
      <c r="J307" s="7">
        <v>628.99609999999996</v>
      </c>
      <c r="K307" s="7">
        <v>628.88232014790003</v>
      </c>
      <c r="L307" s="7">
        <v>626.45833947530002</v>
      </c>
      <c r="M307" s="7">
        <v>1.0569895000000001E-3</v>
      </c>
      <c r="N307" s="7">
        <v>628.50008092079997</v>
      </c>
      <c r="O307" s="7">
        <v>628.88232014790003</v>
      </c>
      <c r="P307" s="7">
        <v>626.45833947530002</v>
      </c>
      <c r="Q307" s="7">
        <v>1</v>
      </c>
      <c r="R307" s="7">
        <v>0</v>
      </c>
      <c r="S307" s="7">
        <v>0.57050000000000001</v>
      </c>
      <c r="T307" s="7">
        <v>0.16300000000000001</v>
      </c>
      <c r="U307" s="7">
        <v>-0.73350000000000004</v>
      </c>
      <c r="V307" s="7" t="s">
        <v>110</v>
      </c>
      <c r="W307" s="11">
        <v>45861.416666666664</v>
      </c>
    </row>
    <row r="308" spans="1:23">
      <c r="A308" t="s">
        <v>87</v>
      </c>
      <c r="B308">
        <v>56</v>
      </c>
      <c r="C308" s="10">
        <v>45861</v>
      </c>
      <c r="D308" s="11">
        <v>45861.458333333336</v>
      </c>
      <c r="E308" s="11">
        <v>45861.458333333336</v>
      </c>
      <c r="F308" t="s">
        <v>108</v>
      </c>
      <c r="G308" t="s">
        <v>109</v>
      </c>
      <c r="H308">
        <v>1</v>
      </c>
      <c r="I308">
        <v>163</v>
      </c>
      <c r="J308" s="7">
        <v>628.98609999999996</v>
      </c>
      <c r="K308" s="7">
        <v>629.333154401</v>
      </c>
      <c r="L308" s="7">
        <v>626.00829254450002</v>
      </c>
      <c r="M308" s="7">
        <v>1.774629E-3</v>
      </c>
      <c r="N308" s="7">
        <v>628.59499262869997</v>
      </c>
      <c r="O308" s="7">
        <v>629.333154401</v>
      </c>
      <c r="P308" s="7">
        <v>626.00829254450002</v>
      </c>
      <c r="Q308" s="7">
        <v>1</v>
      </c>
      <c r="R308" s="7">
        <v>-1.63</v>
      </c>
      <c r="S308" s="7">
        <v>0.57050000000000001</v>
      </c>
      <c r="T308" s="7">
        <v>0.16300000000000001</v>
      </c>
      <c r="U308" s="7">
        <v>-2.3635000000000002</v>
      </c>
      <c r="V308" s="7" t="s">
        <v>88</v>
      </c>
      <c r="W308" s="11">
        <v>45861.4375</v>
      </c>
    </row>
    <row r="309" spans="1:23">
      <c r="A309" t="s">
        <v>87</v>
      </c>
      <c r="B309">
        <v>57</v>
      </c>
      <c r="C309" s="10">
        <v>45861</v>
      </c>
      <c r="D309" s="11">
        <v>45861.5</v>
      </c>
      <c r="E309" s="11">
        <v>45861.5</v>
      </c>
      <c r="F309" t="s">
        <v>106</v>
      </c>
      <c r="G309" t="s">
        <v>107</v>
      </c>
      <c r="H309">
        <v>1</v>
      </c>
      <c r="I309">
        <v>163</v>
      </c>
      <c r="J309" s="7">
        <v>630.22270000000003</v>
      </c>
      <c r="K309" s="7">
        <v>629.44730508639998</v>
      </c>
      <c r="L309" s="7">
        <v>625.89434120809995</v>
      </c>
      <c r="M309" s="7">
        <v>1.9563343999999998E-3</v>
      </c>
      <c r="N309" s="7">
        <v>629.07565195999996</v>
      </c>
      <c r="O309" s="7">
        <v>629.44730508639998</v>
      </c>
      <c r="P309" s="7">
        <v>625.89434120809995</v>
      </c>
      <c r="Q309" s="7">
        <v>1</v>
      </c>
      <c r="R309" s="7">
        <v>0</v>
      </c>
      <c r="S309" s="7">
        <v>0.57050000000000001</v>
      </c>
      <c r="T309" s="7">
        <v>0.16300000000000001</v>
      </c>
      <c r="U309" s="7">
        <v>-0.73350000000000004</v>
      </c>
      <c r="V309" s="7" t="s">
        <v>110</v>
      </c>
      <c r="W309" s="11">
        <v>45861.479166666664</v>
      </c>
    </row>
    <row r="310" spans="1:23">
      <c r="A310" t="s">
        <v>87</v>
      </c>
      <c r="B310">
        <v>57</v>
      </c>
      <c r="C310" s="10">
        <v>45861</v>
      </c>
      <c r="D310" s="11">
        <v>45861.666666666664</v>
      </c>
      <c r="E310" s="11">
        <v>45861.666666666664</v>
      </c>
      <c r="F310" t="s">
        <v>108</v>
      </c>
      <c r="G310" t="s">
        <v>109</v>
      </c>
      <c r="H310">
        <v>1</v>
      </c>
      <c r="I310">
        <v>163</v>
      </c>
      <c r="J310" s="7">
        <v>632.45650000000001</v>
      </c>
      <c r="K310" s="7">
        <v>630.17072247780004</v>
      </c>
      <c r="L310" s="7">
        <v>625.17218716929995</v>
      </c>
      <c r="M310" s="7">
        <v>3.1078727E-3</v>
      </c>
      <c r="N310" s="7">
        <v>630.48267975889996</v>
      </c>
      <c r="O310" s="7">
        <v>630.48267975889996</v>
      </c>
      <c r="P310" s="7">
        <v>625.17218716929995</v>
      </c>
      <c r="Q310" s="7">
        <v>1</v>
      </c>
      <c r="R310" s="7">
        <v>364.10939999999999</v>
      </c>
      <c r="S310" s="7">
        <v>0.57050000000000001</v>
      </c>
      <c r="T310" s="7">
        <v>0.16300000000000001</v>
      </c>
      <c r="U310" s="7">
        <v>363.3759</v>
      </c>
      <c r="V310" s="7" t="s">
        <v>85</v>
      </c>
      <c r="W310" s="11">
        <v>45861.645833333336</v>
      </c>
    </row>
    <row r="311" spans="1:23">
      <c r="A311" t="s">
        <v>87</v>
      </c>
      <c r="B311">
        <v>58</v>
      </c>
      <c r="C311" s="10">
        <v>45863</v>
      </c>
      <c r="D311" s="11">
        <v>45863.520833333336</v>
      </c>
      <c r="E311" s="11">
        <v>45863.520833333336</v>
      </c>
      <c r="F311" t="s">
        <v>106</v>
      </c>
      <c r="G311" t="s">
        <v>107</v>
      </c>
      <c r="H311">
        <v>1</v>
      </c>
      <c r="I311">
        <v>162</v>
      </c>
      <c r="J311" s="7">
        <v>635.00450000000001</v>
      </c>
      <c r="K311" s="7">
        <v>634.88155851819999</v>
      </c>
      <c r="L311" s="7">
        <v>631.31948773390002</v>
      </c>
      <c r="M311" s="7">
        <v>2.1279990999999998E-3</v>
      </c>
      <c r="N311" s="7">
        <v>634.08592780740003</v>
      </c>
      <c r="O311" s="7">
        <v>634.88155851819999</v>
      </c>
      <c r="P311" s="7">
        <v>631.31948773390002</v>
      </c>
      <c r="Q311" s="7">
        <v>1</v>
      </c>
      <c r="R311" s="7">
        <v>0</v>
      </c>
      <c r="S311" s="7">
        <v>0.56699999999999995</v>
      </c>
      <c r="T311" s="7">
        <v>0.16200000000000001</v>
      </c>
      <c r="U311" s="7">
        <v>-0.72899999999999998</v>
      </c>
      <c r="V311" s="7" t="s">
        <v>110</v>
      </c>
      <c r="W311" s="11">
        <v>45863.5</v>
      </c>
    </row>
    <row r="312" spans="1:23">
      <c r="A312" t="s">
        <v>87</v>
      </c>
      <c r="B312">
        <v>58</v>
      </c>
      <c r="C312" s="10">
        <v>45863</v>
      </c>
      <c r="D312" s="11">
        <v>45863.541666666664</v>
      </c>
      <c r="E312" s="11">
        <v>45863.541666666664</v>
      </c>
      <c r="F312" t="s">
        <v>108</v>
      </c>
      <c r="G312" t="s">
        <v>109</v>
      </c>
      <c r="H312">
        <v>1</v>
      </c>
      <c r="I312">
        <v>162</v>
      </c>
      <c r="J312" s="7">
        <v>635.08420000000001</v>
      </c>
      <c r="K312" s="7">
        <v>635.11292187519996</v>
      </c>
      <c r="L312" s="7">
        <v>631.08844122020002</v>
      </c>
      <c r="M312" s="7">
        <v>2.4931942999999999E-3</v>
      </c>
      <c r="N312" s="7">
        <v>634.18864282139998</v>
      </c>
      <c r="O312" s="7">
        <v>635.11292187519996</v>
      </c>
      <c r="P312" s="7">
        <v>631.08844122020002</v>
      </c>
      <c r="Q312" s="7">
        <v>1</v>
      </c>
      <c r="R312" s="7">
        <v>12.9114</v>
      </c>
      <c r="S312" s="7">
        <v>0.56699999999999995</v>
      </c>
      <c r="T312" s="7">
        <v>0.16200000000000001</v>
      </c>
      <c r="U312" s="7">
        <v>12.182399999999999</v>
      </c>
      <c r="V312" s="7" t="s">
        <v>88</v>
      </c>
      <c r="W312" s="11">
        <v>45863.520833333336</v>
      </c>
    </row>
    <row r="313" spans="1:23">
      <c r="A313" t="s">
        <v>87</v>
      </c>
      <c r="B313">
        <v>59</v>
      </c>
      <c r="C313" s="10">
        <v>45863</v>
      </c>
      <c r="D313" s="11">
        <v>45863.5625</v>
      </c>
      <c r="E313" s="11">
        <v>45863.5625</v>
      </c>
      <c r="F313" t="s">
        <v>106</v>
      </c>
      <c r="G313" t="s">
        <v>107</v>
      </c>
      <c r="H313">
        <v>1</v>
      </c>
      <c r="I313">
        <v>162</v>
      </c>
      <c r="J313" s="7">
        <v>635.28359999999998</v>
      </c>
      <c r="K313" s="7">
        <v>635.21042054359998</v>
      </c>
      <c r="L313" s="7">
        <v>630.99107607250005</v>
      </c>
      <c r="M313" s="7">
        <v>2.6470909999999999E-3</v>
      </c>
      <c r="N313" s="7">
        <v>634.27490796209997</v>
      </c>
      <c r="O313" s="7">
        <v>635.21042054359998</v>
      </c>
      <c r="P313" s="7">
        <v>630.99107607250005</v>
      </c>
      <c r="Q313" s="7">
        <v>1</v>
      </c>
      <c r="R313" s="7">
        <v>0</v>
      </c>
      <c r="S313" s="7">
        <v>0.56699999999999995</v>
      </c>
      <c r="T313" s="7">
        <v>0.16200000000000001</v>
      </c>
      <c r="U313" s="7">
        <v>-0.72899999999999998</v>
      </c>
      <c r="V313" s="7" t="s">
        <v>110</v>
      </c>
      <c r="W313" s="11">
        <v>45863.541666666664</v>
      </c>
    </row>
    <row r="314" spans="1:23">
      <c r="A314" t="s">
        <v>87</v>
      </c>
      <c r="B314">
        <v>59</v>
      </c>
      <c r="C314" s="10">
        <v>45863</v>
      </c>
      <c r="D314" s="11">
        <v>45863.625</v>
      </c>
      <c r="E314" s="11">
        <v>45863.625</v>
      </c>
      <c r="F314" t="s">
        <v>108</v>
      </c>
      <c r="G314" t="s">
        <v>109</v>
      </c>
      <c r="H314">
        <v>1</v>
      </c>
      <c r="I314">
        <v>162</v>
      </c>
      <c r="J314" s="7">
        <v>635.41830000000004</v>
      </c>
      <c r="K314" s="7">
        <v>635.42658143519998</v>
      </c>
      <c r="L314" s="7">
        <v>630.77521120510005</v>
      </c>
      <c r="M314" s="7">
        <v>2.9882899000000002E-3</v>
      </c>
      <c r="N314" s="7">
        <v>634.54951065199998</v>
      </c>
      <c r="O314" s="7">
        <v>635.42658143519998</v>
      </c>
      <c r="P314" s="7">
        <v>630.77521120510005</v>
      </c>
      <c r="Q314" s="7">
        <v>1</v>
      </c>
      <c r="R314" s="7">
        <v>21.821400000000001</v>
      </c>
      <c r="S314" s="7">
        <v>0.56699999999999995</v>
      </c>
      <c r="T314" s="7">
        <v>0.16200000000000001</v>
      </c>
      <c r="U314" s="7">
        <v>21.092400000000001</v>
      </c>
      <c r="V314" s="7" t="s">
        <v>88</v>
      </c>
      <c r="W314" s="11">
        <v>45863.604166666664</v>
      </c>
    </row>
    <row r="315" spans="1:23">
      <c r="A315" t="s">
        <v>87</v>
      </c>
      <c r="B315">
        <v>60</v>
      </c>
      <c r="C315" s="10">
        <v>45863</v>
      </c>
      <c r="D315" s="11">
        <v>45863.645833333336</v>
      </c>
      <c r="E315" s="11">
        <v>45863.645833333336</v>
      </c>
      <c r="F315" t="s">
        <v>106</v>
      </c>
      <c r="G315" t="s">
        <v>107</v>
      </c>
      <c r="H315">
        <v>1</v>
      </c>
      <c r="I315">
        <v>162</v>
      </c>
      <c r="J315" s="7">
        <v>635.56790000000001</v>
      </c>
      <c r="K315" s="7">
        <v>635.47742969540002</v>
      </c>
      <c r="L315" s="7">
        <v>630.72443257969996</v>
      </c>
      <c r="M315" s="7">
        <v>3.0685512000000002E-3</v>
      </c>
      <c r="N315" s="7">
        <v>634.63389012779999</v>
      </c>
      <c r="O315" s="7">
        <v>635.47742969540002</v>
      </c>
      <c r="P315" s="7">
        <v>630.72443257969996</v>
      </c>
      <c r="Q315" s="7">
        <v>1</v>
      </c>
      <c r="R315" s="7">
        <v>0</v>
      </c>
      <c r="S315" s="7">
        <v>0.56699999999999995</v>
      </c>
      <c r="T315" s="7">
        <v>0.16200000000000001</v>
      </c>
      <c r="U315" s="7">
        <v>-0.72899999999999998</v>
      </c>
      <c r="V315" s="7" t="s">
        <v>110</v>
      </c>
      <c r="W315" s="11">
        <v>45863.625</v>
      </c>
    </row>
    <row r="316" spans="1:23">
      <c r="A316" t="s">
        <v>87</v>
      </c>
      <c r="B316">
        <v>60</v>
      </c>
      <c r="C316" s="10">
        <v>45863</v>
      </c>
      <c r="D316" s="11">
        <v>45863.666666666664</v>
      </c>
      <c r="E316" s="11">
        <v>45863.666666666664</v>
      </c>
      <c r="F316" t="s">
        <v>108</v>
      </c>
      <c r="G316" t="s">
        <v>109</v>
      </c>
      <c r="H316">
        <v>1</v>
      </c>
      <c r="I316">
        <v>162</v>
      </c>
      <c r="J316" s="7">
        <v>635.33839999999998</v>
      </c>
      <c r="K316" s="7">
        <v>635.48523126120006</v>
      </c>
      <c r="L316" s="7">
        <v>630.71664169780001</v>
      </c>
      <c r="M316" s="7">
        <v>3.0808656000000001E-3</v>
      </c>
      <c r="N316" s="7">
        <v>634.79679535809998</v>
      </c>
      <c r="O316" s="7">
        <v>635.48523126120006</v>
      </c>
      <c r="P316" s="7">
        <v>630.71664169780001</v>
      </c>
      <c r="Q316" s="7">
        <v>1</v>
      </c>
      <c r="R316" s="7">
        <v>-37.179000000000002</v>
      </c>
      <c r="S316" s="7">
        <v>0.56699999999999995</v>
      </c>
      <c r="T316" s="7">
        <v>0.16200000000000001</v>
      </c>
      <c r="U316" s="7">
        <v>-37.908000000000001</v>
      </c>
      <c r="V316" s="7" t="s">
        <v>85</v>
      </c>
      <c r="W316" s="11">
        <v>45863.645833333336</v>
      </c>
    </row>
    <row r="317" spans="1:23">
      <c r="A317" t="s">
        <v>87</v>
      </c>
      <c r="B317">
        <v>61</v>
      </c>
      <c r="C317" s="10">
        <v>45867</v>
      </c>
      <c r="D317" s="11">
        <v>45867.479166666664</v>
      </c>
      <c r="E317" s="11">
        <v>45867.479166666664</v>
      </c>
      <c r="F317" t="s">
        <v>106</v>
      </c>
      <c r="G317" t="s">
        <v>109</v>
      </c>
      <c r="H317">
        <v>-1</v>
      </c>
      <c r="I317">
        <v>161</v>
      </c>
      <c r="J317" s="7">
        <v>633.48360000000002</v>
      </c>
      <c r="K317" s="7">
        <v>637.21822542519999</v>
      </c>
      <c r="L317" s="7">
        <v>634.2182036506</v>
      </c>
      <c r="M317" s="7">
        <v>1.5123243000000001E-3</v>
      </c>
      <c r="N317" s="7">
        <v>635.20084299730001</v>
      </c>
      <c r="O317" s="7">
        <v>637.21822542519999</v>
      </c>
      <c r="P317" s="7">
        <v>634.2182036506</v>
      </c>
      <c r="Q317" s="7">
        <v>1</v>
      </c>
      <c r="R317" s="7">
        <v>0</v>
      </c>
      <c r="S317" s="7">
        <v>0.5635</v>
      </c>
      <c r="T317" s="7">
        <v>0.161</v>
      </c>
      <c r="U317" s="7">
        <v>-0.72450000000000003</v>
      </c>
      <c r="V317" s="7" t="s">
        <v>110</v>
      </c>
      <c r="W317" s="11">
        <v>45867.458333333336</v>
      </c>
    </row>
    <row r="318" spans="1:23">
      <c r="A318" t="s">
        <v>87</v>
      </c>
      <c r="B318">
        <v>61</v>
      </c>
      <c r="C318" s="10">
        <v>45867</v>
      </c>
      <c r="D318" s="11">
        <v>45867.541666666664</v>
      </c>
      <c r="E318" s="11">
        <v>45867.541666666664</v>
      </c>
      <c r="F318" t="s">
        <v>108</v>
      </c>
      <c r="G318" t="s">
        <v>107</v>
      </c>
      <c r="H318">
        <v>-1</v>
      </c>
      <c r="I318">
        <v>161</v>
      </c>
      <c r="J318" s="7">
        <v>634.39589999999998</v>
      </c>
      <c r="K318" s="7">
        <v>637.70628250699997</v>
      </c>
      <c r="L318" s="7">
        <v>633.73097286359996</v>
      </c>
      <c r="M318" s="7">
        <v>2.2794008999999999E-3</v>
      </c>
      <c r="N318" s="7">
        <v>634.83360078249996</v>
      </c>
      <c r="O318" s="7">
        <v>637.70628250699997</v>
      </c>
      <c r="P318" s="7">
        <v>633.73097286359996</v>
      </c>
      <c r="Q318" s="7">
        <v>1</v>
      </c>
      <c r="R318" s="7">
        <v>-146.88030000000001</v>
      </c>
      <c r="S318" s="7">
        <v>0.5635</v>
      </c>
      <c r="T318" s="7">
        <v>0.161</v>
      </c>
      <c r="U318" s="7">
        <v>-147.60480000000001</v>
      </c>
      <c r="V318" s="7" t="s">
        <v>88</v>
      </c>
      <c r="W318" s="11">
        <v>45867.520833333336</v>
      </c>
    </row>
    <row r="319" spans="1:23">
      <c r="A319" t="s">
        <v>87</v>
      </c>
      <c r="B319">
        <v>62</v>
      </c>
      <c r="C319" s="10">
        <v>45868</v>
      </c>
      <c r="D319" s="11">
        <v>45868.4375</v>
      </c>
      <c r="E319" s="11">
        <v>45868.4375</v>
      </c>
      <c r="F319" t="s">
        <v>106</v>
      </c>
      <c r="G319" t="s">
        <v>107</v>
      </c>
      <c r="H319">
        <v>1</v>
      </c>
      <c r="I319">
        <v>161</v>
      </c>
      <c r="J319" s="7">
        <v>634.6105</v>
      </c>
      <c r="K319" s="7">
        <v>634.44776607680001</v>
      </c>
      <c r="L319" s="7">
        <v>633.00838468330005</v>
      </c>
      <c r="M319" s="7">
        <v>7.8155100000000001E-4</v>
      </c>
      <c r="N319" s="7">
        <v>634.19817326190002</v>
      </c>
      <c r="O319" s="7">
        <v>634.44776607680001</v>
      </c>
      <c r="P319" s="7">
        <v>633.00838468330005</v>
      </c>
      <c r="Q319" s="7">
        <v>1</v>
      </c>
      <c r="R319" s="7">
        <v>0</v>
      </c>
      <c r="S319" s="7">
        <v>0.5635</v>
      </c>
      <c r="T319" s="7">
        <v>0.161</v>
      </c>
      <c r="U319" s="7">
        <v>-0.72450000000000003</v>
      </c>
      <c r="V319" s="7" t="s">
        <v>110</v>
      </c>
      <c r="W319" s="11">
        <v>45868.416666666664</v>
      </c>
    </row>
    <row r="320" spans="1:23">
      <c r="A320" t="s">
        <v>87</v>
      </c>
      <c r="B320">
        <v>62</v>
      </c>
      <c r="C320" s="10">
        <v>45868</v>
      </c>
      <c r="D320" s="11">
        <v>45868.458333333336</v>
      </c>
      <c r="E320" s="11">
        <v>45868.458333333336</v>
      </c>
      <c r="F320" t="s">
        <v>108</v>
      </c>
      <c r="G320" t="s">
        <v>109</v>
      </c>
      <c r="H320">
        <v>1</v>
      </c>
      <c r="I320">
        <v>161</v>
      </c>
      <c r="J320" s="7">
        <v>634.5009</v>
      </c>
      <c r="K320" s="7">
        <v>634.77235143810003</v>
      </c>
      <c r="L320" s="7">
        <v>632.68402910889995</v>
      </c>
      <c r="M320" s="7">
        <v>1.2935538000000001E-3</v>
      </c>
      <c r="N320" s="7">
        <v>634.27037281510002</v>
      </c>
      <c r="O320" s="7">
        <v>634.77235143810003</v>
      </c>
      <c r="P320" s="7">
        <v>632.68402910889995</v>
      </c>
      <c r="Q320" s="7">
        <v>1</v>
      </c>
      <c r="R320" s="7">
        <v>-17.645600000000002</v>
      </c>
      <c r="S320" s="7">
        <v>0.5635</v>
      </c>
      <c r="T320" s="7">
        <v>0.161</v>
      </c>
      <c r="U320" s="7">
        <v>-18.370100000000001</v>
      </c>
      <c r="V320" s="7" t="s">
        <v>88</v>
      </c>
      <c r="W320" s="11">
        <v>45868.4375</v>
      </c>
    </row>
    <row r="321" spans="1:23">
      <c r="A321" t="s">
        <v>87</v>
      </c>
      <c r="B321">
        <v>63</v>
      </c>
      <c r="C321" s="10">
        <v>45868</v>
      </c>
      <c r="D321" s="11">
        <v>45868.625</v>
      </c>
      <c r="E321" s="11">
        <v>45868.625</v>
      </c>
      <c r="F321" t="s">
        <v>106</v>
      </c>
      <c r="G321" t="s">
        <v>109</v>
      </c>
      <c r="H321">
        <v>-1</v>
      </c>
      <c r="I321">
        <v>161</v>
      </c>
      <c r="J321" s="7">
        <v>630.98050000000001</v>
      </c>
      <c r="K321" s="7">
        <v>635.94832371769996</v>
      </c>
      <c r="L321" s="7">
        <v>631.50888934679995</v>
      </c>
      <c r="M321" s="7">
        <v>3.1485393000000002E-3</v>
      </c>
      <c r="N321" s="7">
        <v>633.4921286407</v>
      </c>
      <c r="O321" s="7">
        <v>635.94832371769996</v>
      </c>
      <c r="P321" s="7">
        <v>631.50888934679995</v>
      </c>
      <c r="Q321" s="7">
        <v>1</v>
      </c>
      <c r="R321" s="7">
        <v>0</v>
      </c>
      <c r="S321" s="7">
        <v>0.5635</v>
      </c>
      <c r="T321" s="7">
        <v>0.161</v>
      </c>
      <c r="U321" s="7">
        <v>-0.72450000000000003</v>
      </c>
      <c r="V321" s="7" t="s">
        <v>110</v>
      </c>
      <c r="W321" s="11">
        <v>45868.604166666664</v>
      </c>
    </row>
    <row r="322" spans="1:23">
      <c r="A322" t="s">
        <v>87</v>
      </c>
      <c r="B322">
        <v>63</v>
      </c>
      <c r="C322" s="10">
        <v>45868</v>
      </c>
      <c r="D322" s="11">
        <v>45868.666666666664</v>
      </c>
      <c r="E322" s="11">
        <v>45868.666666666664</v>
      </c>
      <c r="F322" t="s">
        <v>108</v>
      </c>
      <c r="G322" t="s">
        <v>107</v>
      </c>
      <c r="H322">
        <v>-1</v>
      </c>
      <c r="I322">
        <v>161</v>
      </c>
      <c r="J322" s="7">
        <v>632.70579999999995</v>
      </c>
      <c r="K322" s="7">
        <v>636.01812601159997</v>
      </c>
      <c r="L322" s="7">
        <v>631.43913646860005</v>
      </c>
      <c r="M322" s="7">
        <v>3.2586458E-3</v>
      </c>
      <c r="N322" s="7">
        <v>632.77469066419997</v>
      </c>
      <c r="O322" s="7">
        <v>636.01812601159997</v>
      </c>
      <c r="P322" s="7">
        <v>631.43913646860005</v>
      </c>
      <c r="Q322" s="7">
        <v>1</v>
      </c>
      <c r="R322" s="7">
        <v>-277.77330000000001</v>
      </c>
      <c r="S322" s="7">
        <v>0.5635</v>
      </c>
      <c r="T322" s="7">
        <v>0.161</v>
      </c>
      <c r="U322" s="7">
        <v>-278.49779999999998</v>
      </c>
      <c r="V322" s="7" t="s">
        <v>85</v>
      </c>
      <c r="W322" s="11">
        <v>45868.645833333336</v>
      </c>
    </row>
    <row r="323" spans="1:23">
      <c r="A323" t="s">
        <v>87</v>
      </c>
      <c r="B323">
        <v>64</v>
      </c>
      <c r="C323" s="10">
        <v>45874</v>
      </c>
      <c r="D323" s="11">
        <v>45874.4375</v>
      </c>
      <c r="E323" s="11">
        <v>45874.4375</v>
      </c>
      <c r="F323" t="s">
        <v>106</v>
      </c>
      <c r="G323" t="s">
        <v>109</v>
      </c>
      <c r="H323">
        <v>-1</v>
      </c>
      <c r="I323">
        <v>162</v>
      </c>
      <c r="J323" s="7">
        <v>628.10850000000005</v>
      </c>
      <c r="K323" s="7">
        <v>630.14410782050004</v>
      </c>
      <c r="L323" s="7">
        <v>628.77546429059998</v>
      </c>
      <c r="M323" s="7">
        <v>1.0316335000000001E-3</v>
      </c>
      <c r="N323" s="7">
        <v>628.7967247025</v>
      </c>
      <c r="O323" s="7">
        <v>630.14410782050004</v>
      </c>
      <c r="P323" s="7">
        <v>628.77546429059998</v>
      </c>
      <c r="Q323" s="7">
        <v>1</v>
      </c>
      <c r="R323" s="7">
        <v>0</v>
      </c>
      <c r="S323" s="7">
        <v>0.56699999999999995</v>
      </c>
      <c r="T323" s="7">
        <v>0.16200000000000001</v>
      </c>
      <c r="U323" s="7">
        <v>-0.72899999999999998</v>
      </c>
      <c r="V323" s="7" t="s">
        <v>110</v>
      </c>
      <c r="W323" s="11">
        <v>45874.416666666664</v>
      </c>
    </row>
    <row r="324" spans="1:23">
      <c r="A324" t="s">
        <v>87</v>
      </c>
      <c r="B324">
        <v>64</v>
      </c>
      <c r="C324" s="10">
        <v>45874</v>
      </c>
      <c r="D324" s="11">
        <v>45874.5625</v>
      </c>
      <c r="E324" s="11">
        <v>45874.5625</v>
      </c>
      <c r="F324" t="s">
        <v>108</v>
      </c>
      <c r="G324" t="s">
        <v>107</v>
      </c>
      <c r="H324">
        <v>-1</v>
      </c>
      <c r="I324">
        <v>162</v>
      </c>
      <c r="J324" s="7">
        <v>627.96690000000001</v>
      </c>
      <c r="K324" s="7">
        <v>631.02069218099996</v>
      </c>
      <c r="L324" s="7">
        <v>627.89897726740003</v>
      </c>
      <c r="M324" s="7">
        <v>2.4241541E-3</v>
      </c>
      <c r="N324" s="7">
        <v>627.30936498460005</v>
      </c>
      <c r="O324" s="7">
        <v>631.02069218099996</v>
      </c>
      <c r="P324" s="7">
        <v>627.30936498460005</v>
      </c>
      <c r="Q324" s="7">
        <v>1</v>
      </c>
      <c r="R324" s="7">
        <v>22.9392</v>
      </c>
      <c r="S324" s="7">
        <v>0.56699999999999995</v>
      </c>
      <c r="T324" s="7">
        <v>0.16200000000000001</v>
      </c>
      <c r="U324" s="7">
        <v>22.2102</v>
      </c>
      <c r="V324" s="7" t="s">
        <v>88</v>
      </c>
      <c r="W324" s="11">
        <v>45874.541666666664</v>
      </c>
    </row>
    <row r="325" spans="1:23">
      <c r="A325" t="s">
        <v>87</v>
      </c>
      <c r="B325">
        <v>65</v>
      </c>
      <c r="C325" s="10">
        <v>45874</v>
      </c>
      <c r="D325" s="11">
        <v>45874.604166666664</v>
      </c>
      <c r="E325" s="11">
        <v>45874.604166666664</v>
      </c>
      <c r="F325" t="s">
        <v>106</v>
      </c>
      <c r="G325" t="s">
        <v>109</v>
      </c>
      <c r="H325">
        <v>-1</v>
      </c>
      <c r="I325">
        <v>162</v>
      </c>
      <c r="J325" s="7">
        <v>626.8021</v>
      </c>
      <c r="K325" s="7">
        <v>631.29007916969999</v>
      </c>
      <c r="L325" s="7">
        <v>627.62962019179997</v>
      </c>
      <c r="M325" s="7">
        <v>2.8520958000000001E-3</v>
      </c>
      <c r="N325" s="7">
        <v>627.31920353639998</v>
      </c>
      <c r="O325" s="7">
        <v>631.29007916969999</v>
      </c>
      <c r="P325" s="7">
        <v>627.31920353639998</v>
      </c>
      <c r="Q325" s="7">
        <v>1</v>
      </c>
      <c r="R325" s="7">
        <v>0</v>
      </c>
      <c r="S325" s="7">
        <v>0.56699999999999995</v>
      </c>
      <c r="T325" s="7">
        <v>0.16200000000000001</v>
      </c>
      <c r="U325" s="7">
        <v>-0.72899999999999998</v>
      </c>
      <c r="V325" s="7" t="s">
        <v>110</v>
      </c>
      <c r="W325" s="11">
        <v>45874.583333333336</v>
      </c>
    </row>
    <row r="326" spans="1:23">
      <c r="A326" t="s">
        <v>87</v>
      </c>
      <c r="B326">
        <v>65</v>
      </c>
      <c r="C326" s="10">
        <v>45874</v>
      </c>
      <c r="D326" s="11">
        <v>45874.645833333336</v>
      </c>
      <c r="E326" s="11">
        <v>45874.645833333336</v>
      </c>
      <c r="F326" t="s">
        <v>108</v>
      </c>
      <c r="G326" t="s">
        <v>107</v>
      </c>
      <c r="H326">
        <v>-1</v>
      </c>
      <c r="I326">
        <v>162</v>
      </c>
      <c r="J326" s="7">
        <v>627.24090000000001</v>
      </c>
      <c r="K326" s="7">
        <v>631.74885548359998</v>
      </c>
      <c r="L326" s="7">
        <v>627.17089482109998</v>
      </c>
      <c r="M326" s="7">
        <v>3.5808966999999999E-3</v>
      </c>
      <c r="N326" s="7">
        <v>627.27105602879999</v>
      </c>
      <c r="O326" s="7">
        <v>631.74885548359998</v>
      </c>
      <c r="P326" s="7">
        <v>627.17089482109998</v>
      </c>
      <c r="Q326" s="7">
        <v>1</v>
      </c>
      <c r="R326" s="7">
        <v>-71.085599999999999</v>
      </c>
      <c r="S326" s="7">
        <v>0.56699999999999995</v>
      </c>
      <c r="T326" s="7">
        <v>0.16200000000000001</v>
      </c>
      <c r="U326" s="7">
        <v>-71.814599999999999</v>
      </c>
      <c r="V326" s="7" t="s">
        <v>88</v>
      </c>
      <c r="W326" s="11">
        <v>45874.625</v>
      </c>
    </row>
    <row r="327" spans="1:23">
      <c r="A327" t="s">
        <v>87</v>
      </c>
      <c r="B327">
        <v>66</v>
      </c>
      <c r="C327" s="10">
        <v>45875</v>
      </c>
      <c r="D327" s="11">
        <v>45875.458333333336</v>
      </c>
      <c r="E327" s="11">
        <v>45875.458333333336</v>
      </c>
      <c r="F327" t="s">
        <v>106</v>
      </c>
      <c r="G327" t="s">
        <v>107</v>
      </c>
      <c r="H327">
        <v>1</v>
      </c>
      <c r="I327">
        <v>163</v>
      </c>
      <c r="J327" s="7">
        <v>629.23540000000003</v>
      </c>
      <c r="K327" s="7">
        <v>628.21444655499999</v>
      </c>
      <c r="L327" s="7">
        <v>625.23181714700002</v>
      </c>
      <c r="M327" s="7">
        <v>1.5996952E-3</v>
      </c>
      <c r="N327" s="7">
        <v>627.68212717480003</v>
      </c>
      <c r="O327" s="7">
        <v>628.21444655499999</v>
      </c>
      <c r="P327" s="7">
        <v>625.23181714700002</v>
      </c>
      <c r="Q327" s="7">
        <v>1</v>
      </c>
      <c r="R327" s="7">
        <v>0</v>
      </c>
      <c r="S327" s="7">
        <v>0.57050000000000001</v>
      </c>
      <c r="T327" s="7">
        <v>0.16300000000000001</v>
      </c>
      <c r="U327" s="7">
        <v>-0.73350000000000004</v>
      </c>
      <c r="V327" s="7" t="s">
        <v>110</v>
      </c>
      <c r="W327" s="11">
        <v>45875.4375</v>
      </c>
    </row>
    <row r="328" spans="1:23">
      <c r="A328" t="s">
        <v>87</v>
      </c>
      <c r="B328">
        <v>66</v>
      </c>
      <c r="C328" s="10">
        <v>45875</v>
      </c>
      <c r="D328" s="11">
        <v>45875.666666666664</v>
      </c>
      <c r="E328" s="11">
        <v>45875.666666666664</v>
      </c>
      <c r="F328" t="s">
        <v>108</v>
      </c>
      <c r="G328" t="s">
        <v>109</v>
      </c>
      <c r="H328">
        <v>1</v>
      </c>
      <c r="I328">
        <v>163</v>
      </c>
      <c r="J328" s="7">
        <v>631.03049999999996</v>
      </c>
      <c r="K328" s="7">
        <v>629.50538296349998</v>
      </c>
      <c r="L328" s="7">
        <v>623.94289264539998</v>
      </c>
      <c r="M328" s="7">
        <v>3.6579119000000001E-3</v>
      </c>
      <c r="N328" s="7">
        <v>629.89443884529999</v>
      </c>
      <c r="O328" s="7">
        <v>629.89443884529999</v>
      </c>
      <c r="P328" s="7">
        <v>623.94289264539998</v>
      </c>
      <c r="Q328" s="7">
        <v>1</v>
      </c>
      <c r="R328" s="7">
        <v>292.60129999999998</v>
      </c>
      <c r="S328" s="7">
        <v>0.57050000000000001</v>
      </c>
      <c r="T328" s="7">
        <v>0.16300000000000001</v>
      </c>
      <c r="U328" s="7">
        <v>291.86779999999999</v>
      </c>
      <c r="V328" s="7" t="s">
        <v>85</v>
      </c>
      <c r="W328" s="11">
        <v>45875.645833333336</v>
      </c>
    </row>
    <row r="329" spans="1:23">
      <c r="A329" t="s">
        <v>87</v>
      </c>
      <c r="B329">
        <v>67</v>
      </c>
      <c r="C329" s="10">
        <v>45876</v>
      </c>
      <c r="D329" s="11">
        <v>45876.541666666664</v>
      </c>
      <c r="E329" s="11">
        <v>45876.541666666664</v>
      </c>
      <c r="F329" t="s">
        <v>106</v>
      </c>
      <c r="G329" t="s">
        <v>109</v>
      </c>
      <c r="H329">
        <v>-1</v>
      </c>
      <c r="I329">
        <v>161</v>
      </c>
      <c r="J329" s="7">
        <v>629.49469999999997</v>
      </c>
      <c r="K329" s="7">
        <v>636.20115968289997</v>
      </c>
      <c r="L329" s="7">
        <v>629.63746097190005</v>
      </c>
      <c r="M329" s="7">
        <v>2.2072458999999999E-3</v>
      </c>
      <c r="N329" s="7">
        <v>631.56682644049999</v>
      </c>
      <c r="O329" s="7">
        <v>636.20115968289997</v>
      </c>
      <c r="P329" s="7">
        <v>629.63746097190005</v>
      </c>
      <c r="Q329" s="7">
        <v>1</v>
      </c>
      <c r="R329" s="7">
        <v>0</v>
      </c>
      <c r="S329" s="7">
        <v>0.5635</v>
      </c>
      <c r="T329" s="7">
        <v>0.161</v>
      </c>
      <c r="U329" s="7">
        <v>-0.72450000000000003</v>
      </c>
      <c r="V329" s="7" t="s">
        <v>110</v>
      </c>
      <c r="W329" s="11">
        <v>45876.520833333336</v>
      </c>
    </row>
    <row r="330" spans="1:23">
      <c r="A330" t="s">
        <v>87</v>
      </c>
      <c r="B330">
        <v>67</v>
      </c>
      <c r="C330" s="10">
        <v>45876</v>
      </c>
      <c r="D330" s="11">
        <v>45876.645833333336</v>
      </c>
      <c r="E330" s="11">
        <v>45876.645833333336</v>
      </c>
      <c r="F330" t="s">
        <v>108</v>
      </c>
      <c r="G330" t="s">
        <v>107</v>
      </c>
      <c r="H330">
        <v>-1</v>
      </c>
      <c r="I330">
        <v>161</v>
      </c>
      <c r="J330" s="7">
        <v>628.62710000000004</v>
      </c>
      <c r="K330" s="7">
        <v>637.22514948080004</v>
      </c>
      <c r="L330" s="7">
        <v>628.61955204089998</v>
      </c>
      <c r="M330" s="7">
        <v>3.8203362999999998E-3</v>
      </c>
      <c r="N330" s="7">
        <v>630.55360980190005</v>
      </c>
      <c r="O330" s="7">
        <v>637.22514948080004</v>
      </c>
      <c r="P330" s="7">
        <v>628.61955204089998</v>
      </c>
      <c r="Q330" s="7">
        <v>1</v>
      </c>
      <c r="R330" s="7">
        <v>139.68360000000001</v>
      </c>
      <c r="S330" s="7">
        <v>0.5635</v>
      </c>
      <c r="T330" s="7">
        <v>0.161</v>
      </c>
      <c r="U330" s="7">
        <v>138.95910000000001</v>
      </c>
      <c r="V330" s="7" t="s">
        <v>88</v>
      </c>
      <c r="W330" s="11">
        <v>45876.625</v>
      </c>
    </row>
    <row r="331" spans="1:23">
      <c r="A331" t="s">
        <v>87</v>
      </c>
      <c r="B331">
        <v>68</v>
      </c>
      <c r="C331" s="10">
        <v>45881</v>
      </c>
      <c r="D331" s="11">
        <v>45881.4375</v>
      </c>
      <c r="E331" s="11">
        <v>45881.4375</v>
      </c>
      <c r="F331" t="s">
        <v>106</v>
      </c>
      <c r="G331" t="s">
        <v>107</v>
      </c>
      <c r="H331">
        <v>1</v>
      </c>
      <c r="I331">
        <v>161</v>
      </c>
      <c r="J331" s="7">
        <v>637.56230000000005</v>
      </c>
      <c r="K331" s="7">
        <v>636.19278418809995</v>
      </c>
      <c r="L331" s="7">
        <v>633.3787548821</v>
      </c>
      <c r="M331" s="7">
        <v>1.2346143000000001E-3</v>
      </c>
      <c r="N331" s="7">
        <v>636.13115499410003</v>
      </c>
      <c r="O331" s="7">
        <v>636.19278418809995</v>
      </c>
      <c r="P331" s="7">
        <v>633.3787548821</v>
      </c>
      <c r="Q331" s="7">
        <v>1</v>
      </c>
      <c r="R331" s="7">
        <v>0</v>
      </c>
      <c r="S331" s="7">
        <v>0.5635</v>
      </c>
      <c r="T331" s="7">
        <v>0.161</v>
      </c>
      <c r="U331" s="7">
        <v>-0.72450000000000003</v>
      </c>
      <c r="V331" s="7" t="s">
        <v>110</v>
      </c>
      <c r="W331" s="11">
        <v>45881.416666666664</v>
      </c>
    </row>
    <row r="332" spans="1:23">
      <c r="A332" t="s">
        <v>87</v>
      </c>
      <c r="B332">
        <v>68</v>
      </c>
      <c r="C332" s="10">
        <v>45881</v>
      </c>
      <c r="D332" s="11">
        <v>45881.666666666664</v>
      </c>
      <c r="E332" s="11">
        <v>45881.666666666664</v>
      </c>
      <c r="F332" t="s">
        <v>108</v>
      </c>
      <c r="G332" t="s">
        <v>109</v>
      </c>
      <c r="H332">
        <v>1</v>
      </c>
      <c r="I332">
        <v>161</v>
      </c>
      <c r="J332" s="7">
        <v>640.91300000000001</v>
      </c>
      <c r="K332" s="7">
        <v>637.95765260630003</v>
      </c>
      <c r="L332" s="7">
        <v>631.61734893829998</v>
      </c>
      <c r="M332" s="7">
        <v>4.0121486999999999E-3</v>
      </c>
      <c r="N332" s="7">
        <v>638.87106395199999</v>
      </c>
      <c r="O332" s="7">
        <v>638.87106395199999</v>
      </c>
      <c r="P332" s="7">
        <v>631.61734893829998</v>
      </c>
      <c r="Q332" s="7">
        <v>1</v>
      </c>
      <c r="R332" s="7">
        <v>539.46270000000004</v>
      </c>
      <c r="S332" s="7">
        <v>0.5635</v>
      </c>
      <c r="T332" s="7">
        <v>0.161</v>
      </c>
      <c r="U332" s="7">
        <v>538.73820000000001</v>
      </c>
      <c r="V332" s="7" t="s">
        <v>85</v>
      </c>
      <c r="W332" s="11">
        <v>45881.645833333336</v>
      </c>
    </row>
    <row r="333" spans="1:23">
      <c r="A333" t="s">
        <v>87</v>
      </c>
      <c r="B333">
        <v>69</v>
      </c>
      <c r="C333" s="10">
        <v>45888</v>
      </c>
      <c r="D333" s="11">
        <v>45888.458333333336</v>
      </c>
      <c r="E333" s="11">
        <v>45888.458333333336</v>
      </c>
      <c r="F333" t="s">
        <v>106</v>
      </c>
      <c r="G333" t="s">
        <v>109</v>
      </c>
      <c r="H333">
        <v>-1</v>
      </c>
      <c r="I333">
        <v>161</v>
      </c>
      <c r="J333" s="7">
        <v>639.48199999999997</v>
      </c>
      <c r="K333" s="7">
        <v>642.97805377170005</v>
      </c>
      <c r="L333" s="7">
        <v>639.64669723099996</v>
      </c>
      <c r="M333" s="7">
        <v>2.2707801000000001E-3</v>
      </c>
      <c r="N333" s="7">
        <v>640.58670796989998</v>
      </c>
      <c r="O333" s="7">
        <v>642.97805377170005</v>
      </c>
      <c r="P333" s="7">
        <v>639.64669723099996</v>
      </c>
      <c r="Q333" s="7">
        <v>1</v>
      </c>
      <c r="R333" s="7">
        <v>0</v>
      </c>
      <c r="S333" s="7">
        <v>0.5635</v>
      </c>
      <c r="T333" s="7">
        <v>0.161</v>
      </c>
      <c r="U333" s="7">
        <v>-0.72450000000000003</v>
      </c>
      <c r="V333" s="7" t="s">
        <v>110</v>
      </c>
      <c r="W333" s="11">
        <v>45888.4375</v>
      </c>
    </row>
    <row r="334" spans="1:23">
      <c r="A334" t="s">
        <v>87</v>
      </c>
      <c r="B334">
        <v>69</v>
      </c>
      <c r="C334" s="10">
        <v>45888</v>
      </c>
      <c r="D334" s="11">
        <v>45888.479166666664</v>
      </c>
      <c r="E334" s="11">
        <v>45888.479166666664</v>
      </c>
      <c r="F334" t="s">
        <v>108</v>
      </c>
      <c r="G334" t="s">
        <v>107</v>
      </c>
      <c r="H334">
        <v>-1</v>
      </c>
      <c r="I334">
        <v>161</v>
      </c>
      <c r="J334" s="7">
        <v>639.79610000000002</v>
      </c>
      <c r="K334" s="7">
        <v>643.09361238290001</v>
      </c>
      <c r="L334" s="7">
        <v>639.53121405909997</v>
      </c>
      <c r="M334" s="7">
        <v>2.4509122E-3</v>
      </c>
      <c r="N334" s="7">
        <v>640.43466490909998</v>
      </c>
      <c r="O334" s="7">
        <v>643.09361238290001</v>
      </c>
      <c r="P334" s="7">
        <v>639.53121405909997</v>
      </c>
      <c r="Q334" s="7">
        <v>1</v>
      </c>
      <c r="R334" s="7">
        <v>-50.570099999999996</v>
      </c>
      <c r="S334" s="7">
        <v>0.5635</v>
      </c>
      <c r="T334" s="7">
        <v>0.161</v>
      </c>
      <c r="U334" s="7">
        <v>-51.294600000000003</v>
      </c>
      <c r="V334" s="7" t="s">
        <v>88</v>
      </c>
      <c r="W334" s="11">
        <v>45888.458333333336</v>
      </c>
    </row>
    <row r="335" spans="1:23">
      <c r="A335" t="s">
        <v>87</v>
      </c>
      <c r="B335">
        <v>70</v>
      </c>
      <c r="C335" s="10">
        <v>45888</v>
      </c>
      <c r="D335" s="11">
        <v>45888.5</v>
      </c>
      <c r="E335" s="11">
        <v>45888.5</v>
      </c>
      <c r="F335" t="s">
        <v>106</v>
      </c>
      <c r="G335" t="s">
        <v>109</v>
      </c>
      <c r="H335">
        <v>-1</v>
      </c>
      <c r="I335">
        <v>161</v>
      </c>
      <c r="J335" s="7">
        <v>638.95839999999998</v>
      </c>
      <c r="K335" s="7">
        <v>643.28170545390003</v>
      </c>
      <c r="L335" s="7">
        <v>639.34324377969995</v>
      </c>
      <c r="M335" s="7">
        <v>2.7441106999999999E-3</v>
      </c>
      <c r="N335" s="7">
        <v>640.26065527879996</v>
      </c>
      <c r="O335" s="7">
        <v>643.28170545390003</v>
      </c>
      <c r="P335" s="7">
        <v>639.34324377969995</v>
      </c>
      <c r="Q335" s="7">
        <v>1</v>
      </c>
      <c r="R335" s="7">
        <v>0</v>
      </c>
      <c r="S335" s="7">
        <v>0.5635</v>
      </c>
      <c r="T335" s="7">
        <v>0.161</v>
      </c>
      <c r="U335" s="7">
        <v>-0.72450000000000003</v>
      </c>
      <c r="V335" s="7" t="s">
        <v>110</v>
      </c>
      <c r="W335" s="11">
        <v>45888.479166666664</v>
      </c>
    </row>
    <row r="336" spans="1:23">
      <c r="A336" t="s">
        <v>87</v>
      </c>
      <c r="B336">
        <v>70</v>
      </c>
      <c r="C336" s="10">
        <v>45888</v>
      </c>
      <c r="D336" s="11">
        <v>45888.666666666664</v>
      </c>
      <c r="E336" s="11">
        <v>45888.666666666664</v>
      </c>
      <c r="F336" t="s">
        <v>108</v>
      </c>
      <c r="G336" t="s">
        <v>107</v>
      </c>
      <c r="H336">
        <v>-1</v>
      </c>
      <c r="I336">
        <v>161</v>
      </c>
      <c r="J336" s="7">
        <v>638.04100000000005</v>
      </c>
      <c r="K336" s="7">
        <v>643.92192114579996</v>
      </c>
      <c r="L336" s="7">
        <v>638.70344603540002</v>
      </c>
      <c r="M336" s="7">
        <v>3.7420754999999998E-3</v>
      </c>
      <c r="N336" s="7">
        <v>638.87439333769998</v>
      </c>
      <c r="O336" s="7">
        <v>643.92192114579996</v>
      </c>
      <c r="P336" s="7">
        <v>638.70344603540002</v>
      </c>
      <c r="Q336" s="7">
        <v>1</v>
      </c>
      <c r="R336" s="7">
        <v>147.70140000000001</v>
      </c>
      <c r="S336" s="7">
        <v>0.5635</v>
      </c>
      <c r="T336" s="7">
        <v>0.161</v>
      </c>
      <c r="U336" s="7">
        <v>146.9769</v>
      </c>
      <c r="V336" s="7" t="s">
        <v>85</v>
      </c>
      <c r="W336" s="11">
        <v>45888.645833333336</v>
      </c>
    </row>
    <row r="337" spans="1:23">
      <c r="A337" t="s">
        <v>87</v>
      </c>
      <c r="B337">
        <v>71</v>
      </c>
      <c r="C337" s="10">
        <v>45889</v>
      </c>
      <c r="D337" s="11">
        <v>45889.4375</v>
      </c>
      <c r="E337" s="11">
        <v>45889.4375</v>
      </c>
      <c r="F337" t="s">
        <v>106</v>
      </c>
      <c r="G337" t="s">
        <v>109</v>
      </c>
      <c r="H337">
        <v>-1</v>
      </c>
      <c r="I337">
        <v>163</v>
      </c>
      <c r="J337" s="7">
        <v>632.18730000000005</v>
      </c>
      <c r="K337" s="7">
        <v>638.98867689320002</v>
      </c>
      <c r="L337" s="7">
        <v>632.61248835260005</v>
      </c>
      <c r="M337" s="7">
        <v>1.4852915000000001E-3</v>
      </c>
      <c r="N337" s="7">
        <v>632.98813804470001</v>
      </c>
      <c r="O337" s="7">
        <v>638.98867689320002</v>
      </c>
      <c r="P337" s="7">
        <v>632.61248835260005</v>
      </c>
      <c r="Q337" s="7">
        <v>1</v>
      </c>
      <c r="R337" s="7">
        <v>0</v>
      </c>
      <c r="S337" s="7">
        <v>0.57050000000000001</v>
      </c>
      <c r="T337" s="7">
        <v>0.16300000000000001</v>
      </c>
      <c r="U337" s="7">
        <v>-0.73350000000000004</v>
      </c>
      <c r="V337" s="7" t="s">
        <v>110</v>
      </c>
      <c r="W337" s="11">
        <v>45889.416666666664</v>
      </c>
    </row>
    <row r="338" spans="1:23">
      <c r="A338" t="s">
        <v>87</v>
      </c>
      <c r="B338">
        <v>71</v>
      </c>
      <c r="C338" s="10">
        <v>45889</v>
      </c>
      <c r="D338" s="11">
        <v>45889.479166666664</v>
      </c>
      <c r="E338" s="11">
        <v>45889.479166666664</v>
      </c>
      <c r="F338" t="s">
        <v>108</v>
      </c>
      <c r="G338" t="s">
        <v>107</v>
      </c>
      <c r="H338">
        <v>-1</v>
      </c>
      <c r="I338">
        <v>163</v>
      </c>
      <c r="J338" s="7">
        <v>634.5806</v>
      </c>
      <c r="K338" s="7">
        <v>639.66969341849995</v>
      </c>
      <c r="L338" s="7">
        <v>631.93626158480004</v>
      </c>
      <c r="M338" s="7">
        <v>2.5526469999999999E-3</v>
      </c>
      <c r="N338" s="7">
        <v>633.01422723960002</v>
      </c>
      <c r="O338" s="7">
        <v>639.66969341849995</v>
      </c>
      <c r="P338" s="7">
        <v>631.93626158480004</v>
      </c>
      <c r="Q338" s="7">
        <v>1</v>
      </c>
      <c r="R338" s="7">
        <v>-390.10789999999997</v>
      </c>
      <c r="S338" s="7">
        <v>0.57050000000000001</v>
      </c>
      <c r="T338" s="7">
        <v>0.16300000000000001</v>
      </c>
      <c r="U338" s="7">
        <v>-390.84140000000002</v>
      </c>
      <c r="V338" s="7" t="s">
        <v>88</v>
      </c>
      <c r="W338" s="11">
        <v>45889.458333333336</v>
      </c>
    </row>
    <row r="339" spans="1:23">
      <c r="A339" t="s">
        <v>87</v>
      </c>
      <c r="B339">
        <v>72</v>
      </c>
      <c r="C339" s="10">
        <v>45891</v>
      </c>
      <c r="D339" s="11">
        <v>45891.4375</v>
      </c>
      <c r="E339" s="11">
        <v>45891.4375</v>
      </c>
      <c r="F339" t="s">
        <v>106</v>
      </c>
      <c r="G339" t="s">
        <v>107</v>
      </c>
      <c r="H339">
        <v>1</v>
      </c>
      <c r="I339">
        <v>161</v>
      </c>
      <c r="J339" s="7">
        <v>642.4683</v>
      </c>
      <c r="K339" s="7">
        <v>638.18155971919998</v>
      </c>
      <c r="L339" s="7">
        <v>632.76009953840003</v>
      </c>
      <c r="M339" s="7">
        <v>1.6292400999999999E-3</v>
      </c>
      <c r="N339" s="7">
        <v>640.98642363490001</v>
      </c>
      <c r="O339" s="7">
        <v>640.98642363490001</v>
      </c>
      <c r="P339" s="7">
        <v>632.76009953840003</v>
      </c>
      <c r="Q339" s="7">
        <v>1</v>
      </c>
      <c r="R339" s="7">
        <v>0</v>
      </c>
      <c r="S339" s="7">
        <v>0.5635</v>
      </c>
      <c r="T339" s="7">
        <v>0.161</v>
      </c>
      <c r="U339" s="7">
        <v>-0.72450000000000003</v>
      </c>
      <c r="V339" s="7" t="s">
        <v>110</v>
      </c>
      <c r="W339" s="11">
        <v>45891.416666666664</v>
      </c>
    </row>
    <row r="340" spans="1:23">
      <c r="A340" t="s">
        <v>87</v>
      </c>
      <c r="B340">
        <v>72</v>
      </c>
      <c r="C340" s="10">
        <v>45891</v>
      </c>
      <c r="D340" s="11">
        <v>45891.666666666664</v>
      </c>
      <c r="E340" s="11">
        <v>45891.666666666664</v>
      </c>
      <c r="F340" t="s">
        <v>108</v>
      </c>
      <c r="G340" t="s">
        <v>109</v>
      </c>
      <c r="H340">
        <v>1</v>
      </c>
      <c r="I340">
        <v>161</v>
      </c>
      <c r="J340" s="7">
        <v>643.5258</v>
      </c>
      <c r="K340" s="7">
        <v>639.3268022538</v>
      </c>
      <c r="L340" s="7">
        <v>631.62087994629997</v>
      </c>
      <c r="M340" s="7">
        <v>3.4267041000000001E-3</v>
      </c>
      <c r="N340" s="7">
        <v>642.81313309459995</v>
      </c>
      <c r="O340" s="7">
        <v>642.81313309459995</v>
      </c>
      <c r="P340" s="7">
        <v>631.62087994629997</v>
      </c>
      <c r="Q340" s="7">
        <v>1</v>
      </c>
      <c r="R340" s="7">
        <v>170.25749999999999</v>
      </c>
      <c r="S340" s="7">
        <v>0.5635</v>
      </c>
      <c r="T340" s="7">
        <v>0.161</v>
      </c>
      <c r="U340" s="7">
        <v>169.53299999999999</v>
      </c>
      <c r="V340" s="7" t="s">
        <v>85</v>
      </c>
      <c r="W340" s="11">
        <v>45891.645833333336</v>
      </c>
    </row>
    <row r="341" spans="1:23">
      <c r="A341" t="s">
        <v>87</v>
      </c>
      <c r="B341">
        <v>73</v>
      </c>
      <c r="C341" s="10">
        <v>45897</v>
      </c>
      <c r="D341" s="11">
        <v>45897.604166666664</v>
      </c>
      <c r="E341" s="11">
        <v>45897.604166666664</v>
      </c>
      <c r="F341" t="s">
        <v>106</v>
      </c>
      <c r="G341" t="s">
        <v>107</v>
      </c>
      <c r="H341">
        <v>1</v>
      </c>
      <c r="I341">
        <v>160</v>
      </c>
      <c r="J341" s="7">
        <v>646.85659999999996</v>
      </c>
      <c r="K341" s="7">
        <v>646.62180719729997</v>
      </c>
      <c r="L341" s="7">
        <v>642.49546134879995</v>
      </c>
      <c r="M341" s="7">
        <v>2.7600671000000002E-3</v>
      </c>
      <c r="N341" s="7">
        <v>645.2110495595</v>
      </c>
      <c r="O341" s="7">
        <v>646.62180719729997</v>
      </c>
      <c r="P341" s="7">
        <v>642.49546134879995</v>
      </c>
      <c r="Q341" s="7">
        <v>1</v>
      </c>
      <c r="R341" s="7">
        <v>0</v>
      </c>
      <c r="S341" s="7">
        <v>0.56000000000000005</v>
      </c>
      <c r="T341" s="7">
        <v>0.16</v>
      </c>
      <c r="U341" s="7">
        <v>-0.72</v>
      </c>
      <c r="V341" s="7" t="s">
        <v>110</v>
      </c>
      <c r="W341" s="11">
        <v>45897.583333333336</v>
      </c>
    </row>
    <row r="342" spans="1:23">
      <c r="A342" t="s">
        <v>87</v>
      </c>
      <c r="B342">
        <v>73</v>
      </c>
      <c r="C342" s="10">
        <v>45897</v>
      </c>
      <c r="D342" s="11">
        <v>45897.666666666664</v>
      </c>
      <c r="E342" s="11">
        <v>45897.666666666664</v>
      </c>
      <c r="F342" t="s">
        <v>108</v>
      </c>
      <c r="G342" t="s">
        <v>109</v>
      </c>
      <c r="H342">
        <v>1</v>
      </c>
      <c r="I342">
        <v>160</v>
      </c>
      <c r="J342" s="7">
        <v>647.12580000000003</v>
      </c>
      <c r="K342" s="7">
        <v>646.95155300210001</v>
      </c>
      <c r="L342" s="7">
        <v>642.1660061494</v>
      </c>
      <c r="M342" s="7">
        <v>3.2714262000000001E-3</v>
      </c>
      <c r="N342" s="7">
        <v>645.90020434899998</v>
      </c>
      <c r="O342" s="7">
        <v>646.95155300210001</v>
      </c>
      <c r="P342" s="7">
        <v>642.1660061494</v>
      </c>
      <c r="Q342" s="7">
        <v>1</v>
      </c>
      <c r="R342" s="7">
        <v>43.072000000000003</v>
      </c>
      <c r="S342" s="7">
        <v>0.56000000000000005</v>
      </c>
      <c r="T342" s="7">
        <v>0.16</v>
      </c>
      <c r="U342" s="7">
        <v>42.351999999999997</v>
      </c>
      <c r="V342" s="7" t="s">
        <v>85</v>
      </c>
      <c r="W342" s="11">
        <v>45897.645833333336</v>
      </c>
    </row>
    <row r="343" spans="1:23">
      <c r="A343" t="s">
        <v>87</v>
      </c>
      <c r="B343">
        <v>74</v>
      </c>
      <c r="C343" s="10">
        <v>45898</v>
      </c>
      <c r="D343" s="11">
        <v>45898.458333333336</v>
      </c>
      <c r="E343" s="11">
        <v>45898.458333333336</v>
      </c>
      <c r="F343" t="s">
        <v>106</v>
      </c>
      <c r="G343" t="s">
        <v>109</v>
      </c>
      <c r="H343">
        <v>-1</v>
      </c>
      <c r="I343">
        <v>160</v>
      </c>
      <c r="J343" s="7">
        <v>641.95510000000002</v>
      </c>
      <c r="K343" s="7">
        <v>648.66819449549996</v>
      </c>
      <c r="L343" s="7">
        <v>642.17844052279997</v>
      </c>
      <c r="M343" s="7">
        <v>2.3836088E-3</v>
      </c>
      <c r="N343" s="7">
        <v>642.9827050463</v>
      </c>
      <c r="O343" s="7">
        <v>648.66819449549996</v>
      </c>
      <c r="P343" s="7">
        <v>642.17844052279997</v>
      </c>
      <c r="Q343" s="7">
        <v>1</v>
      </c>
      <c r="R343" s="7">
        <v>0</v>
      </c>
      <c r="S343" s="7">
        <v>0.56000000000000005</v>
      </c>
      <c r="T343" s="7">
        <v>0.16</v>
      </c>
      <c r="U343" s="7">
        <v>-0.72</v>
      </c>
      <c r="V343" s="7" t="s">
        <v>110</v>
      </c>
      <c r="W343" s="11">
        <v>45898.4375</v>
      </c>
    </row>
    <row r="344" spans="1:23">
      <c r="A344" t="s">
        <v>87</v>
      </c>
      <c r="B344">
        <v>74</v>
      </c>
      <c r="C344" s="10">
        <v>45898</v>
      </c>
      <c r="D344" s="11">
        <v>45898.479166666664</v>
      </c>
      <c r="E344" s="11">
        <v>45898.479166666664</v>
      </c>
      <c r="F344" t="s">
        <v>108</v>
      </c>
      <c r="G344" t="s">
        <v>107</v>
      </c>
      <c r="H344">
        <v>-1</v>
      </c>
      <c r="I344">
        <v>160</v>
      </c>
      <c r="J344" s="7">
        <v>642.65729999999996</v>
      </c>
      <c r="K344" s="7">
        <v>648.54115338229997</v>
      </c>
      <c r="L344" s="7">
        <v>642.30481162930005</v>
      </c>
      <c r="M344" s="7">
        <v>2.1872927999999998E-3</v>
      </c>
      <c r="N344" s="7">
        <v>642.94577415640003</v>
      </c>
      <c r="O344" s="7">
        <v>648.54115338229997</v>
      </c>
      <c r="P344" s="7">
        <v>642.30481162930005</v>
      </c>
      <c r="Q344" s="7">
        <v>1</v>
      </c>
      <c r="R344" s="7">
        <v>-112.352</v>
      </c>
      <c r="S344" s="7">
        <v>0.56000000000000005</v>
      </c>
      <c r="T344" s="7">
        <v>0.16</v>
      </c>
      <c r="U344" s="7">
        <v>-113.072</v>
      </c>
      <c r="V344" s="7" t="s">
        <v>88</v>
      </c>
      <c r="W344" s="11">
        <v>45898.458333333336</v>
      </c>
    </row>
    <row r="345" spans="1:23">
      <c r="A345" t="s">
        <v>87</v>
      </c>
      <c r="B345">
        <v>75</v>
      </c>
      <c r="C345" s="10">
        <v>45898</v>
      </c>
      <c r="D345" s="11">
        <v>45898.5</v>
      </c>
      <c r="E345" s="11">
        <v>45898.5</v>
      </c>
      <c r="F345" t="s">
        <v>106</v>
      </c>
      <c r="G345" t="s">
        <v>109</v>
      </c>
      <c r="H345">
        <v>-1</v>
      </c>
      <c r="I345">
        <v>160</v>
      </c>
      <c r="J345" s="7">
        <v>641.98009999999999</v>
      </c>
      <c r="K345" s="7">
        <v>648.48917794040005</v>
      </c>
      <c r="L345" s="7">
        <v>642.35651295599996</v>
      </c>
      <c r="M345" s="7">
        <v>2.1069753999999998E-3</v>
      </c>
      <c r="N345" s="7">
        <v>642.85525439239996</v>
      </c>
      <c r="O345" s="7">
        <v>648.48917794040005</v>
      </c>
      <c r="P345" s="7">
        <v>642.35651295599996</v>
      </c>
      <c r="Q345" s="7">
        <v>1</v>
      </c>
      <c r="R345" s="7">
        <v>0</v>
      </c>
      <c r="S345" s="7">
        <v>0.56000000000000005</v>
      </c>
      <c r="T345" s="7">
        <v>0.16</v>
      </c>
      <c r="U345" s="7">
        <v>-0.72</v>
      </c>
      <c r="V345" s="7" t="s">
        <v>110</v>
      </c>
      <c r="W345" s="11">
        <v>45898.479166666664</v>
      </c>
    </row>
    <row r="346" spans="1:23">
      <c r="A346" t="s">
        <v>87</v>
      </c>
      <c r="B346">
        <v>75</v>
      </c>
      <c r="C346" s="10">
        <v>45898</v>
      </c>
      <c r="D346" s="11">
        <v>45898.520833333336</v>
      </c>
      <c r="E346" s="11">
        <v>45898.520833333336</v>
      </c>
      <c r="F346" t="s">
        <v>108</v>
      </c>
      <c r="G346" t="s">
        <v>107</v>
      </c>
      <c r="H346">
        <v>-1</v>
      </c>
      <c r="I346">
        <v>160</v>
      </c>
      <c r="J346" s="7">
        <v>642.42880000000002</v>
      </c>
      <c r="K346" s="7">
        <v>648.83317497819996</v>
      </c>
      <c r="L346" s="7">
        <v>642.01433013680003</v>
      </c>
      <c r="M346" s="7">
        <v>2.6385522999999998E-3</v>
      </c>
      <c r="N346" s="7">
        <v>642.82205683029997</v>
      </c>
      <c r="O346" s="7">
        <v>648.83317497819996</v>
      </c>
      <c r="P346" s="7">
        <v>642.01433013680003</v>
      </c>
      <c r="Q346" s="7">
        <v>1</v>
      </c>
      <c r="R346" s="7">
        <v>-71.792000000000002</v>
      </c>
      <c r="S346" s="7">
        <v>0.56000000000000005</v>
      </c>
      <c r="T346" s="7">
        <v>0.16</v>
      </c>
      <c r="U346" s="7">
        <v>-72.512</v>
      </c>
      <c r="V346" s="7" t="s">
        <v>88</v>
      </c>
      <c r="W346" s="11">
        <v>45898.5</v>
      </c>
    </row>
    <row r="347" spans="1:23">
      <c r="A347" t="s">
        <v>87</v>
      </c>
      <c r="B347">
        <v>76</v>
      </c>
      <c r="C347" s="10">
        <v>45902</v>
      </c>
      <c r="D347" s="11">
        <v>45902.458333333336</v>
      </c>
      <c r="E347" s="11">
        <v>45902.458333333336</v>
      </c>
      <c r="F347" t="s">
        <v>106</v>
      </c>
      <c r="G347" t="s">
        <v>109</v>
      </c>
      <c r="H347">
        <v>-1</v>
      </c>
      <c r="I347">
        <v>161</v>
      </c>
      <c r="J347" s="7">
        <v>635.88699999999994</v>
      </c>
      <c r="K347" s="7">
        <v>644.85743672429999</v>
      </c>
      <c r="L347" s="7">
        <v>635.98537163360004</v>
      </c>
      <c r="M347" s="7">
        <v>2.4733714E-3</v>
      </c>
      <c r="N347" s="7">
        <v>637.24883816090005</v>
      </c>
      <c r="O347" s="7">
        <v>644.85743672429999</v>
      </c>
      <c r="P347" s="7">
        <v>635.98537163360004</v>
      </c>
      <c r="Q347" s="7">
        <v>1</v>
      </c>
      <c r="R347" s="7">
        <v>0</v>
      </c>
      <c r="S347" s="7">
        <v>0.5635</v>
      </c>
      <c r="T347" s="7">
        <v>0.161</v>
      </c>
      <c r="U347" s="7">
        <v>-0.72450000000000003</v>
      </c>
      <c r="V347" s="7" t="s">
        <v>110</v>
      </c>
      <c r="W347" s="11">
        <v>45902.4375</v>
      </c>
    </row>
    <row r="348" spans="1:23">
      <c r="A348" t="s">
        <v>87</v>
      </c>
      <c r="B348">
        <v>76</v>
      </c>
      <c r="C348" s="10">
        <v>45902</v>
      </c>
      <c r="D348" s="11">
        <v>45902.5625</v>
      </c>
      <c r="E348" s="11">
        <v>45902.5625</v>
      </c>
      <c r="F348" t="s">
        <v>108</v>
      </c>
      <c r="G348" t="s">
        <v>107</v>
      </c>
      <c r="H348">
        <v>-1</v>
      </c>
      <c r="I348">
        <v>161</v>
      </c>
      <c r="J348" s="7">
        <v>635.86739999999998</v>
      </c>
      <c r="K348" s="7">
        <v>645.19037158829997</v>
      </c>
      <c r="L348" s="7">
        <v>635.65538903590004</v>
      </c>
      <c r="M348" s="7">
        <v>2.9909405999999999E-3</v>
      </c>
      <c r="N348" s="7">
        <v>636.1028795213</v>
      </c>
      <c r="O348" s="7">
        <v>645.19037158829997</v>
      </c>
      <c r="P348" s="7">
        <v>635.65538903590004</v>
      </c>
      <c r="Q348" s="7">
        <v>1</v>
      </c>
      <c r="R348" s="7">
        <v>3.1556000000000002</v>
      </c>
      <c r="S348" s="7">
        <v>0.5635</v>
      </c>
      <c r="T348" s="7">
        <v>0.161</v>
      </c>
      <c r="U348" s="7">
        <v>2.4310999999999998</v>
      </c>
      <c r="V348" s="7" t="s">
        <v>88</v>
      </c>
      <c r="W348" s="11">
        <v>45902.541666666664</v>
      </c>
    </row>
    <row r="349" spans="1:23">
      <c r="A349" t="s">
        <v>87</v>
      </c>
      <c r="B349">
        <v>77</v>
      </c>
      <c r="C349" s="10">
        <v>45903</v>
      </c>
      <c r="D349" s="11">
        <v>45903.458333333336</v>
      </c>
      <c r="E349" s="11">
        <v>45903.458333333336</v>
      </c>
      <c r="F349" t="s">
        <v>106</v>
      </c>
      <c r="G349" t="s">
        <v>107</v>
      </c>
      <c r="H349">
        <v>1</v>
      </c>
      <c r="I349">
        <v>160</v>
      </c>
      <c r="J349" s="7">
        <v>642.20939999999996</v>
      </c>
      <c r="K349" s="7">
        <v>641.78915880500006</v>
      </c>
      <c r="L349" s="7">
        <v>636.99443773619998</v>
      </c>
      <c r="M349" s="7">
        <v>2.3573424999999999E-3</v>
      </c>
      <c r="N349" s="7">
        <v>640.83733642029995</v>
      </c>
      <c r="O349" s="7">
        <v>641.78915880500006</v>
      </c>
      <c r="P349" s="7">
        <v>636.99443773619998</v>
      </c>
      <c r="Q349" s="7">
        <v>1</v>
      </c>
      <c r="R349" s="7">
        <v>0</v>
      </c>
      <c r="S349" s="7">
        <v>0.56000000000000005</v>
      </c>
      <c r="T349" s="7">
        <v>0.16</v>
      </c>
      <c r="U349" s="7">
        <v>-0.72</v>
      </c>
      <c r="V349" s="7" t="s">
        <v>110</v>
      </c>
      <c r="W349" s="11">
        <v>45903.4375</v>
      </c>
    </row>
    <row r="350" spans="1:23">
      <c r="A350" t="s">
        <v>87</v>
      </c>
      <c r="B350">
        <v>77</v>
      </c>
      <c r="C350" s="10">
        <v>45903</v>
      </c>
      <c r="D350" s="11">
        <v>45903.479166666664</v>
      </c>
      <c r="E350" s="11">
        <v>45903.479166666664</v>
      </c>
      <c r="F350" t="s">
        <v>108</v>
      </c>
      <c r="G350" t="s">
        <v>109</v>
      </c>
      <c r="H350">
        <v>1</v>
      </c>
      <c r="I350">
        <v>160</v>
      </c>
      <c r="J350" s="7">
        <v>640.67370000000005</v>
      </c>
      <c r="K350" s="7">
        <v>641.67136662550001</v>
      </c>
      <c r="L350" s="7">
        <v>637.11190241259999</v>
      </c>
      <c r="M350" s="7">
        <v>2.1733727E-3</v>
      </c>
      <c r="N350" s="7">
        <v>640.80848612679995</v>
      </c>
      <c r="O350" s="7">
        <v>641.67136662550001</v>
      </c>
      <c r="P350" s="7">
        <v>637.11190241259999</v>
      </c>
      <c r="Q350" s="7">
        <v>1</v>
      </c>
      <c r="R350" s="7">
        <v>-245.71199999999999</v>
      </c>
      <c r="S350" s="7">
        <v>0.56000000000000005</v>
      </c>
      <c r="T350" s="7">
        <v>0.16</v>
      </c>
      <c r="U350" s="7">
        <v>-246.43199999999999</v>
      </c>
      <c r="V350" s="7" t="s">
        <v>88</v>
      </c>
      <c r="W350" s="11">
        <v>45903.458333333336</v>
      </c>
    </row>
    <row r="351" spans="1:23">
      <c r="A351" t="s">
        <v>87</v>
      </c>
      <c r="B351">
        <v>78</v>
      </c>
      <c r="C351" s="10">
        <v>45904</v>
      </c>
      <c r="D351" s="11">
        <v>45904.5625</v>
      </c>
      <c r="E351" s="11">
        <v>45904.5625</v>
      </c>
      <c r="F351" t="s">
        <v>106</v>
      </c>
      <c r="G351" t="s">
        <v>107</v>
      </c>
      <c r="H351">
        <v>1</v>
      </c>
      <c r="I351">
        <v>159</v>
      </c>
      <c r="J351" s="7">
        <v>645.09019999999998</v>
      </c>
      <c r="K351" s="7">
        <v>644.8428584536</v>
      </c>
      <c r="L351" s="7">
        <v>640.35552839369996</v>
      </c>
      <c r="M351" s="7">
        <v>2.4994880999999998E-3</v>
      </c>
      <c r="N351" s="7">
        <v>643.82850511369998</v>
      </c>
      <c r="O351" s="7">
        <v>644.8428584536</v>
      </c>
      <c r="P351" s="7">
        <v>640.35552839369996</v>
      </c>
      <c r="Q351" s="7">
        <v>1</v>
      </c>
      <c r="R351" s="7">
        <v>0</v>
      </c>
      <c r="S351" s="7">
        <v>0.55649999999999999</v>
      </c>
      <c r="T351" s="7">
        <v>0.159</v>
      </c>
      <c r="U351" s="7">
        <v>-0.71550000000000002</v>
      </c>
      <c r="V351" s="7" t="s">
        <v>110</v>
      </c>
      <c r="W351" s="11">
        <v>45904.541666666664</v>
      </c>
    </row>
    <row r="352" spans="1:23">
      <c r="A352" t="s">
        <v>87</v>
      </c>
      <c r="B352">
        <v>78</v>
      </c>
      <c r="C352" s="10">
        <v>45904</v>
      </c>
      <c r="D352" s="11">
        <v>45904.666666666664</v>
      </c>
      <c r="E352" s="11">
        <v>45904.666666666664</v>
      </c>
      <c r="F352" t="s">
        <v>108</v>
      </c>
      <c r="G352" t="s">
        <v>109</v>
      </c>
      <c r="H352">
        <v>1</v>
      </c>
      <c r="I352">
        <v>159</v>
      </c>
      <c r="J352" s="7">
        <v>647.32529999999997</v>
      </c>
      <c r="K352" s="7">
        <v>645.09781171839995</v>
      </c>
      <c r="L352" s="7">
        <v>640.10108048899997</v>
      </c>
      <c r="M352" s="7">
        <v>2.8958489999999998E-3</v>
      </c>
      <c r="N352" s="7">
        <v>645.11155126899996</v>
      </c>
      <c r="O352" s="7">
        <v>645.11155126899996</v>
      </c>
      <c r="P352" s="7">
        <v>640.10108048899997</v>
      </c>
      <c r="Q352" s="7">
        <v>1</v>
      </c>
      <c r="R352" s="7">
        <v>355.3809</v>
      </c>
      <c r="S352" s="7">
        <v>0.55649999999999999</v>
      </c>
      <c r="T352" s="7">
        <v>0.159</v>
      </c>
      <c r="U352" s="7">
        <v>354.66539999999998</v>
      </c>
      <c r="V352" s="7" t="s">
        <v>85</v>
      </c>
      <c r="W352" s="11">
        <v>45904.645833333336</v>
      </c>
    </row>
    <row r="353" spans="1:23">
      <c r="A353" t="s">
        <v>87</v>
      </c>
      <c r="B353">
        <v>79</v>
      </c>
      <c r="C353" s="10">
        <v>45905</v>
      </c>
      <c r="D353" s="11">
        <v>45905.4375</v>
      </c>
      <c r="E353" s="11">
        <v>45905.4375</v>
      </c>
      <c r="F353" t="s">
        <v>106</v>
      </c>
      <c r="G353" t="s">
        <v>109</v>
      </c>
      <c r="H353">
        <v>-1</v>
      </c>
      <c r="I353">
        <v>158</v>
      </c>
      <c r="J353" s="7">
        <v>644.71749999999997</v>
      </c>
      <c r="K353" s="7">
        <v>650.24699092130004</v>
      </c>
      <c r="L353" s="7">
        <v>646.34105046599996</v>
      </c>
      <c r="M353" s="7">
        <v>1.5203325000000001E-3</v>
      </c>
      <c r="N353" s="7">
        <v>646.97050796940005</v>
      </c>
      <c r="O353" s="7">
        <v>650.24699092130004</v>
      </c>
      <c r="P353" s="7">
        <v>646.34105046599996</v>
      </c>
      <c r="Q353" s="7">
        <v>1</v>
      </c>
      <c r="R353" s="7">
        <v>0</v>
      </c>
      <c r="S353" s="7">
        <v>0.55300000000000005</v>
      </c>
      <c r="T353" s="7">
        <v>0.158</v>
      </c>
      <c r="U353" s="7">
        <v>-0.71099999999999997</v>
      </c>
      <c r="V353" s="7" t="s">
        <v>110</v>
      </c>
      <c r="W353" s="11">
        <v>45905.416666666664</v>
      </c>
    </row>
    <row r="354" spans="1:23">
      <c r="A354" t="s">
        <v>87</v>
      </c>
      <c r="B354">
        <v>79</v>
      </c>
      <c r="C354" s="10">
        <v>45905</v>
      </c>
      <c r="D354" s="11">
        <v>45905.645833333336</v>
      </c>
      <c r="E354" s="11">
        <v>45905.645833333336</v>
      </c>
      <c r="F354" t="s">
        <v>108</v>
      </c>
      <c r="G354" t="s">
        <v>107</v>
      </c>
      <c r="H354">
        <v>-1</v>
      </c>
      <c r="I354">
        <v>158</v>
      </c>
      <c r="J354" s="7">
        <v>645.37869999999998</v>
      </c>
      <c r="K354" s="7">
        <v>651.17158273940004</v>
      </c>
      <c r="L354" s="7">
        <v>645.41921379689995</v>
      </c>
      <c r="M354" s="7">
        <v>2.9444028999999999E-3</v>
      </c>
      <c r="N354" s="7">
        <v>644.85131933440005</v>
      </c>
      <c r="O354" s="7">
        <v>651.17158273940004</v>
      </c>
      <c r="P354" s="7">
        <v>644.85131933440005</v>
      </c>
      <c r="Q354" s="7">
        <v>1</v>
      </c>
      <c r="R354" s="7">
        <v>-104.4696</v>
      </c>
      <c r="S354" s="7">
        <v>0.55300000000000005</v>
      </c>
      <c r="T354" s="7">
        <v>0.158</v>
      </c>
      <c r="U354" s="7">
        <v>-105.1806</v>
      </c>
      <c r="V354" s="7" t="s">
        <v>88</v>
      </c>
      <c r="W354" s="11">
        <v>45905.625</v>
      </c>
    </row>
    <row r="355" spans="1:23">
      <c r="A355" t="s">
        <v>87</v>
      </c>
      <c r="B355">
        <v>80</v>
      </c>
      <c r="C355" s="10">
        <v>45911</v>
      </c>
      <c r="D355" s="11">
        <v>45911.479166666664</v>
      </c>
      <c r="E355" s="11">
        <v>45911.479166666664</v>
      </c>
      <c r="F355" t="s">
        <v>106</v>
      </c>
      <c r="G355" t="s">
        <v>107</v>
      </c>
      <c r="H355">
        <v>1</v>
      </c>
      <c r="I355">
        <v>157</v>
      </c>
      <c r="J355" s="7">
        <v>655.63229999999999</v>
      </c>
      <c r="K355" s="7">
        <v>655.49247382520002</v>
      </c>
      <c r="L355" s="7">
        <v>648.72520455200004</v>
      </c>
      <c r="M355" s="7">
        <v>2.5851451000000001E-3</v>
      </c>
      <c r="N355" s="7">
        <v>654.40606447899995</v>
      </c>
      <c r="O355" s="7">
        <v>655.49247382520002</v>
      </c>
      <c r="P355" s="7">
        <v>648.72520455200004</v>
      </c>
      <c r="Q355" s="7">
        <v>1</v>
      </c>
      <c r="R355" s="7">
        <v>0</v>
      </c>
      <c r="S355" s="7">
        <v>0.54949999999999999</v>
      </c>
      <c r="T355" s="7">
        <v>0.157</v>
      </c>
      <c r="U355" s="7">
        <v>-0.70650000000000002</v>
      </c>
      <c r="V355" s="7" t="s">
        <v>110</v>
      </c>
      <c r="W355" s="11">
        <v>45911.458333333336</v>
      </c>
    </row>
    <row r="356" spans="1:23">
      <c r="A356" t="s">
        <v>87</v>
      </c>
      <c r="B356">
        <v>80</v>
      </c>
      <c r="C356" s="10">
        <v>45911</v>
      </c>
      <c r="D356" s="11">
        <v>45911.5</v>
      </c>
      <c r="E356" s="11">
        <v>45911.5</v>
      </c>
      <c r="F356" t="s">
        <v>108</v>
      </c>
      <c r="G356" t="s">
        <v>109</v>
      </c>
      <c r="H356">
        <v>1</v>
      </c>
      <c r="I356">
        <v>157</v>
      </c>
      <c r="J356" s="7">
        <v>655.39290000000005</v>
      </c>
      <c r="K356" s="7">
        <v>655.60827331200005</v>
      </c>
      <c r="L356" s="7">
        <v>648.61000650139999</v>
      </c>
      <c r="M356" s="7">
        <v>2.7622621000000002E-3</v>
      </c>
      <c r="N356" s="7">
        <v>654.5339842249</v>
      </c>
      <c r="O356" s="7">
        <v>655.60827331200005</v>
      </c>
      <c r="P356" s="7">
        <v>648.61000650139999</v>
      </c>
      <c r="Q356" s="7">
        <v>1</v>
      </c>
      <c r="R356" s="7">
        <v>-37.585799999999999</v>
      </c>
      <c r="S356" s="7">
        <v>0.54949999999999999</v>
      </c>
      <c r="T356" s="7">
        <v>0.157</v>
      </c>
      <c r="U356" s="7">
        <v>-38.292299999999997</v>
      </c>
      <c r="V356" s="7" t="s">
        <v>88</v>
      </c>
      <c r="W356" s="11">
        <v>45911.479166666664</v>
      </c>
    </row>
    <row r="357" spans="1:23">
      <c r="A357" t="s">
        <v>87</v>
      </c>
      <c r="B357">
        <v>81</v>
      </c>
      <c r="C357" s="10">
        <v>45911</v>
      </c>
      <c r="D357" s="11">
        <v>45911.520833333336</v>
      </c>
      <c r="E357" s="11">
        <v>45911.520833333336</v>
      </c>
      <c r="F357" t="s">
        <v>106</v>
      </c>
      <c r="G357" t="s">
        <v>107</v>
      </c>
      <c r="H357">
        <v>1</v>
      </c>
      <c r="I357">
        <v>157</v>
      </c>
      <c r="J357" s="7">
        <v>655.56240000000003</v>
      </c>
      <c r="K357" s="7">
        <v>655.48045186829995</v>
      </c>
      <c r="L357" s="7">
        <v>648.73716406970004</v>
      </c>
      <c r="M357" s="7">
        <v>2.5667573999999999E-3</v>
      </c>
      <c r="N357" s="7">
        <v>654.62613614099996</v>
      </c>
      <c r="O357" s="7">
        <v>655.48045186829995</v>
      </c>
      <c r="P357" s="7">
        <v>648.73716406970004</v>
      </c>
      <c r="Q357" s="7">
        <v>1</v>
      </c>
      <c r="R357" s="7">
        <v>0</v>
      </c>
      <c r="S357" s="7">
        <v>0.54949999999999999</v>
      </c>
      <c r="T357" s="7">
        <v>0.157</v>
      </c>
      <c r="U357" s="7">
        <v>-0.70650000000000002</v>
      </c>
      <c r="V357" s="7" t="s">
        <v>110</v>
      </c>
      <c r="W357" s="11">
        <v>45911.5</v>
      </c>
    </row>
    <row r="358" spans="1:23">
      <c r="A358" t="s">
        <v>87</v>
      </c>
      <c r="B358">
        <v>81</v>
      </c>
      <c r="C358" s="10">
        <v>45911</v>
      </c>
      <c r="D358" s="11">
        <v>45911.5625</v>
      </c>
      <c r="E358" s="11">
        <v>45911.5625</v>
      </c>
      <c r="F358" t="s">
        <v>108</v>
      </c>
      <c r="G358" t="s">
        <v>109</v>
      </c>
      <c r="H358">
        <v>1</v>
      </c>
      <c r="I358">
        <v>157</v>
      </c>
      <c r="J358" s="7">
        <v>655.29819999999995</v>
      </c>
      <c r="K358" s="7">
        <v>655.62033543890004</v>
      </c>
      <c r="L358" s="7">
        <v>648.5980070224</v>
      </c>
      <c r="M358" s="7">
        <v>2.7807113E-3</v>
      </c>
      <c r="N358" s="7">
        <v>654.71203061990002</v>
      </c>
      <c r="O358" s="7">
        <v>655.62033543890004</v>
      </c>
      <c r="P358" s="7">
        <v>648.5980070224</v>
      </c>
      <c r="Q358" s="7">
        <v>1</v>
      </c>
      <c r="R358" s="7">
        <v>-41.479399999999998</v>
      </c>
      <c r="S358" s="7">
        <v>0.54949999999999999</v>
      </c>
      <c r="T358" s="7">
        <v>0.157</v>
      </c>
      <c r="U358" s="7">
        <v>-42.185899999999997</v>
      </c>
      <c r="V358" s="7" t="s">
        <v>88</v>
      </c>
      <c r="W358" s="11">
        <v>45911.541666666664</v>
      </c>
    </row>
    <row r="359" spans="1:23">
      <c r="A359" t="s">
        <v>87</v>
      </c>
      <c r="B359">
        <v>82</v>
      </c>
      <c r="C359" s="10">
        <v>45911</v>
      </c>
      <c r="D359" s="11">
        <v>45911.583333333336</v>
      </c>
      <c r="E359" s="11">
        <v>45911.583333333336</v>
      </c>
      <c r="F359" t="s">
        <v>106</v>
      </c>
      <c r="G359" t="s">
        <v>107</v>
      </c>
      <c r="H359">
        <v>1</v>
      </c>
      <c r="I359">
        <v>157</v>
      </c>
      <c r="J359" s="7">
        <v>655.76189999999997</v>
      </c>
      <c r="K359" s="7">
        <v>655.66759277680001</v>
      </c>
      <c r="L359" s="7">
        <v>648.55099512840002</v>
      </c>
      <c r="M359" s="7">
        <v>2.8529921E-3</v>
      </c>
      <c r="N359" s="7">
        <v>654.77351781089999</v>
      </c>
      <c r="O359" s="7">
        <v>655.66759277680001</v>
      </c>
      <c r="P359" s="7">
        <v>648.55099512840002</v>
      </c>
      <c r="Q359" s="7">
        <v>1</v>
      </c>
      <c r="R359" s="7">
        <v>0</v>
      </c>
      <c r="S359" s="7">
        <v>0.54949999999999999</v>
      </c>
      <c r="T359" s="7">
        <v>0.157</v>
      </c>
      <c r="U359" s="7">
        <v>-0.70650000000000002</v>
      </c>
      <c r="V359" s="7" t="s">
        <v>110</v>
      </c>
      <c r="W359" s="11">
        <v>45911.5625</v>
      </c>
    </row>
    <row r="360" spans="1:23">
      <c r="A360" t="s">
        <v>87</v>
      </c>
      <c r="B360">
        <v>82</v>
      </c>
      <c r="C360" s="10">
        <v>45911</v>
      </c>
      <c r="D360" s="11">
        <v>45911.604166666664</v>
      </c>
      <c r="E360" s="11">
        <v>45911.604166666664</v>
      </c>
      <c r="F360" t="s">
        <v>108</v>
      </c>
      <c r="G360" t="s">
        <v>109</v>
      </c>
      <c r="H360">
        <v>1</v>
      </c>
      <c r="I360">
        <v>157</v>
      </c>
      <c r="J360" s="7">
        <v>655.51260000000002</v>
      </c>
      <c r="K360" s="7">
        <v>655.73961218930003</v>
      </c>
      <c r="L360" s="7">
        <v>648.4793497682</v>
      </c>
      <c r="M360" s="7">
        <v>2.9631468000000001E-3</v>
      </c>
      <c r="N360" s="7">
        <v>654.84132261540003</v>
      </c>
      <c r="O360" s="7">
        <v>655.73961218930003</v>
      </c>
      <c r="P360" s="7">
        <v>648.4793497682</v>
      </c>
      <c r="Q360" s="7">
        <v>1</v>
      </c>
      <c r="R360" s="7">
        <v>-39.140099999999997</v>
      </c>
      <c r="S360" s="7">
        <v>0.54949999999999999</v>
      </c>
      <c r="T360" s="7">
        <v>0.157</v>
      </c>
      <c r="U360" s="7">
        <v>-39.846600000000002</v>
      </c>
      <c r="V360" s="7" t="s">
        <v>88</v>
      </c>
      <c r="W360" s="11">
        <v>45911.583333333336</v>
      </c>
    </row>
    <row r="361" spans="1:23">
      <c r="A361" t="s">
        <v>87</v>
      </c>
      <c r="B361">
        <v>83</v>
      </c>
      <c r="C361" s="10">
        <v>45911</v>
      </c>
      <c r="D361" s="11">
        <v>45911.645833333336</v>
      </c>
      <c r="E361" s="11">
        <v>45911.645833333336</v>
      </c>
      <c r="F361" t="s">
        <v>106</v>
      </c>
      <c r="G361" t="s">
        <v>107</v>
      </c>
      <c r="H361">
        <v>1</v>
      </c>
      <c r="I361">
        <v>157</v>
      </c>
      <c r="J361" s="7">
        <v>655.92139999999995</v>
      </c>
      <c r="K361" s="7">
        <v>655.77855676820002</v>
      </c>
      <c r="L361" s="7">
        <v>648.44060745859997</v>
      </c>
      <c r="M361" s="7">
        <v>3.0227130999999998E-3</v>
      </c>
      <c r="N361" s="7">
        <v>654.98323944779997</v>
      </c>
      <c r="O361" s="7">
        <v>655.77855676820002</v>
      </c>
      <c r="P361" s="7">
        <v>648.44060745859997</v>
      </c>
      <c r="Q361" s="7">
        <v>1</v>
      </c>
      <c r="R361" s="7">
        <v>0</v>
      </c>
      <c r="S361" s="7">
        <v>0.54949999999999999</v>
      </c>
      <c r="T361" s="7">
        <v>0.157</v>
      </c>
      <c r="U361" s="7">
        <v>-0.70650000000000002</v>
      </c>
      <c r="V361" s="7" t="s">
        <v>110</v>
      </c>
      <c r="W361" s="11">
        <v>45911.625</v>
      </c>
    </row>
    <row r="362" spans="1:23">
      <c r="A362" t="s">
        <v>87</v>
      </c>
      <c r="B362">
        <v>83</v>
      </c>
      <c r="C362" s="10">
        <v>45911</v>
      </c>
      <c r="D362" s="11">
        <v>45911.666666666664</v>
      </c>
      <c r="E362" s="11">
        <v>45911.666666666664</v>
      </c>
      <c r="F362" t="s">
        <v>108</v>
      </c>
      <c r="G362" t="s">
        <v>109</v>
      </c>
      <c r="H362">
        <v>1</v>
      </c>
      <c r="I362">
        <v>157</v>
      </c>
      <c r="J362" s="7">
        <v>655.81169999999997</v>
      </c>
      <c r="K362" s="7">
        <v>655.95492025659996</v>
      </c>
      <c r="L362" s="7">
        <v>648.26515996190005</v>
      </c>
      <c r="M362" s="7">
        <v>3.2924636E-3</v>
      </c>
      <c r="N362" s="7">
        <v>655.17284369799995</v>
      </c>
      <c r="O362" s="7">
        <v>655.95492025659996</v>
      </c>
      <c r="P362" s="7">
        <v>648.26515996190005</v>
      </c>
      <c r="Q362" s="7">
        <v>1</v>
      </c>
      <c r="R362" s="7">
        <v>-17.222899999999999</v>
      </c>
      <c r="S362" s="7">
        <v>0.54949999999999999</v>
      </c>
      <c r="T362" s="7">
        <v>0.157</v>
      </c>
      <c r="U362" s="7">
        <v>-17.929400000000001</v>
      </c>
      <c r="V362" s="7" t="s">
        <v>85</v>
      </c>
      <c r="W362" s="11">
        <v>45911.645833333336</v>
      </c>
    </row>
    <row r="363" spans="1:23">
      <c r="A363" t="s">
        <v>87</v>
      </c>
      <c r="B363">
        <v>84</v>
      </c>
      <c r="C363" s="10">
        <v>45917</v>
      </c>
      <c r="D363" s="11">
        <v>45917.4375</v>
      </c>
      <c r="E363" s="11">
        <v>45917.4375</v>
      </c>
      <c r="F363" t="s">
        <v>106</v>
      </c>
      <c r="G363" t="s">
        <v>109</v>
      </c>
      <c r="H363">
        <v>-1</v>
      </c>
      <c r="I363">
        <v>156</v>
      </c>
      <c r="J363" s="7">
        <v>657.34749999999997</v>
      </c>
      <c r="K363" s="7">
        <v>658.81261217669999</v>
      </c>
      <c r="L363" s="7">
        <v>657.45296986419999</v>
      </c>
      <c r="M363" s="7">
        <v>9.6860570000000001E-4</v>
      </c>
      <c r="N363" s="7">
        <v>657.79438013590004</v>
      </c>
      <c r="O363" s="7">
        <v>658.81261217669999</v>
      </c>
      <c r="P363" s="7">
        <v>657.45296986419999</v>
      </c>
      <c r="Q363" s="7">
        <v>1</v>
      </c>
      <c r="R363" s="7">
        <v>0</v>
      </c>
      <c r="S363" s="7">
        <v>0.54600000000000004</v>
      </c>
      <c r="T363" s="7">
        <v>0.156</v>
      </c>
      <c r="U363" s="7">
        <v>-0.70199999999999996</v>
      </c>
      <c r="V363" s="7" t="s">
        <v>110</v>
      </c>
      <c r="W363" s="11">
        <v>45917.416666666664</v>
      </c>
    </row>
    <row r="364" spans="1:23">
      <c r="A364" t="s">
        <v>87</v>
      </c>
      <c r="B364">
        <v>84</v>
      </c>
      <c r="C364" s="10">
        <v>45917</v>
      </c>
      <c r="D364" s="11">
        <v>45917.458333333336</v>
      </c>
      <c r="E364" s="11">
        <v>45917.458333333336</v>
      </c>
      <c r="F364" t="s">
        <v>108</v>
      </c>
      <c r="G364" t="s">
        <v>107</v>
      </c>
      <c r="H364">
        <v>-1</v>
      </c>
      <c r="I364">
        <v>156</v>
      </c>
      <c r="J364" s="7">
        <v>657.53689999999995</v>
      </c>
      <c r="K364" s="7">
        <v>659.5379777787</v>
      </c>
      <c r="L364" s="7">
        <v>656.72769760890003</v>
      </c>
      <c r="M364" s="7">
        <v>2.0706918000000002E-3</v>
      </c>
      <c r="N364" s="7">
        <v>657.74030591389999</v>
      </c>
      <c r="O364" s="7">
        <v>659.5379777787</v>
      </c>
      <c r="P364" s="7">
        <v>656.72769760890003</v>
      </c>
      <c r="Q364" s="7">
        <v>1</v>
      </c>
      <c r="R364" s="7">
        <v>-29.546399999999998</v>
      </c>
      <c r="S364" s="7">
        <v>0.54600000000000004</v>
      </c>
      <c r="T364" s="7">
        <v>0.156</v>
      </c>
      <c r="U364" s="7">
        <v>-30.2484</v>
      </c>
      <c r="V364" s="7" t="s">
        <v>88</v>
      </c>
      <c r="W364" s="11">
        <v>45917.4375</v>
      </c>
    </row>
    <row r="365" spans="1:23">
      <c r="A365" t="s">
        <v>87</v>
      </c>
      <c r="B365">
        <v>85</v>
      </c>
      <c r="C365" s="10">
        <v>45917</v>
      </c>
      <c r="D365" s="11">
        <v>45917.541666666664</v>
      </c>
      <c r="E365" s="11">
        <v>45917.541666666664</v>
      </c>
      <c r="F365" t="s">
        <v>106</v>
      </c>
      <c r="G365" t="s">
        <v>109</v>
      </c>
      <c r="H365">
        <v>-1</v>
      </c>
      <c r="I365">
        <v>156</v>
      </c>
      <c r="J365" s="7">
        <v>656.48990000000003</v>
      </c>
      <c r="K365" s="7">
        <v>659.28050780119997</v>
      </c>
      <c r="L365" s="7">
        <v>656.98513445280003</v>
      </c>
      <c r="M365" s="7">
        <v>1.6795041000000001E-3</v>
      </c>
      <c r="N365" s="7">
        <v>657.48449691739995</v>
      </c>
      <c r="O365" s="7">
        <v>659.28050780119997</v>
      </c>
      <c r="P365" s="7">
        <v>656.98513445280003</v>
      </c>
      <c r="Q365" s="7">
        <v>1</v>
      </c>
      <c r="R365" s="7">
        <v>0</v>
      </c>
      <c r="S365" s="7">
        <v>0.54600000000000004</v>
      </c>
      <c r="T365" s="7">
        <v>0.156</v>
      </c>
      <c r="U365" s="7">
        <v>-0.70199999999999996</v>
      </c>
      <c r="V365" s="7" t="s">
        <v>110</v>
      </c>
      <c r="W365" s="11">
        <v>45917.520833333336</v>
      </c>
    </row>
    <row r="366" spans="1:23">
      <c r="A366" t="s">
        <v>87</v>
      </c>
      <c r="B366">
        <v>85</v>
      </c>
      <c r="C366" s="10">
        <v>45917</v>
      </c>
      <c r="D366" s="11">
        <v>45917.5625</v>
      </c>
      <c r="E366" s="11">
        <v>45917.5625</v>
      </c>
      <c r="F366" t="s">
        <v>108</v>
      </c>
      <c r="G366" t="s">
        <v>107</v>
      </c>
      <c r="H366">
        <v>-1</v>
      </c>
      <c r="I366">
        <v>156</v>
      </c>
      <c r="J366" s="7">
        <v>656.85080000000005</v>
      </c>
      <c r="K366" s="7">
        <v>659.54114272859999</v>
      </c>
      <c r="L366" s="7">
        <v>656.72453306629995</v>
      </c>
      <c r="M366" s="7">
        <v>2.0755004999999998E-3</v>
      </c>
      <c r="N366" s="7">
        <v>657.43602422399999</v>
      </c>
      <c r="O366" s="7">
        <v>659.54114272859999</v>
      </c>
      <c r="P366" s="7">
        <v>656.72453306629995</v>
      </c>
      <c r="Q366" s="7">
        <v>1</v>
      </c>
      <c r="R366" s="7">
        <v>-56.300400000000003</v>
      </c>
      <c r="S366" s="7">
        <v>0.54600000000000004</v>
      </c>
      <c r="T366" s="7">
        <v>0.156</v>
      </c>
      <c r="U366" s="7">
        <v>-57.002400000000002</v>
      </c>
      <c r="V366" s="7" t="s">
        <v>88</v>
      </c>
      <c r="W366" s="11">
        <v>45917.541666666664</v>
      </c>
    </row>
    <row r="367" spans="1:23">
      <c r="A367" t="s">
        <v>87</v>
      </c>
      <c r="B367">
        <v>86</v>
      </c>
      <c r="C367" s="10">
        <v>45917</v>
      </c>
      <c r="D367" s="11">
        <v>45917.625</v>
      </c>
      <c r="E367" s="11">
        <v>45917.625</v>
      </c>
      <c r="F367" t="s">
        <v>106</v>
      </c>
      <c r="G367" t="s">
        <v>109</v>
      </c>
      <c r="H367">
        <v>-1</v>
      </c>
      <c r="I367">
        <v>156</v>
      </c>
      <c r="J367" s="7">
        <v>655.89149999999995</v>
      </c>
      <c r="K367" s="7">
        <v>659.78135726489995</v>
      </c>
      <c r="L367" s="7">
        <v>656.48434944300004</v>
      </c>
      <c r="M367" s="7">
        <v>2.440471E-3</v>
      </c>
      <c r="N367" s="7">
        <v>657.25743341040004</v>
      </c>
      <c r="O367" s="7">
        <v>659.78135726489995</v>
      </c>
      <c r="P367" s="7">
        <v>656.48434944300004</v>
      </c>
      <c r="Q367" s="7">
        <v>1</v>
      </c>
      <c r="R367" s="7">
        <v>0</v>
      </c>
      <c r="S367" s="7">
        <v>0.54600000000000004</v>
      </c>
      <c r="T367" s="7">
        <v>0.156</v>
      </c>
      <c r="U367" s="7">
        <v>-0.70199999999999996</v>
      </c>
      <c r="V367" s="7" t="s">
        <v>110</v>
      </c>
      <c r="W367" s="11">
        <v>45917.604166666664</v>
      </c>
    </row>
    <row r="368" spans="1:23">
      <c r="A368" t="s">
        <v>87</v>
      </c>
      <c r="B368">
        <v>86</v>
      </c>
      <c r="C368" s="10">
        <v>45917</v>
      </c>
      <c r="D368" s="11">
        <v>45917.645833333336</v>
      </c>
      <c r="E368" s="11">
        <v>45917.645833333336</v>
      </c>
      <c r="F368" t="s">
        <v>108</v>
      </c>
      <c r="G368" t="s">
        <v>107</v>
      </c>
      <c r="H368">
        <v>-1</v>
      </c>
      <c r="I368">
        <v>156</v>
      </c>
      <c r="J368" s="7">
        <v>658.245</v>
      </c>
      <c r="K368" s="7">
        <v>659.68919969360002</v>
      </c>
      <c r="L368" s="7">
        <v>656.57649515460002</v>
      </c>
      <c r="M368" s="7">
        <v>2.3004511999999999E-3</v>
      </c>
      <c r="N368" s="7">
        <v>657.42625136150002</v>
      </c>
      <c r="O368" s="7">
        <v>659.68919969360002</v>
      </c>
      <c r="P368" s="7">
        <v>656.57649515460002</v>
      </c>
      <c r="Q368" s="7">
        <v>1</v>
      </c>
      <c r="R368" s="7">
        <v>-367.14600000000002</v>
      </c>
      <c r="S368" s="7">
        <v>0.54600000000000004</v>
      </c>
      <c r="T368" s="7">
        <v>0.156</v>
      </c>
      <c r="U368" s="7">
        <v>-367.84800000000001</v>
      </c>
      <c r="V368" s="7" t="s">
        <v>88</v>
      </c>
      <c r="W368" s="11">
        <v>45917.625</v>
      </c>
    </row>
    <row r="369" spans="1:23">
      <c r="A369" t="s">
        <v>87</v>
      </c>
      <c r="B369">
        <v>87</v>
      </c>
      <c r="C369" s="10">
        <v>45918</v>
      </c>
      <c r="D369" s="11">
        <v>45918.4375</v>
      </c>
      <c r="E369" s="11">
        <v>45918.4375</v>
      </c>
      <c r="F369" t="s">
        <v>106</v>
      </c>
      <c r="G369" t="s">
        <v>107</v>
      </c>
      <c r="H369">
        <v>1</v>
      </c>
      <c r="I369">
        <v>155</v>
      </c>
      <c r="J369" s="7">
        <v>662.65279999999996</v>
      </c>
      <c r="K369" s="7">
        <v>660.89425392759995</v>
      </c>
      <c r="L369" s="7">
        <v>656.72533640910001</v>
      </c>
      <c r="M369" s="7">
        <v>9.6152200000000003E-4</v>
      </c>
      <c r="N369" s="7">
        <v>661.19211677010003</v>
      </c>
      <c r="O369" s="7">
        <v>661.19211677010003</v>
      </c>
      <c r="P369" s="7">
        <v>656.72533640910001</v>
      </c>
      <c r="Q369" s="7">
        <v>1</v>
      </c>
      <c r="R369" s="7">
        <v>0</v>
      </c>
      <c r="S369" s="7">
        <v>0.54249999999999998</v>
      </c>
      <c r="T369" s="7">
        <v>0.155</v>
      </c>
      <c r="U369" s="7">
        <v>-0.69750000000000001</v>
      </c>
      <c r="V369" s="7" t="s">
        <v>110</v>
      </c>
      <c r="W369" s="11">
        <v>45918.416666666664</v>
      </c>
    </row>
    <row r="370" spans="1:23">
      <c r="A370" t="s">
        <v>87</v>
      </c>
      <c r="B370">
        <v>87</v>
      </c>
      <c r="C370" s="10">
        <v>45918</v>
      </c>
      <c r="D370" s="11">
        <v>45918.458333333336</v>
      </c>
      <c r="E370" s="11">
        <v>45918.458333333336</v>
      </c>
      <c r="F370" t="s">
        <v>108</v>
      </c>
      <c r="G370" t="s">
        <v>109</v>
      </c>
      <c r="H370">
        <v>1</v>
      </c>
      <c r="I370">
        <v>155</v>
      </c>
      <c r="J370" s="7">
        <v>660.92759999999998</v>
      </c>
      <c r="K370" s="7">
        <v>661.59921226899996</v>
      </c>
      <c r="L370" s="7">
        <v>656.02347653039999</v>
      </c>
      <c r="M370" s="7">
        <v>2.0292209999999999E-3</v>
      </c>
      <c r="N370" s="7">
        <v>661.13510630229996</v>
      </c>
      <c r="O370" s="7">
        <v>661.59921226899996</v>
      </c>
      <c r="P370" s="7">
        <v>656.02347653039999</v>
      </c>
      <c r="Q370" s="7">
        <v>1</v>
      </c>
      <c r="R370" s="7">
        <v>-267.40600000000001</v>
      </c>
      <c r="S370" s="7">
        <v>0.54249999999999998</v>
      </c>
      <c r="T370" s="7">
        <v>0.155</v>
      </c>
      <c r="U370" s="7">
        <v>-268.1035</v>
      </c>
      <c r="V370" s="7" t="s">
        <v>88</v>
      </c>
      <c r="W370" s="11">
        <v>45918.4375</v>
      </c>
    </row>
    <row r="371" spans="1:23">
      <c r="A371" t="s">
        <v>87</v>
      </c>
      <c r="B371">
        <v>88</v>
      </c>
      <c r="C371" s="10">
        <v>45918</v>
      </c>
      <c r="D371" s="11">
        <v>45918.479166666664</v>
      </c>
      <c r="E371" s="11">
        <v>45918.479166666664</v>
      </c>
      <c r="F371" t="s">
        <v>106</v>
      </c>
      <c r="G371" t="s">
        <v>107</v>
      </c>
      <c r="H371">
        <v>1</v>
      </c>
      <c r="I371">
        <v>155</v>
      </c>
      <c r="J371" s="7">
        <v>661.55579999999998</v>
      </c>
      <c r="K371" s="7">
        <v>661.47521069100003</v>
      </c>
      <c r="L371" s="7">
        <v>656.14693309150005</v>
      </c>
      <c r="M371" s="7">
        <v>1.8414137000000001E-3</v>
      </c>
      <c r="N371" s="7">
        <v>661.19440339560003</v>
      </c>
      <c r="O371" s="7">
        <v>661.47521069100003</v>
      </c>
      <c r="P371" s="7">
        <v>656.14693309150005</v>
      </c>
      <c r="Q371" s="7">
        <v>1</v>
      </c>
      <c r="R371" s="7">
        <v>0</v>
      </c>
      <c r="S371" s="7">
        <v>0.54249999999999998</v>
      </c>
      <c r="T371" s="7">
        <v>0.155</v>
      </c>
      <c r="U371" s="7">
        <v>-0.69750000000000001</v>
      </c>
      <c r="V371" s="7" t="s">
        <v>110</v>
      </c>
      <c r="W371" s="11">
        <v>45918.458333333336</v>
      </c>
    </row>
    <row r="372" spans="1:23">
      <c r="A372" t="s">
        <v>87</v>
      </c>
      <c r="B372">
        <v>88</v>
      </c>
      <c r="C372" s="10">
        <v>45918</v>
      </c>
      <c r="D372" s="11">
        <v>45918.5</v>
      </c>
      <c r="E372" s="11">
        <v>45918.5</v>
      </c>
      <c r="F372" t="s">
        <v>108</v>
      </c>
      <c r="G372" t="s">
        <v>109</v>
      </c>
      <c r="H372">
        <v>1</v>
      </c>
      <c r="I372">
        <v>155</v>
      </c>
      <c r="J372" s="7">
        <v>660.72810000000004</v>
      </c>
      <c r="K372" s="7">
        <v>661.61524099220003</v>
      </c>
      <c r="L372" s="7">
        <v>656.00751825739997</v>
      </c>
      <c r="M372" s="7">
        <v>2.0534974000000002E-3</v>
      </c>
      <c r="N372" s="7">
        <v>661.15084683420002</v>
      </c>
      <c r="O372" s="7">
        <v>661.61524099220003</v>
      </c>
      <c r="P372" s="7">
        <v>656.00751825739997</v>
      </c>
      <c r="Q372" s="7">
        <v>1</v>
      </c>
      <c r="R372" s="7">
        <v>-128.29349999999999</v>
      </c>
      <c r="S372" s="7">
        <v>0.54249999999999998</v>
      </c>
      <c r="T372" s="7">
        <v>0.155</v>
      </c>
      <c r="U372" s="7">
        <v>-128.99100000000001</v>
      </c>
      <c r="V372" s="7" t="s">
        <v>88</v>
      </c>
      <c r="W372" s="11">
        <v>45918.479166666664</v>
      </c>
    </row>
    <row r="373" spans="1:23">
      <c r="A373" t="s">
        <v>87</v>
      </c>
      <c r="B373">
        <v>89</v>
      </c>
      <c r="C373" s="10">
        <v>45918</v>
      </c>
      <c r="D373" s="11">
        <v>45918.520833333336</v>
      </c>
      <c r="E373" s="11">
        <v>45918.520833333336</v>
      </c>
      <c r="F373" t="s">
        <v>106</v>
      </c>
      <c r="G373" t="s">
        <v>107</v>
      </c>
      <c r="H373">
        <v>1</v>
      </c>
      <c r="I373">
        <v>155</v>
      </c>
      <c r="J373" s="7">
        <v>661.64549999999997</v>
      </c>
      <c r="K373" s="7">
        <v>661.61822337119997</v>
      </c>
      <c r="L373" s="7">
        <v>656.0045489867</v>
      </c>
      <c r="M373" s="7">
        <v>2.0580144000000001E-3</v>
      </c>
      <c r="N373" s="7">
        <v>661.18575722809999</v>
      </c>
      <c r="O373" s="7">
        <v>661.61822337119997</v>
      </c>
      <c r="P373" s="7">
        <v>656.0045489867</v>
      </c>
      <c r="Q373" s="7">
        <v>1</v>
      </c>
      <c r="R373" s="7">
        <v>0</v>
      </c>
      <c r="S373" s="7">
        <v>0.54249999999999998</v>
      </c>
      <c r="T373" s="7">
        <v>0.155</v>
      </c>
      <c r="U373" s="7">
        <v>-0.69750000000000001</v>
      </c>
      <c r="V373" s="7" t="s">
        <v>110</v>
      </c>
      <c r="W373" s="11">
        <v>45918.5</v>
      </c>
    </row>
    <row r="374" spans="1:23">
      <c r="A374" t="s">
        <v>87</v>
      </c>
      <c r="B374">
        <v>89</v>
      </c>
      <c r="C374" s="10">
        <v>45918</v>
      </c>
      <c r="D374" s="11">
        <v>45918.5625</v>
      </c>
      <c r="E374" s="11">
        <v>45918.5625</v>
      </c>
      <c r="F374" t="s">
        <v>108</v>
      </c>
      <c r="G374" t="s">
        <v>109</v>
      </c>
      <c r="H374">
        <v>1</v>
      </c>
      <c r="I374">
        <v>155</v>
      </c>
      <c r="J374" s="7">
        <v>661.48599999999999</v>
      </c>
      <c r="K374" s="7">
        <v>661.63656934230005</v>
      </c>
      <c r="L374" s="7">
        <v>655.98628365059994</v>
      </c>
      <c r="M374" s="7">
        <v>2.0858004000000002E-3</v>
      </c>
      <c r="N374" s="7">
        <v>661.2619506218</v>
      </c>
      <c r="O374" s="7">
        <v>661.63656934230005</v>
      </c>
      <c r="P374" s="7">
        <v>655.98628365059994</v>
      </c>
      <c r="Q374" s="7">
        <v>1</v>
      </c>
      <c r="R374" s="7">
        <v>-24.7225</v>
      </c>
      <c r="S374" s="7">
        <v>0.54249999999999998</v>
      </c>
      <c r="T374" s="7">
        <v>0.155</v>
      </c>
      <c r="U374" s="7">
        <v>-25.42</v>
      </c>
      <c r="V374" s="7" t="s">
        <v>88</v>
      </c>
      <c r="W374" s="11">
        <v>45918.541666666664</v>
      </c>
    </row>
    <row r="375" spans="1:23">
      <c r="A375" t="s">
        <v>87</v>
      </c>
      <c r="B375">
        <v>90</v>
      </c>
      <c r="C375" s="10">
        <v>45919</v>
      </c>
      <c r="D375" s="11">
        <v>45919.645833333336</v>
      </c>
      <c r="E375" s="11">
        <v>45919.645833333336</v>
      </c>
      <c r="F375" t="s">
        <v>106</v>
      </c>
      <c r="G375" t="s">
        <v>107</v>
      </c>
      <c r="H375">
        <v>1</v>
      </c>
      <c r="I375">
        <v>153</v>
      </c>
      <c r="J375" s="7">
        <v>663.85</v>
      </c>
      <c r="K375" s="7">
        <v>663.39113206139996</v>
      </c>
      <c r="L375" s="7">
        <v>659.16591145489997</v>
      </c>
      <c r="M375" s="7">
        <v>1.9122251000000001E-3</v>
      </c>
      <c r="N375" s="7">
        <v>662.32309012250005</v>
      </c>
      <c r="O375" s="7">
        <v>663.39113206139996</v>
      </c>
      <c r="P375" s="7">
        <v>659.16591145489997</v>
      </c>
      <c r="Q375" s="7">
        <v>1</v>
      </c>
      <c r="R375" s="7">
        <v>0</v>
      </c>
      <c r="S375" s="7">
        <v>0.53549999999999998</v>
      </c>
      <c r="T375" s="7">
        <v>0.153</v>
      </c>
      <c r="U375" s="7">
        <v>-0.6885</v>
      </c>
      <c r="V375" s="7" t="s">
        <v>110</v>
      </c>
      <c r="W375" s="11">
        <v>45919.625</v>
      </c>
    </row>
    <row r="376" spans="1:23">
      <c r="A376" t="s">
        <v>87</v>
      </c>
      <c r="B376">
        <v>90</v>
      </c>
      <c r="C376" s="10">
        <v>45919</v>
      </c>
      <c r="D376" s="11">
        <v>45919.666666666664</v>
      </c>
      <c r="E376" s="11">
        <v>45919.666666666664</v>
      </c>
      <c r="F376" t="s">
        <v>108</v>
      </c>
      <c r="G376" t="s">
        <v>109</v>
      </c>
      <c r="H376">
        <v>1</v>
      </c>
      <c r="I376">
        <v>153</v>
      </c>
      <c r="J376" s="7">
        <v>663.7</v>
      </c>
      <c r="K376" s="7">
        <v>663.41078989870005</v>
      </c>
      <c r="L376" s="7">
        <v>659.14630397609994</v>
      </c>
      <c r="M376" s="7">
        <v>1.9419140999999999E-3</v>
      </c>
      <c r="N376" s="7">
        <v>662.67117351779996</v>
      </c>
      <c r="O376" s="7">
        <v>663.41078989870005</v>
      </c>
      <c r="P376" s="7">
        <v>659.14630397609994</v>
      </c>
      <c r="Q376" s="7">
        <v>1</v>
      </c>
      <c r="R376" s="7">
        <v>-22.95</v>
      </c>
      <c r="S376" s="7">
        <v>0.53549999999999998</v>
      </c>
      <c r="T376" s="7">
        <v>0.153</v>
      </c>
      <c r="U376" s="7">
        <v>-23.638500000000001</v>
      </c>
      <c r="V376" s="7" t="s">
        <v>85</v>
      </c>
      <c r="W376" s="11">
        <v>45919.645833333336</v>
      </c>
    </row>
    <row r="377" spans="1:23">
      <c r="A377" t="s">
        <v>87</v>
      </c>
      <c r="B377">
        <v>91</v>
      </c>
      <c r="C377" s="10">
        <v>45922</v>
      </c>
      <c r="D377" s="11">
        <v>45922.458333333336</v>
      </c>
      <c r="E377" s="11">
        <v>45922.458333333336</v>
      </c>
      <c r="F377" t="s">
        <v>106</v>
      </c>
      <c r="G377" t="s">
        <v>107</v>
      </c>
      <c r="H377">
        <v>1</v>
      </c>
      <c r="I377">
        <v>153</v>
      </c>
      <c r="J377" s="7">
        <v>664.96</v>
      </c>
      <c r="K377" s="7">
        <v>664.9431044849</v>
      </c>
      <c r="L377" s="7">
        <v>662.18740122279996</v>
      </c>
      <c r="M377" s="7">
        <v>1.8729915E-3</v>
      </c>
      <c r="N377" s="7">
        <v>664.00973277100002</v>
      </c>
      <c r="O377" s="7">
        <v>664.9431044849</v>
      </c>
      <c r="P377" s="7">
        <v>662.18740122279996</v>
      </c>
      <c r="Q377" s="7">
        <v>1</v>
      </c>
      <c r="R377" s="7">
        <v>0</v>
      </c>
      <c r="S377" s="7">
        <v>0.53549999999999998</v>
      </c>
      <c r="T377" s="7">
        <v>0.153</v>
      </c>
      <c r="U377" s="7">
        <v>-0.6885</v>
      </c>
      <c r="V377" s="7" t="s">
        <v>110</v>
      </c>
      <c r="W377" s="11">
        <v>45922.4375</v>
      </c>
    </row>
    <row r="378" spans="1:23">
      <c r="A378" t="s">
        <v>87</v>
      </c>
      <c r="B378">
        <v>91</v>
      </c>
      <c r="C378" s="10">
        <v>45922</v>
      </c>
      <c r="D378" s="11">
        <v>45922.479166666664</v>
      </c>
      <c r="E378" s="11">
        <v>45922.479166666664</v>
      </c>
      <c r="F378" t="s">
        <v>108</v>
      </c>
      <c r="G378" t="s">
        <v>109</v>
      </c>
      <c r="H378">
        <v>1</v>
      </c>
      <c r="I378">
        <v>153</v>
      </c>
      <c r="J378" s="7">
        <v>664.93</v>
      </c>
      <c r="K378" s="7">
        <v>665.02410734010004</v>
      </c>
      <c r="L378" s="7">
        <v>662.10643132040002</v>
      </c>
      <c r="M378" s="7">
        <v>1.9950389000000001E-3</v>
      </c>
      <c r="N378" s="7">
        <v>664.17226220810005</v>
      </c>
      <c r="O378" s="7">
        <v>665.02410734010004</v>
      </c>
      <c r="P378" s="7">
        <v>662.10643132040002</v>
      </c>
      <c r="Q378" s="7">
        <v>1</v>
      </c>
      <c r="R378" s="7">
        <v>-4.59</v>
      </c>
      <c r="S378" s="7">
        <v>0.53549999999999998</v>
      </c>
      <c r="T378" s="7">
        <v>0.153</v>
      </c>
      <c r="U378" s="7">
        <v>-5.2785000000000002</v>
      </c>
      <c r="V378" s="7" t="s">
        <v>88</v>
      </c>
      <c r="W378" s="11">
        <v>45922.458333333336</v>
      </c>
    </row>
    <row r="379" spans="1:23">
      <c r="A379" t="s">
        <v>87</v>
      </c>
      <c r="B379">
        <v>92</v>
      </c>
      <c r="C379" s="10">
        <v>45922</v>
      </c>
      <c r="D379" s="11">
        <v>45922.520833333336</v>
      </c>
      <c r="E379" s="11">
        <v>45922.520833333336</v>
      </c>
      <c r="F379" t="s">
        <v>106</v>
      </c>
      <c r="G379" t="s">
        <v>107</v>
      </c>
      <c r="H379">
        <v>1</v>
      </c>
      <c r="I379">
        <v>153</v>
      </c>
      <c r="J379" s="7">
        <v>665.85500000000002</v>
      </c>
      <c r="K379" s="7">
        <v>664.94075467109997</v>
      </c>
      <c r="L379" s="7">
        <v>662.18975008070004</v>
      </c>
      <c r="M379" s="7">
        <v>1.8694511000000001E-3</v>
      </c>
      <c r="N379" s="7">
        <v>664.52443926770002</v>
      </c>
      <c r="O379" s="7">
        <v>664.94075467109997</v>
      </c>
      <c r="P379" s="7">
        <v>662.18975008070004</v>
      </c>
      <c r="Q379" s="7">
        <v>1</v>
      </c>
      <c r="R379" s="7">
        <v>0</v>
      </c>
      <c r="S379" s="7">
        <v>0.53549999999999998</v>
      </c>
      <c r="T379" s="7">
        <v>0.153</v>
      </c>
      <c r="U379" s="7">
        <v>-0.6885</v>
      </c>
      <c r="V379" s="7" t="s">
        <v>110</v>
      </c>
      <c r="W379" s="11">
        <v>45922.5</v>
      </c>
    </row>
    <row r="380" spans="1:23">
      <c r="A380" t="s">
        <v>87</v>
      </c>
      <c r="B380">
        <v>92</v>
      </c>
      <c r="C380" s="10">
        <v>45922</v>
      </c>
      <c r="D380" s="11">
        <v>45922.666666666664</v>
      </c>
      <c r="E380" s="11">
        <v>45922.666666666664</v>
      </c>
      <c r="F380" t="s">
        <v>108</v>
      </c>
      <c r="G380" t="s">
        <v>109</v>
      </c>
      <c r="H380">
        <v>1</v>
      </c>
      <c r="I380">
        <v>153</v>
      </c>
      <c r="J380" s="7">
        <v>666.84</v>
      </c>
      <c r="K380" s="7">
        <v>665.06874762070004</v>
      </c>
      <c r="L380" s="7">
        <v>662.06180919990004</v>
      </c>
      <c r="M380" s="7">
        <v>2.0622987E-3</v>
      </c>
      <c r="N380" s="7">
        <v>665.63604221690002</v>
      </c>
      <c r="O380" s="7">
        <v>665.63604221690002</v>
      </c>
      <c r="P380" s="7">
        <v>662.06180919990004</v>
      </c>
      <c r="Q380" s="7">
        <v>1</v>
      </c>
      <c r="R380" s="7">
        <v>150.70500000000001</v>
      </c>
      <c r="S380" s="7">
        <v>0.53549999999999998</v>
      </c>
      <c r="T380" s="7">
        <v>0.153</v>
      </c>
      <c r="U380" s="7">
        <v>150.01650000000001</v>
      </c>
      <c r="V380" s="7" t="s">
        <v>85</v>
      </c>
      <c r="W380" s="11">
        <v>45922.645833333336</v>
      </c>
    </row>
    <row r="381" spans="1:23">
      <c r="A381" t="s">
        <v>87</v>
      </c>
      <c r="B381">
        <v>93</v>
      </c>
      <c r="C381" s="10">
        <v>45923</v>
      </c>
      <c r="D381" s="11">
        <v>45923.5</v>
      </c>
      <c r="E381" s="11">
        <v>45923.5</v>
      </c>
      <c r="F381" t="s">
        <v>106</v>
      </c>
      <c r="G381" t="s">
        <v>109</v>
      </c>
      <c r="H381">
        <v>-1</v>
      </c>
      <c r="I381">
        <v>153</v>
      </c>
      <c r="J381" s="7">
        <v>665.57069999999999</v>
      </c>
      <c r="K381" s="7">
        <v>667.8536830173</v>
      </c>
      <c r="L381" s="7">
        <v>665.76640819040006</v>
      </c>
      <c r="M381" s="7">
        <v>1.5201292999999999E-3</v>
      </c>
      <c r="N381" s="7">
        <v>666.43339372200001</v>
      </c>
      <c r="O381" s="7">
        <v>667.8536830173</v>
      </c>
      <c r="P381" s="7">
        <v>665.76640819040006</v>
      </c>
      <c r="Q381" s="7">
        <v>1</v>
      </c>
      <c r="R381" s="7">
        <v>0</v>
      </c>
      <c r="S381" s="7">
        <v>0.53549999999999998</v>
      </c>
      <c r="T381" s="7">
        <v>0.153</v>
      </c>
      <c r="U381" s="7">
        <v>-0.6885</v>
      </c>
      <c r="V381" s="7" t="s">
        <v>110</v>
      </c>
      <c r="W381" s="11">
        <v>45923.479166666664</v>
      </c>
    </row>
    <row r="382" spans="1:23">
      <c r="A382" t="s">
        <v>87</v>
      </c>
      <c r="B382">
        <v>93</v>
      </c>
      <c r="C382" s="10">
        <v>45923</v>
      </c>
      <c r="D382" s="11">
        <v>45923.666666666664</v>
      </c>
      <c r="E382" s="11">
        <v>45923.666666666664</v>
      </c>
      <c r="F382" t="s">
        <v>108</v>
      </c>
      <c r="G382" t="s">
        <v>107</v>
      </c>
      <c r="H382">
        <v>-1</v>
      </c>
      <c r="I382">
        <v>153</v>
      </c>
      <c r="J382" s="7">
        <v>663.21</v>
      </c>
      <c r="K382" s="7">
        <v>668.39000723929996</v>
      </c>
      <c r="L382" s="7">
        <v>665.23013222509996</v>
      </c>
      <c r="M382" s="7">
        <v>2.3244065E-3</v>
      </c>
      <c r="N382" s="7">
        <v>664.32810369849994</v>
      </c>
      <c r="O382" s="7">
        <v>668.39000723929996</v>
      </c>
      <c r="P382" s="7">
        <v>664.32810369849994</v>
      </c>
      <c r="Q382" s="7">
        <v>1</v>
      </c>
      <c r="R382" s="7">
        <v>361.18709999999999</v>
      </c>
      <c r="S382" s="7">
        <v>0.53549999999999998</v>
      </c>
      <c r="T382" s="7">
        <v>0.153</v>
      </c>
      <c r="U382" s="7">
        <v>360.49860000000001</v>
      </c>
      <c r="V382" s="7" t="s">
        <v>85</v>
      </c>
      <c r="W382" s="11">
        <v>45923.645833333336</v>
      </c>
    </row>
    <row r="383" spans="1:23">
      <c r="A383" t="s">
        <v>87</v>
      </c>
      <c r="B383">
        <v>94</v>
      </c>
      <c r="C383" s="10">
        <v>45924</v>
      </c>
      <c r="D383" s="11">
        <v>45924.5</v>
      </c>
      <c r="E383" s="11">
        <v>45924.5</v>
      </c>
      <c r="F383" t="s">
        <v>106</v>
      </c>
      <c r="G383" t="s">
        <v>109</v>
      </c>
      <c r="H383">
        <v>-1</v>
      </c>
      <c r="I383">
        <v>154</v>
      </c>
      <c r="J383" s="7">
        <v>660.38</v>
      </c>
      <c r="K383" s="7">
        <v>664.28452637520002</v>
      </c>
      <c r="L383" s="7">
        <v>661.94078956190003</v>
      </c>
      <c r="M383" s="7">
        <v>1.6201901999999999E-3</v>
      </c>
      <c r="N383" s="7">
        <v>662.41881930839997</v>
      </c>
      <c r="O383" s="7">
        <v>664.28452637520002</v>
      </c>
      <c r="P383" s="7">
        <v>661.94078956190003</v>
      </c>
      <c r="Q383" s="7">
        <v>1</v>
      </c>
      <c r="R383" s="7">
        <v>0</v>
      </c>
      <c r="S383" s="7">
        <v>0.53900000000000003</v>
      </c>
      <c r="T383" s="7">
        <v>0.154</v>
      </c>
      <c r="U383" s="7">
        <v>-0.69299999999999995</v>
      </c>
      <c r="V383" s="7" t="s">
        <v>110</v>
      </c>
      <c r="W383" s="11">
        <v>45924.479166666664</v>
      </c>
    </row>
    <row r="384" spans="1:23">
      <c r="A384" t="s">
        <v>87</v>
      </c>
      <c r="B384">
        <v>94</v>
      </c>
      <c r="C384" s="10">
        <v>45924</v>
      </c>
      <c r="D384" s="11">
        <v>45924.625</v>
      </c>
      <c r="E384" s="11">
        <v>45924.625</v>
      </c>
      <c r="F384" t="s">
        <v>108</v>
      </c>
      <c r="G384" t="s">
        <v>107</v>
      </c>
      <c r="H384">
        <v>-1</v>
      </c>
      <c r="I384">
        <v>154</v>
      </c>
      <c r="J384" s="7">
        <v>661.11249999999995</v>
      </c>
      <c r="K384" s="7">
        <v>665.11610838950003</v>
      </c>
      <c r="L384" s="7">
        <v>661.10945205309997</v>
      </c>
      <c r="M384" s="7">
        <v>2.8740646000000002E-3</v>
      </c>
      <c r="N384" s="7">
        <v>661.63776311460003</v>
      </c>
      <c r="O384" s="7">
        <v>665.11610838950003</v>
      </c>
      <c r="P384" s="7">
        <v>661.10945205309997</v>
      </c>
      <c r="Q384" s="7">
        <v>1</v>
      </c>
      <c r="R384" s="7">
        <v>-112.80500000000001</v>
      </c>
      <c r="S384" s="7">
        <v>0.53900000000000003</v>
      </c>
      <c r="T384" s="7">
        <v>0.154</v>
      </c>
      <c r="U384" s="7">
        <v>-113.498</v>
      </c>
      <c r="V384" s="7" t="s">
        <v>88</v>
      </c>
      <c r="W384" s="11">
        <v>45924.604166666664</v>
      </c>
    </row>
    <row r="385" spans="1:23">
      <c r="A385" t="s">
        <v>87</v>
      </c>
      <c r="B385">
        <v>95</v>
      </c>
      <c r="C385" s="10">
        <v>45924</v>
      </c>
      <c r="D385" s="11">
        <v>45924.645833333336</v>
      </c>
      <c r="E385" s="11">
        <v>45924.645833333336</v>
      </c>
      <c r="F385" t="s">
        <v>106</v>
      </c>
      <c r="G385" t="s">
        <v>109</v>
      </c>
      <c r="H385">
        <v>-1</v>
      </c>
      <c r="I385">
        <v>154</v>
      </c>
      <c r="J385" s="7">
        <v>660.80250000000001</v>
      </c>
      <c r="K385" s="7">
        <v>665.02395965339997</v>
      </c>
      <c r="L385" s="7">
        <v>661.20157369519995</v>
      </c>
      <c r="M385" s="7">
        <v>2.7351211000000001E-3</v>
      </c>
      <c r="N385" s="7">
        <v>661.59006700800001</v>
      </c>
      <c r="O385" s="7">
        <v>665.02395965339997</v>
      </c>
      <c r="P385" s="7">
        <v>661.20157369519995</v>
      </c>
      <c r="Q385" s="7">
        <v>1</v>
      </c>
      <c r="R385" s="7">
        <v>0</v>
      </c>
      <c r="S385" s="7">
        <v>0.53900000000000003</v>
      </c>
      <c r="T385" s="7">
        <v>0.154</v>
      </c>
      <c r="U385" s="7">
        <v>-0.69299999999999995</v>
      </c>
      <c r="V385" s="7" t="s">
        <v>110</v>
      </c>
      <c r="W385" s="11">
        <v>45924.625</v>
      </c>
    </row>
    <row r="386" spans="1:23">
      <c r="A386" t="s">
        <v>87</v>
      </c>
      <c r="B386">
        <v>95</v>
      </c>
      <c r="C386" s="10">
        <v>45924</v>
      </c>
      <c r="D386" s="11">
        <v>45924.666666666664</v>
      </c>
      <c r="E386" s="11">
        <v>45924.666666666664</v>
      </c>
      <c r="F386" t="s">
        <v>108</v>
      </c>
      <c r="G386" t="s">
        <v>107</v>
      </c>
      <c r="H386">
        <v>-1</v>
      </c>
      <c r="I386">
        <v>154</v>
      </c>
      <c r="J386" s="7">
        <v>661.1</v>
      </c>
      <c r="K386" s="7">
        <v>664.88088462109999</v>
      </c>
      <c r="L386" s="7">
        <v>661.34460665990002</v>
      </c>
      <c r="M386" s="7">
        <v>2.5193899999999998E-3</v>
      </c>
      <c r="N386" s="7">
        <v>661.50044949380003</v>
      </c>
      <c r="O386" s="7">
        <v>664.88088462109999</v>
      </c>
      <c r="P386" s="7">
        <v>661.34460665990002</v>
      </c>
      <c r="Q386" s="7">
        <v>1</v>
      </c>
      <c r="R386" s="7">
        <v>-45.814999999999998</v>
      </c>
      <c r="S386" s="7">
        <v>0.53900000000000003</v>
      </c>
      <c r="T386" s="7">
        <v>0.154</v>
      </c>
      <c r="U386" s="7">
        <v>-46.508000000000003</v>
      </c>
      <c r="V386" s="7" t="s">
        <v>85</v>
      </c>
      <c r="W386" s="11">
        <v>45924.645833333336</v>
      </c>
    </row>
    <row r="387" spans="1:23">
      <c r="A387" t="s">
        <v>87</v>
      </c>
      <c r="B387">
        <v>96</v>
      </c>
      <c r="C387" s="10">
        <v>45930</v>
      </c>
      <c r="D387" s="11">
        <v>45930.645833333336</v>
      </c>
      <c r="E387" s="11">
        <v>45930.645833333336</v>
      </c>
      <c r="F387" t="s">
        <v>106</v>
      </c>
      <c r="G387" t="s">
        <v>107</v>
      </c>
      <c r="H387">
        <v>1</v>
      </c>
      <c r="I387">
        <v>154</v>
      </c>
      <c r="J387" s="7">
        <v>665.40499999999997</v>
      </c>
      <c r="K387" s="7">
        <v>665.29428213430003</v>
      </c>
      <c r="L387" s="7">
        <v>661.45221374250002</v>
      </c>
      <c r="M387" s="7">
        <v>2.43232E-3</v>
      </c>
      <c r="N387" s="7">
        <v>663.3506120024</v>
      </c>
      <c r="O387" s="7">
        <v>665.29428213430003</v>
      </c>
      <c r="P387" s="7">
        <v>661.45221374250002</v>
      </c>
      <c r="Q387" s="7">
        <v>1</v>
      </c>
      <c r="R387" s="7">
        <v>0</v>
      </c>
      <c r="S387" s="7">
        <v>0.53900000000000003</v>
      </c>
      <c r="T387" s="7">
        <v>0.154</v>
      </c>
      <c r="U387" s="7">
        <v>-0.69299999999999995</v>
      </c>
      <c r="V387" s="7" t="s">
        <v>110</v>
      </c>
      <c r="W387" s="11">
        <v>45930.625</v>
      </c>
    </row>
    <row r="388" spans="1:23">
      <c r="A388" t="s">
        <v>87</v>
      </c>
      <c r="B388">
        <v>96</v>
      </c>
      <c r="C388" s="10">
        <v>45930</v>
      </c>
      <c r="D388" s="11">
        <v>45930.666666666664</v>
      </c>
      <c r="E388" s="11">
        <v>45930.666666666664</v>
      </c>
      <c r="F388" t="s">
        <v>108</v>
      </c>
      <c r="G388" t="s">
        <v>109</v>
      </c>
      <c r="H388">
        <v>1</v>
      </c>
      <c r="I388">
        <v>154</v>
      </c>
      <c r="J388" s="7">
        <v>666.18</v>
      </c>
      <c r="K388" s="7">
        <v>664.99636711740004</v>
      </c>
      <c r="L388" s="7">
        <v>661.74985269599995</v>
      </c>
      <c r="M388" s="7">
        <v>1.9834365000000001E-3</v>
      </c>
      <c r="N388" s="7">
        <v>664.31106298069994</v>
      </c>
      <c r="O388" s="7">
        <v>664.99636711740004</v>
      </c>
      <c r="P388" s="7">
        <v>661.74985269599995</v>
      </c>
      <c r="Q388" s="7">
        <v>1</v>
      </c>
      <c r="R388" s="7">
        <v>119.35</v>
      </c>
      <c r="S388" s="7">
        <v>0.53900000000000003</v>
      </c>
      <c r="T388" s="7">
        <v>0.154</v>
      </c>
      <c r="U388" s="7">
        <v>118.657</v>
      </c>
      <c r="V388" s="7" t="s">
        <v>85</v>
      </c>
      <c r="W388" s="11">
        <v>45930.645833333336</v>
      </c>
    </row>
    <row r="389" spans="1:23">
      <c r="A389" t="s">
        <v>87</v>
      </c>
      <c r="B389">
        <v>97</v>
      </c>
      <c r="C389" s="10">
        <v>45931</v>
      </c>
      <c r="D389" s="11">
        <v>45931.5625</v>
      </c>
      <c r="E389" s="11">
        <v>45931.5625</v>
      </c>
      <c r="F389" t="s">
        <v>106</v>
      </c>
      <c r="G389" t="s">
        <v>107</v>
      </c>
      <c r="H389">
        <v>1</v>
      </c>
      <c r="I389">
        <v>154</v>
      </c>
      <c r="J389" s="7">
        <v>667.99869999999999</v>
      </c>
      <c r="K389" s="7">
        <v>667.48899663520001</v>
      </c>
      <c r="L389" s="7">
        <v>662.37831097239996</v>
      </c>
      <c r="M389" s="7">
        <v>1.9649293999999999E-3</v>
      </c>
      <c r="N389" s="7">
        <v>665.6464478721</v>
      </c>
      <c r="O389" s="7">
        <v>667.48899663520001</v>
      </c>
      <c r="P389" s="7">
        <v>662.37831097239996</v>
      </c>
      <c r="Q389" s="7">
        <v>1</v>
      </c>
      <c r="R389" s="7">
        <v>0</v>
      </c>
      <c r="S389" s="7">
        <v>0.53900000000000003</v>
      </c>
      <c r="T389" s="7">
        <v>0.154</v>
      </c>
      <c r="U389" s="7">
        <v>-0.69299999999999995</v>
      </c>
      <c r="V389" s="7" t="s">
        <v>110</v>
      </c>
      <c r="W389" s="11">
        <v>45931.541666666664</v>
      </c>
    </row>
    <row r="390" spans="1:23">
      <c r="A390" t="s">
        <v>87</v>
      </c>
      <c r="B390">
        <v>97</v>
      </c>
      <c r="C390" s="10">
        <v>45931</v>
      </c>
      <c r="D390" s="11">
        <v>45931.666666666664</v>
      </c>
      <c r="E390" s="11">
        <v>45931.666666666664</v>
      </c>
      <c r="F390" t="s">
        <v>108</v>
      </c>
      <c r="G390" t="s">
        <v>109</v>
      </c>
      <c r="H390">
        <v>1</v>
      </c>
      <c r="I390">
        <v>154</v>
      </c>
      <c r="J390" s="7">
        <v>668.45</v>
      </c>
      <c r="K390" s="7">
        <v>667.62646146489999</v>
      </c>
      <c r="L390" s="7">
        <v>662.24136151710002</v>
      </c>
      <c r="M390" s="7">
        <v>2.1712772000000002E-3</v>
      </c>
      <c r="N390" s="7">
        <v>666.87834276449996</v>
      </c>
      <c r="O390" s="7">
        <v>667.62646146489999</v>
      </c>
      <c r="P390" s="7">
        <v>662.24136151710002</v>
      </c>
      <c r="Q390" s="7">
        <v>1</v>
      </c>
      <c r="R390" s="7">
        <v>69.500200000000007</v>
      </c>
      <c r="S390" s="7">
        <v>0.53900000000000003</v>
      </c>
      <c r="T390" s="7">
        <v>0.154</v>
      </c>
      <c r="U390" s="7">
        <v>68.807199999999995</v>
      </c>
      <c r="V390" s="7" t="s">
        <v>85</v>
      </c>
      <c r="W390" s="11">
        <v>45931.645833333336</v>
      </c>
    </row>
    <row r="391" spans="1:23">
      <c r="A391" t="s">
        <v>87</v>
      </c>
      <c r="B391">
        <v>98</v>
      </c>
      <c r="C391" s="10">
        <v>45933</v>
      </c>
      <c r="D391" s="11">
        <v>45933.458333333336</v>
      </c>
      <c r="E391" s="11">
        <v>45933.458333333336</v>
      </c>
      <c r="F391" t="s">
        <v>106</v>
      </c>
      <c r="G391" t="s">
        <v>107</v>
      </c>
      <c r="H391">
        <v>1</v>
      </c>
      <c r="I391">
        <v>152</v>
      </c>
      <c r="J391" s="7">
        <v>672.1</v>
      </c>
      <c r="K391" s="7">
        <v>671.7319760826</v>
      </c>
      <c r="L391" s="7">
        <v>668.16031992789999</v>
      </c>
      <c r="M391" s="7">
        <v>1.5834555000000001E-3</v>
      </c>
      <c r="N391" s="7">
        <v>671.24897690110004</v>
      </c>
      <c r="O391" s="7">
        <v>671.7319760826</v>
      </c>
      <c r="P391" s="7">
        <v>668.16031992789999</v>
      </c>
      <c r="Q391" s="7">
        <v>1</v>
      </c>
      <c r="R391" s="7">
        <v>0</v>
      </c>
      <c r="S391" s="7">
        <v>0.53200000000000003</v>
      </c>
      <c r="T391" s="7">
        <v>0.152</v>
      </c>
      <c r="U391" s="7">
        <v>-0.68400000000000005</v>
      </c>
      <c r="V391" s="7" t="s">
        <v>110</v>
      </c>
      <c r="W391" s="11">
        <v>45933.4375</v>
      </c>
    </row>
    <row r="392" spans="1:23">
      <c r="A392" t="s">
        <v>87</v>
      </c>
      <c r="B392">
        <v>98</v>
      </c>
      <c r="C392" s="10">
        <v>45933</v>
      </c>
      <c r="D392" s="11">
        <v>45933.479166666664</v>
      </c>
      <c r="E392" s="11">
        <v>45933.479166666664</v>
      </c>
      <c r="F392" t="s">
        <v>108</v>
      </c>
      <c r="G392" t="s">
        <v>109</v>
      </c>
      <c r="H392">
        <v>1</v>
      </c>
      <c r="I392">
        <v>152</v>
      </c>
      <c r="J392" s="7">
        <v>671.76</v>
      </c>
      <c r="K392" s="7">
        <v>671.89100035609999</v>
      </c>
      <c r="L392" s="7">
        <v>668.00163946759994</v>
      </c>
      <c r="M392" s="7">
        <v>1.8205680000000001E-3</v>
      </c>
      <c r="N392" s="7">
        <v>671.33011226730002</v>
      </c>
      <c r="O392" s="7">
        <v>671.89100035609999</v>
      </c>
      <c r="P392" s="7">
        <v>668.00163946759994</v>
      </c>
      <c r="Q392" s="7">
        <v>1</v>
      </c>
      <c r="R392" s="7">
        <v>-51.68</v>
      </c>
      <c r="S392" s="7">
        <v>0.53200000000000003</v>
      </c>
      <c r="T392" s="7">
        <v>0.152</v>
      </c>
      <c r="U392" s="7">
        <v>-52.363999999999997</v>
      </c>
      <c r="V392" s="7" t="s">
        <v>88</v>
      </c>
      <c r="W392" s="11">
        <v>45933.458333333336</v>
      </c>
    </row>
    <row r="393" spans="1:23">
      <c r="A393" t="s">
        <v>87</v>
      </c>
      <c r="B393">
        <v>99</v>
      </c>
      <c r="C393" s="10">
        <v>45933</v>
      </c>
      <c r="D393" s="11">
        <v>45933.5</v>
      </c>
      <c r="E393" s="11">
        <v>45933.5</v>
      </c>
      <c r="F393" t="s">
        <v>106</v>
      </c>
      <c r="G393" t="s">
        <v>107</v>
      </c>
      <c r="H393">
        <v>1</v>
      </c>
      <c r="I393">
        <v>152</v>
      </c>
      <c r="J393" s="7">
        <v>672.51</v>
      </c>
      <c r="K393" s="7">
        <v>672.04425536880001</v>
      </c>
      <c r="L393" s="7">
        <v>667.8487157948</v>
      </c>
      <c r="M393" s="7">
        <v>2.0490782999999999E-3</v>
      </c>
      <c r="N393" s="7">
        <v>671.51563071759995</v>
      </c>
      <c r="O393" s="7">
        <v>672.04425536880001</v>
      </c>
      <c r="P393" s="7">
        <v>667.8487157948</v>
      </c>
      <c r="Q393" s="7">
        <v>1</v>
      </c>
      <c r="R393" s="7">
        <v>0</v>
      </c>
      <c r="S393" s="7">
        <v>0.53200000000000003</v>
      </c>
      <c r="T393" s="7">
        <v>0.152</v>
      </c>
      <c r="U393" s="7">
        <v>-0.68400000000000005</v>
      </c>
      <c r="V393" s="7" t="s">
        <v>110</v>
      </c>
      <c r="W393" s="11">
        <v>45933.479166666664</v>
      </c>
    </row>
    <row r="394" spans="1:23">
      <c r="A394" t="s">
        <v>87</v>
      </c>
      <c r="B394">
        <v>99</v>
      </c>
      <c r="C394" s="10">
        <v>45933</v>
      </c>
      <c r="D394" s="11">
        <v>45933.5625</v>
      </c>
      <c r="E394" s="11">
        <v>45933.5625</v>
      </c>
      <c r="F394" t="s">
        <v>108</v>
      </c>
      <c r="G394" t="s">
        <v>109</v>
      </c>
      <c r="H394">
        <v>1</v>
      </c>
      <c r="I394">
        <v>152</v>
      </c>
      <c r="J394" s="7">
        <v>670.26499999999999</v>
      </c>
      <c r="K394" s="7">
        <v>672.21387727069998</v>
      </c>
      <c r="L394" s="7">
        <v>667.67946061830003</v>
      </c>
      <c r="M394" s="7">
        <v>2.3019923999999998E-3</v>
      </c>
      <c r="N394" s="7">
        <v>671.37643629470006</v>
      </c>
      <c r="O394" s="7">
        <v>672.21387727069998</v>
      </c>
      <c r="P394" s="7">
        <v>667.67946061830003</v>
      </c>
      <c r="Q394" s="7">
        <v>1</v>
      </c>
      <c r="R394" s="7">
        <v>-341.24</v>
      </c>
      <c r="S394" s="7">
        <v>0.53200000000000003</v>
      </c>
      <c r="T394" s="7">
        <v>0.152</v>
      </c>
      <c r="U394" s="7">
        <v>-341.92399999999998</v>
      </c>
      <c r="V394" s="7" t="s">
        <v>88</v>
      </c>
      <c r="W394" s="11">
        <v>45933.541666666664</v>
      </c>
    </row>
    <row r="395" spans="1:23">
      <c r="A395" t="s">
        <v>87</v>
      </c>
      <c r="B395">
        <v>100</v>
      </c>
      <c r="C395" s="10">
        <v>45936</v>
      </c>
      <c r="D395" s="11">
        <v>45936.5</v>
      </c>
      <c r="E395" s="11">
        <v>45936.5</v>
      </c>
      <c r="F395" t="s">
        <v>106</v>
      </c>
      <c r="G395" t="s">
        <v>107</v>
      </c>
      <c r="H395">
        <v>1</v>
      </c>
      <c r="I395">
        <v>152</v>
      </c>
      <c r="J395" s="7">
        <v>671.83</v>
      </c>
      <c r="K395" s="7">
        <v>671.44573716779996</v>
      </c>
      <c r="L395" s="7">
        <v>667.71591496370002</v>
      </c>
      <c r="M395" s="7">
        <v>2.2326100999999999E-3</v>
      </c>
      <c r="N395" s="7">
        <v>670.55558501919995</v>
      </c>
      <c r="O395" s="7">
        <v>671.44573716779996</v>
      </c>
      <c r="P395" s="7">
        <v>667.71591496370002</v>
      </c>
      <c r="Q395" s="7">
        <v>1</v>
      </c>
      <c r="R395" s="7">
        <v>0</v>
      </c>
      <c r="S395" s="7">
        <v>0.53200000000000003</v>
      </c>
      <c r="T395" s="7">
        <v>0.152</v>
      </c>
      <c r="U395" s="7">
        <v>-0.68400000000000005</v>
      </c>
      <c r="V395" s="7" t="s">
        <v>110</v>
      </c>
      <c r="W395" s="11">
        <v>45936.479166666664</v>
      </c>
    </row>
    <row r="396" spans="1:23">
      <c r="A396" t="s">
        <v>87</v>
      </c>
      <c r="B396">
        <v>100</v>
      </c>
      <c r="C396" s="10">
        <v>45936</v>
      </c>
      <c r="D396" s="11">
        <v>45936.645833333336</v>
      </c>
      <c r="E396" s="11">
        <v>45936.645833333336</v>
      </c>
      <c r="F396" t="s">
        <v>108</v>
      </c>
      <c r="G396" t="s">
        <v>109</v>
      </c>
      <c r="H396">
        <v>1</v>
      </c>
      <c r="I396">
        <v>152</v>
      </c>
      <c r="J396" s="7">
        <v>671.73</v>
      </c>
      <c r="K396" s="7">
        <v>671.78539952530002</v>
      </c>
      <c r="L396" s="7">
        <v>667.37662778369997</v>
      </c>
      <c r="M396" s="7">
        <v>2.7396067000000001E-3</v>
      </c>
      <c r="N396" s="7">
        <v>671.15942197029995</v>
      </c>
      <c r="O396" s="7">
        <v>671.78539952530002</v>
      </c>
      <c r="P396" s="7">
        <v>667.37662778369997</v>
      </c>
      <c r="Q396" s="7">
        <v>1</v>
      </c>
      <c r="R396" s="7">
        <v>-15.2</v>
      </c>
      <c r="S396" s="7">
        <v>0.53200000000000003</v>
      </c>
      <c r="T396" s="7">
        <v>0.152</v>
      </c>
      <c r="U396" s="7">
        <v>-15.884</v>
      </c>
      <c r="V396" s="7" t="s">
        <v>88</v>
      </c>
      <c r="W396" s="11">
        <v>45936.625</v>
      </c>
    </row>
    <row r="397" spans="1:23">
      <c r="A397" t="s">
        <v>87</v>
      </c>
      <c r="B397">
        <v>101</v>
      </c>
      <c r="C397" s="10">
        <v>45937</v>
      </c>
      <c r="D397" s="11">
        <v>45937.479166666664</v>
      </c>
      <c r="E397" s="11">
        <v>45937.479166666664</v>
      </c>
      <c r="F397" t="s">
        <v>106</v>
      </c>
      <c r="G397" t="s">
        <v>109</v>
      </c>
      <c r="H397">
        <v>-1</v>
      </c>
      <c r="I397">
        <v>151</v>
      </c>
      <c r="J397" s="7">
        <v>669.23</v>
      </c>
      <c r="K397" s="7">
        <v>673.41471522660004</v>
      </c>
      <c r="L397" s="7">
        <v>670.2912371118</v>
      </c>
      <c r="M397" s="7">
        <v>1.9635844000000001E-3</v>
      </c>
      <c r="N397" s="7">
        <v>670.58700342110001</v>
      </c>
      <c r="O397" s="7">
        <v>673.41471522660004</v>
      </c>
      <c r="P397" s="7">
        <v>670.2912371118</v>
      </c>
      <c r="Q397" s="7">
        <v>1</v>
      </c>
      <c r="R397" s="7">
        <v>0</v>
      </c>
      <c r="S397" s="7">
        <v>0.52849999999999997</v>
      </c>
      <c r="T397" s="7">
        <v>0.151</v>
      </c>
      <c r="U397" s="7">
        <v>-0.67949999999999999</v>
      </c>
      <c r="V397" s="7" t="s">
        <v>110</v>
      </c>
      <c r="W397" s="11">
        <v>45937.458333333336</v>
      </c>
    </row>
    <row r="398" spans="1:23">
      <c r="A398" t="s">
        <v>87</v>
      </c>
      <c r="B398">
        <v>101</v>
      </c>
      <c r="C398" s="10">
        <v>45937</v>
      </c>
      <c r="D398" s="11">
        <v>45937.666666666664</v>
      </c>
      <c r="E398" s="11">
        <v>45937.666666666664</v>
      </c>
      <c r="F398" t="s">
        <v>108</v>
      </c>
      <c r="G398" t="s">
        <v>107</v>
      </c>
      <c r="H398">
        <v>-1</v>
      </c>
      <c r="I398">
        <v>151</v>
      </c>
      <c r="J398" s="7">
        <v>669.12</v>
      </c>
      <c r="K398" s="7">
        <v>673.9356845689</v>
      </c>
      <c r="L398" s="7">
        <v>669.77064371359995</v>
      </c>
      <c r="M398" s="7">
        <v>2.7387268000000002E-3</v>
      </c>
      <c r="N398" s="7">
        <v>669.40221292490003</v>
      </c>
      <c r="O398" s="7">
        <v>673.9356845689</v>
      </c>
      <c r="P398" s="7">
        <v>669.40221292490003</v>
      </c>
      <c r="Q398" s="7">
        <v>1</v>
      </c>
      <c r="R398" s="7">
        <v>16.61</v>
      </c>
      <c r="S398" s="7">
        <v>0.52849999999999997</v>
      </c>
      <c r="T398" s="7">
        <v>0.151</v>
      </c>
      <c r="U398" s="7">
        <v>15.9305</v>
      </c>
      <c r="V398" s="7" t="s">
        <v>85</v>
      </c>
      <c r="W398" s="11">
        <v>45937.645833333336</v>
      </c>
    </row>
    <row r="399" spans="1:23">
      <c r="A399" t="s">
        <v>87</v>
      </c>
      <c r="B399">
        <v>102</v>
      </c>
      <c r="C399" s="10">
        <v>45938</v>
      </c>
      <c r="D399" s="11">
        <v>45938.4375</v>
      </c>
      <c r="E399" s="11">
        <v>45938.4375</v>
      </c>
      <c r="F399" t="s">
        <v>106</v>
      </c>
      <c r="G399" t="s">
        <v>107</v>
      </c>
      <c r="H399">
        <v>1</v>
      </c>
      <c r="I399">
        <v>152</v>
      </c>
      <c r="J399" s="7">
        <v>671.91</v>
      </c>
      <c r="K399" s="7">
        <v>671.40482756409995</v>
      </c>
      <c r="L399" s="7">
        <v>668.10209682540005</v>
      </c>
      <c r="M399" s="7">
        <v>1.5212565000000001E-3</v>
      </c>
      <c r="N399" s="7">
        <v>671.00160537980003</v>
      </c>
      <c r="O399" s="7">
        <v>671.40482756409995</v>
      </c>
      <c r="P399" s="7">
        <v>668.10209682540005</v>
      </c>
      <c r="Q399" s="7">
        <v>1</v>
      </c>
      <c r="R399" s="7">
        <v>0</v>
      </c>
      <c r="S399" s="7">
        <v>0.53200000000000003</v>
      </c>
      <c r="T399" s="7">
        <v>0.152</v>
      </c>
      <c r="U399" s="7">
        <v>-0.68400000000000005</v>
      </c>
      <c r="V399" s="7" t="s">
        <v>110</v>
      </c>
      <c r="W399" s="11">
        <v>45938.416666666664</v>
      </c>
    </row>
    <row r="400" spans="1:23">
      <c r="A400" t="s">
        <v>87</v>
      </c>
      <c r="B400">
        <v>102</v>
      </c>
      <c r="C400" s="10">
        <v>45938</v>
      </c>
      <c r="D400" s="11">
        <v>45938.625</v>
      </c>
      <c r="E400" s="11">
        <v>45938.625</v>
      </c>
      <c r="F400" t="s">
        <v>108</v>
      </c>
      <c r="G400" t="s">
        <v>109</v>
      </c>
      <c r="H400">
        <v>1</v>
      </c>
      <c r="I400">
        <v>152</v>
      </c>
      <c r="J400" s="7">
        <v>672.24069999999995</v>
      </c>
      <c r="K400" s="7">
        <v>672.40805104210006</v>
      </c>
      <c r="L400" s="7">
        <v>667.10076640540001</v>
      </c>
      <c r="M400" s="7">
        <v>3.0177451000000001E-3</v>
      </c>
      <c r="N400" s="7">
        <v>671.94990288500003</v>
      </c>
      <c r="O400" s="7">
        <v>672.40805104210006</v>
      </c>
      <c r="P400" s="7">
        <v>667.10076640540001</v>
      </c>
      <c r="Q400" s="7">
        <v>1</v>
      </c>
      <c r="R400" s="7">
        <v>50.266399999999997</v>
      </c>
      <c r="S400" s="7">
        <v>0.53200000000000003</v>
      </c>
      <c r="T400" s="7">
        <v>0.152</v>
      </c>
      <c r="U400" s="7">
        <v>49.5824</v>
      </c>
      <c r="V400" s="7" t="s">
        <v>88</v>
      </c>
      <c r="W400" s="11">
        <v>45938.604166666664</v>
      </c>
    </row>
    <row r="401" spans="1:23">
      <c r="A401" t="s">
        <v>87</v>
      </c>
      <c r="B401">
        <v>103</v>
      </c>
      <c r="C401" s="10">
        <v>45938</v>
      </c>
      <c r="D401" s="11">
        <v>45938.645833333336</v>
      </c>
      <c r="E401" s="11">
        <v>45938.645833333336</v>
      </c>
      <c r="F401" t="s">
        <v>106</v>
      </c>
      <c r="G401" t="s">
        <v>107</v>
      </c>
      <c r="H401">
        <v>1</v>
      </c>
      <c r="I401">
        <v>152</v>
      </c>
      <c r="J401" s="7">
        <v>672.875</v>
      </c>
      <c r="K401" s="7">
        <v>672.58617427019999</v>
      </c>
      <c r="L401" s="7">
        <v>666.92297929150004</v>
      </c>
      <c r="M401" s="7">
        <v>3.283448E-3</v>
      </c>
      <c r="N401" s="7">
        <v>672.03391032770003</v>
      </c>
      <c r="O401" s="7">
        <v>672.58617427019999</v>
      </c>
      <c r="P401" s="7">
        <v>666.92297929150004</v>
      </c>
      <c r="Q401" s="7">
        <v>1</v>
      </c>
      <c r="R401" s="7">
        <v>0</v>
      </c>
      <c r="S401" s="7">
        <v>0.53200000000000003</v>
      </c>
      <c r="T401" s="7">
        <v>0.152</v>
      </c>
      <c r="U401" s="7">
        <v>-0.68400000000000005</v>
      </c>
      <c r="V401" s="7" t="s">
        <v>110</v>
      </c>
      <c r="W401" s="11">
        <v>45938.625</v>
      </c>
    </row>
    <row r="402" spans="1:23">
      <c r="A402" t="s">
        <v>87</v>
      </c>
      <c r="B402">
        <v>103</v>
      </c>
      <c r="C402" s="10">
        <v>45938</v>
      </c>
      <c r="D402" s="11">
        <v>45938.666666666664</v>
      </c>
      <c r="E402" s="11">
        <v>45938.666666666664</v>
      </c>
      <c r="F402" t="s">
        <v>108</v>
      </c>
      <c r="G402" t="s">
        <v>109</v>
      </c>
      <c r="H402">
        <v>1</v>
      </c>
      <c r="I402">
        <v>152</v>
      </c>
      <c r="J402" s="7">
        <v>673.11</v>
      </c>
      <c r="K402" s="7">
        <v>672.3796253946</v>
      </c>
      <c r="L402" s="7">
        <v>667.12913841449995</v>
      </c>
      <c r="M402" s="7">
        <v>2.9753431000000001E-3</v>
      </c>
      <c r="N402" s="7">
        <v>672.27716954940001</v>
      </c>
      <c r="O402" s="7">
        <v>672.3796253946</v>
      </c>
      <c r="P402" s="7">
        <v>667.12913841449995</v>
      </c>
      <c r="Q402" s="7">
        <v>1</v>
      </c>
      <c r="R402" s="7">
        <v>35.72</v>
      </c>
      <c r="S402" s="7">
        <v>0.53200000000000003</v>
      </c>
      <c r="T402" s="7">
        <v>0.152</v>
      </c>
      <c r="U402" s="7">
        <v>35.036000000000001</v>
      </c>
      <c r="V402" s="7" t="s">
        <v>85</v>
      </c>
      <c r="W402" s="11">
        <v>45938.645833333336</v>
      </c>
    </row>
    <row r="403" spans="1:23">
      <c r="A403" t="s">
        <v>87</v>
      </c>
      <c r="B403">
        <v>104</v>
      </c>
      <c r="C403" s="10">
        <v>45939</v>
      </c>
      <c r="D403" s="11">
        <v>45939.541666666664</v>
      </c>
      <c r="E403" s="11">
        <v>45939.541666666664</v>
      </c>
      <c r="F403" t="s">
        <v>106</v>
      </c>
      <c r="G403" t="s">
        <v>109</v>
      </c>
      <c r="H403">
        <v>-1</v>
      </c>
      <c r="I403">
        <v>152</v>
      </c>
      <c r="J403" s="7">
        <v>669.76</v>
      </c>
      <c r="K403" s="7">
        <v>674.92758540780005</v>
      </c>
      <c r="L403" s="7">
        <v>669.91614097850004</v>
      </c>
      <c r="M403" s="7">
        <v>2.7002799000000002E-3</v>
      </c>
      <c r="N403" s="7">
        <v>671.21776956279996</v>
      </c>
      <c r="O403" s="7">
        <v>674.92758540780005</v>
      </c>
      <c r="P403" s="7">
        <v>669.91614097850004</v>
      </c>
      <c r="Q403" s="7">
        <v>1</v>
      </c>
      <c r="R403" s="7">
        <v>0</v>
      </c>
      <c r="S403" s="7">
        <v>0.53200000000000003</v>
      </c>
      <c r="T403" s="7">
        <v>0.152</v>
      </c>
      <c r="U403" s="7">
        <v>-0.68400000000000005</v>
      </c>
      <c r="V403" s="7" t="s">
        <v>110</v>
      </c>
      <c r="W403" s="11">
        <v>45939.520833333336</v>
      </c>
    </row>
    <row r="404" spans="1:23">
      <c r="A404" t="s">
        <v>87</v>
      </c>
      <c r="B404">
        <v>104</v>
      </c>
      <c r="C404" s="10">
        <v>45939</v>
      </c>
      <c r="D404" s="11">
        <v>45939.583333333336</v>
      </c>
      <c r="E404" s="11">
        <v>45939.583333333336</v>
      </c>
      <c r="F404" t="s">
        <v>108</v>
      </c>
      <c r="G404" t="s">
        <v>107</v>
      </c>
      <c r="H404">
        <v>-1</v>
      </c>
      <c r="I404">
        <v>152</v>
      </c>
      <c r="J404" s="7">
        <v>670.18</v>
      </c>
      <c r="K404" s="7">
        <v>675.06797361500003</v>
      </c>
      <c r="L404" s="7">
        <v>669.77604059309999</v>
      </c>
      <c r="M404" s="7">
        <v>2.9088463999999998E-3</v>
      </c>
      <c r="N404" s="7">
        <v>670.95984908790001</v>
      </c>
      <c r="O404" s="7">
        <v>675.06797361500003</v>
      </c>
      <c r="P404" s="7">
        <v>669.77604059309999</v>
      </c>
      <c r="Q404" s="7">
        <v>1</v>
      </c>
      <c r="R404" s="7">
        <v>-63.84</v>
      </c>
      <c r="S404" s="7">
        <v>0.53200000000000003</v>
      </c>
      <c r="T404" s="7">
        <v>0.152</v>
      </c>
      <c r="U404" s="7">
        <v>-64.524000000000001</v>
      </c>
      <c r="V404" s="7" t="s">
        <v>88</v>
      </c>
      <c r="W404" s="11">
        <v>45939.5625</v>
      </c>
    </row>
    <row r="405" spans="1:23">
      <c r="A405" t="s">
        <v>87</v>
      </c>
      <c r="B405">
        <v>105</v>
      </c>
      <c r="C405" s="10">
        <v>45940</v>
      </c>
      <c r="D405" s="11">
        <v>45940.458333333336</v>
      </c>
      <c r="E405" s="11">
        <v>45940.458333333336</v>
      </c>
      <c r="F405" t="s">
        <v>106</v>
      </c>
      <c r="G405" t="s">
        <v>109</v>
      </c>
      <c r="H405">
        <v>-1</v>
      </c>
      <c r="I405">
        <v>151</v>
      </c>
      <c r="J405" s="7">
        <v>668.72500000000002</v>
      </c>
      <c r="K405" s="7">
        <v>674.43125578290005</v>
      </c>
      <c r="L405" s="7">
        <v>669.90251016649995</v>
      </c>
      <c r="M405" s="7">
        <v>1.8736066000000001E-3</v>
      </c>
      <c r="N405" s="7">
        <v>671.40110267789998</v>
      </c>
      <c r="O405" s="7">
        <v>674.43125578290005</v>
      </c>
      <c r="P405" s="7">
        <v>669.90251016649995</v>
      </c>
      <c r="Q405" s="7">
        <v>1</v>
      </c>
      <c r="R405" s="7">
        <v>0</v>
      </c>
      <c r="S405" s="7">
        <v>0.52849999999999997</v>
      </c>
      <c r="T405" s="7">
        <v>0.151</v>
      </c>
      <c r="U405" s="7">
        <v>-0.67949999999999999</v>
      </c>
      <c r="V405" s="7" t="s">
        <v>110</v>
      </c>
      <c r="W405" s="11">
        <v>45940.4375</v>
      </c>
    </row>
    <row r="406" spans="1:23">
      <c r="A406" t="s">
        <v>87</v>
      </c>
      <c r="B406">
        <v>105</v>
      </c>
      <c r="C406" s="10">
        <v>45940</v>
      </c>
      <c r="D406" s="11">
        <v>45940.666666666664</v>
      </c>
      <c r="E406" s="11">
        <v>45940.666666666664</v>
      </c>
      <c r="F406" t="s">
        <v>108</v>
      </c>
      <c r="G406" t="s">
        <v>107</v>
      </c>
      <c r="H406">
        <v>-1</v>
      </c>
      <c r="I406">
        <v>151</v>
      </c>
      <c r="J406" s="7">
        <v>653.02</v>
      </c>
      <c r="K406" s="7">
        <v>675.28243696380002</v>
      </c>
      <c r="L406" s="7">
        <v>669.05387050429999</v>
      </c>
      <c r="M406" s="7">
        <v>3.1380437999999999E-3</v>
      </c>
      <c r="N406" s="7">
        <v>660.93212764409998</v>
      </c>
      <c r="O406" s="7">
        <v>675.28243696380002</v>
      </c>
      <c r="P406" s="7">
        <v>660.93212764409998</v>
      </c>
      <c r="Q406" s="7">
        <v>1</v>
      </c>
      <c r="R406" s="7">
        <v>2371.4549999999999</v>
      </c>
      <c r="S406" s="7">
        <v>0.52849999999999997</v>
      </c>
      <c r="T406" s="7">
        <v>0.151</v>
      </c>
      <c r="U406" s="7">
        <v>2370.7755000000002</v>
      </c>
      <c r="V406" s="7" t="s">
        <v>85</v>
      </c>
      <c r="W406" s="11">
        <v>45940.645833333336</v>
      </c>
    </row>
    <row r="407" spans="1:23">
      <c r="A407" t="s">
        <v>87</v>
      </c>
      <c r="B407">
        <v>106</v>
      </c>
      <c r="C407" s="10">
        <v>45946</v>
      </c>
      <c r="D407" s="11">
        <v>45946.583333333336</v>
      </c>
      <c r="E407" s="11">
        <v>45946.583333333336</v>
      </c>
      <c r="F407" t="s">
        <v>106</v>
      </c>
      <c r="G407" t="s">
        <v>109</v>
      </c>
      <c r="H407">
        <v>-1</v>
      </c>
      <c r="I407">
        <v>156</v>
      </c>
      <c r="J407" s="7">
        <v>661.81</v>
      </c>
      <c r="K407" s="7">
        <v>669.89078126699997</v>
      </c>
      <c r="L407" s="7">
        <v>661.95145256549995</v>
      </c>
      <c r="M407" s="7">
        <v>4.8386840000000002E-3</v>
      </c>
      <c r="N407" s="7">
        <v>664.66242217959996</v>
      </c>
      <c r="O407" s="7">
        <v>669.89078126699997</v>
      </c>
      <c r="P407" s="7">
        <v>661.95145256549995</v>
      </c>
      <c r="Q407" s="7">
        <v>1</v>
      </c>
      <c r="R407" s="7">
        <v>0</v>
      </c>
      <c r="S407" s="7">
        <v>0.54600000000000004</v>
      </c>
      <c r="T407" s="7">
        <v>0.156</v>
      </c>
      <c r="U407" s="7">
        <v>-0.70199999999999996</v>
      </c>
      <c r="V407" s="7" t="s">
        <v>110</v>
      </c>
      <c r="W407" s="11">
        <v>45946.5625</v>
      </c>
    </row>
    <row r="408" spans="1:23">
      <c r="A408" t="s">
        <v>87</v>
      </c>
      <c r="B408">
        <v>106</v>
      </c>
      <c r="C408" s="10">
        <v>45946</v>
      </c>
      <c r="D408" s="11">
        <v>45946.666666666664</v>
      </c>
      <c r="E408" s="11">
        <v>45946.666666666664</v>
      </c>
      <c r="F408" t="s">
        <v>108</v>
      </c>
      <c r="G408" t="s">
        <v>107</v>
      </c>
      <c r="H408">
        <v>-1</v>
      </c>
      <c r="I408">
        <v>156</v>
      </c>
      <c r="J408" s="7">
        <v>660.64</v>
      </c>
      <c r="K408" s="7">
        <v>670.03164667119995</v>
      </c>
      <c r="L408" s="7">
        <v>661.81090305279997</v>
      </c>
      <c r="M408" s="7">
        <v>5.0499825999999999E-3</v>
      </c>
      <c r="N408" s="7">
        <v>662.80307974389996</v>
      </c>
      <c r="O408" s="7">
        <v>670.03164667119995</v>
      </c>
      <c r="P408" s="7">
        <v>661.81090305279997</v>
      </c>
      <c r="Q408" s="7">
        <v>1</v>
      </c>
      <c r="R408" s="7">
        <v>182.52</v>
      </c>
      <c r="S408" s="7">
        <v>0.54600000000000004</v>
      </c>
      <c r="T408" s="7">
        <v>0.156</v>
      </c>
      <c r="U408" s="7">
        <v>181.81800000000001</v>
      </c>
      <c r="V408" s="7" t="s">
        <v>85</v>
      </c>
      <c r="W408" s="11">
        <v>45946.645833333336</v>
      </c>
    </row>
    <row r="409" spans="1:23">
      <c r="A409" t="s">
        <v>87</v>
      </c>
      <c r="B409">
        <v>107</v>
      </c>
      <c r="C409" s="10">
        <v>45947</v>
      </c>
      <c r="D409" s="11">
        <v>45947.4375</v>
      </c>
      <c r="E409" s="11">
        <v>45947.4375</v>
      </c>
      <c r="F409" t="s">
        <v>106</v>
      </c>
      <c r="G409" t="s">
        <v>107</v>
      </c>
      <c r="H409">
        <v>1</v>
      </c>
      <c r="I409">
        <v>158</v>
      </c>
      <c r="J409" s="7">
        <v>662.4</v>
      </c>
      <c r="K409" s="7">
        <v>661.64563398409996</v>
      </c>
      <c r="L409" s="7">
        <v>659.64438108640002</v>
      </c>
      <c r="M409" s="7">
        <v>1.5070521000000001E-3</v>
      </c>
      <c r="N409" s="7">
        <v>661.22370587529997</v>
      </c>
      <c r="O409" s="7">
        <v>661.64563398409996</v>
      </c>
      <c r="P409" s="7">
        <v>659.64438108640002</v>
      </c>
      <c r="Q409" s="7">
        <v>1</v>
      </c>
      <c r="R409" s="7">
        <v>0</v>
      </c>
      <c r="S409" s="7">
        <v>0.55300000000000005</v>
      </c>
      <c r="T409" s="7">
        <v>0.158</v>
      </c>
      <c r="U409" s="7">
        <v>-0.71099999999999997</v>
      </c>
      <c r="V409" s="7" t="s">
        <v>110</v>
      </c>
      <c r="W409" s="11">
        <v>45947.416666666664</v>
      </c>
    </row>
    <row r="410" spans="1:23">
      <c r="A410" t="s">
        <v>87</v>
      </c>
      <c r="B410">
        <v>107</v>
      </c>
      <c r="C410" s="10">
        <v>45947</v>
      </c>
      <c r="D410" s="11">
        <v>45947.458333333336</v>
      </c>
      <c r="E410" s="11">
        <v>45947.458333333336</v>
      </c>
      <c r="F410" t="s">
        <v>108</v>
      </c>
      <c r="G410" t="s">
        <v>109</v>
      </c>
      <c r="H410">
        <v>1</v>
      </c>
      <c r="I410">
        <v>158</v>
      </c>
      <c r="J410" s="7">
        <v>659.57</v>
      </c>
      <c r="K410" s="7">
        <v>662.10172873279998</v>
      </c>
      <c r="L410" s="7">
        <v>659.18829324139995</v>
      </c>
      <c r="M410" s="7">
        <v>2.1974249000000002E-3</v>
      </c>
      <c r="N410" s="7">
        <v>660.89558421029994</v>
      </c>
      <c r="O410" s="7">
        <v>662.10172873279998</v>
      </c>
      <c r="P410" s="7">
        <v>659.18829324139995</v>
      </c>
      <c r="Q410" s="7">
        <v>1</v>
      </c>
      <c r="R410" s="7">
        <v>-447.14</v>
      </c>
      <c r="S410" s="7">
        <v>0.55300000000000005</v>
      </c>
      <c r="T410" s="7">
        <v>0.158</v>
      </c>
      <c r="U410" s="7">
        <v>-447.851</v>
      </c>
      <c r="V410" s="7" t="s">
        <v>88</v>
      </c>
      <c r="W410" s="11">
        <v>45947.4375</v>
      </c>
    </row>
    <row r="411" spans="1:23">
      <c r="A411" t="s">
        <v>87</v>
      </c>
      <c r="B411">
        <v>108</v>
      </c>
      <c r="C411" s="10">
        <v>45947</v>
      </c>
      <c r="D411" s="11">
        <v>45947.604166666664</v>
      </c>
      <c r="E411" s="11">
        <v>45947.604166666664</v>
      </c>
      <c r="F411" t="s">
        <v>106</v>
      </c>
      <c r="G411" t="s">
        <v>107</v>
      </c>
      <c r="H411">
        <v>1</v>
      </c>
      <c r="I411">
        <v>158</v>
      </c>
      <c r="J411" s="7">
        <v>664.65</v>
      </c>
      <c r="K411" s="7">
        <v>664.42972327079997</v>
      </c>
      <c r="L411" s="7">
        <v>656.86033394139997</v>
      </c>
      <c r="M411" s="7">
        <v>5.7212189E-3</v>
      </c>
      <c r="N411" s="7">
        <v>661.50546680289995</v>
      </c>
      <c r="O411" s="7">
        <v>664.42972327079997</v>
      </c>
      <c r="P411" s="7">
        <v>656.86033394139997</v>
      </c>
      <c r="Q411" s="7">
        <v>1</v>
      </c>
      <c r="R411" s="7">
        <v>0</v>
      </c>
      <c r="S411" s="7">
        <v>0.55300000000000005</v>
      </c>
      <c r="T411" s="7">
        <v>0.158</v>
      </c>
      <c r="U411" s="7">
        <v>-0.71099999999999997</v>
      </c>
      <c r="V411" s="7" t="s">
        <v>110</v>
      </c>
      <c r="W411" s="11">
        <v>45947.583333333336</v>
      </c>
    </row>
    <row r="412" spans="1:23">
      <c r="A412" t="s">
        <v>87</v>
      </c>
      <c r="B412">
        <v>108</v>
      </c>
      <c r="C412" s="10">
        <v>45947</v>
      </c>
      <c r="D412" s="11">
        <v>45947.666666666664</v>
      </c>
      <c r="E412" s="11">
        <v>45947.666666666664</v>
      </c>
      <c r="F412" t="s">
        <v>108</v>
      </c>
      <c r="G412" t="s">
        <v>109</v>
      </c>
      <c r="H412">
        <v>1</v>
      </c>
      <c r="I412">
        <v>158</v>
      </c>
      <c r="J412" s="7">
        <v>664.39</v>
      </c>
      <c r="K412" s="7">
        <v>664.41203224929995</v>
      </c>
      <c r="L412" s="7">
        <v>656.87802469509995</v>
      </c>
      <c r="M412" s="7">
        <v>5.6944407000000001E-3</v>
      </c>
      <c r="N412" s="7">
        <v>662.29460136190005</v>
      </c>
      <c r="O412" s="7">
        <v>664.41203224929995</v>
      </c>
      <c r="P412" s="7">
        <v>656.87802469509995</v>
      </c>
      <c r="Q412" s="7">
        <v>1</v>
      </c>
      <c r="R412" s="7">
        <v>-41.08</v>
      </c>
      <c r="S412" s="7">
        <v>0.55300000000000005</v>
      </c>
      <c r="T412" s="7">
        <v>0.158</v>
      </c>
      <c r="U412" s="7">
        <v>-41.790999999999997</v>
      </c>
      <c r="V412" s="7" t="s">
        <v>85</v>
      </c>
      <c r="W412" s="11">
        <v>45947.645833333336</v>
      </c>
    </row>
    <row r="413" spans="1:23">
      <c r="A413" t="s">
        <v>87</v>
      </c>
      <c r="B413">
        <v>109</v>
      </c>
      <c r="C413" s="10">
        <v>45950</v>
      </c>
      <c r="D413" s="11">
        <v>45950.4375</v>
      </c>
      <c r="E413" s="11">
        <v>45950.4375</v>
      </c>
      <c r="F413" t="s">
        <v>106</v>
      </c>
      <c r="G413" t="s">
        <v>107</v>
      </c>
      <c r="H413">
        <v>1</v>
      </c>
      <c r="I413">
        <v>155</v>
      </c>
      <c r="J413" s="7">
        <v>670.3</v>
      </c>
      <c r="K413" s="7">
        <v>669.88360946190005</v>
      </c>
      <c r="L413" s="7">
        <v>663.27373274360002</v>
      </c>
      <c r="M413" s="7">
        <v>1.6801386000000001E-3</v>
      </c>
      <c r="N413" s="7">
        <v>669.35279147469998</v>
      </c>
      <c r="O413" s="7">
        <v>669.88360946190005</v>
      </c>
      <c r="P413" s="7">
        <v>663.27373274360002</v>
      </c>
      <c r="Q413" s="7">
        <v>1</v>
      </c>
      <c r="R413" s="7">
        <v>0</v>
      </c>
      <c r="S413" s="7">
        <v>0.54249999999999998</v>
      </c>
      <c r="T413" s="7">
        <v>0.155</v>
      </c>
      <c r="U413" s="7">
        <v>-0.69750000000000001</v>
      </c>
      <c r="V413" s="7" t="s">
        <v>110</v>
      </c>
      <c r="W413" s="11">
        <v>45950.416666666664</v>
      </c>
    </row>
    <row r="414" spans="1:23">
      <c r="A414" t="s">
        <v>87</v>
      </c>
      <c r="B414">
        <v>109</v>
      </c>
      <c r="C414" s="10">
        <v>45950</v>
      </c>
      <c r="D414" s="11">
        <v>45950.5</v>
      </c>
      <c r="E414" s="11">
        <v>45950.5</v>
      </c>
      <c r="F414" t="s">
        <v>108</v>
      </c>
      <c r="G414" t="s">
        <v>109</v>
      </c>
      <c r="H414">
        <v>1</v>
      </c>
      <c r="I414">
        <v>155</v>
      </c>
      <c r="J414" s="7">
        <v>670.64</v>
      </c>
      <c r="K414" s="7">
        <v>671.52361136019999</v>
      </c>
      <c r="L414" s="7">
        <v>661.64444740780004</v>
      </c>
      <c r="M414" s="7">
        <v>4.1324411999999998E-3</v>
      </c>
      <c r="N414" s="7">
        <v>670.07440389390001</v>
      </c>
      <c r="O414" s="7">
        <v>671.52361136019999</v>
      </c>
      <c r="P414" s="7">
        <v>661.64444740780004</v>
      </c>
      <c r="Q414" s="7">
        <v>1</v>
      </c>
      <c r="R414" s="7">
        <v>52.7</v>
      </c>
      <c r="S414" s="7">
        <v>0.54249999999999998</v>
      </c>
      <c r="T414" s="7">
        <v>0.155</v>
      </c>
      <c r="U414" s="7">
        <v>52.002499999999998</v>
      </c>
      <c r="V414" s="7" t="s">
        <v>88</v>
      </c>
      <c r="W414" s="11">
        <v>45950.479166666664</v>
      </c>
    </row>
    <row r="415" spans="1:23">
      <c r="A415" t="s">
        <v>87</v>
      </c>
      <c r="B415">
        <v>110</v>
      </c>
      <c r="C415" s="10">
        <v>45952</v>
      </c>
      <c r="D415" s="11">
        <v>45952.4375</v>
      </c>
      <c r="E415" s="11">
        <v>45952.4375</v>
      </c>
      <c r="F415" t="s">
        <v>106</v>
      </c>
      <c r="G415" t="s">
        <v>109</v>
      </c>
      <c r="H415">
        <v>-1</v>
      </c>
      <c r="I415">
        <v>155</v>
      </c>
      <c r="J415" s="7">
        <v>669.33749999999998</v>
      </c>
      <c r="K415" s="7">
        <v>672.37887855880001</v>
      </c>
      <c r="L415" s="7">
        <v>670.1262430964</v>
      </c>
      <c r="M415" s="7">
        <v>1.6220688E-3</v>
      </c>
      <c r="N415" s="7">
        <v>670.39811205520004</v>
      </c>
      <c r="O415" s="7">
        <v>672.37887855880001</v>
      </c>
      <c r="P415" s="7">
        <v>670.1262430964</v>
      </c>
      <c r="Q415" s="7">
        <v>1</v>
      </c>
      <c r="R415" s="7">
        <v>0</v>
      </c>
      <c r="S415" s="7">
        <v>0.54249999999999998</v>
      </c>
      <c r="T415" s="7">
        <v>0.155</v>
      </c>
      <c r="U415" s="7">
        <v>-0.69750000000000001</v>
      </c>
      <c r="V415" s="7" t="s">
        <v>110</v>
      </c>
      <c r="W415" s="11">
        <v>45952.416666666664</v>
      </c>
    </row>
    <row r="416" spans="1:23">
      <c r="A416" t="s">
        <v>87</v>
      </c>
      <c r="B416">
        <v>110</v>
      </c>
      <c r="C416" s="10">
        <v>45952</v>
      </c>
      <c r="D416" s="11">
        <v>45952.458333333336</v>
      </c>
      <c r="E416" s="11">
        <v>45952.458333333336</v>
      </c>
      <c r="F416" t="s">
        <v>108</v>
      </c>
      <c r="G416" t="s">
        <v>107</v>
      </c>
      <c r="H416">
        <v>-1</v>
      </c>
      <c r="I416">
        <v>155</v>
      </c>
      <c r="J416" s="7">
        <v>670.08</v>
      </c>
      <c r="K416" s="7">
        <v>672.98892378649998</v>
      </c>
      <c r="L416" s="7">
        <v>669.51626602609997</v>
      </c>
      <c r="M416" s="7">
        <v>2.5308343000000001E-3</v>
      </c>
      <c r="N416" s="7">
        <v>670.26526981790005</v>
      </c>
      <c r="O416" s="7">
        <v>672.98892378649998</v>
      </c>
      <c r="P416" s="7">
        <v>669.51626602609997</v>
      </c>
      <c r="Q416" s="7">
        <v>1</v>
      </c>
      <c r="R416" s="7">
        <v>-115.08750000000001</v>
      </c>
      <c r="S416" s="7">
        <v>0.54249999999999998</v>
      </c>
      <c r="T416" s="7">
        <v>0.155</v>
      </c>
      <c r="U416" s="7">
        <v>-115.785</v>
      </c>
      <c r="V416" s="7" t="s">
        <v>88</v>
      </c>
      <c r="W416" s="11">
        <v>45952.4375</v>
      </c>
    </row>
    <row r="417" spans="1:23">
      <c r="A417" t="s">
        <v>87</v>
      </c>
      <c r="B417">
        <v>111</v>
      </c>
      <c r="C417" s="10">
        <v>45952</v>
      </c>
      <c r="D417" s="11">
        <v>45952.479166666664</v>
      </c>
      <c r="E417" s="11">
        <v>45952.479166666664</v>
      </c>
      <c r="F417" t="s">
        <v>106</v>
      </c>
      <c r="G417" t="s">
        <v>109</v>
      </c>
      <c r="H417">
        <v>-1</v>
      </c>
      <c r="I417">
        <v>155</v>
      </c>
      <c r="J417" s="7">
        <v>667.89</v>
      </c>
      <c r="K417" s="7">
        <v>673.46085005700002</v>
      </c>
      <c r="L417" s="7">
        <v>669.04439248159997</v>
      </c>
      <c r="M417" s="7">
        <v>3.2338483000000002E-3</v>
      </c>
      <c r="N417" s="7">
        <v>669.72099911570001</v>
      </c>
      <c r="O417" s="7">
        <v>673.46085005700002</v>
      </c>
      <c r="P417" s="7">
        <v>669.04439248159997</v>
      </c>
      <c r="Q417" s="7">
        <v>1</v>
      </c>
      <c r="R417" s="7">
        <v>0</v>
      </c>
      <c r="S417" s="7">
        <v>0.54249999999999998</v>
      </c>
      <c r="T417" s="7">
        <v>0.155</v>
      </c>
      <c r="U417" s="7">
        <v>-0.69750000000000001</v>
      </c>
      <c r="V417" s="7" t="s">
        <v>110</v>
      </c>
      <c r="W417" s="11">
        <v>45952.458333333336</v>
      </c>
    </row>
    <row r="418" spans="1:23">
      <c r="A418" t="s">
        <v>87</v>
      </c>
      <c r="B418">
        <v>111</v>
      </c>
      <c r="C418" s="10">
        <v>45952</v>
      </c>
      <c r="D418" s="11">
        <v>45952.5</v>
      </c>
      <c r="E418" s="11">
        <v>45952.5</v>
      </c>
      <c r="F418" t="s">
        <v>108</v>
      </c>
      <c r="G418" t="s">
        <v>107</v>
      </c>
      <c r="H418">
        <v>-1</v>
      </c>
      <c r="I418">
        <v>155</v>
      </c>
      <c r="J418" s="7">
        <v>669.00800000000004</v>
      </c>
      <c r="K418" s="7">
        <v>674.07173323209997</v>
      </c>
      <c r="L418" s="7">
        <v>668.43357755759996</v>
      </c>
      <c r="M418" s="7">
        <v>4.1438622E-3</v>
      </c>
      <c r="N418" s="7">
        <v>669.60864525110003</v>
      </c>
      <c r="O418" s="7">
        <v>674.07173323209997</v>
      </c>
      <c r="P418" s="7">
        <v>668.43357755759996</v>
      </c>
      <c r="Q418" s="7">
        <v>1</v>
      </c>
      <c r="R418" s="7">
        <v>-173.29</v>
      </c>
      <c r="S418" s="7">
        <v>0.54249999999999998</v>
      </c>
      <c r="T418" s="7">
        <v>0.155</v>
      </c>
      <c r="U418" s="7">
        <v>-173.98750000000001</v>
      </c>
      <c r="V418" s="7" t="s">
        <v>88</v>
      </c>
      <c r="W418" s="11">
        <v>45952.479166666664</v>
      </c>
    </row>
    <row r="419" spans="1:23">
      <c r="A419" t="s">
        <v>87</v>
      </c>
      <c r="B419">
        <v>112</v>
      </c>
      <c r="C419" s="10">
        <v>45952</v>
      </c>
      <c r="D419" s="11">
        <v>45952.520833333336</v>
      </c>
      <c r="E419" s="11">
        <v>45952.520833333336</v>
      </c>
      <c r="F419" t="s">
        <v>106</v>
      </c>
      <c r="G419" t="s">
        <v>109</v>
      </c>
      <c r="H419">
        <v>-1</v>
      </c>
      <c r="I419">
        <v>155</v>
      </c>
      <c r="J419" s="7">
        <v>667.63</v>
      </c>
      <c r="K419" s="7">
        <v>674.47035583000002</v>
      </c>
      <c r="L419" s="7">
        <v>668.03499949590002</v>
      </c>
      <c r="M419" s="7">
        <v>4.7376778999999999E-3</v>
      </c>
      <c r="N419" s="7">
        <v>669.41249392190002</v>
      </c>
      <c r="O419" s="7">
        <v>674.47035583000002</v>
      </c>
      <c r="P419" s="7">
        <v>668.03499949590002</v>
      </c>
      <c r="Q419" s="7">
        <v>1</v>
      </c>
      <c r="R419" s="7">
        <v>0</v>
      </c>
      <c r="S419" s="7">
        <v>0.54249999999999998</v>
      </c>
      <c r="T419" s="7">
        <v>0.155</v>
      </c>
      <c r="U419" s="7">
        <v>-0.69750000000000001</v>
      </c>
      <c r="V419" s="7" t="s">
        <v>110</v>
      </c>
      <c r="W419" s="11">
        <v>45952.5</v>
      </c>
    </row>
    <row r="420" spans="1:23">
      <c r="A420" t="s">
        <v>87</v>
      </c>
      <c r="B420">
        <v>112</v>
      </c>
      <c r="C420" s="10">
        <v>45952</v>
      </c>
      <c r="D420" s="11">
        <v>45952.645833333336</v>
      </c>
      <c r="E420" s="11">
        <v>45952.645833333336</v>
      </c>
      <c r="F420" t="s">
        <v>108</v>
      </c>
      <c r="G420" t="s">
        <v>107</v>
      </c>
      <c r="H420">
        <v>-1</v>
      </c>
      <c r="I420">
        <v>155</v>
      </c>
      <c r="J420" s="7">
        <v>667.46</v>
      </c>
      <c r="K420" s="7">
        <v>675.2263736978</v>
      </c>
      <c r="L420" s="7">
        <v>667.27906609429999</v>
      </c>
      <c r="M420" s="7">
        <v>5.8638943999999998E-3</v>
      </c>
      <c r="N420" s="7">
        <v>667.75893460500004</v>
      </c>
      <c r="O420" s="7">
        <v>675.2263736978</v>
      </c>
      <c r="P420" s="7">
        <v>667.27906609429999</v>
      </c>
      <c r="Q420" s="7">
        <v>1</v>
      </c>
      <c r="R420" s="7">
        <v>26.35</v>
      </c>
      <c r="S420" s="7">
        <v>0.54249999999999998</v>
      </c>
      <c r="T420" s="7">
        <v>0.155</v>
      </c>
      <c r="U420" s="7">
        <v>25.6525</v>
      </c>
      <c r="V420" s="7" t="s">
        <v>88</v>
      </c>
      <c r="W420" s="11">
        <v>45952.625</v>
      </c>
    </row>
    <row r="421" spans="1:23">
      <c r="A421" t="s">
        <v>87</v>
      </c>
      <c r="B421">
        <v>113</v>
      </c>
      <c r="C421" s="10">
        <v>45960</v>
      </c>
      <c r="D421" s="11">
        <v>45960.4375</v>
      </c>
      <c r="E421" s="11">
        <v>45960.4375</v>
      </c>
      <c r="F421" t="s">
        <v>106</v>
      </c>
      <c r="G421" t="s">
        <v>109</v>
      </c>
      <c r="H421">
        <v>-1</v>
      </c>
      <c r="I421">
        <v>151</v>
      </c>
      <c r="J421" s="7">
        <v>683.44</v>
      </c>
      <c r="K421" s="7">
        <v>688.48993574270003</v>
      </c>
      <c r="L421" s="7">
        <v>683.95380863770004</v>
      </c>
      <c r="M421" s="7">
        <v>1.6001626E-3</v>
      </c>
      <c r="N421" s="7">
        <v>684.48701690680002</v>
      </c>
      <c r="O421" s="7">
        <v>688.48993574270003</v>
      </c>
      <c r="P421" s="7">
        <v>683.95380863770004</v>
      </c>
      <c r="Q421" s="7">
        <v>1</v>
      </c>
      <c r="R421" s="7">
        <v>0</v>
      </c>
      <c r="S421" s="7">
        <v>0.52849999999999997</v>
      </c>
      <c r="T421" s="7">
        <v>0.151</v>
      </c>
      <c r="U421" s="7">
        <v>-0.67949999999999999</v>
      </c>
      <c r="V421" s="7" t="s">
        <v>110</v>
      </c>
      <c r="W421" s="11">
        <v>45960.416666666664</v>
      </c>
    </row>
    <row r="422" spans="1:23">
      <c r="A422" t="s">
        <v>87</v>
      </c>
      <c r="B422">
        <v>113</v>
      </c>
      <c r="C422" s="10">
        <v>45960</v>
      </c>
      <c r="D422" s="11">
        <v>45960.458333333336</v>
      </c>
      <c r="E422" s="11">
        <v>45960.458333333336</v>
      </c>
      <c r="F422" t="s">
        <v>108</v>
      </c>
      <c r="G422" t="s">
        <v>107</v>
      </c>
      <c r="H422">
        <v>-1</v>
      </c>
      <c r="I422">
        <v>151</v>
      </c>
      <c r="J422" s="7">
        <v>684.49</v>
      </c>
      <c r="K422" s="7">
        <v>688.90638404929996</v>
      </c>
      <c r="L422" s="7">
        <v>683.53877799659995</v>
      </c>
      <c r="M422" s="7">
        <v>2.2060025E-3</v>
      </c>
      <c r="N422" s="7">
        <v>684.48759193269996</v>
      </c>
      <c r="O422" s="7">
        <v>688.90638404929996</v>
      </c>
      <c r="P422" s="7">
        <v>683.53877799659995</v>
      </c>
      <c r="Q422" s="7">
        <v>1</v>
      </c>
      <c r="R422" s="7">
        <v>-158.55000000000001</v>
      </c>
      <c r="S422" s="7">
        <v>0.52849999999999997</v>
      </c>
      <c r="T422" s="7">
        <v>0.151</v>
      </c>
      <c r="U422" s="7">
        <v>-159.2295</v>
      </c>
      <c r="V422" s="7" t="s">
        <v>88</v>
      </c>
      <c r="W422" s="11">
        <v>45960.4375</v>
      </c>
    </row>
    <row r="423" spans="1:23">
      <c r="A423" t="s">
        <v>87</v>
      </c>
      <c r="B423">
        <v>114</v>
      </c>
      <c r="C423" s="10">
        <v>45964</v>
      </c>
      <c r="D423" s="11">
        <v>45964.4375</v>
      </c>
      <c r="E423" s="11">
        <v>45964.4375</v>
      </c>
      <c r="F423" t="s">
        <v>106</v>
      </c>
      <c r="G423" t="s">
        <v>109</v>
      </c>
      <c r="H423">
        <v>-1</v>
      </c>
      <c r="I423">
        <v>152</v>
      </c>
      <c r="J423" s="7">
        <v>680.38990000000001</v>
      </c>
      <c r="K423" s="7">
        <v>683.55718801370006</v>
      </c>
      <c r="L423" s="7">
        <v>681.02351102290004</v>
      </c>
      <c r="M423" s="7">
        <v>1.5196449E-3</v>
      </c>
      <c r="N423" s="7">
        <v>681.63184732510001</v>
      </c>
      <c r="O423" s="7">
        <v>683.55718801370006</v>
      </c>
      <c r="P423" s="7">
        <v>681.02351102290004</v>
      </c>
      <c r="Q423" s="7">
        <v>1</v>
      </c>
      <c r="R423" s="7">
        <v>0</v>
      </c>
      <c r="S423" s="7">
        <v>0.53200000000000003</v>
      </c>
      <c r="T423" s="7">
        <v>0.152</v>
      </c>
      <c r="U423" s="7">
        <v>-0.68400000000000005</v>
      </c>
      <c r="V423" s="7" t="s">
        <v>110</v>
      </c>
      <c r="W423" s="11">
        <v>45964.416666666664</v>
      </c>
    </row>
    <row r="424" spans="1:23">
      <c r="A424" t="s">
        <v>87</v>
      </c>
      <c r="B424">
        <v>114</v>
      </c>
      <c r="C424" s="10">
        <v>45964</v>
      </c>
      <c r="D424" s="11">
        <v>45964.458333333336</v>
      </c>
      <c r="E424" s="11">
        <v>45964.458333333336</v>
      </c>
      <c r="F424" t="s">
        <v>108</v>
      </c>
      <c r="G424" t="s">
        <v>107</v>
      </c>
      <c r="H424">
        <v>-1</v>
      </c>
      <c r="I424">
        <v>152</v>
      </c>
      <c r="J424" s="7">
        <v>682.42</v>
      </c>
      <c r="K424" s="7">
        <v>683.61363507639999</v>
      </c>
      <c r="L424" s="7">
        <v>680.96710200400003</v>
      </c>
      <c r="M424" s="7">
        <v>1.6023488E-3</v>
      </c>
      <c r="N424" s="7">
        <v>681.8289748295</v>
      </c>
      <c r="O424" s="7">
        <v>683.61363507639999</v>
      </c>
      <c r="P424" s="7">
        <v>680.96710200400003</v>
      </c>
      <c r="Q424" s="7">
        <v>1</v>
      </c>
      <c r="R424" s="7">
        <v>-308.5752</v>
      </c>
      <c r="S424" s="7">
        <v>0.53200000000000003</v>
      </c>
      <c r="T424" s="7">
        <v>0.152</v>
      </c>
      <c r="U424" s="7">
        <v>-309.25920000000002</v>
      </c>
      <c r="V424" s="7" t="s">
        <v>88</v>
      </c>
      <c r="W424" s="11">
        <v>45964.4375</v>
      </c>
    </row>
    <row r="425" spans="1:23">
      <c r="A425" t="s">
        <v>87</v>
      </c>
      <c r="B425">
        <v>115</v>
      </c>
      <c r="C425" s="10">
        <v>45965</v>
      </c>
      <c r="D425" s="11">
        <v>45965.520833333336</v>
      </c>
      <c r="E425" s="11">
        <v>45965.520833333336</v>
      </c>
      <c r="F425" t="s">
        <v>106</v>
      </c>
      <c r="G425" t="s">
        <v>109</v>
      </c>
      <c r="H425">
        <v>-1</v>
      </c>
      <c r="I425">
        <v>152</v>
      </c>
      <c r="J425" s="7">
        <v>676.94</v>
      </c>
      <c r="K425" s="7">
        <v>684.95452796070003</v>
      </c>
      <c r="L425" s="7">
        <v>677.19619870090003</v>
      </c>
      <c r="M425" s="7">
        <v>2.3627008E-3</v>
      </c>
      <c r="N425" s="7">
        <v>678.38625947000003</v>
      </c>
      <c r="O425" s="7">
        <v>684.95452796070003</v>
      </c>
      <c r="P425" s="7">
        <v>677.19619870090003</v>
      </c>
      <c r="Q425" s="7">
        <v>1</v>
      </c>
      <c r="R425" s="7">
        <v>0</v>
      </c>
      <c r="S425" s="7">
        <v>0.53200000000000003</v>
      </c>
      <c r="T425" s="7">
        <v>0.152</v>
      </c>
      <c r="U425" s="7">
        <v>-0.68400000000000005</v>
      </c>
      <c r="V425" s="7" t="s">
        <v>110</v>
      </c>
      <c r="W425" s="11">
        <v>45965.5</v>
      </c>
    </row>
    <row r="426" spans="1:23">
      <c r="A426" t="s">
        <v>87</v>
      </c>
      <c r="B426">
        <v>115</v>
      </c>
      <c r="C426" s="10">
        <v>45965</v>
      </c>
      <c r="D426" s="11">
        <v>45965.604166666664</v>
      </c>
      <c r="E426" s="11">
        <v>45965.604166666664</v>
      </c>
      <c r="F426" t="s">
        <v>108</v>
      </c>
      <c r="G426" t="s">
        <v>107</v>
      </c>
      <c r="H426">
        <v>-1</v>
      </c>
      <c r="I426">
        <v>152</v>
      </c>
      <c r="J426" s="7">
        <v>676.23</v>
      </c>
      <c r="K426" s="7">
        <v>686.14491588620001</v>
      </c>
      <c r="L426" s="7">
        <v>676.0137195195</v>
      </c>
      <c r="M426" s="7">
        <v>4.1047148999999996E-3</v>
      </c>
      <c r="N426" s="7">
        <v>677.60143869060005</v>
      </c>
      <c r="O426" s="7">
        <v>686.14491588620001</v>
      </c>
      <c r="P426" s="7">
        <v>676.0137195195</v>
      </c>
      <c r="Q426" s="7">
        <v>1</v>
      </c>
      <c r="R426" s="7">
        <v>107.92</v>
      </c>
      <c r="S426" s="7">
        <v>0.53200000000000003</v>
      </c>
      <c r="T426" s="7">
        <v>0.152</v>
      </c>
      <c r="U426" s="7">
        <v>107.236</v>
      </c>
      <c r="V426" s="7" t="s">
        <v>88</v>
      </c>
      <c r="W426" s="11">
        <v>45965.583333333336</v>
      </c>
    </row>
    <row r="427" spans="1:23">
      <c r="A427" t="s">
        <v>87</v>
      </c>
      <c r="B427">
        <v>116</v>
      </c>
      <c r="C427" s="10">
        <v>45965</v>
      </c>
      <c r="D427" s="11">
        <v>45965.625</v>
      </c>
      <c r="E427" s="11">
        <v>45965.625</v>
      </c>
      <c r="F427" t="s">
        <v>106</v>
      </c>
      <c r="G427" t="s">
        <v>109</v>
      </c>
      <c r="H427">
        <v>-1</v>
      </c>
      <c r="I427">
        <v>152</v>
      </c>
      <c r="J427" s="7">
        <v>675.22500000000002</v>
      </c>
      <c r="K427" s="7">
        <v>685.96318664490002</v>
      </c>
      <c r="L427" s="7">
        <v>676.19424138119996</v>
      </c>
      <c r="M427" s="7">
        <v>3.8387722999999999E-3</v>
      </c>
      <c r="N427" s="7">
        <v>677.40780204500004</v>
      </c>
      <c r="O427" s="7">
        <v>685.96318664490002</v>
      </c>
      <c r="P427" s="7">
        <v>676.19424138119996</v>
      </c>
      <c r="Q427" s="7">
        <v>1</v>
      </c>
      <c r="R427" s="7">
        <v>0</v>
      </c>
      <c r="S427" s="7">
        <v>0.53200000000000003</v>
      </c>
      <c r="T427" s="7">
        <v>0.152</v>
      </c>
      <c r="U427" s="7">
        <v>-0.68400000000000005</v>
      </c>
      <c r="V427" s="7" t="s">
        <v>110</v>
      </c>
      <c r="W427" s="11">
        <v>45965.604166666664</v>
      </c>
    </row>
    <row r="428" spans="1:23">
      <c r="A428" t="s">
        <v>87</v>
      </c>
      <c r="B428">
        <v>116</v>
      </c>
      <c r="C428" s="10">
        <v>45965</v>
      </c>
      <c r="D428" s="11">
        <v>45965.645833333336</v>
      </c>
      <c r="E428" s="11">
        <v>45965.645833333336</v>
      </c>
      <c r="F428" t="s">
        <v>108</v>
      </c>
      <c r="G428" t="s">
        <v>107</v>
      </c>
      <c r="H428">
        <v>-1</v>
      </c>
      <c r="I428">
        <v>152</v>
      </c>
      <c r="J428" s="7">
        <v>675.98500000000001</v>
      </c>
      <c r="K428" s="7">
        <v>686.19301223160005</v>
      </c>
      <c r="L428" s="7">
        <v>675.96594271840002</v>
      </c>
      <c r="M428" s="7">
        <v>4.1750991000000003E-3</v>
      </c>
      <c r="N428" s="7">
        <v>677.2943890409</v>
      </c>
      <c r="O428" s="7">
        <v>686.19301223160005</v>
      </c>
      <c r="P428" s="7">
        <v>675.96594271840002</v>
      </c>
      <c r="Q428" s="7">
        <v>1</v>
      </c>
      <c r="R428" s="7">
        <v>-115.52</v>
      </c>
      <c r="S428" s="7">
        <v>0.53200000000000003</v>
      </c>
      <c r="T428" s="7">
        <v>0.152</v>
      </c>
      <c r="U428" s="7">
        <v>-116.20399999999999</v>
      </c>
      <c r="V428" s="7" t="s">
        <v>88</v>
      </c>
      <c r="W428" s="11">
        <v>45965.625</v>
      </c>
    </row>
    <row r="429" spans="1:23">
      <c r="A429" t="s">
        <v>87</v>
      </c>
      <c r="B429">
        <v>117</v>
      </c>
      <c r="C429" s="10">
        <v>45966</v>
      </c>
      <c r="D429" s="11">
        <v>45966.479166666664</v>
      </c>
      <c r="E429" s="11">
        <v>45966.479166666664</v>
      </c>
      <c r="F429" t="s">
        <v>106</v>
      </c>
      <c r="G429" t="s">
        <v>107</v>
      </c>
      <c r="H429">
        <v>1</v>
      </c>
      <c r="I429">
        <v>152</v>
      </c>
      <c r="J429" s="7">
        <v>678.34</v>
      </c>
      <c r="K429" s="7">
        <v>678.11960855079997</v>
      </c>
      <c r="L429" s="7">
        <v>674.29309792540005</v>
      </c>
      <c r="M429" s="7">
        <v>1.4023193000000001E-3</v>
      </c>
      <c r="N429" s="7">
        <v>677.55040512979997</v>
      </c>
      <c r="O429" s="7">
        <v>678.11960855079997</v>
      </c>
      <c r="P429" s="7">
        <v>674.29309792540005</v>
      </c>
      <c r="Q429" s="7">
        <v>1</v>
      </c>
      <c r="R429" s="7">
        <v>0</v>
      </c>
      <c r="S429" s="7">
        <v>0.53200000000000003</v>
      </c>
      <c r="T429" s="7">
        <v>0.152</v>
      </c>
      <c r="U429" s="7">
        <v>-0.68400000000000005</v>
      </c>
      <c r="V429" s="7" t="s">
        <v>110</v>
      </c>
      <c r="W429" s="11">
        <v>45966.458333333336</v>
      </c>
    </row>
    <row r="430" spans="1:23">
      <c r="A430" t="s">
        <v>87</v>
      </c>
      <c r="B430">
        <v>117</v>
      </c>
      <c r="C430" s="10">
        <v>45966</v>
      </c>
      <c r="D430" s="11">
        <v>45966.645833333336</v>
      </c>
      <c r="E430" s="11">
        <v>45966.645833333336</v>
      </c>
      <c r="F430" t="s">
        <v>108</v>
      </c>
      <c r="G430" t="s">
        <v>109</v>
      </c>
      <c r="H430">
        <v>1</v>
      </c>
      <c r="I430">
        <v>152</v>
      </c>
      <c r="J430" s="7">
        <v>679.76</v>
      </c>
      <c r="K430" s="7">
        <v>679.97781577620003</v>
      </c>
      <c r="L430" s="7">
        <v>672.44018677029999</v>
      </c>
      <c r="M430" s="7">
        <v>4.1463971999999997E-3</v>
      </c>
      <c r="N430" s="7">
        <v>678.78286308830002</v>
      </c>
      <c r="O430" s="7">
        <v>679.97781577620003</v>
      </c>
      <c r="P430" s="7">
        <v>672.44018677029999</v>
      </c>
      <c r="Q430" s="7">
        <v>1</v>
      </c>
      <c r="R430" s="7">
        <v>215.84</v>
      </c>
      <c r="S430" s="7">
        <v>0.53200000000000003</v>
      </c>
      <c r="T430" s="7">
        <v>0.152</v>
      </c>
      <c r="U430" s="7">
        <v>215.15600000000001</v>
      </c>
      <c r="V430" s="7" t="s">
        <v>88</v>
      </c>
      <c r="W430" s="11">
        <v>45966.625</v>
      </c>
    </row>
    <row r="431" spans="1:23">
      <c r="A431" t="s">
        <v>87</v>
      </c>
      <c r="B431">
        <v>118</v>
      </c>
      <c r="C431" s="10">
        <v>45967</v>
      </c>
      <c r="D431" s="11">
        <v>45967.458333333336</v>
      </c>
      <c r="E431" s="11">
        <v>45967.458333333336</v>
      </c>
      <c r="F431" t="s">
        <v>106</v>
      </c>
      <c r="G431" t="s">
        <v>109</v>
      </c>
      <c r="H431">
        <v>-1</v>
      </c>
      <c r="I431">
        <v>153</v>
      </c>
      <c r="J431" s="7">
        <v>670.91</v>
      </c>
      <c r="K431" s="7">
        <v>678.46799375679996</v>
      </c>
      <c r="L431" s="7">
        <v>673.16663243929997</v>
      </c>
      <c r="M431" s="7">
        <v>1.3105371000000001E-3</v>
      </c>
      <c r="N431" s="7">
        <v>673.18105446660002</v>
      </c>
      <c r="O431" s="7">
        <v>678.46799375679996</v>
      </c>
      <c r="P431" s="7">
        <v>673.16663243929997</v>
      </c>
      <c r="Q431" s="7">
        <v>1</v>
      </c>
      <c r="R431" s="7">
        <v>0</v>
      </c>
      <c r="S431" s="7">
        <v>0.53549999999999998</v>
      </c>
      <c r="T431" s="7">
        <v>0.153</v>
      </c>
      <c r="U431" s="7">
        <v>-0.6885</v>
      </c>
      <c r="V431" s="7" t="s">
        <v>110</v>
      </c>
      <c r="W431" s="11">
        <v>45967.4375</v>
      </c>
    </row>
    <row r="432" spans="1:23">
      <c r="A432" t="s">
        <v>87</v>
      </c>
      <c r="B432">
        <v>118</v>
      </c>
      <c r="C432" s="10">
        <v>45967</v>
      </c>
      <c r="D432" s="11">
        <v>45967.604166666664</v>
      </c>
      <c r="E432" s="11">
        <v>45967.604166666664</v>
      </c>
      <c r="F432" t="s">
        <v>108</v>
      </c>
      <c r="G432" t="s">
        <v>107</v>
      </c>
      <c r="H432">
        <v>-1</v>
      </c>
      <c r="I432">
        <v>153</v>
      </c>
      <c r="J432" s="7">
        <v>673.4</v>
      </c>
      <c r="K432" s="7">
        <v>679.85698398479997</v>
      </c>
      <c r="L432" s="7">
        <v>671.78487845719997</v>
      </c>
      <c r="M432" s="7">
        <v>3.3604652E-3</v>
      </c>
      <c r="N432" s="7">
        <v>671.97757440520002</v>
      </c>
      <c r="O432" s="7">
        <v>679.85698398479997</v>
      </c>
      <c r="P432" s="7">
        <v>671.78487845719997</v>
      </c>
      <c r="Q432" s="7">
        <v>1</v>
      </c>
      <c r="R432" s="7">
        <v>-380.97</v>
      </c>
      <c r="S432" s="7">
        <v>0.53549999999999998</v>
      </c>
      <c r="T432" s="7">
        <v>0.153</v>
      </c>
      <c r="U432" s="7">
        <v>-381.6585</v>
      </c>
      <c r="V432" s="7" t="s">
        <v>88</v>
      </c>
      <c r="W432" s="11">
        <v>45967.583333333336</v>
      </c>
    </row>
    <row r="433" spans="1:23">
      <c r="A433" t="s">
        <v>87</v>
      </c>
      <c r="B433">
        <v>119</v>
      </c>
      <c r="C433" s="10">
        <v>45968</v>
      </c>
      <c r="D433" s="11">
        <v>45968.458333333336</v>
      </c>
      <c r="E433" s="11">
        <v>45968.458333333336</v>
      </c>
      <c r="F433" t="s">
        <v>106</v>
      </c>
      <c r="G433" t="s">
        <v>109</v>
      </c>
      <c r="H433">
        <v>-1</v>
      </c>
      <c r="I433">
        <v>154</v>
      </c>
      <c r="J433" s="7">
        <v>663.36</v>
      </c>
      <c r="K433" s="7">
        <v>671.33323656849996</v>
      </c>
      <c r="L433" s="7">
        <v>665.32781605340006</v>
      </c>
      <c r="M433" s="7">
        <v>1.5265125E-3</v>
      </c>
      <c r="N433" s="7">
        <v>665.41627858109996</v>
      </c>
      <c r="O433" s="7">
        <v>671.33323656849996</v>
      </c>
      <c r="P433" s="7">
        <v>665.32781605340006</v>
      </c>
      <c r="Q433" s="7">
        <v>1</v>
      </c>
      <c r="R433" s="7">
        <v>0</v>
      </c>
      <c r="S433" s="7">
        <v>0.53900000000000003</v>
      </c>
      <c r="T433" s="7">
        <v>0.154</v>
      </c>
      <c r="U433" s="7">
        <v>-0.69299999999999995</v>
      </c>
      <c r="V433" s="7" t="s">
        <v>110</v>
      </c>
      <c r="W433" s="11">
        <v>45968.4375</v>
      </c>
    </row>
    <row r="434" spans="1:23">
      <c r="A434" t="s">
        <v>87</v>
      </c>
      <c r="B434">
        <v>119</v>
      </c>
      <c r="C434" s="10">
        <v>45968</v>
      </c>
      <c r="D434" s="11">
        <v>45968.5625</v>
      </c>
      <c r="E434" s="11">
        <v>45968.5625</v>
      </c>
      <c r="F434" t="s">
        <v>108</v>
      </c>
      <c r="G434" t="s">
        <v>107</v>
      </c>
      <c r="H434">
        <v>-1</v>
      </c>
      <c r="I434">
        <v>154</v>
      </c>
      <c r="J434" s="7">
        <v>665.3</v>
      </c>
      <c r="K434" s="7">
        <v>672.43621489780003</v>
      </c>
      <c r="L434" s="7">
        <v>664.23136203240006</v>
      </c>
      <c r="M434" s="7">
        <v>3.1719873999999999E-3</v>
      </c>
      <c r="N434" s="7">
        <v>664.40288230110002</v>
      </c>
      <c r="O434" s="7">
        <v>672.43621489780003</v>
      </c>
      <c r="P434" s="7">
        <v>664.23136203240006</v>
      </c>
      <c r="Q434" s="7">
        <v>1</v>
      </c>
      <c r="R434" s="7">
        <v>-298.76</v>
      </c>
      <c r="S434" s="7">
        <v>0.53900000000000003</v>
      </c>
      <c r="T434" s="7">
        <v>0.154</v>
      </c>
      <c r="U434" s="7">
        <v>-299.45299999999997</v>
      </c>
      <c r="V434" s="7" t="s">
        <v>88</v>
      </c>
      <c r="W434" s="11">
        <v>45968.541666666664</v>
      </c>
    </row>
    <row r="435" spans="1:23">
      <c r="A435" t="s">
        <v>87</v>
      </c>
      <c r="B435">
        <v>120</v>
      </c>
      <c r="C435" s="10">
        <v>45971</v>
      </c>
      <c r="D435" s="11">
        <v>45971.604166666664</v>
      </c>
      <c r="E435" s="11">
        <v>45971.604166666664</v>
      </c>
      <c r="F435" t="s">
        <v>106</v>
      </c>
      <c r="G435" t="s">
        <v>107</v>
      </c>
      <c r="H435">
        <v>1</v>
      </c>
      <c r="I435">
        <v>151</v>
      </c>
      <c r="J435" s="7">
        <v>680.755</v>
      </c>
      <c r="K435" s="7">
        <v>680.34725822589996</v>
      </c>
      <c r="L435" s="7">
        <v>669.16803160999996</v>
      </c>
      <c r="M435" s="7">
        <v>2.6856168999999999E-3</v>
      </c>
      <c r="N435" s="7">
        <v>678.08747553260002</v>
      </c>
      <c r="O435" s="7">
        <v>680.34725822589996</v>
      </c>
      <c r="P435" s="7">
        <v>669.16803160999996</v>
      </c>
      <c r="Q435" s="7">
        <v>1</v>
      </c>
      <c r="R435" s="7">
        <v>0</v>
      </c>
      <c r="S435" s="7">
        <v>0.52849999999999997</v>
      </c>
      <c r="T435" s="7">
        <v>0.151</v>
      </c>
      <c r="U435" s="7">
        <v>-0.67949999999999999</v>
      </c>
      <c r="V435" s="7" t="s">
        <v>110</v>
      </c>
      <c r="W435" s="11">
        <v>45971.583333333336</v>
      </c>
    </row>
    <row r="436" spans="1:23">
      <c r="A436" t="s">
        <v>87</v>
      </c>
      <c r="B436">
        <v>120</v>
      </c>
      <c r="C436" s="10">
        <v>45971</v>
      </c>
      <c r="D436" s="11">
        <v>45971.666666666664</v>
      </c>
      <c r="E436" s="11">
        <v>45971.666666666664</v>
      </c>
      <c r="F436" t="s">
        <v>108</v>
      </c>
      <c r="G436" t="s">
        <v>109</v>
      </c>
      <c r="H436">
        <v>1</v>
      </c>
      <c r="I436">
        <v>151</v>
      </c>
      <c r="J436" s="7">
        <v>681.44</v>
      </c>
      <c r="K436" s="7">
        <v>680.78014347730004</v>
      </c>
      <c r="L436" s="7">
        <v>668.73996629600003</v>
      </c>
      <c r="M436" s="7">
        <v>3.3235967000000001E-3</v>
      </c>
      <c r="N436" s="7">
        <v>679.1472405961</v>
      </c>
      <c r="O436" s="7">
        <v>680.78014347730004</v>
      </c>
      <c r="P436" s="7">
        <v>668.73996629600003</v>
      </c>
      <c r="Q436" s="7">
        <v>1</v>
      </c>
      <c r="R436" s="7">
        <v>103.435</v>
      </c>
      <c r="S436" s="7">
        <v>0.52849999999999997</v>
      </c>
      <c r="T436" s="7">
        <v>0.151</v>
      </c>
      <c r="U436" s="7">
        <v>102.7555</v>
      </c>
      <c r="V436" s="7" t="s">
        <v>85</v>
      </c>
      <c r="W436" s="11">
        <v>45971.645833333336</v>
      </c>
    </row>
    <row r="437" spans="1:23">
      <c r="A437" t="s">
        <v>87</v>
      </c>
      <c r="B437">
        <v>121</v>
      </c>
      <c r="C437" s="10">
        <v>45972</v>
      </c>
      <c r="D437" s="11">
        <v>45972.4375</v>
      </c>
      <c r="E437" s="11">
        <v>45972.4375</v>
      </c>
      <c r="F437" t="s">
        <v>106</v>
      </c>
      <c r="G437" t="s">
        <v>109</v>
      </c>
      <c r="H437">
        <v>-1</v>
      </c>
      <c r="I437">
        <v>151</v>
      </c>
      <c r="J437" s="7">
        <v>679.36500000000001</v>
      </c>
      <c r="K437" s="7">
        <v>682.201765464</v>
      </c>
      <c r="L437" s="7">
        <v>679.88412324750004</v>
      </c>
      <c r="M437" s="7">
        <v>1.1178761000000001E-3</v>
      </c>
      <c r="N437" s="7">
        <v>680.10247133220003</v>
      </c>
      <c r="O437" s="7">
        <v>682.201765464</v>
      </c>
      <c r="P437" s="7">
        <v>679.88412324750004</v>
      </c>
      <c r="Q437" s="7">
        <v>1</v>
      </c>
      <c r="R437" s="7">
        <v>0</v>
      </c>
      <c r="S437" s="7">
        <v>0.52849999999999997</v>
      </c>
      <c r="T437" s="7">
        <v>0.151</v>
      </c>
      <c r="U437" s="7">
        <v>-0.67949999999999999</v>
      </c>
      <c r="V437" s="7" t="s">
        <v>110</v>
      </c>
      <c r="W437" s="11">
        <v>45972.416666666664</v>
      </c>
    </row>
    <row r="438" spans="1:23">
      <c r="A438" t="s">
        <v>87</v>
      </c>
      <c r="B438">
        <v>121</v>
      </c>
      <c r="C438" s="10">
        <v>45972</v>
      </c>
      <c r="D438" s="11">
        <v>45972.5</v>
      </c>
      <c r="E438" s="11">
        <v>45972.5</v>
      </c>
      <c r="F438" t="s">
        <v>108</v>
      </c>
      <c r="G438" t="s">
        <v>107</v>
      </c>
      <c r="H438">
        <v>-1</v>
      </c>
      <c r="I438">
        <v>151</v>
      </c>
      <c r="J438" s="7">
        <v>679.7</v>
      </c>
      <c r="K438" s="7">
        <v>683.0721573257</v>
      </c>
      <c r="L438" s="7">
        <v>679.01474682590003</v>
      </c>
      <c r="M438" s="7">
        <v>2.3951593000000001E-3</v>
      </c>
      <c r="N438" s="7">
        <v>679.77053406949994</v>
      </c>
      <c r="O438" s="7">
        <v>683.0721573257</v>
      </c>
      <c r="P438" s="7">
        <v>679.01474682590003</v>
      </c>
      <c r="Q438" s="7">
        <v>1</v>
      </c>
      <c r="R438" s="7">
        <v>-50.585000000000001</v>
      </c>
      <c r="S438" s="7">
        <v>0.52849999999999997</v>
      </c>
      <c r="T438" s="7">
        <v>0.151</v>
      </c>
      <c r="U438" s="7">
        <v>-51.264499999999998</v>
      </c>
      <c r="V438" s="7" t="s">
        <v>88</v>
      </c>
      <c r="W438" s="11">
        <v>45972.479166666664</v>
      </c>
    </row>
    <row r="439" spans="1:23">
      <c r="A439" t="s">
        <v>87</v>
      </c>
      <c r="B439">
        <v>122</v>
      </c>
      <c r="C439" s="10">
        <v>45974</v>
      </c>
      <c r="D439" s="11">
        <v>45974.458333333336</v>
      </c>
      <c r="E439" s="11">
        <v>45974.458333333336</v>
      </c>
      <c r="F439" t="s">
        <v>106</v>
      </c>
      <c r="G439" t="s">
        <v>109</v>
      </c>
      <c r="H439">
        <v>-1</v>
      </c>
      <c r="I439">
        <v>151</v>
      </c>
      <c r="J439" s="7">
        <v>676.3</v>
      </c>
      <c r="K439" s="7">
        <v>684.58794795159997</v>
      </c>
      <c r="L439" s="7">
        <v>677.52028910169997</v>
      </c>
      <c r="M439" s="7">
        <v>1.7676079999999999E-3</v>
      </c>
      <c r="N439" s="7">
        <v>677.93765824319996</v>
      </c>
      <c r="O439" s="7">
        <v>684.58794795159997</v>
      </c>
      <c r="P439" s="7">
        <v>677.52028910169997</v>
      </c>
      <c r="Q439" s="7">
        <v>1</v>
      </c>
      <c r="R439" s="7">
        <v>0</v>
      </c>
      <c r="S439" s="7">
        <v>0.52849999999999997</v>
      </c>
      <c r="T439" s="7">
        <v>0.151</v>
      </c>
      <c r="U439" s="7">
        <v>-0.67949999999999999</v>
      </c>
      <c r="V439" s="7" t="s">
        <v>110</v>
      </c>
      <c r="W439" s="11">
        <v>45974.4375</v>
      </c>
    </row>
    <row r="440" spans="1:23">
      <c r="A440" t="s">
        <v>87</v>
      </c>
      <c r="B440">
        <v>122</v>
      </c>
      <c r="C440" s="10">
        <v>45974</v>
      </c>
      <c r="D440" s="11">
        <v>45974.666666666664</v>
      </c>
      <c r="E440" s="11">
        <v>45974.666666666664</v>
      </c>
      <c r="F440" t="s">
        <v>108</v>
      </c>
      <c r="G440" t="s">
        <v>107</v>
      </c>
      <c r="H440">
        <v>-1</v>
      </c>
      <c r="I440">
        <v>151</v>
      </c>
      <c r="J440" s="7">
        <v>672.04</v>
      </c>
      <c r="K440" s="7">
        <v>685.62668743380004</v>
      </c>
      <c r="L440" s="7">
        <v>676.48863283230003</v>
      </c>
      <c r="M440" s="7">
        <v>3.2876107000000001E-3</v>
      </c>
      <c r="N440" s="7">
        <v>674.41437908939997</v>
      </c>
      <c r="O440" s="7">
        <v>685.62668743380004</v>
      </c>
      <c r="P440" s="7">
        <v>674.41437908939997</v>
      </c>
      <c r="Q440" s="7">
        <v>1</v>
      </c>
      <c r="R440" s="7">
        <v>643.26</v>
      </c>
      <c r="S440" s="7">
        <v>0.52849999999999997</v>
      </c>
      <c r="T440" s="7">
        <v>0.151</v>
      </c>
      <c r="U440" s="7">
        <v>642.58050000000003</v>
      </c>
      <c r="V440" s="7" t="s">
        <v>85</v>
      </c>
      <c r="W440" s="11">
        <v>45974.645833333336</v>
      </c>
    </row>
    <row r="441" spans="1:23">
      <c r="A441" t="s">
        <v>87</v>
      </c>
      <c r="B441">
        <v>123</v>
      </c>
      <c r="C441" s="10">
        <v>45975</v>
      </c>
      <c r="D441" s="11">
        <v>45975.479166666664</v>
      </c>
      <c r="E441" s="11">
        <v>45975.479166666664</v>
      </c>
      <c r="F441" t="s">
        <v>106</v>
      </c>
      <c r="G441" t="s">
        <v>107</v>
      </c>
      <c r="H441">
        <v>1</v>
      </c>
      <c r="I441">
        <v>155</v>
      </c>
      <c r="J441" s="7">
        <v>674.48</v>
      </c>
      <c r="K441" s="7">
        <v>673.41905589739997</v>
      </c>
      <c r="L441" s="7">
        <v>667.3776953286</v>
      </c>
      <c r="M441" s="7">
        <v>2.0520444E-3</v>
      </c>
      <c r="N441" s="7">
        <v>670.61807095059999</v>
      </c>
      <c r="O441" s="7">
        <v>673.41905589739997</v>
      </c>
      <c r="P441" s="7">
        <v>667.3776953286</v>
      </c>
      <c r="Q441" s="7">
        <v>1</v>
      </c>
      <c r="R441" s="7">
        <v>0</v>
      </c>
      <c r="S441" s="7">
        <v>0.54249999999999998</v>
      </c>
      <c r="T441" s="7">
        <v>0.155</v>
      </c>
      <c r="U441" s="7">
        <v>-0.69750000000000001</v>
      </c>
      <c r="V441" s="7" t="s">
        <v>110</v>
      </c>
      <c r="W441" s="11">
        <v>45975.458333333336</v>
      </c>
    </row>
    <row r="442" spans="1:23">
      <c r="A442" t="s">
        <v>87</v>
      </c>
      <c r="B442">
        <v>123</v>
      </c>
      <c r="C442" s="10">
        <v>45975</v>
      </c>
      <c r="D442" s="11">
        <v>45975.5625</v>
      </c>
      <c r="E442" s="11">
        <v>45975.5625</v>
      </c>
      <c r="F442" t="s">
        <v>108</v>
      </c>
      <c r="G442" t="s">
        <v>109</v>
      </c>
      <c r="H442">
        <v>1</v>
      </c>
      <c r="I442">
        <v>155</v>
      </c>
      <c r="J442" s="7">
        <v>672.99</v>
      </c>
      <c r="K442" s="7">
        <v>674.103526106</v>
      </c>
      <c r="L442" s="7">
        <v>666.69657597260004</v>
      </c>
      <c r="M442" s="7">
        <v>3.0705405999999998E-3</v>
      </c>
      <c r="N442" s="7">
        <v>671.75204898679999</v>
      </c>
      <c r="O442" s="7">
        <v>674.103526106</v>
      </c>
      <c r="P442" s="7">
        <v>666.69657597260004</v>
      </c>
      <c r="Q442" s="7">
        <v>1</v>
      </c>
      <c r="R442" s="7">
        <v>-230.95</v>
      </c>
      <c r="S442" s="7">
        <v>0.54249999999999998</v>
      </c>
      <c r="T442" s="7">
        <v>0.155</v>
      </c>
      <c r="U442" s="7">
        <v>-231.64750000000001</v>
      </c>
      <c r="V442" s="7" t="s">
        <v>88</v>
      </c>
      <c r="W442" s="11">
        <v>45975.541666666664</v>
      </c>
    </row>
    <row r="443" spans="1:23">
      <c r="A443" t="s">
        <v>87</v>
      </c>
      <c r="B443">
        <v>124</v>
      </c>
      <c r="C443" s="10">
        <v>45975</v>
      </c>
      <c r="D443" s="11">
        <v>45975.604166666664</v>
      </c>
      <c r="E443" s="11">
        <v>45975.604166666664</v>
      </c>
      <c r="F443" t="s">
        <v>106</v>
      </c>
      <c r="G443" t="s">
        <v>107</v>
      </c>
      <c r="H443">
        <v>1</v>
      </c>
      <c r="I443">
        <v>155</v>
      </c>
      <c r="J443" s="7">
        <v>674.04010000000005</v>
      </c>
      <c r="K443" s="7">
        <v>673.87421798160005</v>
      </c>
      <c r="L443" s="7">
        <v>666.92476150949994</v>
      </c>
      <c r="M443" s="7">
        <v>2.7293285999999998E-3</v>
      </c>
      <c r="N443" s="7">
        <v>672.03461612420006</v>
      </c>
      <c r="O443" s="7">
        <v>673.87421798160005</v>
      </c>
      <c r="P443" s="7">
        <v>666.92476150949994</v>
      </c>
      <c r="Q443" s="7">
        <v>1</v>
      </c>
      <c r="R443" s="7">
        <v>0</v>
      </c>
      <c r="S443" s="7">
        <v>0.54249999999999998</v>
      </c>
      <c r="T443" s="7">
        <v>0.155</v>
      </c>
      <c r="U443" s="7">
        <v>-0.69750000000000001</v>
      </c>
      <c r="V443" s="7" t="s">
        <v>110</v>
      </c>
      <c r="W443" s="11">
        <v>45975.583333333336</v>
      </c>
    </row>
    <row r="444" spans="1:23">
      <c r="A444" t="s">
        <v>87</v>
      </c>
      <c r="B444">
        <v>124</v>
      </c>
      <c r="C444" s="10">
        <v>45975</v>
      </c>
      <c r="D444" s="11">
        <v>45975.645833333336</v>
      </c>
      <c r="E444" s="11">
        <v>45975.645833333336</v>
      </c>
      <c r="F444" t="s">
        <v>108</v>
      </c>
      <c r="G444" t="s">
        <v>109</v>
      </c>
      <c r="H444">
        <v>1</v>
      </c>
      <c r="I444">
        <v>155</v>
      </c>
      <c r="J444" s="7">
        <v>672.46</v>
      </c>
      <c r="K444" s="7">
        <v>674.49530455980005</v>
      </c>
      <c r="L444" s="7">
        <v>666.30671548659996</v>
      </c>
      <c r="M444" s="7">
        <v>3.6535095999999999E-3</v>
      </c>
      <c r="N444" s="7">
        <v>672.19775053559999</v>
      </c>
      <c r="O444" s="7">
        <v>674.49530455980005</v>
      </c>
      <c r="P444" s="7">
        <v>666.30671548659996</v>
      </c>
      <c r="Q444" s="7">
        <v>1</v>
      </c>
      <c r="R444" s="7">
        <v>-244.91550000000001</v>
      </c>
      <c r="S444" s="7">
        <v>0.54249999999999998</v>
      </c>
      <c r="T444" s="7">
        <v>0.155</v>
      </c>
      <c r="U444" s="7">
        <v>-245.613</v>
      </c>
      <c r="V444" s="7" t="s">
        <v>88</v>
      </c>
      <c r="W444" s="11">
        <v>45975.625</v>
      </c>
    </row>
    <row r="445" spans="1:23">
      <c r="A445" t="s">
        <v>87</v>
      </c>
      <c r="B445">
        <v>125</v>
      </c>
      <c r="C445" s="10">
        <v>45978</v>
      </c>
      <c r="D445" s="11">
        <v>45978.541666666664</v>
      </c>
      <c r="E445" s="11">
        <v>45978.541666666664</v>
      </c>
      <c r="F445" t="s">
        <v>106</v>
      </c>
      <c r="G445" t="s">
        <v>109</v>
      </c>
      <c r="H445">
        <v>-1</v>
      </c>
      <c r="I445">
        <v>153</v>
      </c>
      <c r="J445" s="7">
        <v>669.23299999999995</v>
      </c>
      <c r="K445" s="7">
        <v>675.01109891060003</v>
      </c>
      <c r="L445" s="7">
        <v>669.74179945449998</v>
      </c>
      <c r="M445" s="7">
        <v>3.2565900000000002E-3</v>
      </c>
      <c r="N445" s="7">
        <v>671.60577250300003</v>
      </c>
      <c r="O445" s="7">
        <v>675.01109891060003</v>
      </c>
      <c r="P445" s="7">
        <v>669.74179945449998</v>
      </c>
      <c r="Q445" s="7">
        <v>1</v>
      </c>
      <c r="R445" s="7">
        <v>0</v>
      </c>
      <c r="S445" s="7">
        <v>0.53549999999999998</v>
      </c>
      <c r="T445" s="7">
        <v>0.153</v>
      </c>
      <c r="U445" s="7">
        <v>-0.6885</v>
      </c>
      <c r="V445" s="7" t="s">
        <v>110</v>
      </c>
      <c r="W445" s="11">
        <v>45978.520833333336</v>
      </c>
    </row>
    <row r="446" spans="1:23">
      <c r="A446" t="s">
        <v>87</v>
      </c>
      <c r="B446">
        <v>125</v>
      </c>
      <c r="C446" s="10">
        <v>45978</v>
      </c>
      <c r="D446" s="11">
        <v>45978.666666666664</v>
      </c>
      <c r="E446" s="11">
        <v>45978.666666666664</v>
      </c>
      <c r="F446" t="s">
        <v>108</v>
      </c>
      <c r="G446" t="s">
        <v>107</v>
      </c>
      <c r="H446">
        <v>-1</v>
      </c>
      <c r="I446">
        <v>153</v>
      </c>
      <c r="J446" s="7">
        <v>665.67</v>
      </c>
      <c r="K446" s="7">
        <v>675.57050304920006</v>
      </c>
      <c r="L446" s="7">
        <v>669.18313529049999</v>
      </c>
      <c r="M446" s="7">
        <v>4.0880220999999998E-3</v>
      </c>
      <c r="N446" s="7">
        <v>667.96508228590005</v>
      </c>
      <c r="O446" s="7">
        <v>675.57050304920006</v>
      </c>
      <c r="P446" s="7">
        <v>667.96508228590005</v>
      </c>
      <c r="Q446" s="7">
        <v>1</v>
      </c>
      <c r="R446" s="7">
        <v>545.13900000000001</v>
      </c>
      <c r="S446" s="7">
        <v>0.53549999999999998</v>
      </c>
      <c r="T446" s="7">
        <v>0.153</v>
      </c>
      <c r="U446" s="7">
        <v>544.45050000000003</v>
      </c>
      <c r="V446" s="7" t="s">
        <v>85</v>
      </c>
      <c r="W446" s="11">
        <v>45978.645833333336</v>
      </c>
    </row>
    <row r="447" spans="1:23">
      <c r="A447" t="s">
        <v>87</v>
      </c>
      <c r="B447">
        <v>126</v>
      </c>
      <c r="C447" s="10">
        <v>45981</v>
      </c>
      <c r="D447" s="11">
        <v>45981.5</v>
      </c>
      <c r="E447" s="11">
        <v>45981.5</v>
      </c>
      <c r="F447" t="s">
        <v>106</v>
      </c>
      <c r="G447" t="s">
        <v>109</v>
      </c>
      <c r="H447">
        <v>-1</v>
      </c>
      <c r="I447">
        <v>153</v>
      </c>
      <c r="J447" s="7">
        <v>659.75</v>
      </c>
      <c r="K447" s="7">
        <v>677.58553996850003</v>
      </c>
      <c r="L447" s="7">
        <v>660.20012404600004</v>
      </c>
      <c r="M447" s="7">
        <v>3.6670177000000001E-3</v>
      </c>
      <c r="N447" s="7">
        <v>668.35007427970004</v>
      </c>
      <c r="O447" s="7">
        <v>677.58553996850003</v>
      </c>
      <c r="P447" s="7">
        <v>660.20012404600004</v>
      </c>
      <c r="Q447" s="7">
        <v>1</v>
      </c>
      <c r="R447" s="7">
        <v>0</v>
      </c>
      <c r="S447" s="7">
        <v>0.53549999999999998</v>
      </c>
      <c r="T447" s="7">
        <v>0.153</v>
      </c>
      <c r="U447" s="7">
        <v>-0.6885</v>
      </c>
      <c r="V447" s="7" t="s">
        <v>110</v>
      </c>
      <c r="W447" s="11">
        <v>45981.479166666664</v>
      </c>
    </row>
    <row r="448" spans="1:23">
      <c r="A448" t="s">
        <v>87</v>
      </c>
      <c r="B448">
        <v>126</v>
      </c>
      <c r="C448" s="10">
        <v>45981</v>
      </c>
      <c r="D448" s="11">
        <v>45981.666666666664</v>
      </c>
      <c r="E448" s="11">
        <v>45981.666666666664</v>
      </c>
      <c r="F448" t="s">
        <v>108</v>
      </c>
      <c r="G448" t="s">
        <v>107</v>
      </c>
      <c r="H448">
        <v>-1</v>
      </c>
      <c r="I448">
        <v>153</v>
      </c>
      <c r="J448" s="7">
        <v>652.53</v>
      </c>
      <c r="K448" s="7">
        <v>678.10841128130005</v>
      </c>
      <c r="L448" s="7">
        <v>659.68691839170003</v>
      </c>
      <c r="M448" s="7">
        <v>4.4415158000000003E-3</v>
      </c>
      <c r="N448" s="7">
        <v>660.94844387440003</v>
      </c>
      <c r="O448" s="7">
        <v>678.10841128130005</v>
      </c>
      <c r="P448" s="7">
        <v>659.68691839170003</v>
      </c>
      <c r="Q448" s="7">
        <v>1</v>
      </c>
      <c r="R448" s="7">
        <v>1104.6600000000001</v>
      </c>
      <c r="S448" s="7">
        <v>0.53549999999999998</v>
      </c>
      <c r="T448" s="7">
        <v>0.153</v>
      </c>
      <c r="U448" s="7">
        <v>1103.9715000000001</v>
      </c>
      <c r="V448" s="7" t="s">
        <v>85</v>
      </c>
      <c r="W448" s="11">
        <v>45981.645833333336</v>
      </c>
    </row>
    <row r="449" spans="1:23">
      <c r="A449" t="s">
        <v>87</v>
      </c>
      <c r="B449">
        <v>127</v>
      </c>
      <c r="C449" s="10">
        <v>45982</v>
      </c>
      <c r="D449" s="11">
        <v>45982.5</v>
      </c>
      <c r="E449" s="11">
        <v>45982.5</v>
      </c>
      <c r="F449" t="s">
        <v>106</v>
      </c>
      <c r="G449" t="s">
        <v>107</v>
      </c>
      <c r="H449">
        <v>1</v>
      </c>
      <c r="I449">
        <v>160</v>
      </c>
      <c r="J449" s="7">
        <v>660.82</v>
      </c>
      <c r="K449" s="7">
        <v>658.19349475119998</v>
      </c>
      <c r="L449" s="7">
        <v>649.17831905989999</v>
      </c>
      <c r="M449" s="7">
        <v>5.1364395999999998E-3</v>
      </c>
      <c r="N449" s="7">
        <v>655.2402900024</v>
      </c>
      <c r="O449" s="7">
        <v>658.19349475119998</v>
      </c>
      <c r="P449" s="7">
        <v>649.17831905989999</v>
      </c>
      <c r="Q449" s="7">
        <v>1</v>
      </c>
      <c r="R449" s="7">
        <v>0</v>
      </c>
      <c r="S449" s="7">
        <v>0.56000000000000005</v>
      </c>
      <c r="T449" s="7">
        <v>0.16</v>
      </c>
      <c r="U449" s="7">
        <v>-0.72</v>
      </c>
      <c r="V449" s="7" t="s">
        <v>110</v>
      </c>
      <c r="W449" s="11">
        <v>45982.479166666664</v>
      </c>
    </row>
    <row r="450" spans="1:23">
      <c r="A450" t="s">
        <v>87</v>
      </c>
      <c r="B450">
        <v>127</v>
      </c>
      <c r="C450" s="10">
        <v>45982</v>
      </c>
      <c r="D450" s="11">
        <v>45982.5625</v>
      </c>
      <c r="E450" s="11">
        <v>45982.5625</v>
      </c>
      <c r="F450" t="s">
        <v>108</v>
      </c>
      <c r="G450" t="s">
        <v>109</v>
      </c>
      <c r="H450">
        <v>1</v>
      </c>
      <c r="I450">
        <v>160</v>
      </c>
      <c r="J450" s="7">
        <v>658.13</v>
      </c>
      <c r="K450" s="7">
        <v>658.68013990220004</v>
      </c>
      <c r="L450" s="7">
        <v>648.69338318289999</v>
      </c>
      <c r="M450" s="7">
        <v>5.8796022000000003E-3</v>
      </c>
      <c r="N450" s="7">
        <v>656.44707975200004</v>
      </c>
      <c r="O450" s="7">
        <v>658.68013990220004</v>
      </c>
      <c r="P450" s="7">
        <v>648.69338318289999</v>
      </c>
      <c r="Q450" s="7">
        <v>1</v>
      </c>
      <c r="R450" s="7">
        <v>-430.4</v>
      </c>
      <c r="S450" s="7">
        <v>0.56000000000000005</v>
      </c>
      <c r="T450" s="7">
        <v>0.16</v>
      </c>
      <c r="U450" s="7">
        <v>-431.12</v>
      </c>
      <c r="V450" s="7" t="s">
        <v>88</v>
      </c>
      <c r="W450" s="11">
        <v>45982.541666666664</v>
      </c>
    </row>
    <row r="451" spans="1:23">
      <c r="A451" t="s">
        <v>87</v>
      </c>
      <c r="B451">
        <v>128</v>
      </c>
      <c r="C451" s="10">
        <v>45982</v>
      </c>
      <c r="D451" s="11">
        <v>45982.583333333336</v>
      </c>
      <c r="E451" s="11">
        <v>45982.583333333336</v>
      </c>
      <c r="F451" t="s">
        <v>106</v>
      </c>
      <c r="G451" t="s">
        <v>107</v>
      </c>
      <c r="H451">
        <v>1</v>
      </c>
      <c r="I451">
        <v>160</v>
      </c>
      <c r="J451" s="7">
        <v>662.29</v>
      </c>
      <c r="K451" s="7">
        <v>658.94746956339998</v>
      </c>
      <c r="L451" s="7">
        <v>648.42699248020006</v>
      </c>
      <c r="M451" s="7">
        <v>6.2878450000000002E-3</v>
      </c>
      <c r="N451" s="7">
        <v>657.0452246008</v>
      </c>
      <c r="O451" s="7">
        <v>658.94746956339998</v>
      </c>
      <c r="P451" s="7">
        <v>648.42699248020006</v>
      </c>
      <c r="Q451" s="7">
        <v>1</v>
      </c>
      <c r="R451" s="7">
        <v>0</v>
      </c>
      <c r="S451" s="7">
        <v>0.56000000000000005</v>
      </c>
      <c r="T451" s="7">
        <v>0.16</v>
      </c>
      <c r="U451" s="7">
        <v>-0.72</v>
      </c>
      <c r="V451" s="7" t="s">
        <v>110</v>
      </c>
      <c r="W451" s="11">
        <v>45982.5625</v>
      </c>
    </row>
    <row r="452" spans="1:23">
      <c r="A452" t="s">
        <v>87</v>
      </c>
      <c r="B452">
        <v>128</v>
      </c>
      <c r="C452" s="10">
        <v>45982</v>
      </c>
      <c r="D452" s="11">
        <v>45982.666666666664</v>
      </c>
      <c r="E452" s="11">
        <v>45982.666666666664</v>
      </c>
      <c r="F452" t="s">
        <v>108</v>
      </c>
      <c r="G452" t="s">
        <v>109</v>
      </c>
      <c r="H452">
        <v>1</v>
      </c>
      <c r="I452">
        <v>160</v>
      </c>
      <c r="J452" s="7">
        <v>659.03</v>
      </c>
      <c r="K452" s="7">
        <v>659.20088185580005</v>
      </c>
      <c r="L452" s="7">
        <v>648.17447026349998</v>
      </c>
      <c r="M452" s="7">
        <v>6.6748344999999999E-3</v>
      </c>
      <c r="N452" s="7">
        <v>658.13040770099997</v>
      </c>
      <c r="O452" s="7">
        <v>659.20088185580005</v>
      </c>
      <c r="P452" s="7">
        <v>648.17447026349998</v>
      </c>
      <c r="Q452" s="7">
        <v>1</v>
      </c>
      <c r="R452" s="7">
        <v>-521.6</v>
      </c>
      <c r="S452" s="7">
        <v>0.56000000000000005</v>
      </c>
      <c r="T452" s="7">
        <v>0.16</v>
      </c>
      <c r="U452" s="7">
        <v>-522.32000000000005</v>
      </c>
      <c r="V452" s="7" t="s">
        <v>85</v>
      </c>
      <c r="W452" s="11">
        <v>45982.645833333336</v>
      </c>
    </row>
    <row r="453" spans="1:23">
      <c r="A453" t="s">
        <v>87</v>
      </c>
      <c r="B453">
        <v>129</v>
      </c>
      <c r="C453" s="10">
        <v>45985</v>
      </c>
      <c r="D453" s="11">
        <v>45985.4375</v>
      </c>
      <c r="E453" s="11">
        <v>45985.4375</v>
      </c>
      <c r="F453" t="s">
        <v>106</v>
      </c>
      <c r="G453" t="s">
        <v>107</v>
      </c>
      <c r="H453">
        <v>1</v>
      </c>
      <c r="I453">
        <v>156</v>
      </c>
      <c r="J453" s="7">
        <v>665.43499999999995</v>
      </c>
      <c r="K453" s="7">
        <v>664.83744500549994</v>
      </c>
      <c r="L453" s="7">
        <v>658.41737950979996</v>
      </c>
      <c r="M453" s="7">
        <v>9.2957909999999996E-4</v>
      </c>
      <c r="N453" s="7">
        <v>664.71933623270002</v>
      </c>
      <c r="O453" s="7">
        <v>664.83744500549994</v>
      </c>
      <c r="P453" s="7">
        <v>658.41737950979996</v>
      </c>
      <c r="Q453" s="7">
        <v>1</v>
      </c>
      <c r="R453" s="7">
        <v>0</v>
      </c>
      <c r="S453" s="7">
        <v>0.54600000000000004</v>
      </c>
      <c r="T453" s="7">
        <v>0.156</v>
      </c>
      <c r="U453" s="7">
        <v>-0.70199999999999996</v>
      </c>
      <c r="V453" s="7" t="s">
        <v>110</v>
      </c>
      <c r="W453" s="11">
        <v>45985.416666666664</v>
      </c>
    </row>
    <row r="454" spans="1:23">
      <c r="A454" t="s">
        <v>87</v>
      </c>
      <c r="B454">
        <v>129</v>
      </c>
      <c r="C454" s="10">
        <v>45985</v>
      </c>
      <c r="D454" s="11">
        <v>45985.5</v>
      </c>
      <c r="E454" s="11">
        <v>45985.5</v>
      </c>
      <c r="F454" t="s">
        <v>108</v>
      </c>
      <c r="G454" t="s">
        <v>109</v>
      </c>
      <c r="H454">
        <v>1</v>
      </c>
      <c r="I454">
        <v>156</v>
      </c>
      <c r="J454" s="7">
        <v>667.48</v>
      </c>
      <c r="K454" s="7">
        <v>668.00246116820006</v>
      </c>
      <c r="L454" s="7">
        <v>655.27709375860002</v>
      </c>
      <c r="M454" s="7">
        <v>5.6945909000000001E-3</v>
      </c>
      <c r="N454" s="7">
        <v>665.81729021060005</v>
      </c>
      <c r="O454" s="7">
        <v>668.00246116820006</v>
      </c>
      <c r="P454" s="7">
        <v>655.27709375860002</v>
      </c>
      <c r="Q454" s="7">
        <v>1</v>
      </c>
      <c r="R454" s="7">
        <v>319.02</v>
      </c>
      <c r="S454" s="7">
        <v>0.54600000000000004</v>
      </c>
      <c r="T454" s="7">
        <v>0.156</v>
      </c>
      <c r="U454" s="7">
        <v>318.31799999999998</v>
      </c>
      <c r="V454" s="7" t="s">
        <v>88</v>
      </c>
      <c r="W454" s="11">
        <v>45985.479166666664</v>
      </c>
    </row>
    <row r="455" spans="1:23">
      <c r="A455" t="s">
        <v>87</v>
      </c>
      <c r="B455">
        <v>130</v>
      </c>
      <c r="C455" s="10">
        <v>45985</v>
      </c>
      <c r="D455" s="11">
        <v>45985.520833333336</v>
      </c>
      <c r="E455" s="11">
        <v>45985.520833333336</v>
      </c>
      <c r="F455" t="s">
        <v>106</v>
      </c>
      <c r="G455" t="s">
        <v>107</v>
      </c>
      <c r="H455">
        <v>1</v>
      </c>
      <c r="I455">
        <v>156</v>
      </c>
      <c r="J455" s="7">
        <v>668.21</v>
      </c>
      <c r="K455" s="7">
        <v>667.83718139170003</v>
      </c>
      <c r="L455" s="7">
        <v>655.44108209240005</v>
      </c>
      <c r="M455" s="7">
        <v>5.4457580000000002E-3</v>
      </c>
      <c r="N455" s="7">
        <v>666.01810066250005</v>
      </c>
      <c r="O455" s="7">
        <v>667.83718139170003</v>
      </c>
      <c r="P455" s="7">
        <v>655.44108209240005</v>
      </c>
      <c r="Q455" s="7">
        <v>1</v>
      </c>
      <c r="R455" s="7">
        <v>0</v>
      </c>
      <c r="S455" s="7">
        <v>0.54600000000000004</v>
      </c>
      <c r="T455" s="7">
        <v>0.156</v>
      </c>
      <c r="U455" s="7">
        <v>-0.70199999999999996</v>
      </c>
      <c r="V455" s="7" t="s">
        <v>110</v>
      </c>
      <c r="W455" s="11">
        <v>45985.5</v>
      </c>
    </row>
    <row r="456" spans="1:23">
      <c r="A456" t="s">
        <v>87</v>
      </c>
      <c r="B456">
        <v>130</v>
      </c>
      <c r="C456" s="10">
        <v>45985</v>
      </c>
      <c r="D456" s="11">
        <v>45985.604166666664</v>
      </c>
      <c r="E456" s="11">
        <v>45985.604166666664</v>
      </c>
      <c r="F456" t="s">
        <v>108</v>
      </c>
      <c r="G456" t="s">
        <v>109</v>
      </c>
      <c r="H456">
        <v>1</v>
      </c>
      <c r="I456">
        <v>156</v>
      </c>
      <c r="J456" s="7">
        <v>668.96</v>
      </c>
      <c r="K456" s="7">
        <v>669.01435952639997</v>
      </c>
      <c r="L456" s="7">
        <v>654.27310204649996</v>
      </c>
      <c r="M456" s="7">
        <v>7.2180294999999997E-3</v>
      </c>
      <c r="N456" s="7">
        <v>666.79506625160002</v>
      </c>
      <c r="O456" s="7">
        <v>669.01435952639997</v>
      </c>
      <c r="P456" s="7">
        <v>654.27310204649996</v>
      </c>
      <c r="Q456" s="7">
        <v>1</v>
      </c>
      <c r="R456" s="7">
        <v>117</v>
      </c>
      <c r="S456" s="7">
        <v>0.54600000000000004</v>
      </c>
      <c r="T456" s="7">
        <v>0.156</v>
      </c>
      <c r="U456" s="7">
        <v>116.298</v>
      </c>
      <c r="V456" s="7" t="s">
        <v>88</v>
      </c>
      <c r="W456" s="11">
        <v>45985.583333333336</v>
      </c>
    </row>
    <row r="457" spans="1:23">
      <c r="A457" t="s">
        <v>87</v>
      </c>
      <c r="B457">
        <v>131</v>
      </c>
      <c r="C457" s="10">
        <v>45985</v>
      </c>
      <c r="D457" s="11">
        <v>45985.645833333336</v>
      </c>
      <c r="E457" s="11">
        <v>45985.645833333336</v>
      </c>
      <c r="F457" t="s">
        <v>106</v>
      </c>
      <c r="G457" t="s">
        <v>107</v>
      </c>
      <c r="H457">
        <v>1</v>
      </c>
      <c r="I457">
        <v>156</v>
      </c>
      <c r="J457" s="7">
        <v>668.92</v>
      </c>
      <c r="K457" s="7">
        <v>668.74118506959996</v>
      </c>
      <c r="L457" s="7">
        <v>654.54414200660005</v>
      </c>
      <c r="M457" s="7">
        <v>6.8067583999999997E-3</v>
      </c>
      <c r="N457" s="7">
        <v>667.10522173430002</v>
      </c>
      <c r="O457" s="7">
        <v>668.74118506959996</v>
      </c>
      <c r="P457" s="7">
        <v>654.54414200660005</v>
      </c>
      <c r="Q457" s="7">
        <v>1</v>
      </c>
      <c r="R457" s="7">
        <v>0</v>
      </c>
      <c r="S457" s="7">
        <v>0.54600000000000004</v>
      </c>
      <c r="T457" s="7">
        <v>0.156</v>
      </c>
      <c r="U457" s="7">
        <v>-0.70199999999999996</v>
      </c>
      <c r="V457" s="7" t="s">
        <v>110</v>
      </c>
      <c r="W457" s="11">
        <v>45985.625</v>
      </c>
    </row>
    <row r="458" spans="1:23">
      <c r="A458" t="s">
        <v>87</v>
      </c>
      <c r="B458">
        <v>131</v>
      </c>
      <c r="C458" s="10">
        <v>45985</v>
      </c>
      <c r="D458" s="11">
        <v>45985.666666666664</v>
      </c>
      <c r="E458" s="11">
        <v>45985.666666666664</v>
      </c>
      <c r="F458" t="s">
        <v>108</v>
      </c>
      <c r="G458" t="s">
        <v>109</v>
      </c>
      <c r="H458">
        <v>1</v>
      </c>
      <c r="I458">
        <v>156</v>
      </c>
      <c r="J458" s="7">
        <v>668.73</v>
      </c>
      <c r="K458" s="7">
        <v>668.90085944340001</v>
      </c>
      <c r="L458" s="7">
        <v>654.38571527659997</v>
      </c>
      <c r="M458" s="7">
        <v>7.0471522000000002E-3</v>
      </c>
      <c r="N458" s="7">
        <v>667.49507416250003</v>
      </c>
      <c r="O458" s="7">
        <v>668.90085944340001</v>
      </c>
      <c r="P458" s="7">
        <v>654.38571527659997</v>
      </c>
      <c r="Q458" s="7">
        <v>1</v>
      </c>
      <c r="R458" s="7">
        <v>-29.64</v>
      </c>
      <c r="S458" s="7">
        <v>0.54600000000000004</v>
      </c>
      <c r="T458" s="7">
        <v>0.156</v>
      </c>
      <c r="U458" s="7">
        <v>-30.341999999999999</v>
      </c>
      <c r="V458" s="7" t="s">
        <v>85</v>
      </c>
      <c r="W458" s="11">
        <v>45985.645833333336</v>
      </c>
    </row>
    <row r="459" spans="1:23">
      <c r="A459" t="s">
        <v>87</v>
      </c>
      <c r="B459">
        <v>132</v>
      </c>
      <c r="C459" s="10">
        <v>45986</v>
      </c>
      <c r="D459" s="11">
        <v>45986.520833333336</v>
      </c>
      <c r="E459" s="11">
        <v>45986.520833333336</v>
      </c>
      <c r="F459" t="s">
        <v>106</v>
      </c>
      <c r="G459" t="s">
        <v>107</v>
      </c>
      <c r="H459">
        <v>1</v>
      </c>
      <c r="I459">
        <v>155</v>
      </c>
      <c r="J459" s="7">
        <v>673.33</v>
      </c>
      <c r="K459" s="7">
        <v>672.60824500930005</v>
      </c>
      <c r="L459" s="7">
        <v>664.93220931949998</v>
      </c>
      <c r="M459" s="7">
        <v>5.6791092E-3</v>
      </c>
      <c r="N459" s="7">
        <v>669.90336674859998</v>
      </c>
      <c r="O459" s="7">
        <v>672.60824500930005</v>
      </c>
      <c r="P459" s="7">
        <v>664.93220931949998</v>
      </c>
      <c r="Q459" s="7">
        <v>1</v>
      </c>
      <c r="R459" s="7">
        <v>0</v>
      </c>
      <c r="S459" s="7">
        <v>0.54249999999999998</v>
      </c>
      <c r="T459" s="7">
        <v>0.155</v>
      </c>
      <c r="U459" s="7">
        <v>-0.69750000000000001</v>
      </c>
      <c r="V459" s="7" t="s">
        <v>110</v>
      </c>
      <c r="W459" s="11">
        <v>45986.5</v>
      </c>
    </row>
    <row r="460" spans="1:23">
      <c r="A460" t="s">
        <v>87</v>
      </c>
      <c r="B460">
        <v>132</v>
      </c>
      <c r="C460" s="10">
        <v>45986</v>
      </c>
      <c r="D460" s="11">
        <v>45986.604166666664</v>
      </c>
      <c r="E460" s="11">
        <v>45986.604166666664</v>
      </c>
      <c r="F460" t="s">
        <v>108</v>
      </c>
      <c r="G460" t="s">
        <v>109</v>
      </c>
      <c r="H460">
        <v>1</v>
      </c>
      <c r="I460">
        <v>155</v>
      </c>
      <c r="J460" s="7">
        <v>673.34</v>
      </c>
      <c r="K460" s="7">
        <v>673.79753158029996</v>
      </c>
      <c r="L460" s="7">
        <v>663.74306500549994</v>
      </c>
      <c r="M460" s="7">
        <v>7.4573221000000002E-3</v>
      </c>
      <c r="N460" s="7">
        <v>670.86880159780003</v>
      </c>
      <c r="O460" s="7">
        <v>673.79753158029996</v>
      </c>
      <c r="P460" s="7">
        <v>663.74306500549994</v>
      </c>
      <c r="Q460" s="7">
        <v>1</v>
      </c>
      <c r="R460" s="7">
        <v>1.55</v>
      </c>
      <c r="S460" s="7">
        <v>0.54249999999999998</v>
      </c>
      <c r="T460" s="7">
        <v>0.155</v>
      </c>
      <c r="U460" s="7">
        <v>0.85250000000000004</v>
      </c>
      <c r="V460" s="7" t="s">
        <v>88</v>
      </c>
      <c r="W460" s="11">
        <v>45986.583333333336</v>
      </c>
    </row>
    <row r="461" spans="1:23">
      <c r="A461" t="s">
        <v>87</v>
      </c>
      <c r="B461">
        <v>133</v>
      </c>
      <c r="C461" s="10">
        <v>45986</v>
      </c>
      <c r="D461" s="11">
        <v>45986.645833333336</v>
      </c>
      <c r="E461" s="11">
        <v>45986.645833333336</v>
      </c>
      <c r="F461" t="s">
        <v>106</v>
      </c>
      <c r="G461" t="s">
        <v>107</v>
      </c>
      <c r="H461">
        <v>1</v>
      </c>
      <c r="I461">
        <v>155</v>
      </c>
      <c r="J461" s="7">
        <v>674.52</v>
      </c>
      <c r="K461" s="7">
        <v>673.50235005269997</v>
      </c>
      <c r="L461" s="7">
        <v>664.03821122479997</v>
      </c>
      <c r="M461" s="7">
        <v>7.0159686999999998E-3</v>
      </c>
      <c r="N461" s="7">
        <v>671.36857549800004</v>
      </c>
      <c r="O461" s="7">
        <v>673.50235005269997</v>
      </c>
      <c r="P461" s="7">
        <v>664.03821122479997</v>
      </c>
      <c r="Q461" s="7">
        <v>1</v>
      </c>
      <c r="R461" s="7">
        <v>0</v>
      </c>
      <c r="S461" s="7">
        <v>0.54249999999999998</v>
      </c>
      <c r="T461" s="7">
        <v>0.155</v>
      </c>
      <c r="U461" s="7">
        <v>-0.69750000000000001</v>
      </c>
      <c r="V461" s="7" t="s">
        <v>110</v>
      </c>
      <c r="W461" s="11">
        <v>45986.625</v>
      </c>
    </row>
    <row r="462" spans="1:23">
      <c r="A462" t="s">
        <v>87</v>
      </c>
      <c r="B462">
        <v>133</v>
      </c>
      <c r="C462" s="10">
        <v>45986</v>
      </c>
      <c r="D462" s="11">
        <v>45986.666666666664</v>
      </c>
      <c r="E462" s="11">
        <v>45986.666666666664</v>
      </c>
      <c r="F462" t="s">
        <v>108</v>
      </c>
      <c r="G462" t="s">
        <v>109</v>
      </c>
      <c r="H462">
        <v>1</v>
      </c>
      <c r="I462">
        <v>155</v>
      </c>
      <c r="J462" s="7">
        <v>675.02</v>
      </c>
      <c r="K462" s="7">
        <v>673.59703149890004</v>
      </c>
      <c r="L462" s="7">
        <v>663.94354110400002</v>
      </c>
      <c r="M462" s="7">
        <v>7.1575357999999999E-3</v>
      </c>
      <c r="N462" s="7">
        <v>671.97859804960001</v>
      </c>
      <c r="O462" s="7">
        <v>673.59703149890004</v>
      </c>
      <c r="P462" s="7">
        <v>663.94354110400002</v>
      </c>
      <c r="Q462" s="7">
        <v>1</v>
      </c>
      <c r="R462" s="7">
        <v>77.5</v>
      </c>
      <c r="S462" s="7">
        <v>0.54249999999999998</v>
      </c>
      <c r="T462" s="7">
        <v>0.155</v>
      </c>
      <c r="U462" s="7">
        <v>76.802499999999995</v>
      </c>
      <c r="V462" s="7" t="s">
        <v>85</v>
      </c>
      <c r="W462" s="11">
        <v>45986.645833333336</v>
      </c>
    </row>
    <row r="463" spans="1:23">
      <c r="A463" t="s">
        <v>87</v>
      </c>
      <c r="B463">
        <v>134</v>
      </c>
      <c r="C463" s="10">
        <v>45987</v>
      </c>
      <c r="D463" s="11">
        <v>45987.4375</v>
      </c>
      <c r="E463" s="11">
        <v>45987.4375</v>
      </c>
      <c r="F463" t="s">
        <v>106</v>
      </c>
      <c r="G463" t="s">
        <v>107</v>
      </c>
      <c r="H463">
        <v>1</v>
      </c>
      <c r="I463">
        <v>154</v>
      </c>
      <c r="J463" s="7">
        <v>678.2</v>
      </c>
      <c r="K463" s="7">
        <v>677.87478758700001</v>
      </c>
      <c r="L463" s="7">
        <v>674.32742857589994</v>
      </c>
      <c r="M463" s="7">
        <v>1.0260013E-3</v>
      </c>
      <c r="N463" s="7">
        <v>677.55403661050002</v>
      </c>
      <c r="O463" s="7">
        <v>677.87478758700001</v>
      </c>
      <c r="P463" s="7">
        <v>674.32742857589994</v>
      </c>
      <c r="Q463" s="7">
        <v>1</v>
      </c>
      <c r="R463" s="7">
        <v>0</v>
      </c>
      <c r="S463" s="7">
        <v>0.53900000000000003</v>
      </c>
      <c r="T463" s="7">
        <v>0.154</v>
      </c>
      <c r="U463" s="7">
        <v>-0.69299999999999995</v>
      </c>
      <c r="V463" s="7" t="s">
        <v>110</v>
      </c>
      <c r="W463" s="11">
        <v>45987.416666666664</v>
      </c>
    </row>
    <row r="464" spans="1:23">
      <c r="A464" t="s">
        <v>87</v>
      </c>
      <c r="B464">
        <v>134</v>
      </c>
      <c r="C464" s="10">
        <v>45987</v>
      </c>
      <c r="D464" s="11">
        <v>45987.520833333336</v>
      </c>
      <c r="E464" s="11">
        <v>45987.520833333336</v>
      </c>
      <c r="F464" t="s">
        <v>108</v>
      </c>
      <c r="G464" t="s">
        <v>109</v>
      </c>
      <c r="H464">
        <v>1</v>
      </c>
      <c r="I464">
        <v>154</v>
      </c>
      <c r="J464" s="7">
        <v>680.97</v>
      </c>
      <c r="K464" s="7">
        <v>681.14839518910003</v>
      </c>
      <c r="L464" s="7">
        <v>671.06426279489995</v>
      </c>
      <c r="M464" s="7">
        <v>5.8601777999999997E-3</v>
      </c>
      <c r="N464" s="7">
        <v>679.17722900410001</v>
      </c>
      <c r="O464" s="7">
        <v>681.14839518910003</v>
      </c>
      <c r="P464" s="7">
        <v>671.06426279489995</v>
      </c>
      <c r="Q464" s="7">
        <v>1</v>
      </c>
      <c r="R464" s="7">
        <v>426.58</v>
      </c>
      <c r="S464" s="7">
        <v>0.53900000000000003</v>
      </c>
      <c r="T464" s="7">
        <v>0.154</v>
      </c>
      <c r="U464" s="7">
        <v>425.887</v>
      </c>
      <c r="V464" s="7" t="s">
        <v>88</v>
      </c>
      <c r="W464" s="11">
        <v>45987.5</v>
      </c>
    </row>
    <row r="465" spans="1:23">
      <c r="A465" t="s">
        <v>87</v>
      </c>
      <c r="B465">
        <v>135</v>
      </c>
      <c r="C465" s="10">
        <v>45992</v>
      </c>
      <c r="D465" s="11">
        <v>45992.4375</v>
      </c>
      <c r="E465" s="11">
        <v>45992.4375</v>
      </c>
      <c r="F465" t="s">
        <v>106</v>
      </c>
      <c r="G465" t="s">
        <v>109</v>
      </c>
      <c r="H465">
        <v>-1</v>
      </c>
      <c r="I465">
        <v>153</v>
      </c>
      <c r="J465" s="7">
        <v>679.67499999999995</v>
      </c>
      <c r="K465" s="7">
        <v>684.12087625230004</v>
      </c>
      <c r="L465" s="7">
        <v>680.82109160259995</v>
      </c>
      <c r="M465" s="7">
        <v>1.0694863E-3</v>
      </c>
      <c r="N465" s="7">
        <v>680.83389950050002</v>
      </c>
      <c r="O465" s="7">
        <v>684.12087625230004</v>
      </c>
      <c r="P465" s="7">
        <v>680.82109160259995</v>
      </c>
      <c r="Q465" s="7">
        <v>1</v>
      </c>
      <c r="R465" s="7">
        <v>0</v>
      </c>
      <c r="S465" s="7">
        <v>0.53549999999999998</v>
      </c>
      <c r="T465" s="7">
        <v>0.153</v>
      </c>
      <c r="U465" s="7">
        <v>-0.6885</v>
      </c>
      <c r="V465" s="7" t="s">
        <v>110</v>
      </c>
      <c r="W465" s="11">
        <v>45992.416666666664</v>
      </c>
    </row>
    <row r="466" spans="1:23">
      <c r="A466" t="s">
        <v>87</v>
      </c>
      <c r="B466">
        <v>135</v>
      </c>
      <c r="C466" s="10">
        <v>45992</v>
      </c>
      <c r="D466" s="11">
        <v>45992.458333333336</v>
      </c>
      <c r="E466" s="11">
        <v>45992.458333333336</v>
      </c>
      <c r="F466" t="s">
        <v>108</v>
      </c>
      <c r="G466" t="s">
        <v>107</v>
      </c>
      <c r="H466">
        <v>-1</v>
      </c>
      <c r="I466">
        <v>153</v>
      </c>
      <c r="J466" s="7">
        <v>681.73</v>
      </c>
      <c r="K466" s="7">
        <v>685.48423849849996</v>
      </c>
      <c r="L466" s="7">
        <v>679.46140015419996</v>
      </c>
      <c r="M466" s="7">
        <v>3.0644851000000001E-3</v>
      </c>
      <c r="N466" s="7">
        <v>681.04454841580002</v>
      </c>
      <c r="O466" s="7">
        <v>685.48423849849996</v>
      </c>
      <c r="P466" s="7">
        <v>679.46140015419996</v>
      </c>
      <c r="Q466" s="7">
        <v>1</v>
      </c>
      <c r="R466" s="7">
        <v>-314.41500000000002</v>
      </c>
      <c r="S466" s="7">
        <v>0.53549999999999998</v>
      </c>
      <c r="T466" s="7">
        <v>0.153</v>
      </c>
      <c r="U466" s="7">
        <v>-315.1035</v>
      </c>
      <c r="V466" s="7" t="s">
        <v>88</v>
      </c>
      <c r="W466" s="11">
        <v>45992.4375</v>
      </c>
    </row>
    <row r="467" spans="1:23">
      <c r="A467" t="s">
        <v>89</v>
      </c>
      <c r="B467">
        <v>1</v>
      </c>
      <c r="C467" s="10">
        <v>45749</v>
      </c>
      <c r="D467" s="11">
        <v>45749.479166666664</v>
      </c>
      <c r="E467" s="11">
        <v>45749.479166666664</v>
      </c>
      <c r="F467" t="s">
        <v>106</v>
      </c>
      <c r="G467" t="s">
        <v>107</v>
      </c>
      <c r="H467">
        <v>1</v>
      </c>
      <c r="I467">
        <v>302</v>
      </c>
      <c r="J467" s="7">
        <v>560.08669999999995</v>
      </c>
      <c r="K467" s="7">
        <v>559.54864381289997</v>
      </c>
      <c r="L467" s="7">
        <v>553.61246595590001</v>
      </c>
      <c r="M467" s="7">
        <v>3.1892078000000002E-3</v>
      </c>
      <c r="N467" s="7">
        <v>557.4300935791</v>
      </c>
      <c r="O467" s="7">
        <v>559.54864381289997</v>
      </c>
      <c r="P467" s="7">
        <v>553.61246595590001</v>
      </c>
      <c r="Q467" s="7">
        <v>1.6819329300000001</v>
      </c>
      <c r="R467" s="7">
        <v>0</v>
      </c>
      <c r="S467" s="7">
        <v>1.0569999999999999</v>
      </c>
      <c r="T467" s="7">
        <v>0.30199999999999999</v>
      </c>
      <c r="U467" s="7">
        <v>-1.359</v>
      </c>
      <c r="V467" s="7" t="s">
        <v>110</v>
      </c>
      <c r="W467" s="11">
        <v>45749.458333333336</v>
      </c>
    </row>
    <row r="468" spans="1:23">
      <c r="A468" t="s">
        <v>89</v>
      </c>
      <c r="B468">
        <v>1</v>
      </c>
      <c r="C468" s="10">
        <v>45749</v>
      </c>
      <c r="D468" s="11">
        <v>45749.5</v>
      </c>
      <c r="E468" s="11">
        <v>45749.5</v>
      </c>
      <c r="F468" t="s">
        <v>108</v>
      </c>
      <c r="G468" t="s">
        <v>109</v>
      </c>
      <c r="H468">
        <v>1</v>
      </c>
      <c r="I468">
        <v>302</v>
      </c>
      <c r="J468" s="7">
        <v>559.13220000000001</v>
      </c>
      <c r="K468" s="7">
        <v>560.00378763000003</v>
      </c>
      <c r="L468" s="7">
        <v>553.15926921200003</v>
      </c>
      <c r="M468" s="7">
        <v>4.0052144000000001E-3</v>
      </c>
      <c r="N468" s="7">
        <v>557.72998803509995</v>
      </c>
      <c r="O468" s="7">
        <v>560.00378763000003</v>
      </c>
      <c r="P468" s="7">
        <v>553.15926921200003</v>
      </c>
      <c r="Q468" s="7">
        <v>1.6819329300000001</v>
      </c>
      <c r="R468" s="7">
        <v>-288.25900000000001</v>
      </c>
      <c r="S468" s="7">
        <v>1.0569999999999999</v>
      </c>
      <c r="T468" s="7">
        <v>0.30199999999999999</v>
      </c>
      <c r="U468" s="7">
        <v>-289.61799999999999</v>
      </c>
      <c r="V468" s="7" t="s">
        <v>88</v>
      </c>
      <c r="W468" s="11">
        <v>45749.479166666664</v>
      </c>
    </row>
    <row r="469" spans="1:23">
      <c r="A469" t="s">
        <v>89</v>
      </c>
      <c r="B469">
        <v>2</v>
      </c>
      <c r="C469" s="10">
        <v>45749</v>
      </c>
      <c r="D469" s="11">
        <v>45749.520833333336</v>
      </c>
      <c r="E469" s="11">
        <v>45749.520833333336</v>
      </c>
      <c r="F469" t="s">
        <v>106</v>
      </c>
      <c r="G469" t="s">
        <v>107</v>
      </c>
      <c r="H469">
        <v>1</v>
      </c>
      <c r="I469">
        <v>302</v>
      </c>
      <c r="J469" s="7">
        <v>561.10090000000002</v>
      </c>
      <c r="K469" s="7">
        <v>559.92788137599996</v>
      </c>
      <c r="L469" s="7">
        <v>553.23485074439998</v>
      </c>
      <c r="M469" s="7">
        <v>3.8691254999999999E-3</v>
      </c>
      <c r="N469" s="7">
        <v>558.10635377949995</v>
      </c>
      <c r="O469" s="7">
        <v>559.92788137599996</v>
      </c>
      <c r="P469" s="7">
        <v>553.23485074439998</v>
      </c>
      <c r="Q469" s="7">
        <v>1.6819329300000001</v>
      </c>
      <c r="R469" s="7">
        <v>0</v>
      </c>
      <c r="S469" s="7">
        <v>1.0569999999999999</v>
      </c>
      <c r="T469" s="7">
        <v>0.30199999999999999</v>
      </c>
      <c r="U469" s="7">
        <v>-1.359</v>
      </c>
      <c r="V469" s="7" t="s">
        <v>110</v>
      </c>
      <c r="W469" s="11">
        <v>45749.5</v>
      </c>
    </row>
    <row r="470" spans="1:23">
      <c r="A470" t="s">
        <v>89</v>
      </c>
      <c r="B470">
        <v>2</v>
      </c>
      <c r="C470" s="10">
        <v>45749</v>
      </c>
      <c r="D470" s="11">
        <v>45749.604166666664</v>
      </c>
      <c r="E470" s="11">
        <v>45749.604166666664</v>
      </c>
      <c r="F470" t="s">
        <v>108</v>
      </c>
      <c r="G470" t="s">
        <v>109</v>
      </c>
      <c r="H470">
        <v>1</v>
      </c>
      <c r="I470">
        <v>302</v>
      </c>
      <c r="J470" s="7">
        <v>557.7998</v>
      </c>
      <c r="K470" s="7">
        <v>560.21433813930003</v>
      </c>
      <c r="L470" s="7">
        <v>552.94961942309999</v>
      </c>
      <c r="M470" s="7">
        <v>4.3827008000000001E-3</v>
      </c>
      <c r="N470" s="7">
        <v>559.31226130109997</v>
      </c>
      <c r="O470" s="7">
        <v>560.21433813930003</v>
      </c>
      <c r="P470" s="7">
        <v>552.94961942309999</v>
      </c>
      <c r="Q470" s="7">
        <v>1.6819329300000001</v>
      </c>
      <c r="R470" s="7">
        <v>-996.93219999999997</v>
      </c>
      <c r="S470" s="7">
        <v>1.0569999999999999</v>
      </c>
      <c r="T470" s="7">
        <v>0.30199999999999999</v>
      </c>
      <c r="U470" s="7">
        <v>-998.2912</v>
      </c>
      <c r="V470" s="7" t="s">
        <v>88</v>
      </c>
      <c r="W470" s="11">
        <v>45749.583333333336</v>
      </c>
    </row>
    <row r="471" spans="1:23">
      <c r="A471" t="s">
        <v>89</v>
      </c>
      <c r="B471">
        <v>3</v>
      </c>
      <c r="C471" s="10">
        <v>45750</v>
      </c>
      <c r="D471" s="11">
        <v>45750.4375</v>
      </c>
      <c r="E471" s="11">
        <v>45750.4375</v>
      </c>
      <c r="F471" t="s">
        <v>106</v>
      </c>
      <c r="G471" t="s">
        <v>109</v>
      </c>
      <c r="H471">
        <v>-1</v>
      </c>
      <c r="I471">
        <v>323</v>
      </c>
      <c r="J471" s="7">
        <v>539.87260000000003</v>
      </c>
      <c r="K471" s="7">
        <v>562.42341006940001</v>
      </c>
      <c r="L471" s="7">
        <v>539.95765424989997</v>
      </c>
      <c r="M471" s="7">
        <v>2.0023357999999999E-3</v>
      </c>
      <c r="N471" s="7">
        <v>540.57172269780006</v>
      </c>
      <c r="O471" s="7">
        <v>562.42341006940001</v>
      </c>
      <c r="P471" s="7">
        <v>539.95765424989997</v>
      </c>
      <c r="Q471" s="7">
        <v>1.7745187618</v>
      </c>
      <c r="R471" s="7">
        <v>0</v>
      </c>
      <c r="S471" s="7">
        <v>1.1305000000000001</v>
      </c>
      <c r="T471" s="7">
        <v>0.32300000000000001</v>
      </c>
      <c r="U471" s="7">
        <v>-1.4535</v>
      </c>
      <c r="V471" s="7" t="s">
        <v>110</v>
      </c>
      <c r="W471" s="11">
        <v>45750.416666666664</v>
      </c>
    </row>
    <row r="472" spans="1:23">
      <c r="A472" t="s">
        <v>89</v>
      </c>
      <c r="B472">
        <v>3</v>
      </c>
      <c r="C472" s="10">
        <v>45750</v>
      </c>
      <c r="D472" s="11">
        <v>45750.5</v>
      </c>
      <c r="E472" s="11">
        <v>45750.5</v>
      </c>
      <c r="F472" t="s">
        <v>108</v>
      </c>
      <c r="G472" t="s">
        <v>107</v>
      </c>
      <c r="H472">
        <v>-1</v>
      </c>
      <c r="I472">
        <v>323</v>
      </c>
      <c r="J472" s="7">
        <v>540.49900000000002</v>
      </c>
      <c r="K472" s="7">
        <v>563.65895502069998</v>
      </c>
      <c r="L472" s="7">
        <v>538.76670275970002</v>
      </c>
      <c r="M472" s="7">
        <v>4.2035579999999996E-3</v>
      </c>
      <c r="N472" s="7">
        <v>539.69409277759996</v>
      </c>
      <c r="O472" s="7">
        <v>563.65895502069998</v>
      </c>
      <c r="P472" s="7">
        <v>538.76670275970002</v>
      </c>
      <c r="Q472" s="7">
        <v>1.7745187618</v>
      </c>
      <c r="R472" s="7">
        <v>-202.3272</v>
      </c>
      <c r="S472" s="7">
        <v>1.1305000000000001</v>
      </c>
      <c r="T472" s="7">
        <v>0.32300000000000001</v>
      </c>
      <c r="U472" s="7">
        <v>-203.7807</v>
      </c>
      <c r="V472" s="7" t="s">
        <v>88</v>
      </c>
      <c r="W472" s="11">
        <v>45750.479166666664</v>
      </c>
    </row>
    <row r="473" spans="1:23">
      <c r="A473" t="s">
        <v>89</v>
      </c>
      <c r="B473">
        <v>4</v>
      </c>
      <c r="C473" s="10">
        <v>45750</v>
      </c>
      <c r="D473" s="11">
        <v>45750.604166666664</v>
      </c>
      <c r="E473" s="11">
        <v>45750.604166666664</v>
      </c>
      <c r="F473" t="s">
        <v>106</v>
      </c>
      <c r="G473" t="s">
        <v>109</v>
      </c>
      <c r="H473">
        <v>-1</v>
      </c>
      <c r="I473">
        <v>323</v>
      </c>
      <c r="J473" s="7">
        <v>537.66030000000001</v>
      </c>
      <c r="K473" s="7">
        <v>563.81293429159996</v>
      </c>
      <c r="L473" s="7">
        <v>538.61828093019994</v>
      </c>
      <c r="M473" s="7">
        <v>4.4778843999999998E-3</v>
      </c>
      <c r="N473" s="7">
        <v>539.7735395569</v>
      </c>
      <c r="O473" s="7">
        <v>563.81293429159996</v>
      </c>
      <c r="P473" s="7">
        <v>538.61828093019994</v>
      </c>
      <c r="Q473" s="7">
        <v>1.7745187618</v>
      </c>
      <c r="R473" s="7">
        <v>0</v>
      </c>
      <c r="S473" s="7">
        <v>1.1305000000000001</v>
      </c>
      <c r="T473" s="7">
        <v>0.32300000000000001</v>
      </c>
      <c r="U473" s="7">
        <v>-1.4535</v>
      </c>
      <c r="V473" s="7" t="s">
        <v>110</v>
      </c>
      <c r="W473" s="11">
        <v>45750.583333333336</v>
      </c>
    </row>
    <row r="474" spans="1:23">
      <c r="A474" t="s">
        <v>89</v>
      </c>
      <c r="B474">
        <v>4</v>
      </c>
      <c r="C474" s="10">
        <v>45750</v>
      </c>
      <c r="D474" s="11">
        <v>45750.625</v>
      </c>
      <c r="E474" s="11">
        <v>45750.625</v>
      </c>
      <c r="F474" t="s">
        <v>108</v>
      </c>
      <c r="G474" t="s">
        <v>107</v>
      </c>
      <c r="H474">
        <v>-1</v>
      </c>
      <c r="I474">
        <v>323</v>
      </c>
      <c r="J474" s="7">
        <v>538.70929999999998</v>
      </c>
      <c r="K474" s="7">
        <v>564.38980507400004</v>
      </c>
      <c r="L474" s="7">
        <v>538.06223064870005</v>
      </c>
      <c r="M474" s="7">
        <v>5.5056259E-3</v>
      </c>
      <c r="N474" s="7">
        <v>539.69769368660002</v>
      </c>
      <c r="O474" s="7">
        <v>564.38980507400004</v>
      </c>
      <c r="P474" s="7">
        <v>538.06223064870005</v>
      </c>
      <c r="Q474" s="7">
        <v>1.7745187618</v>
      </c>
      <c r="R474" s="7">
        <v>-338.827</v>
      </c>
      <c r="S474" s="7">
        <v>1.1305000000000001</v>
      </c>
      <c r="T474" s="7">
        <v>0.32300000000000001</v>
      </c>
      <c r="U474" s="7">
        <v>-340.28050000000002</v>
      </c>
      <c r="V474" s="7" t="s">
        <v>88</v>
      </c>
      <c r="W474" s="11">
        <v>45750.604166666664</v>
      </c>
    </row>
    <row r="475" spans="1:23">
      <c r="A475" t="s">
        <v>89</v>
      </c>
      <c r="B475">
        <v>5</v>
      </c>
      <c r="C475" s="10">
        <v>45750</v>
      </c>
      <c r="D475" s="11">
        <v>45750.645833333336</v>
      </c>
      <c r="E475" s="11">
        <v>45750.645833333336</v>
      </c>
      <c r="F475" t="s">
        <v>106</v>
      </c>
      <c r="G475" t="s">
        <v>109</v>
      </c>
      <c r="H475">
        <v>-1</v>
      </c>
      <c r="I475">
        <v>323</v>
      </c>
      <c r="J475" s="7">
        <v>536.11419999999998</v>
      </c>
      <c r="K475" s="7">
        <v>564.52394343449998</v>
      </c>
      <c r="L475" s="7">
        <v>537.93293362860004</v>
      </c>
      <c r="M475" s="7">
        <v>5.7446041E-3</v>
      </c>
      <c r="N475" s="7">
        <v>539.37496063549997</v>
      </c>
      <c r="O475" s="7">
        <v>564.52394343449998</v>
      </c>
      <c r="P475" s="7">
        <v>537.93293362860004</v>
      </c>
      <c r="Q475" s="7">
        <v>1.7745187618</v>
      </c>
      <c r="R475" s="7">
        <v>0</v>
      </c>
      <c r="S475" s="7">
        <v>1.1305000000000001</v>
      </c>
      <c r="T475" s="7">
        <v>0.32300000000000001</v>
      </c>
      <c r="U475" s="7">
        <v>-1.4535</v>
      </c>
      <c r="V475" s="7" t="s">
        <v>110</v>
      </c>
      <c r="W475" s="11">
        <v>45750.625</v>
      </c>
    </row>
    <row r="476" spans="1:23">
      <c r="A476" t="s">
        <v>89</v>
      </c>
      <c r="B476">
        <v>5</v>
      </c>
      <c r="C476" s="10">
        <v>45750</v>
      </c>
      <c r="D476" s="11">
        <v>45750.666666666664</v>
      </c>
      <c r="E476" s="11">
        <v>45750.666666666664</v>
      </c>
      <c r="F476" t="s">
        <v>108</v>
      </c>
      <c r="G476" t="s">
        <v>107</v>
      </c>
      <c r="H476">
        <v>-1</v>
      </c>
      <c r="I476">
        <v>323</v>
      </c>
      <c r="J476" s="7">
        <v>533.63840000000005</v>
      </c>
      <c r="K476" s="7">
        <v>564.95842808750001</v>
      </c>
      <c r="L476" s="7">
        <v>537.51413045640004</v>
      </c>
      <c r="M476" s="7">
        <v>6.5186732999999997E-3</v>
      </c>
      <c r="N476" s="7">
        <v>537.86789182790005</v>
      </c>
      <c r="O476" s="7">
        <v>564.95842808750001</v>
      </c>
      <c r="P476" s="7">
        <v>537.51413045640004</v>
      </c>
      <c r="Q476" s="7">
        <v>1.7745187618</v>
      </c>
      <c r="R476" s="7">
        <v>799.68340000000001</v>
      </c>
      <c r="S476" s="7">
        <v>1.1305000000000001</v>
      </c>
      <c r="T476" s="7">
        <v>0.32300000000000001</v>
      </c>
      <c r="U476" s="7">
        <v>798.22990000000004</v>
      </c>
      <c r="V476" s="7" t="s">
        <v>85</v>
      </c>
      <c r="W476" s="11">
        <v>45750.645833333336</v>
      </c>
    </row>
    <row r="477" spans="1:23">
      <c r="A477" t="s">
        <v>89</v>
      </c>
      <c r="B477">
        <v>6</v>
      </c>
      <c r="C477" s="10">
        <v>45751</v>
      </c>
      <c r="D477" s="11">
        <v>45751.4375</v>
      </c>
      <c r="E477" s="11">
        <v>45751.4375</v>
      </c>
      <c r="F477" t="s">
        <v>106</v>
      </c>
      <c r="G477" t="s">
        <v>109</v>
      </c>
      <c r="H477">
        <v>-1</v>
      </c>
      <c r="I477">
        <v>229</v>
      </c>
      <c r="J477" s="7">
        <v>513.20069999999998</v>
      </c>
      <c r="K477" s="7">
        <v>534.78861002890005</v>
      </c>
      <c r="L477" s="7">
        <v>518.8558410329</v>
      </c>
      <c r="M477" s="7">
        <v>2.1557865E-3</v>
      </c>
      <c r="N477" s="7">
        <v>517.50886119769996</v>
      </c>
      <c r="O477" s="7">
        <v>534.78861002890005</v>
      </c>
      <c r="P477" s="7">
        <v>517.50886119769996</v>
      </c>
      <c r="Q477" s="7">
        <v>1.205707275</v>
      </c>
      <c r="R477" s="7">
        <v>0</v>
      </c>
      <c r="S477" s="7">
        <v>0.80149999999999999</v>
      </c>
      <c r="T477" s="7">
        <v>0.22900000000000001</v>
      </c>
      <c r="U477" s="7">
        <v>-1.0305</v>
      </c>
      <c r="V477" s="7" t="s">
        <v>110</v>
      </c>
      <c r="W477" s="11">
        <v>45751.416666666664</v>
      </c>
    </row>
    <row r="478" spans="1:23">
      <c r="A478" t="s">
        <v>89</v>
      </c>
      <c r="B478">
        <v>6</v>
      </c>
      <c r="C478" s="10">
        <v>45751</v>
      </c>
      <c r="D478" s="11">
        <v>45751.666666666664</v>
      </c>
      <c r="E478" s="11">
        <v>45751.666666666664</v>
      </c>
      <c r="F478" t="s">
        <v>108</v>
      </c>
      <c r="G478" t="s">
        <v>107</v>
      </c>
      <c r="H478">
        <v>-1</v>
      </c>
      <c r="I478">
        <v>229</v>
      </c>
      <c r="J478" s="7">
        <v>502.39760000000001</v>
      </c>
      <c r="K478" s="7">
        <v>537.2345141577</v>
      </c>
      <c r="L478" s="7">
        <v>516.47255325089998</v>
      </c>
      <c r="M478" s="7">
        <v>6.7392366999999998E-3</v>
      </c>
      <c r="N478" s="7">
        <v>509.55477975159999</v>
      </c>
      <c r="O478" s="7">
        <v>537.2345141577</v>
      </c>
      <c r="P478" s="7">
        <v>509.55477975159999</v>
      </c>
      <c r="Q478" s="7">
        <v>1.205707275</v>
      </c>
      <c r="R478" s="7">
        <v>2473.9099000000001</v>
      </c>
      <c r="S478" s="7">
        <v>0.80149999999999999</v>
      </c>
      <c r="T478" s="7">
        <v>0.22900000000000001</v>
      </c>
      <c r="U478" s="7">
        <v>2472.8793999999998</v>
      </c>
      <c r="V478" s="7" t="s">
        <v>85</v>
      </c>
      <c r="W478" s="11">
        <v>45751.645833333336</v>
      </c>
    </row>
    <row r="479" spans="1:23">
      <c r="A479" t="s">
        <v>89</v>
      </c>
      <c r="B479">
        <v>7</v>
      </c>
      <c r="C479" s="10">
        <v>45754</v>
      </c>
      <c r="D479" s="11">
        <v>45754.583333333336</v>
      </c>
      <c r="E479" s="11">
        <v>45754.583333333336</v>
      </c>
      <c r="F479" t="s">
        <v>106</v>
      </c>
      <c r="G479" t="s">
        <v>107</v>
      </c>
      <c r="H479">
        <v>1</v>
      </c>
      <c r="I479">
        <v>188</v>
      </c>
      <c r="J479" s="7">
        <v>506.30520000000001</v>
      </c>
      <c r="K479" s="7">
        <v>505.09717605510002</v>
      </c>
      <c r="L479" s="7">
        <v>489.97167062810001</v>
      </c>
      <c r="M479" s="7">
        <v>5.3735857999999996E-3</v>
      </c>
      <c r="N479" s="7">
        <v>496.59523573849998</v>
      </c>
      <c r="O479" s="7">
        <v>505.09717605510002</v>
      </c>
      <c r="P479" s="7">
        <v>489.97167062810001</v>
      </c>
      <c r="Q479" s="7">
        <v>0.91374877740000005</v>
      </c>
      <c r="R479" s="7">
        <v>0</v>
      </c>
      <c r="S479" s="7">
        <v>0.65800000000000003</v>
      </c>
      <c r="T479" s="7">
        <v>0.188</v>
      </c>
      <c r="U479" s="7">
        <v>-0.84599999999999997</v>
      </c>
      <c r="V479" s="7" t="s">
        <v>110</v>
      </c>
      <c r="W479" s="11">
        <v>45754.5625</v>
      </c>
    </row>
    <row r="480" spans="1:23">
      <c r="A480" t="s">
        <v>89</v>
      </c>
      <c r="B480">
        <v>7</v>
      </c>
      <c r="C480" s="10">
        <v>45754</v>
      </c>
      <c r="D480" s="11">
        <v>45754.604166666664</v>
      </c>
      <c r="E480" s="11">
        <v>45754.604166666664</v>
      </c>
      <c r="F480" t="s">
        <v>108</v>
      </c>
      <c r="G480" t="s">
        <v>109</v>
      </c>
      <c r="H480">
        <v>1</v>
      </c>
      <c r="I480">
        <v>188</v>
      </c>
      <c r="J480" s="7">
        <v>502.28829999999999</v>
      </c>
      <c r="K480" s="7">
        <v>505.38901514439999</v>
      </c>
      <c r="L480" s="7">
        <v>489.68551191509999</v>
      </c>
      <c r="M480" s="7">
        <v>5.9544786000000002E-3</v>
      </c>
      <c r="N480" s="7">
        <v>496.84862268090001</v>
      </c>
      <c r="O480" s="7">
        <v>505.38901514439999</v>
      </c>
      <c r="P480" s="7">
        <v>489.68551191509999</v>
      </c>
      <c r="Q480" s="7">
        <v>0.91374877740000005</v>
      </c>
      <c r="R480" s="7">
        <v>-755.17719999999997</v>
      </c>
      <c r="S480" s="7">
        <v>0.65800000000000003</v>
      </c>
      <c r="T480" s="7">
        <v>0.188</v>
      </c>
      <c r="U480" s="7">
        <v>-756.02319999999997</v>
      </c>
      <c r="V480" s="7" t="s">
        <v>88</v>
      </c>
      <c r="W480" s="11">
        <v>45754.583333333336</v>
      </c>
    </row>
    <row r="481" spans="1:23">
      <c r="A481" t="s">
        <v>89</v>
      </c>
      <c r="B481">
        <v>8</v>
      </c>
      <c r="C481" s="10">
        <v>45755</v>
      </c>
      <c r="D481" s="11">
        <v>45755.645833333336</v>
      </c>
      <c r="E481" s="11">
        <v>45755.645833333336</v>
      </c>
      <c r="F481" t="s">
        <v>106</v>
      </c>
      <c r="G481" t="s">
        <v>109</v>
      </c>
      <c r="H481">
        <v>-1</v>
      </c>
      <c r="I481">
        <v>176</v>
      </c>
      <c r="J481" s="7">
        <v>494.4271</v>
      </c>
      <c r="K481" s="7">
        <v>524.08276777959998</v>
      </c>
      <c r="L481" s="7">
        <v>497.6197818123</v>
      </c>
      <c r="M481" s="7">
        <v>7.7423689999999998E-3</v>
      </c>
      <c r="N481" s="7">
        <v>507.39754010310003</v>
      </c>
      <c r="O481" s="7">
        <v>524.08276777959998</v>
      </c>
      <c r="P481" s="7">
        <v>497.6197818123</v>
      </c>
      <c r="Q481" s="7">
        <v>0.91221848620000001</v>
      </c>
      <c r="R481" s="7">
        <v>0</v>
      </c>
      <c r="S481" s="7">
        <v>0.61599999999999999</v>
      </c>
      <c r="T481" s="7">
        <v>0.17599999999999999</v>
      </c>
      <c r="U481" s="7">
        <v>-0.79200000000000004</v>
      </c>
      <c r="V481" s="7" t="s">
        <v>110</v>
      </c>
      <c r="W481" s="11">
        <v>45755.625</v>
      </c>
    </row>
    <row r="482" spans="1:23">
      <c r="A482" t="s">
        <v>89</v>
      </c>
      <c r="B482">
        <v>8</v>
      </c>
      <c r="C482" s="10">
        <v>45755</v>
      </c>
      <c r="D482" s="11">
        <v>45755.666666666664</v>
      </c>
      <c r="E482" s="11">
        <v>45755.666666666664</v>
      </c>
      <c r="F482" t="s">
        <v>108</v>
      </c>
      <c r="G482" t="s">
        <v>107</v>
      </c>
      <c r="H482">
        <v>-1</v>
      </c>
      <c r="I482">
        <v>176</v>
      </c>
      <c r="J482" s="7">
        <v>493.64789999999999</v>
      </c>
      <c r="K482" s="7">
        <v>525.35520704630005</v>
      </c>
      <c r="L482" s="7">
        <v>496.3927385083</v>
      </c>
      <c r="M482" s="7">
        <v>1.0189102699999999E-2</v>
      </c>
      <c r="N482" s="7">
        <v>504.27580488349997</v>
      </c>
      <c r="O482" s="7">
        <v>525.35520704630005</v>
      </c>
      <c r="P482" s="7">
        <v>496.3927385083</v>
      </c>
      <c r="Q482" s="7">
        <v>0.91221848620000001</v>
      </c>
      <c r="R482" s="7">
        <v>137.13919999999999</v>
      </c>
      <c r="S482" s="7">
        <v>0.61599999999999999</v>
      </c>
      <c r="T482" s="7">
        <v>0.17599999999999999</v>
      </c>
      <c r="U482" s="7">
        <v>136.34719999999999</v>
      </c>
      <c r="V482" s="7" t="s">
        <v>85</v>
      </c>
      <c r="W482" s="11">
        <v>45755.645833333336</v>
      </c>
    </row>
    <row r="483" spans="1:23">
      <c r="A483" t="s">
        <v>89</v>
      </c>
      <c r="B483">
        <v>9</v>
      </c>
      <c r="C483" s="10">
        <v>45756</v>
      </c>
      <c r="D483" s="11">
        <v>45756.458333333336</v>
      </c>
      <c r="E483" s="11">
        <v>45756.458333333336</v>
      </c>
      <c r="F483" t="s">
        <v>106</v>
      </c>
      <c r="G483" t="s">
        <v>109</v>
      </c>
      <c r="H483">
        <v>-1</v>
      </c>
      <c r="I483">
        <v>189</v>
      </c>
      <c r="J483" s="7">
        <v>490.31700000000001</v>
      </c>
      <c r="K483" s="7">
        <v>500.56817538220002</v>
      </c>
      <c r="L483" s="7">
        <v>490.44998498529998</v>
      </c>
      <c r="M483" s="7">
        <v>6.4775257000000003E-3</v>
      </c>
      <c r="N483" s="7">
        <v>495.30708028359999</v>
      </c>
      <c r="O483" s="7">
        <v>500.56817538220002</v>
      </c>
      <c r="P483" s="7">
        <v>490.44998498529998</v>
      </c>
      <c r="Q483" s="7">
        <v>0.93512130689999995</v>
      </c>
      <c r="R483" s="7">
        <v>0</v>
      </c>
      <c r="S483" s="7">
        <v>0.66149999999999998</v>
      </c>
      <c r="T483" s="7">
        <v>0.189</v>
      </c>
      <c r="U483" s="7">
        <v>-0.85050000000000003</v>
      </c>
      <c r="V483" s="7" t="s">
        <v>110</v>
      </c>
      <c r="W483" s="11">
        <v>45756.4375</v>
      </c>
    </row>
    <row r="484" spans="1:23">
      <c r="A484" t="s">
        <v>89</v>
      </c>
      <c r="B484">
        <v>9</v>
      </c>
      <c r="C484" s="10">
        <v>45756</v>
      </c>
      <c r="D484" s="11">
        <v>45756.479166666664</v>
      </c>
      <c r="E484" s="11">
        <v>45756.479166666664</v>
      </c>
      <c r="F484" t="s">
        <v>108</v>
      </c>
      <c r="G484" t="s">
        <v>107</v>
      </c>
      <c r="H484">
        <v>-1</v>
      </c>
      <c r="I484">
        <v>189</v>
      </c>
      <c r="J484" s="7">
        <v>495.35809999999998</v>
      </c>
      <c r="K484" s="7">
        <v>500.07817236509999</v>
      </c>
      <c r="L484" s="7">
        <v>490.93634362009999</v>
      </c>
      <c r="M484" s="7">
        <v>5.4922911999999999E-3</v>
      </c>
      <c r="N484" s="7">
        <v>495.31457667879999</v>
      </c>
      <c r="O484" s="7">
        <v>500.07817236509999</v>
      </c>
      <c r="P484" s="7">
        <v>490.93634362009999</v>
      </c>
      <c r="Q484" s="7">
        <v>0.93512130689999995</v>
      </c>
      <c r="R484" s="7">
        <v>-952.76790000000005</v>
      </c>
      <c r="S484" s="7">
        <v>0.66149999999999998</v>
      </c>
      <c r="T484" s="7">
        <v>0.189</v>
      </c>
      <c r="U484" s="7">
        <v>-953.61839999999995</v>
      </c>
      <c r="V484" s="7" t="s">
        <v>88</v>
      </c>
      <c r="W484" s="11">
        <v>45756.458333333336</v>
      </c>
    </row>
    <row r="485" spans="1:23">
      <c r="A485" t="s">
        <v>89</v>
      </c>
      <c r="B485">
        <v>10</v>
      </c>
      <c r="C485" s="10">
        <v>45756</v>
      </c>
      <c r="D485" s="11">
        <v>45756.5625</v>
      </c>
      <c r="E485" s="11">
        <v>45756.5625</v>
      </c>
      <c r="F485" t="s">
        <v>106</v>
      </c>
      <c r="G485" t="s">
        <v>107</v>
      </c>
      <c r="H485">
        <v>1</v>
      </c>
      <c r="I485">
        <v>189</v>
      </c>
      <c r="J485" s="7">
        <v>521.77650000000006</v>
      </c>
      <c r="K485" s="7">
        <v>502.47450922519999</v>
      </c>
      <c r="L485" s="7">
        <v>488.55782944150002</v>
      </c>
      <c r="M485" s="7">
        <v>1.03105344E-2</v>
      </c>
      <c r="N485" s="7">
        <v>506.47916999130001</v>
      </c>
      <c r="O485" s="7">
        <v>506.47916999130001</v>
      </c>
      <c r="P485" s="7">
        <v>488.55782944150002</v>
      </c>
      <c r="Q485" s="7">
        <v>0.93512130689999995</v>
      </c>
      <c r="R485" s="7">
        <v>0</v>
      </c>
      <c r="S485" s="7">
        <v>0.66149999999999998</v>
      </c>
      <c r="T485" s="7">
        <v>0.189</v>
      </c>
      <c r="U485" s="7">
        <v>-0.85050000000000003</v>
      </c>
      <c r="V485" s="7" t="s">
        <v>110</v>
      </c>
      <c r="W485" s="11">
        <v>45756.541666666664</v>
      </c>
    </row>
    <row r="486" spans="1:23">
      <c r="A486" t="s">
        <v>89</v>
      </c>
      <c r="B486">
        <v>10</v>
      </c>
      <c r="C486" s="10">
        <v>45756</v>
      </c>
      <c r="D486" s="11">
        <v>45756.666666666664</v>
      </c>
      <c r="E486" s="11">
        <v>45756.666666666664</v>
      </c>
      <c r="F486" t="s">
        <v>108</v>
      </c>
      <c r="G486" t="s">
        <v>109</v>
      </c>
      <c r="H486">
        <v>1</v>
      </c>
      <c r="I486">
        <v>189</v>
      </c>
      <c r="J486" s="7">
        <v>545.49040000000002</v>
      </c>
      <c r="K486" s="7">
        <v>504.02787899139997</v>
      </c>
      <c r="L486" s="7">
        <v>487.0160128151</v>
      </c>
      <c r="M486" s="7">
        <v>1.3433848700000001E-2</v>
      </c>
      <c r="N486" s="7">
        <v>523.88149199019995</v>
      </c>
      <c r="O486" s="7">
        <v>523.88149199019995</v>
      </c>
      <c r="P486" s="7">
        <v>487.0160128151</v>
      </c>
      <c r="Q486" s="7">
        <v>0.93512130689999995</v>
      </c>
      <c r="R486" s="7">
        <v>4481.9270999999999</v>
      </c>
      <c r="S486" s="7">
        <v>0.66149999999999998</v>
      </c>
      <c r="T486" s="7">
        <v>0.189</v>
      </c>
      <c r="U486" s="7">
        <v>4481.0766000000003</v>
      </c>
      <c r="V486" s="7" t="s">
        <v>85</v>
      </c>
      <c r="W486" s="11">
        <v>45756.645833333336</v>
      </c>
    </row>
    <row r="487" spans="1:23">
      <c r="A487" t="s">
        <v>89</v>
      </c>
      <c r="B487">
        <v>11</v>
      </c>
      <c r="C487" s="10">
        <v>45757</v>
      </c>
      <c r="D487" s="11">
        <v>45757.479166666664</v>
      </c>
      <c r="E487" s="11">
        <v>45757.479166666664</v>
      </c>
      <c r="F487" t="s">
        <v>106</v>
      </c>
      <c r="G487" t="s">
        <v>109</v>
      </c>
      <c r="H487">
        <v>-1</v>
      </c>
      <c r="I487">
        <v>106</v>
      </c>
      <c r="J487" s="7">
        <v>520.81200000000001</v>
      </c>
      <c r="K487" s="7">
        <v>548.48380842580002</v>
      </c>
      <c r="L487" s="7">
        <v>523.00037572669999</v>
      </c>
      <c r="M487" s="7">
        <v>5.4879233999999997E-3</v>
      </c>
      <c r="N487" s="7">
        <v>524.32108434539998</v>
      </c>
      <c r="O487" s="7">
        <v>548.48380842580002</v>
      </c>
      <c r="P487" s="7">
        <v>523.00037572669999</v>
      </c>
      <c r="Q487" s="7">
        <v>0.53623600169999996</v>
      </c>
      <c r="R487" s="7">
        <v>0</v>
      </c>
      <c r="S487" s="7">
        <v>0.371</v>
      </c>
      <c r="T487" s="7">
        <v>0.106</v>
      </c>
      <c r="U487" s="7">
        <v>-0.47699999999999998</v>
      </c>
      <c r="V487" s="7" t="s">
        <v>110</v>
      </c>
      <c r="W487" s="11">
        <v>45757.458333333336</v>
      </c>
    </row>
    <row r="488" spans="1:23">
      <c r="A488" t="s">
        <v>89</v>
      </c>
      <c r="B488">
        <v>11</v>
      </c>
      <c r="C488" s="10">
        <v>45757</v>
      </c>
      <c r="D488" s="11">
        <v>45757.583333333336</v>
      </c>
      <c r="E488" s="11">
        <v>45757.583333333336</v>
      </c>
      <c r="F488" t="s">
        <v>108</v>
      </c>
      <c r="G488" t="s">
        <v>107</v>
      </c>
      <c r="H488">
        <v>-1</v>
      </c>
      <c r="I488">
        <v>106</v>
      </c>
      <c r="J488" s="7">
        <v>521.19979999999998</v>
      </c>
      <c r="K488" s="7">
        <v>553.29312729339995</v>
      </c>
      <c r="L488" s="7">
        <v>518.36389392420006</v>
      </c>
      <c r="M488" s="7">
        <v>1.43044317E-2</v>
      </c>
      <c r="N488" s="7">
        <v>518.3352502898</v>
      </c>
      <c r="O488" s="7">
        <v>553.29312729339995</v>
      </c>
      <c r="P488" s="7">
        <v>518.3352502898</v>
      </c>
      <c r="Q488" s="7">
        <v>0.53623600169999996</v>
      </c>
      <c r="R488" s="7">
        <v>-41.1068</v>
      </c>
      <c r="S488" s="7">
        <v>0.371</v>
      </c>
      <c r="T488" s="7">
        <v>0.106</v>
      </c>
      <c r="U488" s="7">
        <v>-41.583799999999997</v>
      </c>
      <c r="V488" s="7" t="s">
        <v>88</v>
      </c>
      <c r="W488" s="11">
        <v>45757.5625</v>
      </c>
    </row>
    <row r="489" spans="1:23">
      <c r="A489" t="s">
        <v>89</v>
      </c>
      <c r="B489">
        <v>12</v>
      </c>
      <c r="C489" s="10">
        <v>45758</v>
      </c>
      <c r="D489" s="11">
        <v>45758.4375</v>
      </c>
      <c r="E489" s="11">
        <v>45758.4375</v>
      </c>
      <c r="F489" t="s">
        <v>106</v>
      </c>
      <c r="G489" t="s">
        <v>109</v>
      </c>
      <c r="H489">
        <v>-1</v>
      </c>
      <c r="I489">
        <v>102</v>
      </c>
      <c r="J489" s="7">
        <v>517.5607</v>
      </c>
      <c r="K489" s="7">
        <v>523.82764540220001</v>
      </c>
      <c r="L489" s="7">
        <v>519.90785482909996</v>
      </c>
      <c r="M489" s="7">
        <v>3.2198736E-3</v>
      </c>
      <c r="N489" s="7">
        <v>519.99486563619996</v>
      </c>
      <c r="O489" s="7">
        <v>523.82764540220001</v>
      </c>
      <c r="P489" s="7">
        <v>519.90785482909996</v>
      </c>
      <c r="Q489" s="7">
        <v>0.5131430816</v>
      </c>
      <c r="R489" s="7">
        <v>0</v>
      </c>
      <c r="S489" s="7">
        <v>0.35699999999999998</v>
      </c>
      <c r="T489" s="7">
        <v>0.10199999999999999</v>
      </c>
      <c r="U489" s="7">
        <v>-0.45900000000000002</v>
      </c>
      <c r="V489" s="7" t="s">
        <v>110</v>
      </c>
      <c r="W489" s="11">
        <v>45758.416666666664</v>
      </c>
    </row>
    <row r="490" spans="1:23">
      <c r="A490" t="s">
        <v>89</v>
      </c>
      <c r="B490">
        <v>12</v>
      </c>
      <c r="C490" s="10">
        <v>45758</v>
      </c>
      <c r="D490" s="11">
        <v>45758.458333333336</v>
      </c>
      <c r="E490" s="11">
        <v>45758.458333333336</v>
      </c>
      <c r="F490" t="s">
        <v>108</v>
      </c>
      <c r="G490" t="s">
        <v>107</v>
      </c>
      <c r="H490">
        <v>-1</v>
      </c>
      <c r="I490">
        <v>102</v>
      </c>
      <c r="J490" s="7">
        <v>519.93700000000001</v>
      </c>
      <c r="K490" s="7">
        <v>525.93634756949996</v>
      </c>
      <c r="L490" s="7">
        <v>517.80141060209996</v>
      </c>
      <c r="M490" s="7">
        <v>7.2584002999999996E-3</v>
      </c>
      <c r="N490" s="7">
        <v>519.98202372469996</v>
      </c>
      <c r="O490" s="7">
        <v>525.93634756949996</v>
      </c>
      <c r="P490" s="7">
        <v>517.80141060209996</v>
      </c>
      <c r="Q490" s="7">
        <v>0.5131430816</v>
      </c>
      <c r="R490" s="7">
        <v>-242.3826</v>
      </c>
      <c r="S490" s="7">
        <v>0.35699999999999998</v>
      </c>
      <c r="T490" s="7">
        <v>0.10199999999999999</v>
      </c>
      <c r="U490" s="7">
        <v>-242.8416</v>
      </c>
      <c r="V490" s="7" t="s">
        <v>88</v>
      </c>
      <c r="W490" s="11">
        <v>45758.4375</v>
      </c>
    </row>
    <row r="491" spans="1:23">
      <c r="A491" t="s">
        <v>89</v>
      </c>
      <c r="B491">
        <v>13</v>
      </c>
      <c r="C491" s="10">
        <v>45758</v>
      </c>
      <c r="D491" s="11">
        <v>45758.541666666664</v>
      </c>
      <c r="E491" s="11">
        <v>45758.541666666664</v>
      </c>
      <c r="F491" t="s">
        <v>106</v>
      </c>
      <c r="G491" t="s">
        <v>107</v>
      </c>
      <c r="H491">
        <v>1</v>
      </c>
      <c r="I491">
        <v>102</v>
      </c>
      <c r="J491" s="7">
        <v>528.78629999999998</v>
      </c>
      <c r="K491" s="7">
        <v>526.66127550019996</v>
      </c>
      <c r="L491" s="7">
        <v>517.07725890430004</v>
      </c>
      <c r="M491" s="7">
        <v>8.6467617E-3</v>
      </c>
      <c r="N491" s="7">
        <v>521.79019514319998</v>
      </c>
      <c r="O491" s="7">
        <v>526.66127550019996</v>
      </c>
      <c r="P491" s="7">
        <v>517.07725890430004</v>
      </c>
      <c r="Q491" s="7">
        <v>0.5131430816</v>
      </c>
      <c r="R491" s="7">
        <v>0</v>
      </c>
      <c r="S491" s="7">
        <v>0.35699999999999998</v>
      </c>
      <c r="T491" s="7">
        <v>0.10199999999999999</v>
      </c>
      <c r="U491" s="7">
        <v>-0.45900000000000002</v>
      </c>
      <c r="V491" s="7" t="s">
        <v>110</v>
      </c>
      <c r="W491" s="11">
        <v>45758.520833333336</v>
      </c>
    </row>
    <row r="492" spans="1:23">
      <c r="A492" t="s">
        <v>89</v>
      </c>
      <c r="B492">
        <v>13</v>
      </c>
      <c r="C492" s="10">
        <v>45758</v>
      </c>
      <c r="D492" s="11">
        <v>45758.5625</v>
      </c>
      <c r="E492" s="11">
        <v>45758.5625</v>
      </c>
      <c r="F492" t="s">
        <v>108</v>
      </c>
      <c r="G492" t="s">
        <v>109</v>
      </c>
      <c r="H492">
        <v>1</v>
      </c>
      <c r="I492">
        <v>102</v>
      </c>
      <c r="J492" s="7">
        <v>526.80269999999996</v>
      </c>
      <c r="K492" s="7">
        <v>529.79821633380004</v>
      </c>
      <c r="L492" s="7">
        <v>513.94367702060003</v>
      </c>
      <c r="M492" s="7">
        <v>1.4654542E-2</v>
      </c>
      <c r="N492" s="7">
        <v>522.20396479119995</v>
      </c>
      <c r="O492" s="7">
        <v>529.79821633380004</v>
      </c>
      <c r="P492" s="7">
        <v>513.94367702060003</v>
      </c>
      <c r="Q492" s="7">
        <v>0.5131430816</v>
      </c>
      <c r="R492" s="7">
        <v>-202.3272</v>
      </c>
      <c r="S492" s="7">
        <v>0.35699999999999998</v>
      </c>
      <c r="T492" s="7">
        <v>0.10199999999999999</v>
      </c>
      <c r="U492" s="7">
        <v>-202.78620000000001</v>
      </c>
      <c r="V492" s="7" t="s">
        <v>88</v>
      </c>
      <c r="W492" s="11">
        <v>45758.541666666664</v>
      </c>
    </row>
    <row r="493" spans="1:23">
      <c r="A493" t="s">
        <v>89</v>
      </c>
      <c r="B493">
        <v>14</v>
      </c>
      <c r="C493" s="10">
        <v>45758</v>
      </c>
      <c r="D493" s="11">
        <v>45758.583333333336</v>
      </c>
      <c r="E493" s="11">
        <v>45758.583333333336</v>
      </c>
      <c r="F493" t="s">
        <v>106</v>
      </c>
      <c r="G493" t="s">
        <v>107</v>
      </c>
      <c r="H493">
        <v>1</v>
      </c>
      <c r="I493">
        <v>102</v>
      </c>
      <c r="J493" s="7">
        <v>531.66970000000003</v>
      </c>
      <c r="K493" s="7">
        <v>529.75032881039999</v>
      </c>
      <c r="L493" s="7">
        <v>513.99151326740002</v>
      </c>
      <c r="M493" s="7">
        <v>1.4562829100000001E-2</v>
      </c>
      <c r="N493" s="7">
        <v>523.4489113221</v>
      </c>
      <c r="O493" s="7">
        <v>529.75032881039999</v>
      </c>
      <c r="P493" s="7">
        <v>513.99151326740002</v>
      </c>
      <c r="Q493" s="7">
        <v>0.5131430816</v>
      </c>
      <c r="R493" s="7">
        <v>0</v>
      </c>
      <c r="S493" s="7">
        <v>0.35699999999999998</v>
      </c>
      <c r="T493" s="7">
        <v>0.10199999999999999</v>
      </c>
      <c r="U493" s="7">
        <v>-0.45900000000000002</v>
      </c>
      <c r="V493" s="7" t="s">
        <v>110</v>
      </c>
      <c r="W493" s="11">
        <v>45758.5625</v>
      </c>
    </row>
    <row r="494" spans="1:23">
      <c r="A494" t="s">
        <v>89</v>
      </c>
      <c r="B494">
        <v>14</v>
      </c>
      <c r="C494" s="10">
        <v>45758</v>
      </c>
      <c r="D494" s="11">
        <v>45758.625</v>
      </c>
      <c r="E494" s="11">
        <v>45758.625</v>
      </c>
      <c r="F494" t="s">
        <v>108</v>
      </c>
      <c r="G494" t="s">
        <v>109</v>
      </c>
      <c r="H494">
        <v>1</v>
      </c>
      <c r="I494">
        <v>102</v>
      </c>
      <c r="J494" s="7">
        <v>529.13419999999996</v>
      </c>
      <c r="K494" s="7">
        <v>529.68387985089998</v>
      </c>
      <c r="L494" s="7">
        <v>514.05789107520002</v>
      </c>
      <c r="M494" s="7">
        <v>1.4435567999999999E-2</v>
      </c>
      <c r="N494" s="7">
        <v>524.24135086269996</v>
      </c>
      <c r="O494" s="7">
        <v>529.68387985089998</v>
      </c>
      <c r="P494" s="7">
        <v>514.05789107520002</v>
      </c>
      <c r="Q494" s="7">
        <v>0.5131430816</v>
      </c>
      <c r="R494" s="7">
        <v>-258.62099999999998</v>
      </c>
      <c r="S494" s="7">
        <v>0.35699999999999998</v>
      </c>
      <c r="T494" s="7">
        <v>0.10199999999999999</v>
      </c>
      <c r="U494" s="7">
        <v>-259.08</v>
      </c>
      <c r="V494" s="7" t="s">
        <v>88</v>
      </c>
      <c r="W494" s="11">
        <v>45758.604166666664</v>
      </c>
    </row>
    <row r="495" spans="1:23">
      <c r="A495" t="s">
        <v>89</v>
      </c>
      <c r="B495">
        <v>15</v>
      </c>
      <c r="C495" s="10">
        <v>45758</v>
      </c>
      <c r="D495" s="11">
        <v>45758.645833333336</v>
      </c>
      <c r="E495" s="11">
        <v>45758.645833333336</v>
      </c>
      <c r="F495" t="s">
        <v>106</v>
      </c>
      <c r="G495" t="s">
        <v>107</v>
      </c>
      <c r="H495">
        <v>1</v>
      </c>
      <c r="I495">
        <v>102</v>
      </c>
      <c r="J495" s="7">
        <v>531.44100000000003</v>
      </c>
      <c r="K495" s="7">
        <v>531.0477206393</v>
      </c>
      <c r="L495" s="7">
        <v>512.69551064990003</v>
      </c>
      <c r="M495" s="7">
        <v>1.7047557200000001E-2</v>
      </c>
      <c r="N495" s="7">
        <v>524.79000829309996</v>
      </c>
      <c r="O495" s="7">
        <v>531.0477206393</v>
      </c>
      <c r="P495" s="7">
        <v>512.69551064990003</v>
      </c>
      <c r="Q495" s="7">
        <v>0.5131430816</v>
      </c>
      <c r="R495" s="7">
        <v>0</v>
      </c>
      <c r="S495" s="7">
        <v>0.35699999999999998</v>
      </c>
      <c r="T495" s="7">
        <v>0.10199999999999999</v>
      </c>
      <c r="U495" s="7">
        <v>-0.45900000000000002</v>
      </c>
      <c r="V495" s="7" t="s">
        <v>110</v>
      </c>
      <c r="W495" s="11">
        <v>45758.625</v>
      </c>
    </row>
    <row r="496" spans="1:23">
      <c r="A496" t="s">
        <v>89</v>
      </c>
      <c r="B496">
        <v>15</v>
      </c>
      <c r="C496" s="10">
        <v>45758</v>
      </c>
      <c r="D496" s="11">
        <v>45758.666666666664</v>
      </c>
      <c r="E496" s="11">
        <v>45758.666666666664</v>
      </c>
      <c r="F496" t="s">
        <v>108</v>
      </c>
      <c r="G496" t="s">
        <v>109</v>
      </c>
      <c r="H496">
        <v>1</v>
      </c>
      <c r="I496">
        <v>102</v>
      </c>
      <c r="J496" s="7">
        <v>530.89419999999996</v>
      </c>
      <c r="K496" s="7">
        <v>532.7325785283</v>
      </c>
      <c r="L496" s="7">
        <v>511.01245686039999</v>
      </c>
      <c r="M496" s="7">
        <v>2.0274349399999999E-2</v>
      </c>
      <c r="N496" s="7">
        <v>525.91875868620002</v>
      </c>
      <c r="O496" s="7">
        <v>532.7325785283</v>
      </c>
      <c r="P496" s="7">
        <v>511.01245686039999</v>
      </c>
      <c r="Q496" s="7">
        <v>0.5131430816</v>
      </c>
      <c r="R496" s="7">
        <v>-55.773600000000002</v>
      </c>
      <c r="S496" s="7">
        <v>0.35699999999999998</v>
      </c>
      <c r="T496" s="7">
        <v>0.10199999999999999</v>
      </c>
      <c r="U496" s="7">
        <v>-56.232599999999998</v>
      </c>
      <c r="V496" s="7" t="s">
        <v>85</v>
      </c>
      <c r="W496" s="11">
        <v>45758.645833333336</v>
      </c>
    </row>
    <row r="497" spans="1:23">
      <c r="A497" t="s">
        <v>89</v>
      </c>
      <c r="B497">
        <v>16</v>
      </c>
      <c r="C497" s="10">
        <v>45768</v>
      </c>
      <c r="D497" s="11">
        <v>45768.479166666664</v>
      </c>
      <c r="E497" s="11">
        <v>45768.479166666664</v>
      </c>
      <c r="F497" t="s">
        <v>106</v>
      </c>
      <c r="G497" t="s">
        <v>109</v>
      </c>
      <c r="H497">
        <v>-1</v>
      </c>
      <c r="I497">
        <v>102</v>
      </c>
      <c r="J497" s="7">
        <v>510.14319999999998</v>
      </c>
      <c r="K497" s="7">
        <v>526.91823026530005</v>
      </c>
      <c r="L497" s="7">
        <v>510.98743451889999</v>
      </c>
      <c r="M497" s="7">
        <v>6.7086052000000004E-3</v>
      </c>
      <c r="N497" s="7">
        <v>512.440768693</v>
      </c>
      <c r="O497" s="7">
        <v>526.91823026530005</v>
      </c>
      <c r="P497" s="7">
        <v>510.98743451889999</v>
      </c>
      <c r="Q497" s="7">
        <v>0.51088405250000002</v>
      </c>
      <c r="R497" s="7">
        <v>0</v>
      </c>
      <c r="S497" s="7">
        <v>0.35699999999999998</v>
      </c>
      <c r="T497" s="7">
        <v>0.10199999999999999</v>
      </c>
      <c r="U497" s="7">
        <v>-0.45900000000000002</v>
      </c>
      <c r="V497" s="7" t="s">
        <v>110</v>
      </c>
      <c r="W497" s="11">
        <v>45768.458333333336</v>
      </c>
    </row>
    <row r="498" spans="1:23">
      <c r="A498" t="s">
        <v>89</v>
      </c>
      <c r="B498">
        <v>16</v>
      </c>
      <c r="C498" s="10">
        <v>45768</v>
      </c>
      <c r="D498" s="11">
        <v>45768.5625</v>
      </c>
      <c r="E498" s="11">
        <v>45768.5625</v>
      </c>
      <c r="F498" t="s">
        <v>108</v>
      </c>
      <c r="G498" t="s">
        <v>107</v>
      </c>
      <c r="H498">
        <v>-1</v>
      </c>
      <c r="I498">
        <v>102</v>
      </c>
      <c r="J498" s="7">
        <v>507.00130000000001</v>
      </c>
      <c r="K498" s="7">
        <v>531.11887113980004</v>
      </c>
      <c r="L498" s="7">
        <v>506.85876940089997</v>
      </c>
      <c r="M498" s="7">
        <v>1.47341794E-2</v>
      </c>
      <c r="N498" s="7">
        <v>510.30653389539998</v>
      </c>
      <c r="O498" s="7">
        <v>531.11887113980004</v>
      </c>
      <c r="P498" s="7">
        <v>506.85876940089997</v>
      </c>
      <c r="Q498" s="7">
        <v>0.51088405250000002</v>
      </c>
      <c r="R498" s="7">
        <v>320.47379999999998</v>
      </c>
      <c r="S498" s="7">
        <v>0.35699999999999998</v>
      </c>
      <c r="T498" s="7">
        <v>0.10199999999999999</v>
      </c>
      <c r="U498" s="7">
        <v>320.01479999999998</v>
      </c>
      <c r="V498" s="7" t="s">
        <v>88</v>
      </c>
      <c r="W498" s="11">
        <v>45768.541666666664</v>
      </c>
    </row>
    <row r="499" spans="1:23">
      <c r="A499" t="s">
        <v>89</v>
      </c>
      <c r="B499">
        <v>17</v>
      </c>
      <c r="C499" s="10">
        <v>45768</v>
      </c>
      <c r="D499" s="11">
        <v>45768.583333333336</v>
      </c>
      <c r="E499" s="11">
        <v>45768.583333333336</v>
      </c>
      <c r="F499" t="s">
        <v>106</v>
      </c>
      <c r="G499" t="s">
        <v>109</v>
      </c>
      <c r="H499">
        <v>-1</v>
      </c>
      <c r="I499">
        <v>102</v>
      </c>
      <c r="J499" s="7">
        <v>506.09350000000001</v>
      </c>
      <c r="K499" s="7">
        <v>531.52496738050002</v>
      </c>
      <c r="L499" s="7">
        <v>506.45963140420002</v>
      </c>
      <c r="M499" s="7">
        <v>1.5510050399999999E-2</v>
      </c>
      <c r="N499" s="7">
        <v>510.01118954639998</v>
      </c>
      <c r="O499" s="7">
        <v>531.52496738050002</v>
      </c>
      <c r="P499" s="7">
        <v>506.45963140420002</v>
      </c>
      <c r="Q499" s="7">
        <v>0.51088405250000002</v>
      </c>
      <c r="R499" s="7">
        <v>0</v>
      </c>
      <c r="S499" s="7">
        <v>0.35699999999999998</v>
      </c>
      <c r="T499" s="7">
        <v>0.10199999999999999</v>
      </c>
      <c r="U499" s="7">
        <v>-0.45900000000000002</v>
      </c>
      <c r="V499" s="7" t="s">
        <v>110</v>
      </c>
      <c r="W499" s="11">
        <v>45768.5625</v>
      </c>
    </row>
    <row r="500" spans="1:23">
      <c r="A500" t="s">
        <v>89</v>
      </c>
      <c r="B500">
        <v>17</v>
      </c>
      <c r="C500" s="10">
        <v>45768</v>
      </c>
      <c r="D500" s="11">
        <v>45768.604166666664</v>
      </c>
      <c r="E500" s="11">
        <v>45768.604166666664</v>
      </c>
      <c r="F500" t="s">
        <v>108</v>
      </c>
      <c r="G500" t="s">
        <v>107</v>
      </c>
      <c r="H500">
        <v>-1</v>
      </c>
      <c r="I500">
        <v>102</v>
      </c>
      <c r="J500" s="7">
        <v>507.03100000000001</v>
      </c>
      <c r="K500" s="7">
        <v>531.64248327140001</v>
      </c>
      <c r="L500" s="7">
        <v>506.34412908590002</v>
      </c>
      <c r="M500" s="7">
        <v>1.5734571499999999E-2</v>
      </c>
      <c r="N500" s="7">
        <v>509.74257229969999</v>
      </c>
      <c r="O500" s="7">
        <v>531.64248327140001</v>
      </c>
      <c r="P500" s="7">
        <v>506.34412908590002</v>
      </c>
      <c r="Q500" s="7">
        <v>0.51088405250000002</v>
      </c>
      <c r="R500" s="7">
        <v>-95.625</v>
      </c>
      <c r="S500" s="7">
        <v>0.35699999999999998</v>
      </c>
      <c r="T500" s="7">
        <v>0.10199999999999999</v>
      </c>
      <c r="U500" s="7">
        <v>-96.084000000000003</v>
      </c>
      <c r="V500" s="7" t="s">
        <v>88</v>
      </c>
      <c r="W500" s="11">
        <v>45768.583333333336</v>
      </c>
    </row>
    <row r="501" spans="1:23">
      <c r="A501" t="s">
        <v>89</v>
      </c>
      <c r="B501">
        <v>18</v>
      </c>
      <c r="C501" s="10">
        <v>45768</v>
      </c>
      <c r="D501" s="11">
        <v>45768.625</v>
      </c>
      <c r="E501" s="11">
        <v>45768.625</v>
      </c>
      <c r="F501" t="s">
        <v>106</v>
      </c>
      <c r="G501" t="s">
        <v>109</v>
      </c>
      <c r="H501">
        <v>-1</v>
      </c>
      <c r="I501">
        <v>102</v>
      </c>
      <c r="J501" s="7">
        <v>505.86770000000001</v>
      </c>
      <c r="K501" s="7">
        <v>531.14059498170002</v>
      </c>
      <c r="L501" s="7">
        <v>506.83741778550001</v>
      </c>
      <c r="M501" s="7">
        <v>1.4775684000000001E-2</v>
      </c>
      <c r="N501" s="7">
        <v>509.4192125335</v>
      </c>
      <c r="O501" s="7">
        <v>531.14059498170002</v>
      </c>
      <c r="P501" s="7">
        <v>506.83741778550001</v>
      </c>
      <c r="Q501" s="7">
        <v>0.51088405250000002</v>
      </c>
      <c r="R501" s="7">
        <v>0</v>
      </c>
      <c r="S501" s="7">
        <v>0.35699999999999998</v>
      </c>
      <c r="T501" s="7">
        <v>0.10199999999999999</v>
      </c>
      <c r="U501" s="7">
        <v>-0.45900000000000002</v>
      </c>
      <c r="V501" s="7" t="s">
        <v>110</v>
      </c>
      <c r="W501" s="11">
        <v>45768.604166666664</v>
      </c>
    </row>
    <row r="502" spans="1:23">
      <c r="A502" t="s">
        <v>89</v>
      </c>
      <c r="B502">
        <v>18</v>
      </c>
      <c r="C502" s="10">
        <v>45768</v>
      </c>
      <c r="D502" s="11">
        <v>45768.645833333336</v>
      </c>
      <c r="E502" s="11">
        <v>45768.645833333336</v>
      </c>
      <c r="F502" t="s">
        <v>108</v>
      </c>
      <c r="G502" t="s">
        <v>107</v>
      </c>
      <c r="H502">
        <v>-1</v>
      </c>
      <c r="I502">
        <v>102</v>
      </c>
      <c r="J502" s="7">
        <v>507.50830000000002</v>
      </c>
      <c r="K502" s="7">
        <v>532.89990248590004</v>
      </c>
      <c r="L502" s="7">
        <v>505.1082550836</v>
      </c>
      <c r="M502" s="7">
        <v>1.8136945599999999E-2</v>
      </c>
      <c r="N502" s="7">
        <v>509.23221881630002</v>
      </c>
      <c r="O502" s="7">
        <v>532.89990248590004</v>
      </c>
      <c r="P502" s="7">
        <v>505.1082550836</v>
      </c>
      <c r="Q502" s="7">
        <v>0.51088405250000002</v>
      </c>
      <c r="R502" s="7">
        <v>-167.34119999999999</v>
      </c>
      <c r="S502" s="7">
        <v>0.35699999999999998</v>
      </c>
      <c r="T502" s="7">
        <v>0.10199999999999999</v>
      </c>
      <c r="U502" s="7">
        <v>-167.80019999999999</v>
      </c>
      <c r="V502" s="7" t="s">
        <v>88</v>
      </c>
      <c r="W502" s="11">
        <v>45768.625</v>
      </c>
    </row>
    <row r="503" spans="1:23">
      <c r="A503" t="s">
        <v>89</v>
      </c>
      <c r="B503">
        <v>19</v>
      </c>
      <c r="C503" s="10">
        <v>45769</v>
      </c>
      <c r="D503" s="11">
        <v>45769.5</v>
      </c>
      <c r="E503" s="11">
        <v>45769.5</v>
      </c>
      <c r="F503" t="s">
        <v>106</v>
      </c>
      <c r="G503" t="s">
        <v>107</v>
      </c>
      <c r="H503">
        <v>1</v>
      </c>
      <c r="I503">
        <v>101</v>
      </c>
      <c r="J503" s="7">
        <v>523.20830000000001</v>
      </c>
      <c r="K503" s="7">
        <v>523.1512204572</v>
      </c>
      <c r="L503" s="7">
        <v>506.80471170070001</v>
      </c>
      <c r="M503" s="7">
        <v>8.1097979999999997E-3</v>
      </c>
      <c r="N503" s="7">
        <v>521.04227744139996</v>
      </c>
      <c r="O503" s="7">
        <v>523.1512204572</v>
      </c>
      <c r="P503" s="7">
        <v>506.80471170070001</v>
      </c>
      <c r="Q503" s="7">
        <v>0.50755698589999998</v>
      </c>
      <c r="R503" s="7">
        <v>0</v>
      </c>
      <c r="S503" s="7">
        <v>0.35349999999999998</v>
      </c>
      <c r="T503" s="7">
        <v>0.10100000000000001</v>
      </c>
      <c r="U503" s="7">
        <v>-0.45450000000000002</v>
      </c>
      <c r="V503" s="7" t="s">
        <v>110</v>
      </c>
      <c r="W503" s="11">
        <v>45769.479166666664</v>
      </c>
    </row>
    <row r="504" spans="1:23">
      <c r="A504" t="s">
        <v>89</v>
      </c>
      <c r="B504">
        <v>19</v>
      </c>
      <c r="C504" s="10">
        <v>45769</v>
      </c>
      <c r="D504" s="11">
        <v>45769.5625</v>
      </c>
      <c r="E504" s="11">
        <v>45769.5625</v>
      </c>
      <c r="F504" t="s">
        <v>108</v>
      </c>
      <c r="G504" t="s">
        <v>109</v>
      </c>
      <c r="H504">
        <v>1</v>
      </c>
      <c r="I504">
        <v>101</v>
      </c>
      <c r="J504" s="7">
        <v>519.60389999999995</v>
      </c>
      <c r="K504" s="7">
        <v>526.85952727150004</v>
      </c>
      <c r="L504" s="7">
        <v>503.15353126510001</v>
      </c>
      <c r="M504" s="7">
        <v>1.52556867E-2</v>
      </c>
      <c r="N504" s="7">
        <v>521.90915189069995</v>
      </c>
      <c r="O504" s="7">
        <v>526.85952727150004</v>
      </c>
      <c r="P504" s="7">
        <v>503.15353126510001</v>
      </c>
      <c r="Q504" s="7">
        <v>0.50755698589999998</v>
      </c>
      <c r="R504" s="7">
        <v>-364.0444</v>
      </c>
      <c r="S504" s="7">
        <v>0.35349999999999998</v>
      </c>
      <c r="T504" s="7">
        <v>0.10100000000000001</v>
      </c>
      <c r="U504" s="7">
        <v>-364.49889999999999</v>
      </c>
      <c r="V504" s="7" t="s">
        <v>88</v>
      </c>
      <c r="W504" s="11">
        <v>45769.541666666664</v>
      </c>
    </row>
    <row r="505" spans="1:23">
      <c r="A505" t="s">
        <v>89</v>
      </c>
      <c r="B505">
        <v>20</v>
      </c>
      <c r="C505" s="10">
        <v>45771</v>
      </c>
      <c r="D505" s="11">
        <v>45771.4375</v>
      </c>
      <c r="E505" s="11">
        <v>45771.4375</v>
      </c>
      <c r="F505" t="s">
        <v>106</v>
      </c>
      <c r="G505" t="s">
        <v>107</v>
      </c>
      <c r="H505">
        <v>1</v>
      </c>
      <c r="I505">
        <v>95</v>
      </c>
      <c r="J505" s="7">
        <v>539.03880000000004</v>
      </c>
      <c r="K505" s="7">
        <v>538.61639015239996</v>
      </c>
      <c r="L505" s="7">
        <v>530.16697618410001</v>
      </c>
      <c r="M505" s="7">
        <v>4.1297262999999999E-3</v>
      </c>
      <c r="N505" s="7">
        <v>537.73591460240004</v>
      </c>
      <c r="O505" s="7">
        <v>538.61639015239996</v>
      </c>
      <c r="P505" s="7">
        <v>530.16697618410001</v>
      </c>
      <c r="Q505" s="7">
        <v>0.49380553589999998</v>
      </c>
      <c r="R505" s="7">
        <v>0</v>
      </c>
      <c r="S505" s="7">
        <v>0.33250000000000002</v>
      </c>
      <c r="T505" s="7">
        <v>9.5000000000000001E-2</v>
      </c>
      <c r="U505" s="7">
        <v>-0.42749999999999999</v>
      </c>
      <c r="V505" s="7" t="s">
        <v>110</v>
      </c>
      <c r="W505" s="11">
        <v>45771.416666666664</v>
      </c>
    </row>
    <row r="506" spans="1:23">
      <c r="A506" t="s">
        <v>89</v>
      </c>
      <c r="B506">
        <v>20</v>
      </c>
      <c r="C506" s="10">
        <v>45771</v>
      </c>
      <c r="D506" s="11">
        <v>45771.458333333336</v>
      </c>
      <c r="E506" s="11">
        <v>45771.458333333336</v>
      </c>
      <c r="F506" t="s">
        <v>108</v>
      </c>
      <c r="G506" t="s">
        <v>109</v>
      </c>
      <c r="H506">
        <v>1</v>
      </c>
      <c r="I506">
        <v>95</v>
      </c>
      <c r="J506" s="7">
        <v>539.3954</v>
      </c>
      <c r="K506" s="7">
        <v>540.46280450560005</v>
      </c>
      <c r="L506" s="7">
        <v>528.33445362379996</v>
      </c>
      <c r="M506" s="7">
        <v>7.5719526999999997E-3</v>
      </c>
      <c r="N506" s="7">
        <v>538.29364669630002</v>
      </c>
      <c r="O506" s="7">
        <v>540.46280450560005</v>
      </c>
      <c r="P506" s="7">
        <v>528.33445362379996</v>
      </c>
      <c r="Q506" s="7">
        <v>0.49380553589999998</v>
      </c>
      <c r="R506" s="7">
        <v>33.877000000000002</v>
      </c>
      <c r="S506" s="7">
        <v>0.33250000000000002</v>
      </c>
      <c r="T506" s="7">
        <v>9.5000000000000001E-2</v>
      </c>
      <c r="U506" s="7">
        <v>33.4495</v>
      </c>
      <c r="V506" s="7" t="s">
        <v>88</v>
      </c>
      <c r="W506" s="11">
        <v>45771.4375</v>
      </c>
    </row>
    <row r="507" spans="1:23">
      <c r="A507" t="s">
        <v>89</v>
      </c>
      <c r="B507">
        <v>21</v>
      </c>
      <c r="C507" s="10">
        <v>45771</v>
      </c>
      <c r="D507" s="11">
        <v>45771.541666666664</v>
      </c>
      <c r="E507" s="11">
        <v>45771.541666666664</v>
      </c>
      <c r="F507" t="s">
        <v>106</v>
      </c>
      <c r="G507" t="s">
        <v>107</v>
      </c>
      <c r="H507">
        <v>1</v>
      </c>
      <c r="I507">
        <v>95</v>
      </c>
      <c r="J507" s="7">
        <v>542.33849999999995</v>
      </c>
      <c r="K507" s="7">
        <v>541.68679723729997</v>
      </c>
      <c r="L507" s="7">
        <v>527.11966979670001</v>
      </c>
      <c r="M507" s="7">
        <v>9.8538132000000004E-3</v>
      </c>
      <c r="N507" s="7">
        <v>539.35782140900005</v>
      </c>
      <c r="O507" s="7">
        <v>541.68679723729997</v>
      </c>
      <c r="P507" s="7">
        <v>527.11966979670001</v>
      </c>
      <c r="Q507" s="7">
        <v>0.49380553589999998</v>
      </c>
      <c r="R507" s="7">
        <v>0</v>
      </c>
      <c r="S507" s="7">
        <v>0.33250000000000002</v>
      </c>
      <c r="T507" s="7">
        <v>9.5000000000000001E-2</v>
      </c>
      <c r="U507" s="7">
        <v>-0.42749999999999999</v>
      </c>
      <c r="V507" s="7" t="s">
        <v>110</v>
      </c>
      <c r="W507" s="11">
        <v>45771.520833333336</v>
      </c>
    </row>
    <row r="508" spans="1:23">
      <c r="A508" t="s">
        <v>89</v>
      </c>
      <c r="B508">
        <v>21</v>
      </c>
      <c r="C508" s="10">
        <v>45771</v>
      </c>
      <c r="D508" s="11">
        <v>45771.5625</v>
      </c>
      <c r="E508" s="11">
        <v>45771.5625</v>
      </c>
      <c r="F508" t="s">
        <v>108</v>
      </c>
      <c r="G508" t="s">
        <v>109</v>
      </c>
      <c r="H508">
        <v>1</v>
      </c>
      <c r="I508">
        <v>95</v>
      </c>
      <c r="J508" s="7">
        <v>541.86320000000001</v>
      </c>
      <c r="K508" s="7">
        <v>544.37431103419999</v>
      </c>
      <c r="L508" s="7">
        <v>524.45237593859997</v>
      </c>
      <c r="M508" s="7">
        <v>1.48640813E-2</v>
      </c>
      <c r="N508" s="7">
        <v>539.55160931240005</v>
      </c>
      <c r="O508" s="7">
        <v>544.37431103419999</v>
      </c>
      <c r="P508" s="7">
        <v>524.45237593859997</v>
      </c>
      <c r="Q508" s="7">
        <v>0.49380553589999998</v>
      </c>
      <c r="R508" s="7">
        <v>-45.153500000000001</v>
      </c>
      <c r="S508" s="7">
        <v>0.33250000000000002</v>
      </c>
      <c r="T508" s="7">
        <v>9.5000000000000001E-2</v>
      </c>
      <c r="U508" s="7">
        <v>-45.581000000000003</v>
      </c>
      <c r="V508" s="7" t="s">
        <v>88</v>
      </c>
      <c r="W508" s="11">
        <v>45771.541666666664</v>
      </c>
    </row>
    <row r="509" spans="1:23">
      <c r="A509" t="s">
        <v>89</v>
      </c>
      <c r="B509">
        <v>22</v>
      </c>
      <c r="C509" s="10">
        <v>45778</v>
      </c>
      <c r="D509" s="11">
        <v>45778.458333333336</v>
      </c>
      <c r="E509" s="11">
        <v>45778.458333333336</v>
      </c>
      <c r="F509" t="s">
        <v>106</v>
      </c>
      <c r="G509" t="s">
        <v>107</v>
      </c>
      <c r="H509">
        <v>1</v>
      </c>
      <c r="I509">
        <v>191</v>
      </c>
      <c r="J509" s="7">
        <v>560.17610000000002</v>
      </c>
      <c r="K509" s="7">
        <v>559.723150949</v>
      </c>
      <c r="L509" s="7">
        <v>548.97175107019996</v>
      </c>
      <c r="M509" s="7">
        <v>4.3611748999999997E-3</v>
      </c>
      <c r="N509" s="7">
        <v>558.46022632589995</v>
      </c>
      <c r="O509" s="7">
        <v>559.723150949</v>
      </c>
      <c r="P509" s="7">
        <v>548.97175107019996</v>
      </c>
      <c r="Q509" s="7">
        <v>1.0362024146</v>
      </c>
      <c r="R509" s="7">
        <v>0</v>
      </c>
      <c r="S509" s="7">
        <v>0.66849999999999998</v>
      </c>
      <c r="T509" s="7">
        <v>0.191</v>
      </c>
      <c r="U509" s="7">
        <v>-0.85950000000000004</v>
      </c>
      <c r="V509" s="7" t="s">
        <v>110</v>
      </c>
      <c r="W509" s="11">
        <v>45778.4375</v>
      </c>
    </row>
    <row r="510" spans="1:23">
      <c r="A510" t="s">
        <v>89</v>
      </c>
      <c r="B510">
        <v>22</v>
      </c>
      <c r="C510" s="10">
        <v>45778</v>
      </c>
      <c r="D510" s="11">
        <v>45778.479166666664</v>
      </c>
      <c r="E510" s="11">
        <v>45778.479166666664</v>
      </c>
      <c r="F510" t="s">
        <v>108</v>
      </c>
      <c r="G510" t="s">
        <v>109</v>
      </c>
      <c r="H510">
        <v>1</v>
      </c>
      <c r="I510">
        <v>191</v>
      </c>
      <c r="J510" s="7">
        <v>560.15620000000001</v>
      </c>
      <c r="K510" s="7">
        <v>560.73438651460003</v>
      </c>
      <c r="L510" s="7">
        <v>547.97125092780004</v>
      </c>
      <c r="M510" s="7">
        <v>6.1757251000000004E-3</v>
      </c>
      <c r="N510" s="7">
        <v>558.76951850880005</v>
      </c>
      <c r="O510" s="7">
        <v>560.73438651460003</v>
      </c>
      <c r="P510" s="7">
        <v>547.97125092780004</v>
      </c>
      <c r="Q510" s="7">
        <v>1.0362024146</v>
      </c>
      <c r="R510" s="7">
        <v>-3.8008999999999999</v>
      </c>
      <c r="S510" s="7">
        <v>0.66849999999999998</v>
      </c>
      <c r="T510" s="7">
        <v>0.191</v>
      </c>
      <c r="U510" s="7">
        <v>-4.6604000000000001</v>
      </c>
      <c r="V510" s="7" t="s">
        <v>88</v>
      </c>
      <c r="W510" s="11">
        <v>45778.458333333336</v>
      </c>
    </row>
    <row r="511" spans="1:23">
      <c r="A511" t="s">
        <v>89</v>
      </c>
      <c r="B511">
        <v>23</v>
      </c>
      <c r="C511" s="10">
        <v>45779</v>
      </c>
      <c r="D511" s="11">
        <v>45779.4375</v>
      </c>
      <c r="E511" s="11">
        <v>45779.4375</v>
      </c>
      <c r="F511" t="s">
        <v>106</v>
      </c>
      <c r="G511" t="s">
        <v>107</v>
      </c>
      <c r="H511">
        <v>1</v>
      </c>
      <c r="I511">
        <v>256</v>
      </c>
      <c r="J511" s="7">
        <v>563.06209999999999</v>
      </c>
      <c r="K511" s="7">
        <v>562.37263327070002</v>
      </c>
      <c r="L511" s="7">
        <v>553.19570140969995</v>
      </c>
      <c r="M511" s="7">
        <v>3.7607756999999999E-3</v>
      </c>
      <c r="N511" s="7">
        <v>561.287103763</v>
      </c>
      <c r="O511" s="7">
        <v>562.37263327070002</v>
      </c>
      <c r="P511" s="7">
        <v>553.19570140969995</v>
      </c>
      <c r="Q511" s="7">
        <v>1.3898079936000001</v>
      </c>
      <c r="R511" s="7">
        <v>0</v>
      </c>
      <c r="S511" s="7">
        <v>0.89600000000000002</v>
      </c>
      <c r="T511" s="7">
        <v>0.25600000000000001</v>
      </c>
      <c r="U511" s="7">
        <v>-1.1519999999999999</v>
      </c>
      <c r="V511" s="7" t="s">
        <v>110</v>
      </c>
      <c r="W511" s="11">
        <v>45779.416666666664</v>
      </c>
    </row>
    <row r="512" spans="1:23">
      <c r="A512" t="s">
        <v>89</v>
      </c>
      <c r="B512">
        <v>23</v>
      </c>
      <c r="C512" s="10">
        <v>45779</v>
      </c>
      <c r="D512" s="11">
        <v>45779.458333333336</v>
      </c>
      <c r="E512" s="11">
        <v>45779.458333333336</v>
      </c>
      <c r="F512" t="s">
        <v>108</v>
      </c>
      <c r="G512" t="s">
        <v>109</v>
      </c>
      <c r="H512">
        <v>1</v>
      </c>
      <c r="I512">
        <v>256</v>
      </c>
      <c r="J512" s="7">
        <v>562.53269999999998</v>
      </c>
      <c r="K512" s="7">
        <v>562.72513429829996</v>
      </c>
      <c r="L512" s="7">
        <v>552.84633464390004</v>
      </c>
      <c r="M512" s="7">
        <v>4.3899433999999996E-3</v>
      </c>
      <c r="N512" s="7">
        <v>561.56361863660004</v>
      </c>
      <c r="O512" s="7">
        <v>562.72513429829996</v>
      </c>
      <c r="P512" s="7">
        <v>552.84633464390004</v>
      </c>
      <c r="Q512" s="7">
        <v>1.3898079936000001</v>
      </c>
      <c r="R512" s="7">
        <v>-135.5264</v>
      </c>
      <c r="S512" s="7">
        <v>0.89600000000000002</v>
      </c>
      <c r="T512" s="7">
        <v>0.25600000000000001</v>
      </c>
      <c r="U512" s="7">
        <v>-136.67840000000001</v>
      </c>
      <c r="V512" s="7" t="s">
        <v>88</v>
      </c>
      <c r="W512" s="11">
        <v>45779.4375</v>
      </c>
    </row>
    <row r="513" spans="1:23">
      <c r="A513" t="s">
        <v>89</v>
      </c>
      <c r="B513">
        <v>24</v>
      </c>
      <c r="C513" s="10">
        <v>45785</v>
      </c>
      <c r="D513" s="11">
        <v>45785.5</v>
      </c>
      <c r="E513" s="11">
        <v>45785.5</v>
      </c>
      <c r="F513" t="s">
        <v>106</v>
      </c>
      <c r="G513" t="s">
        <v>107</v>
      </c>
      <c r="H513">
        <v>1</v>
      </c>
      <c r="I513">
        <v>289</v>
      </c>
      <c r="J513" s="7">
        <v>565.1277</v>
      </c>
      <c r="K513" s="7">
        <v>564.1482895373</v>
      </c>
      <c r="L513" s="7">
        <v>554.66977419809996</v>
      </c>
      <c r="M513" s="7">
        <v>5.8767513999999996E-3</v>
      </c>
      <c r="N513" s="7">
        <v>562.30683878089997</v>
      </c>
      <c r="O513" s="7">
        <v>564.1482895373</v>
      </c>
      <c r="P513" s="7">
        <v>554.66977419809996</v>
      </c>
      <c r="Q513" s="7">
        <v>1.5752055863000001</v>
      </c>
      <c r="R513" s="7">
        <v>0</v>
      </c>
      <c r="S513" s="7">
        <v>1.0115000000000001</v>
      </c>
      <c r="T513" s="7">
        <v>0.28899999999999998</v>
      </c>
      <c r="U513" s="7">
        <v>-1.3005</v>
      </c>
      <c r="V513" s="7" t="s">
        <v>110</v>
      </c>
      <c r="W513" s="11">
        <v>45785.479166666664</v>
      </c>
    </row>
    <row r="514" spans="1:23">
      <c r="A514" t="s">
        <v>89</v>
      </c>
      <c r="B514">
        <v>24</v>
      </c>
      <c r="C514" s="10">
        <v>45785</v>
      </c>
      <c r="D514" s="11">
        <v>45785.604166666664</v>
      </c>
      <c r="E514" s="11">
        <v>45785.604166666664</v>
      </c>
      <c r="F514" t="s">
        <v>108</v>
      </c>
      <c r="G514" t="s">
        <v>109</v>
      </c>
      <c r="H514">
        <v>1</v>
      </c>
      <c r="I514">
        <v>289</v>
      </c>
      <c r="J514" s="7">
        <v>564.78970000000004</v>
      </c>
      <c r="K514" s="7">
        <v>565.21287672369999</v>
      </c>
      <c r="L514" s="7">
        <v>553.6106985079</v>
      </c>
      <c r="M514" s="7">
        <v>7.7749109999999998E-3</v>
      </c>
      <c r="N514" s="7">
        <v>563.27469378939998</v>
      </c>
      <c r="O514" s="7">
        <v>565.21287672369999</v>
      </c>
      <c r="P514" s="7">
        <v>553.6106985079</v>
      </c>
      <c r="Q514" s="7">
        <v>1.5752055863000001</v>
      </c>
      <c r="R514" s="7">
        <v>-97.682000000000002</v>
      </c>
      <c r="S514" s="7">
        <v>1.0115000000000001</v>
      </c>
      <c r="T514" s="7">
        <v>0.28899999999999998</v>
      </c>
      <c r="U514" s="7">
        <v>-98.982500000000002</v>
      </c>
      <c r="V514" s="7" t="s">
        <v>88</v>
      </c>
      <c r="W514" s="11">
        <v>45785.583333333336</v>
      </c>
    </row>
    <row r="515" spans="1:23">
      <c r="A515" t="s">
        <v>89</v>
      </c>
      <c r="B515">
        <v>25</v>
      </c>
      <c r="C515" s="10">
        <v>45785</v>
      </c>
      <c r="D515" s="11">
        <v>45785.625</v>
      </c>
      <c r="E515" s="11">
        <v>45785.625</v>
      </c>
      <c r="F515" t="s">
        <v>106</v>
      </c>
      <c r="G515" t="s">
        <v>107</v>
      </c>
      <c r="H515">
        <v>1</v>
      </c>
      <c r="I515">
        <v>289</v>
      </c>
      <c r="J515" s="7">
        <v>565.06809999999996</v>
      </c>
      <c r="K515" s="7">
        <v>565.04375454420006</v>
      </c>
      <c r="L515" s="7">
        <v>553.77894512140006</v>
      </c>
      <c r="M515" s="7">
        <v>7.4733661E-3</v>
      </c>
      <c r="N515" s="7">
        <v>563.36726124059999</v>
      </c>
      <c r="O515" s="7">
        <v>565.04375454420006</v>
      </c>
      <c r="P515" s="7">
        <v>553.77894512140006</v>
      </c>
      <c r="Q515" s="7">
        <v>1.5752055863000001</v>
      </c>
      <c r="R515" s="7">
        <v>0</v>
      </c>
      <c r="S515" s="7">
        <v>1.0115000000000001</v>
      </c>
      <c r="T515" s="7">
        <v>0.28899999999999998</v>
      </c>
      <c r="U515" s="7">
        <v>-1.3005</v>
      </c>
      <c r="V515" s="7" t="s">
        <v>110</v>
      </c>
      <c r="W515" s="11">
        <v>45785.604166666664</v>
      </c>
    </row>
    <row r="516" spans="1:23">
      <c r="A516" t="s">
        <v>89</v>
      </c>
      <c r="B516">
        <v>25</v>
      </c>
      <c r="C516" s="10">
        <v>45785</v>
      </c>
      <c r="D516" s="11">
        <v>45785.666666666664</v>
      </c>
      <c r="E516" s="11">
        <v>45785.666666666664</v>
      </c>
      <c r="F516" t="s">
        <v>108</v>
      </c>
      <c r="G516" t="s">
        <v>109</v>
      </c>
      <c r="H516">
        <v>1</v>
      </c>
      <c r="I516">
        <v>289</v>
      </c>
      <c r="J516" s="7">
        <v>561.83659999999998</v>
      </c>
      <c r="K516" s="7">
        <v>565.02603455899998</v>
      </c>
      <c r="L516" s="7">
        <v>553.79657336820003</v>
      </c>
      <c r="M516" s="7">
        <v>7.4417713000000003E-3</v>
      </c>
      <c r="N516" s="7">
        <v>563.27859073269997</v>
      </c>
      <c r="O516" s="7">
        <v>565.02603455899998</v>
      </c>
      <c r="P516" s="7">
        <v>553.79657336820003</v>
      </c>
      <c r="Q516" s="7">
        <v>1.5752055863000001</v>
      </c>
      <c r="R516" s="7">
        <v>-933.90350000000001</v>
      </c>
      <c r="S516" s="7">
        <v>1.0115000000000001</v>
      </c>
      <c r="T516" s="7">
        <v>0.28899999999999998</v>
      </c>
      <c r="U516" s="7">
        <v>-935.20399999999995</v>
      </c>
      <c r="V516" s="7" t="s">
        <v>85</v>
      </c>
      <c r="W516" s="11">
        <v>45785.645833333336</v>
      </c>
    </row>
    <row r="517" spans="1:23">
      <c r="A517" t="s">
        <v>89</v>
      </c>
      <c r="B517">
        <v>26</v>
      </c>
      <c r="C517" s="10">
        <v>45793</v>
      </c>
      <c r="D517" s="11">
        <v>45793.645833333336</v>
      </c>
      <c r="E517" s="11">
        <v>45793.645833333336</v>
      </c>
      <c r="F517" t="s">
        <v>106</v>
      </c>
      <c r="G517" t="s">
        <v>107</v>
      </c>
      <c r="H517">
        <v>1</v>
      </c>
      <c r="I517">
        <v>349</v>
      </c>
      <c r="J517" s="7">
        <v>590.40269999999998</v>
      </c>
      <c r="K517" s="7">
        <v>590.37734522740004</v>
      </c>
      <c r="L517" s="7">
        <v>583.97585323390001</v>
      </c>
      <c r="M517" s="7">
        <v>5.3069184999999996E-3</v>
      </c>
      <c r="N517" s="7">
        <v>588.54969016519999</v>
      </c>
      <c r="O517" s="7">
        <v>590.37734522740004</v>
      </c>
      <c r="P517" s="7">
        <v>583.97585323390001</v>
      </c>
      <c r="Q517" s="7">
        <v>2.0107914408999998</v>
      </c>
      <c r="R517" s="7">
        <v>0</v>
      </c>
      <c r="S517" s="7">
        <v>1.2215</v>
      </c>
      <c r="T517" s="7">
        <v>0.34899999999999998</v>
      </c>
      <c r="U517" s="7">
        <v>-1.5705</v>
      </c>
      <c r="V517" s="7" t="s">
        <v>110</v>
      </c>
      <c r="W517" s="11">
        <v>45793.625</v>
      </c>
    </row>
    <row r="518" spans="1:23">
      <c r="A518" t="s">
        <v>89</v>
      </c>
      <c r="B518">
        <v>26</v>
      </c>
      <c r="C518" s="10">
        <v>45793</v>
      </c>
      <c r="D518" s="11">
        <v>45793.666666666664</v>
      </c>
      <c r="E518" s="11">
        <v>45793.666666666664</v>
      </c>
      <c r="F518" t="s">
        <v>108</v>
      </c>
      <c r="G518" t="s">
        <v>109</v>
      </c>
      <c r="H518">
        <v>1</v>
      </c>
      <c r="I518">
        <v>349</v>
      </c>
      <c r="J518" s="7">
        <v>590.81039999999996</v>
      </c>
      <c r="K518" s="7">
        <v>590.09954132749999</v>
      </c>
      <c r="L518" s="7">
        <v>584.25357704639998</v>
      </c>
      <c r="M518" s="7">
        <v>4.8338681999999999E-3</v>
      </c>
      <c r="N518" s="7">
        <v>589.08443369739996</v>
      </c>
      <c r="O518" s="7">
        <v>590.09954132749999</v>
      </c>
      <c r="P518" s="7">
        <v>584.25357704639998</v>
      </c>
      <c r="Q518" s="7">
        <v>2.0107914408999998</v>
      </c>
      <c r="R518" s="7">
        <v>142.28729999999999</v>
      </c>
      <c r="S518" s="7">
        <v>1.2215</v>
      </c>
      <c r="T518" s="7">
        <v>0.34899999999999998</v>
      </c>
      <c r="U518" s="7">
        <v>140.71680000000001</v>
      </c>
      <c r="V518" s="7" t="s">
        <v>85</v>
      </c>
      <c r="W518" s="11">
        <v>45793.645833333336</v>
      </c>
    </row>
    <row r="519" spans="1:23">
      <c r="A519" t="s">
        <v>89</v>
      </c>
      <c r="B519">
        <v>27</v>
      </c>
      <c r="C519" s="10">
        <v>45798</v>
      </c>
      <c r="D519" s="11">
        <v>45798.5625</v>
      </c>
      <c r="E519" s="11">
        <v>45798.5625</v>
      </c>
      <c r="F519" t="s">
        <v>106</v>
      </c>
      <c r="G519" t="s">
        <v>109</v>
      </c>
      <c r="H519">
        <v>-1</v>
      </c>
      <c r="I519">
        <v>344</v>
      </c>
      <c r="J519" s="7">
        <v>581.13589999999999</v>
      </c>
      <c r="K519" s="7">
        <v>591.94661845300004</v>
      </c>
      <c r="L519" s="7">
        <v>584.15763849309997</v>
      </c>
      <c r="M519" s="7">
        <v>4.2050100999999999E-3</v>
      </c>
      <c r="N519" s="7">
        <v>585.73321335289995</v>
      </c>
      <c r="O519" s="7">
        <v>591.94661845300004</v>
      </c>
      <c r="P519" s="7">
        <v>584.15763849309997</v>
      </c>
      <c r="Q519" s="7">
        <v>1.9784600888999999</v>
      </c>
      <c r="R519" s="7">
        <v>0</v>
      </c>
      <c r="S519" s="7">
        <v>1.204</v>
      </c>
      <c r="T519" s="7">
        <v>0.34399999999999997</v>
      </c>
      <c r="U519" s="7">
        <v>-1.548</v>
      </c>
      <c r="V519" s="7" t="s">
        <v>110</v>
      </c>
      <c r="W519" s="11">
        <v>45798.541666666664</v>
      </c>
    </row>
    <row r="520" spans="1:23">
      <c r="A520" t="s">
        <v>89</v>
      </c>
      <c r="B520">
        <v>27</v>
      </c>
      <c r="C520" s="10">
        <v>45798</v>
      </c>
      <c r="D520" s="11">
        <v>45798.666666666664</v>
      </c>
      <c r="E520" s="11">
        <v>45798.666666666664</v>
      </c>
      <c r="F520" t="s">
        <v>108</v>
      </c>
      <c r="G520" t="s">
        <v>107</v>
      </c>
      <c r="H520">
        <v>-1</v>
      </c>
      <c r="I520">
        <v>344</v>
      </c>
      <c r="J520" s="7">
        <v>579.53510000000006</v>
      </c>
      <c r="K520" s="7">
        <v>591.49845488079995</v>
      </c>
      <c r="L520" s="7">
        <v>584.60364019509996</v>
      </c>
      <c r="M520" s="7">
        <v>3.4447251000000001E-3</v>
      </c>
      <c r="N520" s="7">
        <v>583.0727492259</v>
      </c>
      <c r="O520" s="7">
        <v>591.49845488079995</v>
      </c>
      <c r="P520" s="7">
        <v>583.0727492259</v>
      </c>
      <c r="Q520" s="7">
        <v>1.9784600888999999</v>
      </c>
      <c r="R520" s="7">
        <v>550.67520000000002</v>
      </c>
      <c r="S520" s="7">
        <v>1.204</v>
      </c>
      <c r="T520" s="7">
        <v>0.34399999999999997</v>
      </c>
      <c r="U520" s="7">
        <v>549.12720000000002</v>
      </c>
      <c r="V520" s="7" t="s">
        <v>85</v>
      </c>
      <c r="W520" s="11">
        <v>45798.645833333336</v>
      </c>
    </row>
    <row r="521" spans="1:23">
      <c r="A521" t="s">
        <v>89</v>
      </c>
      <c r="B521">
        <v>28</v>
      </c>
      <c r="C521" s="10">
        <v>45804</v>
      </c>
      <c r="D521" s="11">
        <v>45804.4375</v>
      </c>
      <c r="E521" s="11">
        <v>45804.4375</v>
      </c>
      <c r="F521" t="s">
        <v>106</v>
      </c>
      <c r="G521" t="s">
        <v>107</v>
      </c>
      <c r="H521">
        <v>1</v>
      </c>
      <c r="I521">
        <v>315</v>
      </c>
      <c r="J521" s="7">
        <v>584.52560000000005</v>
      </c>
      <c r="K521" s="7">
        <v>583.90554975270004</v>
      </c>
      <c r="L521" s="7">
        <v>574.86780245190005</v>
      </c>
      <c r="M521" s="7">
        <v>1.6298841000000001E-3</v>
      </c>
      <c r="N521" s="7">
        <v>583.61959368750001</v>
      </c>
      <c r="O521" s="7">
        <v>583.90554975270004</v>
      </c>
      <c r="P521" s="7">
        <v>574.86780245190005</v>
      </c>
      <c r="Q521" s="7">
        <v>1.7884579996000001</v>
      </c>
      <c r="R521" s="7">
        <v>0</v>
      </c>
      <c r="S521" s="7">
        <v>1.1025</v>
      </c>
      <c r="T521" s="7">
        <v>0.315</v>
      </c>
      <c r="U521" s="7">
        <v>-1.4175</v>
      </c>
      <c r="V521" s="7" t="s">
        <v>110</v>
      </c>
      <c r="W521" s="11">
        <v>45804.416666666664</v>
      </c>
    </row>
    <row r="522" spans="1:23">
      <c r="A522" t="s">
        <v>89</v>
      </c>
      <c r="B522">
        <v>28</v>
      </c>
      <c r="C522" s="10">
        <v>45804</v>
      </c>
      <c r="D522" s="11">
        <v>45804.666666666664</v>
      </c>
      <c r="E522" s="11">
        <v>45804.666666666664</v>
      </c>
      <c r="F522" t="s">
        <v>108</v>
      </c>
      <c r="G522" t="s">
        <v>109</v>
      </c>
      <c r="H522">
        <v>1</v>
      </c>
      <c r="I522">
        <v>315</v>
      </c>
      <c r="J522" s="7">
        <v>587.77779999999996</v>
      </c>
      <c r="K522" s="7">
        <v>585.31230067340005</v>
      </c>
      <c r="L522" s="7">
        <v>573.47830328489999</v>
      </c>
      <c r="M522" s="7">
        <v>4.0430205999999998E-3</v>
      </c>
      <c r="N522" s="7">
        <v>586.05813061610002</v>
      </c>
      <c r="O522" s="7">
        <v>586.05813061610002</v>
      </c>
      <c r="P522" s="7">
        <v>573.47830328489999</v>
      </c>
      <c r="Q522" s="7">
        <v>1.7884579996000001</v>
      </c>
      <c r="R522" s="7">
        <v>1024.443</v>
      </c>
      <c r="S522" s="7">
        <v>1.1025</v>
      </c>
      <c r="T522" s="7">
        <v>0.315</v>
      </c>
      <c r="U522" s="7">
        <v>1023.0255</v>
      </c>
      <c r="V522" s="7" t="s">
        <v>85</v>
      </c>
      <c r="W522" s="11">
        <v>45804.645833333336</v>
      </c>
    </row>
    <row r="523" spans="1:23">
      <c r="A523" t="s">
        <v>89</v>
      </c>
      <c r="B523">
        <v>29</v>
      </c>
      <c r="C523" s="10">
        <v>45805</v>
      </c>
      <c r="D523" s="11">
        <v>45805.458333333336</v>
      </c>
      <c r="E523" s="11">
        <v>45805.458333333336</v>
      </c>
      <c r="F523" t="s">
        <v>106</v>
      </c>
      <c r="G523" t="s">
        <v>109</v>
      </c>
      <c r="H523">
        <v>-1</v>
      </c>
      <c r="I523">
        <v>299</v>
      </c>
      <c r="J523" s="7">
        <v>585.98310000000004</v>
      </c>
      <c r="K523" s="7">
        <v>588.75974584820005</v>
      </c>
      <c r="L523" s="7">
        <v>586.40850181129997</v>
      </c>
      <c r="M523" s="7">
        <v>1.6709481E-3</v>
      </c>
      <c r="N523" s="7">
        <v>586.91767772189996</v>
      </c>
      <c r="O523" s="7">
        <v>588.75974584820005</v>
      </c>
      <c r="P523" s="7">
        <v>586.40850181129997</v>
      </c>
      <c r="Q523" s="7">
        <v>1.6948592364999999</v>
      </c>
      <c r="R523" s="7">
        <v>0</v>
      </c>
      <c r="S523" s="7">
        <v>1.0465</v>
      </c>
      <c r="T523" s="7">
        <v>0.29899999999999999</v>
      </c>
      <c r="U523" s="7">
        <v>-1.3454999999999999</v>
      </c>
      <c r="V523" s="7" t="s">
        <v>110</v>
      </c>
      <c r="W523" s="11">
        <v>45805.4375</v>
      </c>
    </row>
    <row r="524" spans="1:23">
      <c r="A524" t="s">
        <v>89</v>
      </c>
      <c r="B524">
        <v>29</v>
      </c>
      <c r="C524" s="10">
        <v>45805</v>
      </c>
      <c r="D524" s="11">
        <v>45805.479166666664</v>
      </c>
      <c r="E524" s="11">
        <v>45805.479166666664</v>
      </c>
      <c r="F524" t="s">
        <v>108</v>
      </c>
      <c r="G524" t="s">
        <v>107</v>
      </c>
      <c r="H524">
        <v>-1</v>
      </c>
      <c r="I524">
        <v>299</v>
      </c>
      <c r="J524" s="7">
        <v>585.98800000000006</v>
      </c>
      <c r="K524" s="7">
        <v>589.3352606743</v>
      </c>
      <c r="L524" s="7">
        <v>585.8333664987</v>
      </c>
      <c r="M524" s="7">
        <v>2.6500851E-3</v>
      </c>
      <c r="N524" s="7">
        <v>586.75675749280003</v>
      </c>
      <c r="O524" s="7">
        <v>589.3352606743</v>
      </c>
      <c r="P524" s="7">
        <v>585.8333664987</v>
      </c>
      <c r="Q524" s="7">
        <v>1.6948592364999999</v>
      </c>
      <c r="R524" s="7">
        <v>-1.4651000000000001</v>
      </c>
      <c r="S524" s="7">
        <v>1.0465</v>
      </c>
      <c r="T524" s="7">
        <v>0.29899999999999999</v>
      </c>
      <c r="U524" s="7">
        <v>-2.8106</v>
      </c>
      <c r="V524" s="7" t="s">
        <v>88</v>
      </c>
      <c r="W524" s="11">
        <v>45805.458333333336</v>
      </c>
    </row>
    <row r="525" spans="1:23">
      <c r="A525" t="s">
        <v>89</v>
      </c>
      <c r="B525">
        <v>30</v>
      </c>
      <c r="C525" s="10">
        <v>45805</v>
      </c>
      <c r="D525" s="11">
        <v>45805.5</v>
      </c>
      <c r="E525" s="11">
        <v>45805.5</v>
      </c>
      <c r="F525" t="s">
        <v>106</v>
      </c>
      <c r="G525" t="s">
        <v>109</v>
      </c>
      <c r="H525">
        <v>-1</v>
      </c>
      <c r="I525">
        <v>299</v>
      </c>
      <c r="J525" s="7">
        <v>585.7296</v>
      </c>
      <c r="K525" s="7">
        <v>589.37282988150002</v>
      </c>
      <c r="L525" s="7">
        <v>585.79582206589998</v>
      </c>
      <c r="M525" s="7">
        <v>2.7140024999999998E-3</v>
      </c>
      <c r="N525" s="7">
        <v>586.61903047819999</v>
      </c>
      <c r="O525" s="7">
        <v>589.37282988150002</v>
      </c>
      <c r="P525" s="7">
        <v>585.79582206589998</v>
      </c>
      <c r="Q525" s="7">
        <v>1.6948592364999999</v>
      </c>
      <c r="R525" s="7">
        <v>0</v>
      </c>
      <c r="S525" s="7">
        <v>1.0465</v>
      </c>
      <c r="T525" s="7">
        <v>0.29899999999999999</v>
      </c>
      <c r="U525" s="7">
        <v>-1.3454999999999999</v>
      </c>
      <c r="V525" s="7" t="s">
        <v>110</v>
      </c>
      <c r="W525" s="11">
        <v>45805.479166666664</v>
      </c>
    </row>
    <row r="526" spans="1:23">
      <c r="A526" t="s">
        <v>89</v>
      </c>
      <c r="B526">
        <v>30</v>
      </c>
      <c r="C526" s="10">
        <v>45805</v>
      </c>
      <c r="D526" s="11">
        <v>45805.520833333336</v>
      </c>
      <c r="E526" s="11">
        <v>45805.520833333336</v>
      </c>
      <c r="F526" t="s">
        <v>108</v>
      </c>
      <c r="G526" t="s">
        <v>107</v>
      </c>
      <c r="H526">
        <v>-1</v>
      </c>
      <c r="I526">
        <v>299</v>
      </c>
      <c r="J526" s="7">
        <v>586.46529999999996</v>
      </c>
      <c r="K526" s="7">
        <v>589.74230591610001</v>
      </c>
      <c r="L526" s="7">
        <v>585.42658967600005</v>
      </c>
      <c r="M526" s="7">
        <v>3.3426009000000001E-3</v>
      </c>
      <c r="N526" s="7">
        <v>586.60374116269998</v>
      </c>
      <c r="O526" s="7">
        <v>589.74230591610001</v>
      </c>
      <c r="P526" s="7">
        <v>585.42658967600005</v>
      </c>
      <c r="Q526" s="7">
        <v>1.6948592364999999</v>
      </c>
      <c r="R526" s="7">
        <v>-219.9743</v>
      </c>
      <c r="S526" s="7">
        <v>1.0465</v>
      </c>
      <c r="T526" s="7">
        <v>0.29899999999999999</v>
      </c>
      <c r="U526" s="7">
        <v>-221.31979999999999</v>
      </c>
      <c r="V526" s="7" t="s">
        <v>88</v>
      </c>
      <c r="W526" s="11">
        <v>45805.5</v>
      </c>
    </row>
    <row r="527" spans="1:23">
      <c r="A527" t="s">
        <v>89</v>
      </c>
      <c r="B527">
        <v>31</v>
      </c>
      <c r="C527" s="10">
        <v>45807</v>
      </c>
      <c r="D527" s="11">
        <v>45807.520833333336</v>
      </c>
      <c r="E527" s="11">
        <v>45807.520833333336</v>
      </c>
      <c r="F527" t="s">
        <v>106</v>
      </c>
      <c r="G527" t="s">
        <v>109</v>
      </c>
      <c r="H527">
        <v>-1</v>
      </c>
      <c r="I527">
        <v>294</v>
      </c>
      <c r="J527" s="7">
        <v>581.75239999999997</v>
      </c>
      <c r="K527" s="7">
        <v>588.35674346400003</v>
      </c>
      <c r="L527" s="7">
        <v>582.40361241820005</v>
      </c>
      <c r="M527" s="7">
        <v>2.8515249000000001E-3</v>
      </c>
      <c r="N527" s="7">
        <v>584.2875594546</v>
      </c>
      <c r="O527" s="7">
        <v>588.35674346400003</v>
      </c>
      <c r="P527" s="7">
        <v>582.40361241820005</v>
      </c>
      <c r="Q527" s="7">
        <v>1.6598332928999999</v>
      </c>
      <c r="R527" s="7">
        <v>0</v>
      </c>
      <c r="S527" s="7">
        <v>1.0289999999999999</v>
      </c>
      <c r="T527" s="7">
        <v>0.29399999999999998</v>
      </c>
      <c r="U527" s="7">
        <v>-1.323</v>
      </c>
      <c r="V527" s="7" t="s">
        <v>110</v>
      </c>
      <c r="W527" s="11">
        <v>45807.5</v>
      </c>
    </row>
    <row r="528" spans="1:23">
      <c r="A528" t="s">
        <v>89</v>
      </c>
      <c r="B528">
        <v>31</v>
      </c>
      <c r="C528" s="10">
        <v>45807</v>
      </c>
      <c r="D528" s="11">
        <v>45807.5625</v>
      </c>
      <c r="E528" s="11">
        <v>45807.5625</v>
      </c>
      <c r="F528" t="s">
        <v>108</v>
      </c>
      <c r="G528" t="s">
        <v>107</v>
      </c>
      <c r="H528">
        <v>-1</v>
      </c>
      <c r="I528">
        <v>294</v>
      </c>
      <c r="J528" s="7">
        <v>582.54790000000003</v>
      </c>
      <c r="K528" s="7">
        <v>589.3583065862</v>
      </c>
      <c r="L528" s="7">
        <v>581.40651300720003</v>
      </c>
      <c r="M528" s="7">
        <v>4.5586849000000002E-3</v>
      </c>
      <c r="N528" s="7">
        <v>583.31614697839996</v>
      </c>
      <c r="O528" s="7">
        <v>589.3583065862</v>
      </c>
      <c r="P528" s="7">
        <v>581.40651300720003</v>
      </c>
      <c r="Q528" s="7">
        <v>1.6598332928999999</v>
      </c>
      <c r="R528" s="7">
        <v>-233.87700000000001</v>
      </c>
      <c r="S528" s="7">
        <v>1.0289999999999999</v>
      </c>
      <c r="T528" s="7">
        <v>0.29399999999999998</v>
      </c>
      <c r="U528" s="7">
        <v>-235.2</v>
      </c>
      <c r="V528" s="7" t="s">
        <v>88</v>
      </c>
      <c r="W528" s="11">
        <v>45807.541666666664</v>
      </c>
    </row>
    <row r="529" spans="1:23">
      <c r="A529" t="s">
        <v>89</v>
      </c>
      <c r="B529">
        <v>32</v>
      </c>
      <c r="C529" s="10">
        <v>45810</v>
      </c>
      <c r="D529" s="11">
        <v>45810.645833333336</v>
      </c>
      <c r="E529" s="11">
        <v>45810.645833333336</v>
      </c>
      <c r="F529" t="s">
        <v>106</v>
      </c>
      <c r="G529" t="s">
        <v>107</v>
      </c>
      <c r="H529">
        <v>1</v>
      </c>
      <c r="I529">
        <v>294</v>
      </c>
      <c r="J529" s="7">
        <v>588.93119999999999</v>
      </c>
      <c r="K529" s="7">
        <v>588.84359245749999</v>
      </c>
      <c r="L529" s="7">
        <v>580.18392646799998</v>
      </c>
      <c r="M529" s="7">
        <v>4.8052216000000003E-3</v>
      </c>
      <c r="N529" s="7">
        <v>585.97825452560005</v>
      </c>
      <c r="O529" s="7">
        <v>588.84359245749999</v>
      </c>
      <c r="P529" s="7">
        <v>580.18392646799998</v>
      </c>
      <c r="Q529" s="7">
        <v>1.6604313098000001</v>
      </c>
      <c r="R529" s="7">
        <v>0</v>
      </c>
      <c r="S529" s="7">
        <v>1.0289999999999999</v>
      </c>
      <c r="T529" s="7">
        <v>0.29399999999999998</v>
      </c>
      <c r="U529" s="7">
        <v>-1.323</v>
      </c>
      <c r="V529" s="7" t="s">
        <v>110</v>
      </c>
      <c r="W529" s="11">
        <v>45810.625</v>
      </c>
    </row>
    <row r="530" spans="1:23">
      <c r="A530" t="s">
        <v>89</v>
      </c>
      <c r="B530">
        <v>32</v>
      </c>
      <c r="C530" s="10">
        <v>45810</v>
      </c>
      <c r="D530" s="11">
        <v>45810.666666666664</v>
      </c>
      <c r="E530" s="11">
        <v>45810.666666666664</v>
      </c>
      <c r="F530" t="s">
        <v>108</v>
      </c>
      <c r="G530" t="s">
        <v>109</v>
      </c>
      <c r="H530">
        <v>1</v>
      </c>
      <c r="I530">
        <v>294</v>
      </c>
      <c r="J530" s="7">
        <v>589.32889999999998</v>
      </c>
      <c r="K530" s="7">
        <v>588.80063775830001</v>
      </c>
      <c r="L530" s="7">
        <v>580.22665817250004</v>
      </c>
      <c r="M530" s="7">
        <v>4.7319234999999996E-3</v>
      </c>
      <c r="N530" s="7">
        <v>586.67392263349996</v>
      </c>
      <c r="O530" s="7">
        <v>588.80063775830001</v>
      </c>
      <c r="P530" s="7">
        <v>580.22665817250004</v>
      </c>
      <c r="Q530" s="7">
        <v>1.6604313098000001</v>
      </c>
      <c r="R530" s="7">
        <v>116.9238</v>
      </c>
      <c r="S530" s="7">
        <v>1.0289999999999999</v>
      </c>
      <c r="T530" s="7">
        <v>0.29399999999999998</v>
      </c>
      <c r="U530" s="7">
        <v>115.60080000000001</v>
      </c>
      <c r="V530" s="7" t="s">
        <v>85</v>
      </c>
      <c r="W530" s="11">
        <v>45810.645833333336</v>
      </c>
    </row>
    <row r="531" spans="1:23">
      <c r="A531" t="s">
        <v>89</v>
      </c>
      <c r="B531">
        <v>33</v>
      </c>
      <c r="C531" s="10">
        <v>45811</v>
      </c>
      <c r="D531" s="11">
        <v>45811.4375</v>
      </c>
      <c r="E531" s="11">
        <v>45811.4375</v>
      </c>
      <c r="F531" t="s">
        <v>106</v>
      </c>
      <c r="G531" t="s">
        <v>107</v>
      </c>
      <c r="H531">
        <v>1</v>
      </c>
      <c r="I531">
        <v>411</v>
      </c>
      <c r="J531" s="7">
        <v>590.44749999999999</v>
      </c>
      <c r="K531" s="7">
        <v>590.2985131575</v>
      </c>
      <c r="L531" s="7">
        <v>588.14074641119998</v>
      </c>
      <c r="M531" s="7">
        <v>1.6456235000000001E-3</v>
      </c>
      <c r="N531" s="7">
        <v>589.72069426890005</v>
      </c>
      <c r="O531" s="7">
        <v>590.2985131575</v>
      </c>
      <c r="P531" s="7">
        <v>588.14074641119998</v>
      </c>
      <c r="Q531" s="7">
        <v>2.3445184730999999</v>
      </c>
      <c r="R531" s="7">
        <v>0</v>
      </c>
      <c r="S531" s="7">
        <v>1.4384999999999999</v>
      </c>
      <c r="T531" s="7">
        <v>0.41099999999999998</v>
      </c>
      <c r="U531" s="7">
        <v>-1.8494999999999999</v>
      </c>
      <c r="V531" s="7" t="s">
        <v>110</v>
      </c>
      <c r="W531" s="11">
        <v>45811.416666666664</v>
      </c>
    </row>
    <row r="532" spans="1:23">
      <c r="A532" t="s">
        <v>89</v>
      </c>
      <c r="B532">
        <v>33</v>
      </c>
      <c r="C532" s="10">
        <v>45811</v>
      </c>
      <c r="D532" s="11">
        <v>45811.666666666664</v>
      </c>
      <c r="E532" s="11">
        <v>45811.666666666664</v>
      </c>
      <c r="F532" t="s">
        <v>108</v>
      </c>
      <c r="G532" t="s">
        <v>109</v>
      </c>
      <c r="H532">
        <v>1</v>
      </c>
      <c r="I532">
        <v>411</v>
      </c>
      <c r="J532" s="7">
        <v>592.68960000000004</v>
      </c>
      <c r="K532" s="7">
        <v>592.27797279260005</v>
      </c>
      <c r="L532" s="7">
        <v>586.16202068220002</v>
      </c>
      <c r="M532" s="7">
        <v>5.0044614999999997E-3</v>
      </c>
      <c r="N532" s="7">
        <v>592.04488410240003</v>
      </c>
      <c r="O532" s="7">
        <v>592.27797279260005</v>
      </c>
      <c r="P532" s="7">
        <v>586.16202068220002</v>
      </c>
      <c r="Q532" s="7">
        <v>2.3445184730999999</v>
      </c>
      <c r="R532" s="7">
        <v>921.50310000000002</v>
      </c>
      <c r="S532" s="7">
        <v>1.4384999999999999</v>
      </c>
      <c r="T532" s="7">
        <v>0.41099999999999998</v>
      </c>
      <c r="U532" s="7">
        <v>919.65359999999998</v>
      </c>
      <c r="V532" s="7" t="s">
        <v>85</v>
      </c>
      <c r="W532" s="11">
        <v>45811.645833333336</v>
      </c>
    </row>
    <row r="533" spans="1:23">
      <c r="A533" t="s">
        <v>89</v>
      </c>
      <c r="B533">
        <v>34</v>
      </c>
      <c r="C533" s="10">
        <v>45813</v>
      </c>
      <c r="D533" s="11">
        <v>45813.458333333336</v>
      </c>
      <c r="E533" s="11">
        <v>45813.458333333336</v>
      </c>
      <c r="F533" t="s">
        <v>106</v>
      </c>
      <c r="G533" t="s">
        <v>107</v>
      </c>
      <c r="H533">
        <v>1</v>
      </c>
      <c r="I533">
        <v>415</v>
      </c>
      <c r="J533" s="7">
        <v>593.95240000000001</v>
      </c>
      <c r="K533" s="7">
        <v>593.55211580340006</v>
      </c>
      <c r="L533" s="7">
        <v>589.84116444890003</v>
      </c>
      <c r="M533" s="7">
        <v>1.7244954000000001E-3</v>
      </c>
      <c r="N533" s="7">
        <v>592.55999709440005</v>
      </c>
      <c r="O533" s="7">
        <v>593.55211580340006</v>
      </c>
      <c r="P533" s="7">
        <v>589.84116444890003</v>
      </c>
      <c r="Q533" s="7">
        <v>2.3534060591000001</v>
      </c>
      <c r="R533" s="7">
        <v>0</v>
      </c>
      <c r="S533" s="7">
        <v>1.4524999999999999</v>
      </c>
      <c r="T533" s="7">
        <v>0.41499999999999998</v>
      </c>
      <c r="U533" s="7">
        <v>-1.8674999999999999</v>
      </c>
      <c r="V533" s="7" t="s">
        <v>110</v>
      </c>
      <c r="W533" s="11">
        <v>45813.4375</v>
      </c>
    </row>
    <row r="534" spans="1:23">
      <c r="A534" t="s">
        <v>89</v>
      </c>
      <c r="B534">
        <v>34</v>
      </c>
      <c r="C534" s="10">
        <v>45813</v>
      </c>
      <c r="D534" s="11">
        <v>45813.541666666664</v>
      </c>
      <c r="E534" s="11">
        <v>45813.541666666664</v>
      </c>
      <c r="F534" t="s">
        <v>108</v>
      </c>
      <c r="G534" t="s">
        <v>109</v>
      </c>
      <c r="H534">
        <v>1</v>
      </c>
      <c r="I534">
        <v>415</v>
      </c>
      <c r="J534" s="7">
        <v>591.28769999999997</v>
      </c>
      <c r="K534" s="7">
        <v>594.80696854969995</v>
      </c>
      <c r="L534" s="7">
        <v>588.58984882979996</v>
      </c>
      <c r="M534" s="7">
        <v>3.8422820999999998E-3</v>
      </c>
      <c r="N534" s="7">
        <v>593.11243623739995</v>
      </c>
      <c r="O534" s="7">
        <v>594.80696854969995</v>
      </c>
      <c r="P534" s="7">
        <v>588.58984882979996</v>
      </c>
      <c r="Q534" s="7">
        <v>2.3534060591000001</v>
      </c>
      <c r="R534" s="7">
        <v>-1105.8505</v>
      </c>
      <c r="S534" s="7">
        <v>1.4524999999999999</v>
      </c>
      <c r="T534" s="7">
        <v>0.41499999999999998</v>
      </c>
      <c r="U534" s="7">
        <v>-1107.7180000000001</v>
      </c>
      <c r="V534" s="7" t="s">
        <v>88</v>
      </c>
      <c r="W534" s="11">
        <v>45813.520833333336</v>
      </c>
    </row>
    <row r="535" spans="1:23">
      <c r="A535" t="s">
        <v>89</v>
      </c>
      <c r="B535">
        <v>35</v>
      </c>
      <c r="C535" s="10">
        <v>45819</v>
      </c>
      <c r="D535" s="11">
        <v>45819.604166666664</v>
      </c>
      <c r="E535" s="11">
        <v>45819.604166666664</v>
      </c>
      <c r="F535" t="s">
        <v>106</v>
      </c>
      <c r="G535" t="s">
        <v>109</v>
      </c>
      <c r="H535">
        <v>-1</v>
      </c>
      <c r="I535">
        <v>388</v>
      </c>
      <c r="J535" s="7">
        <v>597.15409999999997</v>
      </c>
      <c r="K535" s="7">
        <v>602.5781638126</v>
      </c>
      <c r="L535" s="7">
        <v>597.25031683079999</v>
      </c>
      <c r="M535" s="7">
        <v>3.9843659E-3</v>
      </c>
      <c r="N535" s="7">
        <v>599.63917396229999</v>
      </c>
      <c r="O535" s="7">
        <v>602.5781638126</v>
      </c>
      <c r="P535" s="7">
        <v>597.25031683079999</v>
      </c>
      <c r="Q535" s="7">
        <v>2.2610593116</v>
      </c>
      <c r="R535" s="7">
        <v>0</v>
      </c>
      <c r="S535" s="7">
        <v>1.3580000000000001</v>
      </c>
      <c r="T535" s="7">
        <v>0.38800000000000001</v>
      </c>
      <c r="U535" s="7">
        <v>-1.746</v>
      </c>
      <c r="V535" s="7" t="s">
        <v>110</v>
      </c>
      <c r="W535" s="11">
        <v>45819.583333333336</v>
      </c>
    </row>
    <row r="536" spans="1:23">
      <c r="A536" t="s">
        <v>89</v>
      </c>
      <c r="B536">
        <v>35</v>
      </c>
      <c r="C536" s="10">
        <v>45819</v>
      </c>
      <c r="D536" s="11">
        <v>45819.625</v>
      </c>
      <c r="E536" s="11">
        <v>45819.625</v>
      </c>
      <c r="F536" t="s">
        <v>108</v>
      </c>
      <c r="G536" t="s">
        <v>107</v>
      </c>
      <c r="H536">
        <v>-1</v>
      </c>
      <c r="I536">
        <v>388</v>
      </c>
      <c r="J536" s="7">
        <v>597.31309999999996</v>
      </c>
      <c r="K536" s="7">
        <v>602.75581572349995</v>
      </c>
      <c r="L536" s="7">
        <v>597.07282691770001</v>
      </c>
      <c r="M536" s="7">
        <v>4.2803603000000001E-3</v>
      </c>
      <c r="N536" s="7">
        <v>599.34701762530005</v>
      </c>
      <c r="O536" s="7">
        <v>602.75581572349995</v>
      </c>
      <c r="P536" s="7">
        <v>597.07282691770001</v>
      </c>
      <c r="Q536" s="7">
        <v>2.2610593116</v>
      </c>
      <c r="R536" s="7">
        <v>-61.692</v>
      </c>
      <c r="S536" s="7">
        <v>1.3580000000000001</v>
      </c>
      <c r="T536" s="7">
        <v>0.38800000000000001</v>
      </c>
      <c r="U536" s="7">
        <v>-63.438000000000002</v>
      </c>
      <c r="V536" s="7" t="s">
        <v>88</v>
      </c>
      <c r="W536" s="11">
        <v>45819.604166666664</v>
      </c>
    </row>
    <row r="537" spans="1:23">
      <c r="A537" t="s">
        <v>89</v>
      </c>
      <c r="B537">
        <v>36</v>
      </c>
      <c r="C537" s="10">
        <v>45821</v>
      </c>
      <c r="D537" s="11">
        <v>45821.4375</v>
      </c>
      <c r="E537" s="11">
        <v>45821.4375</v>
      </c>
      <c r="F537" t="s">
        <v>106</v>
      </c>
      <c r="G537" t="s">
        <v>109</v>
      </c>
      <c r="H537">
        <v>-1</v>
      </c>
      <c r="I537">
        <v>475</v>
      </c>
      <c r="J537" s="7">
        <v>593.44529999999997</v>
      </c>
      <c r="K537" s="7">
        <v>601.6168954044</v>
      </c>
      <c r="L537" s="7">
        <v>594.06389766480004</v>
      </c>
      <c r="M537" s="7">
        <v>2.1842127999999999E-3</v>
      </c>
      <c r="N537" s="7">
        <v>594.61821508929995</v>
      </c>
      <c r="O537" s="7">
        <v>601.6168954044</v>
      </c>
      <c r="P537" s="7">
        <v>594.06389766480004</v>
      </c>
      <c r="Q537" s="7">
        <v>2.7439753618</v>
      </c>
      <c r="R537" s="7">
        <v>0</v>
      </c>
      <c r="S537" s="7">
        <v>1.6625000000000001</v>
      </c>
      <c r="T537" s="7">
        <v>0.47499999999999998</v>
      </c>
      <c r="U537" s="7">
        <v>-2.1375000000000002</v>
      </c>
      <c r="V537" s="7" t="s">
        <v>110</v>
      </c>
      <c r="W537" s="11">
        <v>45821.416666666664</v>
      </c>
    </row>
    <row r="538" spans="1:23">
      <c r="A538" t="s">
        <v>89</v>
      </c>
      <c r="B538">
        <v>36</v>
      </c>
      <c r="C538" s="10">
        <v>45821</v>
      </c>
      <c r="D538" s="11">
        <v>45821.458333333336</v>
      </c>
      <c r="E538" s="11">
        <v>45821.458333333336</v>
      </c>
      <c r="F538" t="s">
        <v>108</v>
      </c>
      <c r="G538" t="s">
        <v>107</v>
      </c>
      <c r="H538">
        <v>-1</v>
      </c>
      <c r="I538">
        <v>475</v>
      </c>
      <c r="J538" s="7">
        <v>595.78689999999995</v>
      </c>
      <c r="K538" s="7">
        <v>601.68618907330006</v>
      </c>
      <c r="L538" s="7">
        <v>593.99517438479995</v>
      </c>
      <c r="M538" s="7">
        <v>2.2996434999999998E-3</v>
      </c>
      <c r="N538" s="7">
        <v>594.93785695509996</v>
      </c>
      <c r="O538" s="7">
        <v>601.68618907330006</v>
      </c>
      <c r="P538" s="7">
        <v>593.99517438479995</v>
      </c>
      <c r="Q538" s="7">
        <v>2.7439753618</v>
      </c>
      <c r="R538" s="7">
        <v>-1112.26</v>
      </c>
      <c r="S538" s="7">
        <v>1.6625000000000001</v>
      </c>
      <c r="T538" s="7">
        <v>0.47499999999999998</v>
      </c>
      <c r="U538" s="7">
        <v>-1114.3975</v>
      </c>
      <c r="V538" s="7" t="s">
        <v>88</v>
      </c>
      <c r="W538" s="11">
        <v>45821.4375</v>
      </c>
    </row>
    <row r="539" spans="1:23">
      <c r="A539" t="s">
        <v>89</v>
      </c>
      <c r="B539">
        <v>37</v>
      </c>
      <c r="C539" s="10">
        <v>45825</v>
      </c>
      <c r="D539" s="11">
        <v>45825.5625</v>
      </c>
      <c r="E539" s="11">
        <v>45825.5625</v>
      </c>
      <c r="F539" t="s">
        <v>106</v>
      </c>
      <c r="G539" t="s">
        <v>109</v>
      </c>
      <c r="H539">
        <v>-1</v>
      </c>
      <c r="I539">
        <v>557</v>
      </c>
      <c r="J539" s="7">
        <v>595.39409999999998</v>
      </c>
      <c r="K539" s="7">
        <v>600.93697833440001</v>
      </c>
      <c r="L539" s="7">
        <v>595.87117473629996</v>
      </c>
      <c r="M539" s="7">
        <v>2.8288720000000001E-3</v>
      </c>
      <c r="N539" s="7">
        <v>596.99869615959994</v>
      </c>
      <c r="O539" s="7">
        <v>600.93697833440001</v>
      </c>
      <c r="P539" s="7">
        <v>595.87117473629996</v>
      </c>
      <c r="Q539" s="7">
        <v>3.2627424079999998</v>
      </c>
      <c r="R539" s="7">
        <v>0</v>
      </c>
      <c r="S539" s="7">
        <v>1.9495</v>
      </c>
      <c r="T539" s="7">
        <v>0.55700000000000005</v>
      </c>
      <c r="U539" s="7">
        <v>-2.5065</v>
      </c>
      <c r="V539" s="7" t="s">
        <v>110</v>
      </c>
      <c r="W539" s="11">
        <v>45825.541666666664</v>
      </c>
    </row>
    <row r="540" spans="1:23">
      <c r="A540" t="s">
        <v>89</v>
      </c>
      <c r="B540">
        <v>37</v>
      </c>
      <c r="C540" s="10">
        <v>45825</v>
      </c>
      <c r="D540" s="11">
        <v>45825.666666666664</v>
      </c>
      <c r="E540" s="11">
        <v>45825.666666666664</v>
      </c>
      <c r="F540" t="s">
        <v>108</v>
      </c>
      <c r="G540" t="s">
        <v>107</v>
      </c>
      <c r="H540">
        <v>-1</v>
      </c>
      <c r="I540">
        <v>557</v>
      </c>
      <c r="J540" s="7">
        <v>594.12149999999997</v>
      </c>
      <c r="K540" s="7">
        <v>601.41166152760002</v>
      </c>
      <c r="L540" s="7">
        <v>595.39782249619998</v>
      </c>
      <c r="M540" s="7">
        <v>3.6210116000000001E-3</v>
      </c>
      <c r="N540" s="7">
        <v>595.61994164580005</v>
      </c>
      <c r="O540" s="7">
        <v>601.41166152760002</v>
      </c>
      <c r="P540" s="7">
        <v>595.39782249619998</v>
      </c>
      <c r="Q540" s="7">
        <v>3.2627424079999998</v>
      </c>
      <c r="R540" s="7">
        <v>708.83820000000003</v>
      </c>
      <c r="S540" s="7">
        <v>1.9495</v>
      </c>
      <c r="T540" s="7">
        <v>0.55700000000000005</v>
      </c>
      <c r="U540" s="7">
        <v>706.33169999999996</v>
      </c>
      <c r="V540" s="7" t="s">
        <v>85</v>
      </c>
      <c r="W540" s="11">
        <v>45825.645833333336</v>
      </c>
    </row>
    <row r="541" spans="1:23">
      <c r="A541" t="s">
        <v>89</v>
      </c>
      <c r="B541">
        <v>38</v>
      </c>
      <c r="C541" s="10">
        <v>45826</v>
      </c>
      <c r="D541" s="11">
        <v>45826.4375</v>
      </c>
      <c r="E541" s="11">
        <v>45826.4375</v>
      </c>
      <c r="F541" t="s">
        <v>106</v>
      </c>
      <c r="G541" t="s">
        <v>107</v>
      </c>
      <c r="H541">
        <v>1</v>
      </c>
      <c r="I541">
        <v>537</v>
      </c>
      <c r="J541" s="7">
        <v>597.31510000000003</v>
      </c>
      <c r="K541" s="7">
        <v>597.0489628194</v>
      </c>
      <c r="L541" s="7">
        <v>592.83578282359997</v>
      </c>
      <c r="M541" s="7">
        <v>2.1635604999999999E-3</v>
      </c>
      <c r="N541" s="7">
        <v>596.46294557420003</v>
      </c>
      <c r="O541" s="7">
        <v>597.0489628194</v>
      </c>
      <c r="P541" s="7">
        <v>592.83578282359997</v>
      </c>
      <c r="Q541" s="7">
        <v>3.1170721862000002</v>
      </c>
      <c r="R541" s="7">
        <v>0</v>
      </c>
      <c r="S541" s="7">
        <v>1.8794999999999999</v>
      </c>
      <c r="T541" s="7">
        <v>0.53700000000000003</v>
      </c>
      <c r="U541" s="7">
        <v>-2.4165000000000001</v>
      </c>
      <c r="V541" s="7" t="s">
        <v>110</v>
      </c>
      <c r="W541" s="11">
        <v>45826.416666666664</v>
      </c>
    </row>
    <row r="542" spans="1:23">
      <c r="A542" t="s">
        <v>89</v>
      </c>
      <c r="B542">
        <v>38</v>
      </c>
      <c r="C542" s="10">
        <v>45826</v>
      </c>
      <c r="D542" s="11">
        <v>45826.479166666664</v>
      </c>
      <c r="E542" s="11">
        <v>45826.479166666664</v>
      </c>
      <c r="F542" t="s">
        <v>108</v>
      </c>
      <c r="G542" t="s">
        <v>109</v>
      </c>
      <c r="H542">
        <v>1</v>
      </c>
      <c r="I542">
        <v>537</v>
      </c>
      <c r="J542" s="7">
        <v>596.71659999999997</v>
      </c>
      <c r="K542" s="7">
        <v>597.10192133880003</v>
      </c>
      <c r="L542" s="7">
        <v>592.78296998099995</v>
      </c>
      <c r="M542" s="7">
        <v>2.2524529000000001E-3</v>
      </c>
      <c r="N542" s="7">
        <v>596.67613795670002</v>
      </c>
      <c r="O542" s="7">
        <v>597.10192133880003</v>
      </c>
      <c r="P542" s="7">
        <v>592.78296998099995</v>
      </c>
      <c r="Q542" s="7">
        <v>3.1170721862000002</v>
      </c>
      <c r="R542" s="7">
        <v>-321.39449999999999</v>
      </c>
      <c r="S542" s="7">
        <v>1.8794999999999999</v>
      </c>
      <c r="T542" s="7">
        <v>0.53700000000000003</v>
      </c>
      <c r="U542" s="7">
        <v>-323.81099999999998</v>
      </c>
      <c r="V542" s="7" t="s">
        <v>88</v>
      </c>
      <c r="W542" s="11">
        <v>45826.458333333336</v>
      </c>
    </row>
    <row r="543" spans="1:23">
      <c r="A543" t="s">
        <v>89</v>
      </c>
      <c r="B543">
        <v>39</v>
      </c>
      <c r="C543" s="10">
        <v>45828</v>
      </c>
      <c r="D543" s="11">
        <v>45828.458333333336</v>
      </c>
      <c r="E543" s="11">
        <v>45828.458333333336</v>
      </c>
      <c r="F543" t="s">
        <v>106</v>
      </c>
      <c r="G543" t="s">
        <v>109</v>
      </c>
      <c r="H543">
        <v>-1</v>
      </c>
      <c r="I543">
        <v>539</v>
      </c>
      <c r="J543" s="7">
        <v>592.59699999999998</v>
      </c>
      <c r="K543" s="7">
        <v>596.92555170599996</v>
      </c>
      <c r="L543" s="7">
        <v>592.70833919580002</v>
      </c>
      <c r="M543" s="7">
        <v>2.2277613000000001E-3</v>
      </c>
      <c r="N543" s="7">
        <v>594.42711123890001</v>
      </c>
      <c r="O543" s="7">
        <v>596.92555170599996</v>
      </c>
      <c r="P543" s="7">
        <v>592.70833919580002</v>
      </c>
      <c r="Q543" s="7">
        <v>3.1374048268000001</v>
      </c>
      <c r="R543" s="7">
        <v>0</v>
      </c>
      <c r="S543" s="7">
        <v>1.8865000000000001</v>
      </c>
      <c r="T543" s="7">
        <v>0.53900000000000003</v>
      </c>
      <c r="U543" s="7">
        <v>-2.4255</v>
      </c>
      <c r="V543" s="7" t="s">
        <v>110</v>
      </c>
      <c r="W543" s="11">
        <v>45828.4375</v>
      </c>
    </row>
    <row r="544" spans="1:23">
      <c r="A544" t="s">
        <v>89</v>
      </c>
      <c r="B544">
        <v>39</v>
      </c>
      <c r="C544" s="10">
        <v>45828</v>
      </c>
      <c r="D544" s="11">
        <v>45828.479166666664</v>
      </c>
      <c r="E544" s="11">
        <v>45828.479166666664</v>
      </c>
      <c r="F544" t="s">
        <v>108</v>
      </c>
      <c r="G544" t="s">
        <v>107</v>
      </c>
      <c r="H544">
        <v>-1</v>
      </c>
      <c r="I544">
        <v>539</v>
      </c>
      <c r="J544" s="7">
        <v>593.46950000000004</v>
      </c>
      <c r="K544" s="7">
        <v>596.9743849404</v>
      </c>
      <c r="L544" s="7">
        <v>592.65963444010004</v>
      </c>
      <c r="M544" s="7">
        <v>2.3097514000000002E-3</v>
      </c>
      <c r="N544" s="7">
        <v>594.2485326446</v>
      </c>
      <c r="O544" s="7">
        <v>596.9743849404</v>
      </c>
      <c r="P544" s="7">
        <v>592.65963444010004</v>
      </c>
      <c r="Q544" s="7">
        <v>3.1374048268000001</v>
      </c>
      <c r="R544" s="7">
        <v>-470.27749999999997</v>
      </c>
      <c r="S544" s="7">
        <v>1.8865000000000001</v>
      </c>
      <c r="T544" s="7">
        <v>0.53900000000000003</v>
      </c>
      <c r="U544" s="7">
        <v>-472.70299999999997</v>
      </c>
      <c r="V544" s="7" t="s">
        <v>88</v>
      </c>
      <c r="W544" s="11">
        <v>45828.458333333336</v>
      </c>
    </row>
    <row r="545" spans="1:23">
      <c r="A545" t="s">
        <v>89</v>
      </c>
      <c r="B545">
        <v>40</v>
      </c>
      <c r="C545" s="10">
        <v>45828</v>
      </c>
      <c r="D545" s="11">
        <v>45828.5625</v>
      </c>
      <c r="E545" s="11">
        <v>45828.5625</v>
      </c>
      <c r="F545" t="s">
        <v>106</v>
      </c>
      <c r="G545" t="s">
        <v>109</v>
      </c>
      <c r="H545">
        <v>-1</v>
      </c>
      <c r="I545">
        <v>539</v>
      </c>
      <c r="J545" s="7">
        <v>591.71939999999995</v>
      </c>
      <c r="K545" s="7">
        <v>597.29381869830002</v>
      </c>
      <c r="L545" s="7">
        <v>592.34104110149997</v>
      </c>
      <c r="M545" s="7">
        <v>2.8460752000000001E-3</v>
      </c>
      <c r="N545" s="7">
        <v>593.76520741360002</v>
      </c>
      <c r="O545" s="7">
        <v>597.29381869830002</v>
      </c>
      <c r="P545" s="7">
        <v>592.34104110149997</v>
      </c>
      <c r="Q545" s="7">
        <v>3.1374048268000001</v>
      </c>
      <c r="R545" s="7">
        <v>0</v>
      </c>
      <c r="S545" s="7">
        <v>1.8865000000000001</v>
      </c>
      <c r="T545" s="7">
        <v>0.53900000000000003</v>
      </c>
      <c r="U545" s="7">
        <v>-2.4255</v>
      </c>
      <c r="V545" s="7" t="s">
        <v>110</v>
      </c>
      <c r="W545" s="11">
        <v>45828.541666666664</v>
      </c>
    </row>
    <row r="546" spans="1:23">
      <c r="A546" t="s">
        <v>89</v>
      </c>
      <c r="B546">
        <v>40</v>
      </c>
      <c r="C546" s="10">
        <v>45828</v>
      </c>
      <c r="D546" s="11">
        <v>45828.583333333336</v>
      </c>
      <c r="E546" s="11">
        <v>45828.583333333336</v>
      </c>
      <c r="F546" t="s">
        <v>108</v>
      </c>
      <c r="G546" t="s">
        <v>107</v>
      </c>
      <c r="H546">
        <v>-1</v>
      </c>
      <c r="I546">
        <v>539</v>
      </c>
      <c r="J546" s="7">
        <v>592.34770000000003</v>
      </c>
      <c r="K546" s="7">
        <v>597.31582136580005</v>
      </c>
      <c r="L546" s="7">
        <v>592.31909632240001</v>
      </c>
      <c r="M546" s="7">
        <v>2.8830173E-3</v>
      </c>
      <c r="N546" s="7">
        <v>593.62778684950001</v>
      </c>
      <c r="O546" s="7">
        <v>597.31582136580005</v>
      </c>
      <c r="P546" s="7">
        <v>592.31909632240001</v>
      </c>
      <c r="Q546" s="7">
        <v>3.1374048268000001</v>
      </c>
      <c r="R546" s="7">
        <v>-338.65370000000001</v>
      </c>
      <c r="S546" s="7">
        <v>1.8865000000000001</v>
      </c>
      <c r="T546" s="7">
        <v>0.53900000000000003</v>
      </c>
      <c r="U546" s="7">
        <v>-341.07920000000001</v>
      </c>
      <c r="V546" s="7" t="s">
        <v>88</v>
      </c>
      <c r="W546" s="11">
        <v>45828.5625</v>
      </c>
    </row>
    <row r="547" spans="1:23">
      <c r="A547" t="s">
        <v>89</v>
      </c>
      <c r="B547">
        <v>41</v>
      </c>
      <c r="C547" s="10">
        <v>45828</v>
      </c>
      <c r="D547" s="11">
        <v>45828.625</v>
      </c>
      <c r="E547" s="11">
        <v>45828.625</v>
      </c>
      <c r="F547" t="s">
        <v>106</v>
      </c>
      <c r="G547" t="s">
        <v>109</v>
      </c>
      <c r="H547">
        <v>-1</v>
      </c>
      <c r="I547">
        <v>539</v>
      </c>
      <c r="J547" s="7">
        <v>591.84910000000002</v>
      </c>
      <c r="K547" s="7">
        <v>597.68927361960004</v>
      </c>
      <c r="L547" s="7">
        <v>591.94662660879999</v>
      </c>
      <c r="M547" s="7">
        <v>3.5100372000000002E-3</v>
      </c>
      <c r="N547" s="7">
        <v>593.49381483499997</v>
      </c>
      <c r="O547" s="7">
        <v>597.68927361960004</v>
      </c>
      <c r="P547" s="7">
        <v>591.94662660879999</v>
      </c>
      <c r="Q547" s="7">
        <v>3.1374048268000001</v>
      </c>
      <c r="R547" s="7">
        <v>0</v>
      </c>
      <c r="S547" s="7">
        <v>1.8865000000000001</v>
      </c>
      <c r="T547" s="7">
        <v>0.53900000000000003</v>
      </c>
      <c r="U547" s="7">
        <v>-2.4255</v>
      </c>
      <c r="V547" s="7" t="s">
        <v>110</v>
      </c>
      <c r="W547" s="11">
        <v>45828.604166666664</v>
      </c>
    </row>
    <row r="548" spans="1:23">
      <c r="A548" t="s">
        <v>89</v>
      </c>
      <c r="B548">
        <v>41</v>
      </c>
      <c r="C548" s="10">
        <v>45828</v>
      </c>
      <c r="D548" s="11">
        <v>45828.645833333336</v>
      </c>
      <c r="E548" s="11">
        <v>45828.645833333336</v>
      </c>
      <c r="F548" t="s">
        <v>108</v>
      </c>
      <c r="G548" t="s">
        <v>107</v>
      </c>
      <c r="H548">
        <v>-1</v>
      </c>
      <c r="I548">
        <v>539</v>
      </c>
      <c r="J548" s="7">
        <v>591.81920000000002</v>
      </c>
      <c r="K548" s="7">
        <v>598.02331733840003</v>
      </c>
      <c r="L548" s="7">
        <v>591.61346174769994</v>
      </c>
      <c r="M548" s="7">
        <v>4.0708908999999996E-3</v>
      </c>
      <c r="N548" s="7">
        <v>593.35774411199998</v>
      </c>
      <c r="O548" s="7">
        <v>598.02331733840003</v>
      </c>
      <c r="P548" s="7">
        <v>591.61346174769994</v>
      </c>
      <c r="Q548" s="7">
        <v>3.1374048268000001</v>
      </c>
      <c r="R548" s="7">
        <v>16.116099999999999</v>
      </c>
      <c r="S548" s="7">
        <v>1.8865000000000001</v>
      </c>
      <c r="T548" s="7">
        <v>0.53900000000000003</v>
      </c>
      <c r="U548" s="7">
        <v>13.6906</v>
      </c>
      <c r="V548" s="7" t="s">
        <v>88</v>
      </c>
      <c r="W548" s="11">
        <v>45828.625</v>
      </c>
    </row>
    <row r="549" spans="1:23">
      <c r="A549" t="s">
        <v>89</v>
      </c>
      <c r="B549">
        <v>42</v>
      </c>
      <c r="C549" s="10">
        <v>45831</v>
      </c>
      <c r="D549" s="11">
        <v>45831.645833333336</v>
      </c>
      <c r="E549" s="11">
        <v>45831.645833333336</v>
      </c>
      <c r="F549" t="s">
        <v>106</v>
      </c>
      <c r="G549" t="s">
        <v>107</v>
      </c>
      <c r="H549">
        <v>1</v>
      </c>
      <c r="I549">
        <v>532</v>
      </c>
      <c r="J549" s="7">
        <v>597.56320000000005</v>
      </c>
      <c r="K549" s="7">
        <v>597.56149673770005</v>
      </c>
      <c r="L549" s="7">
        <v>590.18549173279996</v>
      </c>
      <c r="M549" s="7">
        <v>4.1362741000000001E-3</v>
      </c>
      <c r="N549" s="7">
        <v>595.07835826849998</v>
      </c>
      <c r="O549" s="7">
        <v>597.56149673770005</v>
      </c>
      <c r="P549" s="7">
        <v>590.18549173279996</v>
      </c>
      <c r="Q549" s="7">
        <v>3.1186035890000001</v>
      </c>
      <c r="R549" s="7">
        <v>0</v>
      </c>
      <c r="S549" s="7">
        <v>1.8620000000000001</v>
      </c>
      <c r="T549" s="7">
        <v>0.53200000000000003</v>
      </c>
      <c r="U549" s="7">
        <v>-2.3940000000000001</v>
      </c>
      <c r="V549" s="7" t="s">
        <v>110</v>
      </c>
      <c r="W549" s="11">
        <v>45831.625</v>
      </c>
    </row>
    <row r="550" spans="1:23">
      <c r="A550" t="s">
        <v>89</v>
      </c>
      <c r="B550">
        <v>42</v>
      </c>
      <c r="C550" s="10">
        <v>45831</v>
      </c>
      <c r="D550" s="11">
        <v>45831.666666666664</v>
      </c>
      <c r="E550" s="11">
        <v>45831.666666666664</v>
      </c>
      <c r="F550" t="s">
        <v>108</v>
      </c>
      <c r="G550" t="s">
        <v>109</v>
      </c>
      <c r="H550">
        <v>1</v>
      </c>
      <c r="I550">
        <v>532</v>
      </c>
      <c r="J550" s="7">
        <v>598.49069999999995</v>
      </c>
      <c r="K550" s="7">
        <v>597.39279335549998</v>
      </c>
      <c r="L550" s="7">
        <v>590.35349682859999</v>
      </c>
      <c r="M550" s="7">
        <v>3.8527867000000002E-3</v>
      </c>
      <c r="N550" s="7">
        <v>595.61287413390005</v>
      </c>
      <c r="O550" s="7">
        <v>597.39279335549998</v>
      </c>
      <c r="P550" s="7">
        <v>590.35349682859999</v>
      </c>
      <c r="Q550" s="7">
        <v>3.1186035890000001</v>
      </c>
      <c r="R550" s="7">
        <v>493.42999999990002</v>
      </c>
      <c r="S550" s="7">
        <v>1.8620000000000001</v>
      </c>
      <c r="T550" s="7">
        <v>0.53200000000000003</v>
      </c>
      <c r="U550" s="7">
        <v>491.03599999990001</v>
      </c>
      <c r="V550" s="7" t="s">
        <v>85</v>
      </c>
      <c r="W550" s="11">
        <v>45831.645833333336</v>
      </c>
    </row>
    <row r="551" spans="1:23">
      <c r="A551" t="s">
        <v>89</v>
      </c>
      <c r="B551">
        <v>43</v>
      </c>
      <c r="C551" s="10">
        <v>45832</v>
      </c>
      <c r="D551" s="11">
        <v>45832.479166666664</v>
      </c>
      <c r="E551" s="11">
        <v>45832.479166666664</v>
      </c>
      <c r="F551" t="s">
        <v>106</v>
      </c>
      <c r="G551" t="s">
        <v>107</v>
      </c>
      <c r="H551">
        <v>1</v>
      </c>
      <c r="I551">
        <v>502</v>
      </c>
      <c r="J551" s="7">
        <v>604.10509999999999</v>
      </c>
      <c r="K551" s="7">
        <v>603.49880293959995</v>
      </c>
      <c r="L551" s="7">
        <v>597.21005581559996</v>
      </c>
      <c r="M551" s="7">
        <v>2.1396229000000002E-3</v>
      </c>
      <c r="N551" s="7">
        <v>602.91799702059996</v>
      </c>
      <c r="O551" s="7">
        <v>603.49880293959995</v>
      </c>
      <c r="P551" s="7">
        <v>597.21005581559996</v>
      </c>
      <c r="Q551" s="7">
        <v>2.9631200486</v>
      </c>
      <c r="R551" s="7">
        <v>0</v>
      </c>
      <c r="S551" s="7">
        <v>1.7569999999999999</v>
      </c>
      <c r="T551" s="7">
        <v>0.502</v>
      </c>
      <c r="U551" s="7">
        <v>-2.2589999999999999</v>
      </c>
      <c r="V551" s="7" t="s">
        <v>110</v>
      </c>
      <c r="W551" s="11">
        <v>45832.458333333336</v>
      </c>
    </row>
    <row r="552" spans="1:23">
      <c r="A552" t="s">
        <v>89</v>
      </c>
      <c r="B552">
        <v>43</v>
      </c>
      <c r="C552" s="10">
        <v>45832</v>
      </c>
      <c r="D552" s="11">
        <v>45832.666666666664</v>
      </c>
      <c r="E552" s="11">
        <v>45832.666666666664</v>
      </c>
      <c r="F552" t="s">
        <v>108</v>
      </c>
      <c r="G552" t="s">
        <v>109</v>
      </c>
      <c r="H552">
        <v>1</v>
      </c>
      <c r="I552">
        <v>502</v>
      </c>
      <c r="J552" s="7">
        <v>605.10239999999999</v>
      </c>
      <c r="K552" s="7">
        <v>604.30751786760004</v>
      </c>
      <c r="L552" s="7">
        <v>596.40633611429996</v>
      </c>
      <c r="M552" s="7">
        <v>3.4825339999999998E-3</v>
      </c>
      <c r="N552" s="7">
        <v>604.30846066610002</v>
      </c>
      <c r="O552" s="7">
        <v>604.30846066610002</v>
      </c>
      <c r="P552" s="7">
        <v>596.40633611429996</v>
      </c>
      <c r="Q552" s="7">
        <v>2.9631200486</v>
      </c>
      <c r="R552" s="7">
        <v>500.64460000000003</v>
      </c>
      <c r="S552" s="7">
        <v>1.7569999999999999</v>
      </c>
      <c r="T552" s="7">
        <v>0.502</v>
      </c>
      <c r="U552" s="7">
        <v>498.38560000000001</v>
      </c>
      <c r="V552" s="7" t="s">
        <v>85</v>
      </c>
      <c r="W552" s="11">
        <v>45832.645833333336</v>
      </c>
    </row>
    <row r="553" spans="1:23">
      <c r="A553" t="s">
        <v>89</v>
      </c>
      <c r="B553">
        <v>44</v>
      </c>
      <c r="C553" s="10">
        <v>45834</v>
      </c>
      <c r="D553" s="11">
        <v>45834.520833333336</v>
      </c>
      <c r="E553" s="11">
        <v>45834.520833333336</v>
      </c>
      <c r="F553" t="s">
        <v>106</v>
      </c>
      <c r="G553" t="s">
        <v>107</v>
      </c>
      <c r="H553">
        <v>1</v>
      </c>
      <c r="I553">
        <v>471</v>
      </c>
      <c r="J553" s="7">
        <v>609.20100000000002</v>
      </c>
      <c r="K553" s="7">
        <v>609.0937288033</v>
      </c>
      <c r="L553" s="7">
        <v>603.88844247580005</v>
      </c>
      <c r="M553" s="7">
        <v>2.5648358E-3</v>
      </c>
      <c r="N553" s="7">
        <v>608.32328420600004</v>
      </c>
      <c r="O553" s="7">
        <v>609.0937288033</v>
      </c>
      <c r="P553" s="7">
        <v>603.88844247580005</v>
      </c>
      <c r="Q553" s="7">
        <v>2.7954728167999998</v>
      </c>
      <c r="R553" s="7">
        <v>0</v>
      </c>
      <c r="S553" s="7">
        <v>1.6485000000000001</v>
      </c>
      <c r="T553" s="7">
        <v>0.47099999999999997</v>
      </c>
      <c r="U553" s="7">
        <v>-2.1194999999999999</v>
      </c>
      <c r="V553" s="7" t="s">
        <v>110</v>
      </c>
      <c r="W553" s="11">
        <v>45834.5</v>
      </c>
    </row>
    <row r="554" spans="1:23">
      <c r="A554" t="s">
        <v>89</v>
      </c>
      <c r="B554">
        <v>44</v>
      </c>
      <c r="C554" s="10">
        <v>45834</v>
      </c>
      <c r="D554" s="11">
        <v>45834.666666666664</v>
      </c>
      <c r="E554" s="11">
        <v>45834.666666666664</v>
      </c>
      <c r="F554" t="s">
        <v>108</v>
      </c>
      <c r="G554" t="s">
        <v>109</v>
      </c>
      <c r="H554">
        <v>1</v>
      </c>
      <c r="I554">
        <v>471</v>
      </c>
      <c r="J554" s="7">
        <v>610.17819999999995</v>
      </c>
      <c r="K554" s="7">
        <v>609.61125469030003</v>
      </c>
      <c r="L554" s="7">
        <v>603.37270052199995</v>
      </c>
      <c r="M554" s="7">
        <v>3.4166804999999998E-3</v>
      </c>
      <c r="N554" s="7">
        <v>609.28205231530001</v>
      </c>
      <c r="O554" s="7">
        <v>609.61125469030003</v>
      </c>
      <c r="P554" s="7">
        <v>603.37270052199995</v>
      </c>
      <c r="Q554" s="7">
        <v>2.7954728167999998</v>
      </c>
      <c r="R554" s="7">
        <v>460.26119999999997</v>
      </c>
      <c r="S554" s="7">
        <v>1.6485000000000001</v>
      </c>
      <c r="T554" s="7">
        <v>0.47099999999999997</v>
      </c>
      <c r="U554" s="7">
        <v>458.14170000000001</v>
      </c>
      <c r="V554" s="7" t="s">
        <v>85</v>
      </c>
      <c r="W554" s="11">
        <v>45834.645833333336</v>
      </c>
    </row>
    <row r="555" spans="1:23">
      <c r="A555" t="s">
        <v>89</v>
      </c>
      <c r="B555">
        <v>45</v>
      </c>
      <c r="C555" s="10">
        <v>45835</v>
      </c>
      <c r="D555" s="11">
        <v>45835.5</v>
      </c>
      <c r="E555" s="11">
        <v>45835.5</v>
      </c>
      <c r="F555" t="s">
        <v>106</v>
      </c>
      <c r="G555" t="s">
        <v>107</v>
      </c>
      <c r="H555">
        <v>1</v>
      </c>
      <c r="I555">
        <v>474</v>
      </c>
      <c r="J555" s="7">
        <v>614.19709999999998</v>
      </c>
      <c r="K555" s="7">
        <v>613.93466185320005</v>
      </c>
      <c r="L555" s="7">
        <v>608.99970761459997</v>
      </c>
      <c r="M555" s="7">
        <v>1.9313905E-3</v>
      </c>
      <c r="N555" s="7">
        <v>613.25316714439998</v>
      </c>
      <c r="O555" s="7">
        <v>613.93466185320005</v>
      </c>
      <c r="P555" s="7">
        <v>608.99970761459997</v>
      </c>
      <c r="Q555" s="7">
        <v>2.8236008789000002</v>
      </c>
      <c r="R555" s="7">
        <v>0</v>
      </c>
      <c r="S555" s="7">
        <v>1.659</v>
      </c>
      <c r="T555" s="7">
        <v>0.47399999999999998</v>
      </c>
      <c r="U555" s="7">
        <v>-2.133</v>
      </c>
      <c r="V555" s="7" t="s">
        <v>110</v>
      </c>
      <c r="W555" s="11">
        <v>45835.479166666664</v>
      </c>
    </row>
    <row r="556" spans="1:23">
      <c r="A556" t="s">
        <v>89</v>
      </c>
      <c r="B556">
        <v>45</v>
      </c>
      <c r="C556" s="10">
        <v>45835</v>
      </c>
      <c r="D556" s="11">
        <v>45835.541666666664</v>
      </c>
      <c r="E556" s="11">
        <v>45835.541666666664</v>
      </c>
      <c r="F556" t="s">
        <v>108</v>
      </c>
      <c r="G556" t="s">
        <v>109</v>
      </c>
      <c r="H556">
        <v>1</v>
      </c>
      <c r="I556">
        <v>474</v>
      </c>
      <c r="J556" s="7">
        <v>614.24199999999996</v>
      </c>
      <c r="K556" s="7">
        <v>614.43449806499996</v>
      </c>
      <c r="L556" s="7">
        <v>608.50197026210003</v>
      </c>
      <c r="M556" s="7">
        <v>2.7471151000000001E-3</v>
      </c>
      <c r="N556" s="7">
        <v>613.48887903479999</v>
      </c>
      <c r="O556" s="7">
        <v>614.43449806499996</v>
      </c>
      <c r="P556" s="7">
        <v>608.50197026210003</v>
      </c>
      <c r="Q556" s="7">
        <v>2.8236008789000002</v>
      </c>
      <c r="R556" s="7">
        <v>21.282599999999999</v>
      </c>
      <c r="S556" s="7">
        <v>1.659</v>
      </c>
      <c r="T556" s="7">
        <v>0.47399999999999998</v>
      </c>
      <c r="U556" s="7">
        <v>19.1496</v>
      </c>
      <c r="V556" s="7" t="s">
        <v>88</v>
      </c>
      <c r="W556" s="11">
        <v>45835.520833333336</v>
      </c>
    </row>
    <row r="557" spans="1:23">
      <c r="A557" t="s">
        <v>89</v>
      </c>
      <c r="B557">
        <v>46</v>
      </c>
      <c r="C557" s="10">
        <v>45840</v>
      </c>
      <c r="D557" s="11">
        <v>45840.4375</v>
      </c>
      <c r="E557" s="11">
        <v>45840.4375</v>
      </c>
      <c r="F557" t="s">
        <v>106</v>
      </c>
      <c r="G557" t="s">
        <v>107</v>
      </c>
      <c r="H557">
        <v>1</v>
      </c>
      <c r="I557">
        <v>495</v>
      </c>
      <c r="J557" s="7">
        <v>616.93949999999995</v>
      </c>
      <c r="K557" s="7">
        <v>616.83306457790002</v>
      </c>
      <c r="L557" s="7">
        <v>614.70284019630003</v>
      </c>
      <c r="M557" s="7">
        <v>1.4463443999999999E-3</v>
      </c>
      <c r="N557" s="7">
        <v>616.26159339150001</v>
      </c>
      <c r="O557" s="7">
        <v>616.83306457790002</v>
      </c>
      <c r="P557" s="7">
        <v>614.70284019630003</v>
      </c>
      <c r="Q557" s="7">
        <v>2.9583947271</v>
      </c>
      <c r="R557" s="7">
        <v>0</v>
      </c>
      <c r="S557" s="7">
        <v>1.7324999999999999</v>
      </c>
      <c r="T557" s="7">
        <v>0.495</v>
      </c>
      <c r="U557" s="7">
        <v>-2.2275</v>
      </c>
      <c r="V557" s="7" t="s">
        <v>110</v>
      </c>
      <c r="W557" s="11">
        <v>45840.416666666664</v>
      </c>
    </row>
    <row r="558" spans="1:23">
      <c r="A558" t="s">
        <v>89</v>
      </c>
      <c r="B558">
        <v>46</v>
      </c>
      <c r="C558" s="10">
        <v>45840</v>
      </c>
      <c r="D558" s="11">
        <v>45840.625</v>
      </c>
      <c r="E558" s="11">
        <v>45840.625</v>
      </c>
      <c r="F558" t="s">
        <v>108</v>
      </c>
      <c r="G558" t="s">
        <v>109</v>
      </c>
      <c r="H558">
        <v>1</v>
      </c>
      <c r="I558">
        <v>495</v>
      </c>
      <c r="J558" s="7">
        <v>618.13400000000001</v>
      </c>
      <c r="K558" s="7">
        <v>618.14230572199995</v>
      </c>
      <c r="L558" s="7">
        <v>613.39434088339999</v>
      </c>
      <c r="M558" s="7">
        <v>3.5719354000000002E-3</v>
      </c>
      <c r="N558" s="7">
        <v>617.18764718989996</v>
      </c>
      <c r="O558" s="7">
        <v>618.14230572199995</v>
      </c>
      <c r="P558" s="7">
        <v>613.39434088339999</v>
      </c>
      <c r="Q558" s="7">
        <v>2.9583947271</v>
      </c>
      <c r="R558" s="7">
        <v>591.27750000000003</v>
      </c>
      <c r="S558" s="7">
        <v>1.7324999999999999</v>
      </c>
      <c r="T558" s="7">
        <v>0.495</v>
      </c>
      <c r="U558" s="7">
        <v>589.04999999999995</v>
      </c>
      <c r="V558" s="7" t="s">
        <v>88</v>
      </c>
      <c r="W558" s="11">
        <v>45840.604166666664</v>
      </c>
    </row>
    <row r="559" spans="1:23">
      <c r="A559" t="s">
        <v>89</v>
      </c>
      <c r="B559">
        <v>47</v>
      </c>
      <c r="C559" s="10">
        <v>45841</v>
      </c>
      <c r="D559" s="11">
        <v>45841.458333333336</v>
      </c>
      <c r="E559" s="11">
        <v>45841.458333333336</v>
      </c>
      <c r="F559" t="s">
        <v>106</v>
      </c>
      <c r="G559" t="s">
        <v>107</v>
      </c>
      <c r="H559">
        <v>1</v>
      </c>
      <c r="I559">
        <v>501</v>
      </c>
      <c r="J559" s="7">
        <v>623.5711</v>
      </c>
      <c r="K559" s="7">
        <v>623.55998768469999</v>
      </c>
      <c r="L559" s="7">
        <v>617.69476304010004</v>
      </c>
      <c r="M559" s="7">
        <v>1.6802637E-3</v>
      </c>
      <c r="N559" s="7">
        <v>622.96996815770001</v>
      </c>
      <c r="O559" s="7">
        <v>623.55998768469999</v>
      </c>
      <c r="P559" s="7">
        <v>617.69476304010004</v>
      </c>
      <c r="Q559" s="7">
        <v>3.0097989035000001</v>
      </c>
      <c r="R559" s="7">
        <v>0</v>
      </c>
      <c r="S559" s="7">
        <v>1.7535000000000001</v>
      </c>
      <c r="T559" s="7">
        <v>0.501</v>
      </c>
      <c r="U559" s="7">
        <v>-2.2545000000000002</v>
      </c>
      <c r="V559" s="7" t="s">
        <v>110</v>
      </c>
      <c r="W559" s="11">
        <v>45841.4375</v>
      </c>
    </row>
    <row r="560" spans="1:23">
      <c r="A560" t="s">
        <v>89</v>
      </c>
      <c r="B560">
        <v>47</v>
      </c>
      <c r="C560" s="10">
        <v>45841</v>
      </c>
      <c r="D560" s="11">
        <v>45841.541666666664</v>
      </c>
      <c r="E560" s="11">
        <v>45841.541666666664</v>
      </c>
      <c r="F560" t="s">
        <v>108</v>
      </c>
      <c r="G560" t="s">
        <v>109</v>
      </c>
      <c r="H560">
        <v>1</v>
      </c>
      <c r="I560">
        <v>501</v>
      </c>
      <c r="J560" s="7">
        <v>623.61099999999999</v>
      </c>
      <c r="K560" s="7">
        <v>624.04862359039998</v>
      </c>
      <c r="L560" s="7">
        <v>617.20909389220003</v>
      </c>
      <c r="M560" s="7">
        <v>2.4652033000000001E-3</v>
      </c>
      <c r="N560" s="7">
        <v>623.44028029260005</v>
      </c>
      <c r="O560" s="7">
        <v>624.04862359039998</v>
      </c>
      <c r="P560" s="7">
        <v>617.20909389220003</v>
      </c>
      <c r="Q560" s="7">
        <v>3.0097989035000001</v>
      </c>
      <c r="R560" s="7">
        <v>19.989899999999999</v>
      </c>
      <c r="S560" s="7">
        <v>1.7535000000000001</v>
      </c>
      <c r="T560" s="7">
        <v>0.501</v>
      </c>
      <c r="U560" s="7">
        <v>17.735399999999998</v>
      </c>
      <c r="V560" s="7" t="s">
        <v>85</v>
      </c>
      <c r="W560" s="11">
        <v>45841.520833333336</v>
      </c>
    </row>
    <row r="561" spans="1:23">
      <c r="A561" t="s">
        <v>89</v>
      </c>
      <c r="B561">
        <v>48</v>
      </c>
      <c r="C561" s="10">
        <v>45845</v>
      </c>
      <c r="D561" s="11">
        <v>45845.458333333336</v>
      </c>
      <c r="E561" s="11">
        <v>45845.458333333336</v>
      </c>
      <c r="F561" t="s">
        <v>106</v>
      </c>
      <c r="G561" t="s">
        <v>109</v>
      </c>
      <c r="H561">
        <v>-1</v>
      </c>
      <c r="I561">
        <v>490</v>
      </c>
      <c r="J561" s="7">
        <v>620.37990000000002</v>
      </c>
      <c r="K561" s="7">
        <v>624.5943417551</v>
      </c>
      <c r="L561" s="7">
        <v>620.8951943971</v>
      </c>
      <c r="M561" s="7">
        <v>1.5768512000000001E-3</v>
      </c>
      <c r="N561" s="7">
        <v>621.25774506760001</v>
      </c>
      <c r="O561" s="7">
        <v>624.5943417551</v>
      </c>
      <c r="P561" s="7">
        <v>620.8951943971</v>
      </c>
      <c r="Q561" s="7">
        <v>2.9439698326000001</v>
      </c>
      <c r="R561" s="7">
        <v>0</v>
      </c>
      <c r="S561" s="7">
        <v>1.7150000000000001</v>
      </c>
      <c r="T561" s="7">
        <v>0.49</v>
      </c>
      <c r="U561" s="7">
        <v>-2.2050000000000001</v>
      </c>
      <c r="V561" s="7" t="s">
        <v>110</v>
      </c>
      <c r="W561" s="11">
        <v>45845.4375</v>
      </c>
    </row>
    <row r="562" spans="1:23">
      <c r="A562" t="s">
        <v>89</v>
      </c>
      <c r="B562">
        <v>48</v>
      </c>
      <c r="C562" s="10">
        <v>45845</v>
      </c>
      <c r="D562" s="11">
        <v>45845.666666666664</v>
      </c>
      <c r="E562" s="11">
        <v>45845.666666666664</v>
      </c>
      <c r="F562" t="s">
        <v>108</v>
      </c>
      <c r="G562" t="s">
        <v>107</v>
      </c>
      <c r="H562">
        <v>-1</v>
      </c>
      <c r="I562">
        <v>490</v>
      </c>
      <c r="J562" s="7">
        <v>618.96389999999997</v>
      </c>
      <c r="K562" s="7">
        <v>625.67822695159998</v>
      </c>
      <c r="L562" s="7">
        <v>619.81432511529999</v>
      </c>
      <c r="M562" s="7">
        <v>3.3149301999999999E-3</v>
      </c>
      <c r="N562" s="7">
        <v>619.00166425290001</v>
      </c>
      <c r="O562" s="7">
        <v>625.67822695159998</v>
      </c>
      <c r="P562" s="7">
        <v>619.00166425290001</v>
      </c>
      <c r="Q562" s="7">
        <v>2.9439698326000001</v>
      </c>
      <c r="R562" s="7">
        <v>693.84</v>
      </c>
      <c r="S562" s="7">
        <v>1.7150000000000001</v>
      </c>
      <c r="T562" s="7">
        <v>0.49</v>
      </c>
      <c r="U562" s="7">
        <v>691.63499999999999</v>
      </c>
      <c r="V562" s="7" t="s">
        <v>85</v>
      </c>
      <c r="W562" s="11">
        <v>45845.645833333336</v>
      </c>
    </row>
    <row r="563" spans="1:23">
      <c r="A563" t="s">
        <v>89</v>
      </c>
      <c r="B563">
        <v>49</v>
      </c>
      <c r="C563" s="10">
        <v>45848</v>
      </c>
      <c r="D563" s="11">
        <v>45848.479166666664</v>
      </c>
      <c r="E563" s="11">
        <v>45848.479166666664</v>
      </c>
      <c r="F563" t="s">
        <v>106</v>
      </c>
      <c r="G563" t="s">
        <v>107</v>
      </c>
      <c r="H563">
        <v>1</v>
      </c>
      <c r="I563">
        <v>643</v>
      </c>
      <c r="J563" s="7">
        <v>623.78060000000005</v>
      </c>
      <c r="K563" s="7">
        <v>623.44597228309999</v>
      </c>
      <c r="L563" s="7">
        <v>620.5262743257</v>
      </c>
      <c r="M563" s="7">
        <v>1.7859725E-3</v>
      </c>
      <c r="N563" s="7">
        <v>622.47535658499999</v>
      </c>
      <c r="O563" s="7">
        <v>623.44597228309999</v>
      </c>
      <c r="P563" s="7">
        <v>620.5262743257</v>
      </c>
      <c r="Q563" s="7">
        <v>3.8361659791</v>
      </c>
      <c r="R563" s="7">
        <v>0</v>
      </c>
      <c r="S563" s="7">
        <v>2.2505000000000002</v>
      </c>
      <c r="T563" s="7">
        <v>0.64300000000000002</v>
      </c>
      <c r="U563" s="7">
        <v>-2.8935</v>
      </c>
      <c r="V563" s="7" t="s">
        <v>110</v>
      </c>
      <c r="W563" s="11">
        <v>45848.458333333336</v>
      </c>
    </row>
    <row r="564" spans="1:23">
      <c r="A564" t="s">
        <v>89</v>
      </c>
      <c r="B564">
        <v>49</v>
      </c>
      <c r="C564" s="10">
        <v>45848</v>
      </c>
      <c r="D564" s="11">
        <v>45848.520833333336</v>
      </c>
      <c r="E564" s="11">
        <v>45848.520833333336</v>
      </c>
      <c r="F564" t="s">
        <v>108</v>
      </c>
      <c r="G564" t="s">
        <v>109</v>
      </c>
      <c r="H564">
        <v>1</v>
      </c>
      <c r="I564">
        <v>643</v>
      </c>
      <c r="J564" s="7">
        <v>623.84040000000005</v>
      </c>
      <c r="K564" s="7">
        <v>623.98888160050001</v>
      </c>
      <c r="L564" s="7">
        <v>619.9839739263</v>
      </c>
      <c r="M564" s="7">
        <v>2.6583479E-3</v>
      </c>
      <c r="N564" s="7">
        <v>622.77349170269997</v>
      </c>
      <c r="O564" s="7">
        <v>623.98888160050001</v>
      </c>
      <c r="P564" s="7">
        <v>619.9839739263</v>
      </c>
      <c r="Q564" s="7">
        <v>3.8361659791</v>
      </c>
      <c r="R564" s="7">
        <v>38.4514</v>
      </c>
      <c r="S564" s="7">
        <v>2.2505000000000002</v>
      </c>
      <c r="T564" s="7">
        <v>0.64300000000000002</v>
      </c>
      <c r="U564" s="7">
        <v>35.557899999999997</v>
      </c>
      <c r="V564" s="7" t="s">
        <v>88</v>
      </c>
      <c r="W564" s="11">
        <v>45848.5</v>
      </c>
    </row>
    <row r="565" spans="1:23">
      <c r="A565" t="s">
        <v>89</v>
      </c>
      <c r="B565">
        <v>50</v>
      </c>
      <c r="C565" s="10">
        <v>45848</v>
      </c>
      <c r="D565" s="11">
        <v>45848.5625</v>
      </c>
      <c r="E565" s="11">
        <v>45848.5625</v>
      </c>
      <c r="F565" t="s">
        <v>106</v>
      </c>
      <c r="G565" t="s">
        <v>107</v>
      </c>
      <c r="H565">
        <v>1</v>
      </c>
      <c r="I565">
        <v>643</v>
      </c>
      <c r="J565" s="7">
        <v>624.35889999999995</v>
      </c>
      <c r="K565" s="7">
        <v>623.95787212740004</v>
      </c>
      <c r="L565" s="7">
        <v>620.01494861979995</v>
      </c>
      <c r="M565" s="7">
        <v>2.6085202000000001E-3</v>
      </c>
      <c r="N565" s="7">
        <v>622.98061964470003</v>
      </c>
      <c r="O565" s="7">
        <v>623.95787212740004</v>
      </c>
      <c r="P565" s="7">
        <v>620.01494861979995</v>
      </c>
      <c r="Q565" s="7">
        <v>3.8361659791</v>
      </c>
      <c r="R565" s="7">
        <v>0</v>
      </c>
      <c r="S565" s="7">
        <v>2.2505000000000002</v>
      </c>
      <c r="T565" s="7">
        <v>0.64300000000000002</v>
      </c>
      <c r="U565" s="7">
        <v>-2.8935</v>
      </c>
      <c r="V565" s="7" t="s">
        <v>110</v>
      </c>
      <c r="W565" s="11">
        <v>45848.541666666664</v>
      </c>
    </row>
    <row r="566" spans="1:23">
      <c r="A566" t="s">
        <v>89</v>
      </c>
      <c r="B566">
        <v>50</v>
      </c>
      <c r="C566" s="10">
        <v>45848</v>
      </c>
      <c r="D566" s="11">
        <v>45848.645833333336</v>
      </c>
      <c r="E566" s="11">
        <v>45848.645833333336</v>
      </c>
      <c r="F566" t="s">
        <v>108</v>
      </c>
      <c r="G566" t="s">
        <v>109</v>
      </c>
      <c r="H566">
        <v>1</v>
      </c>
      <c r="I566">
        <v>643</v>
      </c>
      <c r="J566" s="7">
        <v>624.48850000000004</v>
      </c>
      <c r="K566" s="7">
        <v>624.52648318419995</v>
      </c>
      <c r="L566" s="7">
        <v>619.44697530760004</v>
      </c>
      <c r="M566" s="7">
        <v>3.5221946E-3</v>
      </c>
      <c r="N566" s="7">
        <v>623.50548751509996</v>
      </c>
      <c r="O566" s="7">
        <v>624.52648318419995</v>
      </c>
      <c r="P566" s="7">
        <v>619.44697530760004</v>
      </c>
      <c r="Q566" s="7">
        <v>3.8361659791</v>
      </c>
      <c r="R566" s="7">
        <v>83.332800000099994</v>
      </c>
      <c r="S566" s="7">
        <v>2.2505000000000002</v>
      </c>
      <c r="T566" s="7">
        <v>0.64300000000000002</v>
      </c>
      <c r="U566" s="7">
        <v>80.439300000100005</v>
      </c>
      <c r="V566" s="7" t="s">
        <v>88</v>
      </c>
      <c r="W566" s="11">
        <v>45848.625</v>
      </c>
    </row>
    <row r="567" spans="1:23">
      <c r="A567" t="s">
        <v>89</v>
      </c>
      <c r="B567">
        <v>51</v>
      </c>
      <c r="C567" s="10">
        <v>45853</v>
      </c>
      <c r="D567" s="11">
        <v>45853.541666666664</v>
      </c>
      <c r="E567" s="11">
        <v>45853.541666666664</v>
      </c>
      <c r="F567" t="s">
        <v>106</v>
      </c>
      <c r="G567" t="s">
        <v>109</v>
      </c>
      <c r="H567">
        <v>-1</v>
      </c>
      <c r="I567">
        <v>669</v>
      </c>
      <c r="J567" s="7">
        <v>621.447</v>
      </c>
      <c r="K567" s="7">
        <v>625.56275177290001</v>
      </c>
      <c r="L567" s="7">
        <v>621.49191392329999</v>
      </c>
      <c r="M567" s="7">
        <v>2.5526095000000001E-3</v>
      </c>
      <c r="N567" s="7">
        <v>622.99899845820005</v>
      </c>
      <c r="O567" s="7">
        <v>625.56275177290001</v>
      </c>
      <c r="P567" s="7">
        <v>621.49191392329999</v>
      </c>
      <c r="Q567" s="7">
        <v>4</v>
      </c>
      <c r="R567" s="7">
        <v>0</v>
      </c>
      <c r="S567" s="7">
        <v>2.3414999999999999</v>
      </c>
      <c r="T567" s="7">
        <v>0.66900000000000004</v>
      </c>
      <c r="U567" s="7">
        <v>-3.0105</v>
      </c>
      <c r="V567" s="7" t="s">
        <v>110</v>
      </c>
      <c r="W567" s="11">
        <v>45853.520833333336</v>
      </c>
    </row>
    <row r="568" spans="1:23">
      <c r="A568" t="s">
        <v>89</v>
      </c>
      <c r="B568">
        <v>51</v>
      </c>
      <c r="C568" s="10">
        <v>45853</v>
      </c>
      <c r="D568" s="11">
        <v>45853.5625</v>
      </c>
      <c r="E568" s="11">
        <v>45853.5625</v>
      </c>
      <c r="F568" t="s">
        <v>108</v>
      </c>
      <c r="G568" t="s">
        <v>107</v>
      </c>
      <c r="H568">
        <v>-1</v>
      </c>
      <c r="I568">
        <v>669</v>
      </c>
      <c r="J568" s="7">
        <v>622.12509999999997</v>
      </c>
      <c r="K568" s="7">
        <v>625.62725349970003</v>
      </c>
      <c r="L568" s="7">
        <v>621.42750395049995</v>
      </c>
      <c r="M568" s="7">
        <v>2.6559827000000001E-3</v>
      </c>
      <c r="N568" s="7">
        <v>622.90586683619995</v>
      </c>
      <c r="O568" s="7">
        <v>625.62725349970003</v>
      </c>
      <c r="P568" s="7">
        <v>621.42750395049995</v>
      </c>
      <c r="Q568" s="7">
        <v>4</v>
      </c>
      <c r="R568" s="7">
        <v>-453.64890000000003</v>
      </c>
      <c r="S568" s="7">
        <v>2.3414999999999999</v>
      </c>
      <c r="T568" s="7">
        <v>0.66900000000000004</v>
      </c>
      <c r="U568" s="7">
        <v>-456.65940000000001</v>
      </c>
      <c r="V568" s="7" t="s">
        <v>88</v>
      </c>
      <c r="W568" s="11">
        <v>45853.541666666664</v>
      </c>
    </row>
    <row r="569" spans="1:23">
      <c r="A569" t="s">
        <v>89</v>
      </c>
      <c r="B569">
        <v>52</v>
      </c>
      <c r="C569" s="10">
        <v>45854</v>
      </c>
      <c r="D569" s="11">
        <v>45854.625</v>
      </c>
      <c r="E569" s="11">
        <v>45854.625</v>
      </c>
      <c r="F569" t="s">
        <v>106</v>
      </c>
      <c r="G569" t="s">
        <v>107</v>
      </c>
      <c r="H569">
        <v>1</v>
      </c>
      <c r="I569">
        <v>670</v>
      </c>
      <c r="J569" s="7">
        <v>622.60379999999998</v>
      </c>
      <c r="K569" s="7">
        <v>622.30286872470003</v>
      </c>
      <c r="L569" s="7">
        <v>618.44730352850002</v>
      </c>
      <c r="M569" s="7">
        <v>3.0351524999999999E-3</v>
      </c>
      <c r="N569" s="7">
        <v>620.43848780810004</v>
      </c>
      <c r="O569" s="7">
        <v>622.30286872470003</v>
      </c>
      <c r="P569" s="7">
        <v>618.44730352850002</v>
      </c>
      <c r="Q569" s="7">
        <v>4</v>
      </c>
      <c r="R569" s="7">
        <v>0</v>
      </c>
      <c r="S569" s="7">
        <v>2.3450000000000002</v>
      </c>
      <c r="T569" s="7">
        <v>0.67</v>
      </c>
      <c r="U569" s="7">
        <v>-3.0150000000000001</v>
      </c>
      <c r="V569" s="7" t="s">
        <v>110</v>
      </c>
      <c r="W569" s="11">
        <v>45854.604166666664</v>
      </c>
    </row>
    <row r="570" spans="1:23">
      <c r="A570" t="s">
        <v>89</v>
      </c>
      <c r="B570">
        <v>52</v>
      </c>
      <c r="C570" s="10">
        <v>45854</v>
      </c>
      <c r="D570" s="11">
        <v>45854.666666666664</v>
      </c>
      <c r="E570" s="11">
        <v>45854.666666666664</v>
      </c>
      <c r="F570" t="s">
        <v>108</v>
      </c>
      <c r="G570" t="s">
        <v>109</v>
      </c>
      <c r="H570">
        <v>1</v>
      </c>
      <c r="I570">
        <v>670</v>
      </c>
      <c r="J570" s="7">
        <v>622.4941</v>
      </c>
      <c r="K570" s="7">
        <v>622.05698436759997</v>
      </c>
      <c r="L570" s="7">
        <v>618.69315233580005</v>
      </c>
      <c r="M570" s="7">
        <v>2.6388331999999998E-3</v>
      </c>
      <c r="N570" s="7">
        <v>620.72906325830002</v>
      </c>
      <c r="O570" s="7">
        <v>622.05698436759997</v>
      </c>
      <c r="P570" s="7">
        <v>618.69315233580005</v>
      </c>
      <c r="Q570" s="7">
        <v>4</v>
      </c>
      <c r="R570" s="7">
        <v>-73.498999999999995</v>
      </c>
      <c r="S570" s="7">
        <v>2.3450000000000002</v>
      </c>
      <c r="T570" s="7">
        <v>0.67</v>
      </c>
      <c r="U570" s="7">
        <v>-76.513999999999996</v>
      </c>
      <c r="V570" s="7" t="s">
        <v>85</v>
      </c>
      <c r="W570" s="11">
        <v>45854.645833333336</v>
      </c>
    </row>
    <row r="571" spans="1:23">
      <c r="A571" t="s">
        <v>89</v>
      </c>
      <c r="B571">
        <v>53</v>
      </c>
      <c r="C571" s="10">
        <v>45855</v>
      </c>
      <c r="D571" s="11">
        <v>45855.5</v>
      </c>
      <c r="E571" s="11">
        <v>45855.5</v>
      </c>
      <c r="F571" t="s">
        <v>106</v>
      </c>
      <c r="G571" t="s">
        <v>107</v>
      </c>
      <c r="H571">
        <v>1</v>
      </c>
      <c r="I571">
        <v>665</v>
      </c>
      <c r="J571" s="7">
        <v>625.48080000000004</v>
      </c>
      <c r="K571" s="7">
        <v>625.31235213590003</v>
      </c>
      <c r="L571" s="7">
        <v>621.32424000649996</v>
      </c>
      <c r="M571" s="7">
        <v>1.8791506E-3</v>
      </c>
      <c r="N571" s="7">
        <v>624.41869644070005</v>
      </c>
      <c r="O571" s="7">
        <v>625.31235213590003</v>
      </c>
      <c r="P571" s="7">
        <v>621.32424000649996</v>
      </c>
      <c r="Q571" s="7">
        <v>4</v>
      </c>
      <c r="R571" s="7">
        <v>0</v>
      </c>
      <c r="S571" s="7">
        <v>2.3275000000000001</v>
      </c>
      <c r="T571" s="7">
        <v>0.66500000000000004</v>
      </c>
      <c r="U571" s="7">
        <v>-2.9925000000000002</v>
      </c>
      <c r="V571" s="7" t="s">
        <v>110</v>
      </c>
      <c r="W571" s="11">
        <v>45855.479166666664</v>
      </c>
    </row>
    <row r="572" spans="1:23">
      <c r="A572" t="s">
        <v>89</v>
      </c>
      <c r="B572">
        <v>53</v>
      </c>
      <c r="C572" s="10">
        <v>45855</v>
      </c>
      <c r="D572" s="11">
        <v>45855.520833333336</v>
      </c>
      <c r="E572" s="11">
        <v>45855.520833333336</v>
      </c>
      <c r="F572" t="s">
        <v>108</v>
      </c>
      <c r="G572" t="s">
        <v>109</v>
      </c>
      <c r="H572">
        <v>1</v>
      </c>
      <c r="I572">
        <v>665</v>
      </c>
      <c r="J572" s="7">
        <v>625.1069</v>
      </c>
      <c r="K572" s="7">
        <v>625.56203568390004</v>
      </c>
      <c r="L572" s="7">
        <v>621.0752147316</v>
      </c>
      <c r="M572" s="7">
        <v>2.2791951E-3</v>
      </c>
      <c r="N572" s="7">
        <v>624.51060359999997</v>
      </c>
      <c r="O572" s="7">
        <v>625.56203568390004</v>
      </c>
      <c r="P572" s="7">
        <v>621.0752147316</v>
      </c>
      <c r="Q572" s="7">
        <v>4</v>
      </c>
      <c r="R572" s="7">
        <v>-248.64349999999999</v>
      </c>
      <c r="S572" s="7">
        <v>2.3275000000000001</v>
      </c>
      <c r="T572" s="7">
        <v>0.66500000000000004</v>
      </c>
      <c r="U572" s="7">
        <v>-251.636</v>
      </c>
      <c r="V572" s="7" t="s">
        <v>88</v>
      </c>
      <c r="W572" s="11">
        <v>45855.5</v>
      </c>
    </row>
    <row r="573" spans="1:23">
      <c r="A573" t="s">
        <v>89</v>
      </c>
      <c r="B573">
        <v>54</v>
      </c>
      <c r="C573" s="10">
        <v>45855</v>
      </c>
      <c r="D573" s="11">
        <v>45855.604166666664</v>
      </c>
      <c r="E573" s="11">
        <v>45855.604166666664</v>
      </c>
      <c r="F573" t="s">
        <v>106</v>
      </c>
      <c r="G573" t="s">
        <v>107</v>
      </c>
      <c r="H573">
        <v>1</v>
      </c>
      <c r="I573">
        <v>665</v>
      </c>
      <c r="J573" s="7">
        <v>626.10410000000002</v>
      </c>
      <c r="K573" s="7">
        <v>625.99905635990001</v>
      </c>
      <c r="L573" s="7">
        <v>620.63934623</v>
      </c>
      <c r="M573" s="7">
        <v>2.9793922E-3</v>
      </c>
      <c r="N573" s="7">
        <v>624.82256470489995</v>
      </c>
      <c r="O573" s="7">
        <v>625.99905635990001</v>
      </c>
      <c r="P573" s="7">
        <v>620.63934623</v>
      </c>
      <c r="Q573" s="7">
        <v>4</v>
      </c>
      <c r="R573" s="7">
        <v>0</v>
      </c>
      <c r="S573" s="7">
        <v>2.3275000000000001</v>
      </c>
      <c r="T573" s="7">
        <v>0.66500000000000004</v>
      </c>
      <c r="U573" s="7">
        <v>-2.9925000000000002</v>
      </c>
      <c r="V573" s="7" t="s">
        <v>110</v>
      </c>
      <c r="W573" s="11">
        <v>45855.583333333336</v>
      </c>
    </row>
    <row r="574" spans="1:23">
      <c r="A574" t="s">
        <v>89</v>
      </c>
      <c r="B574">
        <v>54</v>
      </c>
      <c r="C574" s="10">
        <v>45855</v>
      </c>
      <c r="D574" s="11">
        <v>45855.666666666664</v>
      </c>
      <c r="E574" s="11">
        <v>45855.666666666664</v>
      </c>
      <c r="F574" t="s">
        <v>108</v>
      </c>
      <c r="G574" t="s">
        <v>109</v>
      </c>
      <c r="H574">
        <v>1</v>
      </c>
      <c r="I574">
        <v>665</v>
      </c>
      <c r="J574" s="7">
        <v>626.30349999999999</v>
      </c>
      <c r="K574" s="7">
        <v>625.86952091579997</v>
      </c>
      <c r="L574" s="7">
        <v>620.76854016300001</v>
      </c>
      <c r="M574" s="7">
        <v>2.7718497000000001E-3</v>
      </c>
      <c r="N574" s="7">
        <v>625.40575317540004</v>
      </c>
      <c r="O574" s="7">
        <v>625.86952091579997</v>
      </c>
      <c r="P574" s="7">
        <v>620.76854016300001</v>
      </c>
      <c r="Q574" s="7">
        <v>4</v>
      </c>
      <c r="R574" s="7">
        <v>132.601</v>
      </c>
      <c r="S574" s="7">
        <v>2.3275000000000001</v>
      </c>
      <c r="T574" s="7">
        <v>0.66500000000000004</v>
      </c>
      <c r="U574" s="7">
        <v>129.60849999999999</v>
      </c>
      <c r="V574" s="7" t="s">
        <v>85</v>
      </c>
      <c r="W574" s="11">
        <v>45855.645833333336</v>
      </c>
    </row>
    <row r="575" spans="1:23">
      <c r="A575" t="s">
        <v>89</v>
      </c>
      <c r="B575">
        <v>55</v>
      </c>
      <c r="C575" s="10">
        <v>45856</v>
      </c>
      <c r="D575" s="11">
        <v>45856.4375</v>
      </c>
      <c r="E575" s="11">
        <v>45856.4375</v>
      </c>
      <c r="F575" t="s">
        <v>106</v>
      </c>
      <c r="G575" t="s">
        <v>109</v>
      </c>
      <c r="H575">
        <v>-1</v>
      </c>
      <c r="I575">
        <v>661</v>
      </c>
      <c r="J575" s="7">
        <v>625.64530000000002</v>
      </c>
      <c r="K575" s="7">
        <v>628.04323011389999</v>
      </c>
      <c r="L575" s="7">
        <v>625.76150549390002</v>
      </c>
      <c r="M575" s="7">
        <v>8.6538640000000003E-4</v>
      </c>
      <c r="N575" s="7">
        <v>626.62694202299997</v>
      </c>
      <c r="O575" s="7">
        <v>628.04323011389999</v>
      </c>
      <c r="P575" s="7">
        <v>625.76150549390002</v>
      </c>
      <c r="Q575" s="7">
        <v>4</v>
      </c>
      <c r="R575" s="7">
        <v>0</v>
      </c>
      <c r="S575" s="7">
        <v>2.3134999999999999</v>
      </c>
      <c r="T575" s="7">
        <v>0.66100000000000003</v>
      </c>
      <c r="U575" s="7">
        <v>-2.9744999999999999</v>
      </c>
      <c r="V575" s="7" t="s">
        <v>110</v>
      </c>
      <c r="W575" s="11">
        <v>45856.416666666664</v>
      </c>
    </row>
    <row r="576" spans="1:23">
      <c r="A576" t="s">
        <v>89</v>
      </c>
      <c r="B576">
        <v>55</v>
      </c>
      <c r="C576" s="10">
        <v>45856</v>
      </c>
      <c r="D576" s="11">
        <v>45856.458333333336</v>
      </c>
      <c r="E576" s="11">
        <v>45856.458333333336</v>
      </c>
      <c r="F576" t="s">
        <v>108</v>
      </c>
      <c r="G576" t="s">
        <v>107</v>
      </c>
      <c r="H576">
        <v>-1</v>
      </c>
      <c r="I576">
        <v>661</v>
      </c>
      <c r="J576" s="7">
        <v>625.43589999999995</v>
      </c>
      <c r="K576" s="7">
        <v>628.46648010909996</v>
      </c>
      <c r="L576" s="7">
        <v>625.33906267500004</v>
      </c>
      <c r="M576" s="7">
        <v>1.5398880999999999E-3</v>
      </c>
      <c r="N576" s="7">
        <v>626.37361205929994</v>
      </c>
      <c r="O576" s="7">
        <v>628.46648010909996</v>
      </c>
      <c r="P576" s="7">
        <v>625.33906267500004</v>
      </c>
      <c r="Q576" s="7">
        <v>4</v>
      </c>
      <c r="R576" s="7">
        <v>138.4134</v>
      </c>
      <c r="S576" s="7">
        <v>2.3134999999999999</v>
      </c>
      <c r="T576" s="7">
        <v>0.66100000000000003</v>
      </c>
      <c r="U576" s="7">
        <v>135.43889999999999</v>
      </c>
      <c r="V576" s="7" t="s">
        <v>88</v>
      </c>
      <c r="W576" s="11">
        <v>45856.4375</v>
      </c>
    </row>
    <row r="577" spans="1:23">
      <c r="A577" t="s">
        <v>89</v>
      </c>
      <c r="B577">
        <v>56</v>
      </c>
      <c r="C577" s="10">
        <v>45861</v>
      </c>
      <c r="D577" s="11">
        <v>45861.4375</v>
      </c>
      <c r="E577" s="11">
        <v>45861.4375</v>
      </c>
      <c r="F577" t="s">
        <v>106</v>
      </c>
      <c r="G577" t="s">
        <v>107</v>
      </c>
      <c r="H577">
        <v>1</v>
      </c>
      <c r="I577">
        <v>661</v>
      </c>
      <c r="J577" s="7">
        <v>628.99609999999996</v>
      </c>
      <c r="K577" s="7">
        <v>628.88232014790003</v>
      </c>
      <c r="L577" s="7">
        <v>626.45833947530002</v>
      </c>
      <c r="M577" s="7">
        <v>1.0569895000000001E-3</v>
      </c>
      <c r="N577" s="7">
        <v>628.50008092079997</v>
      </c>
      <c r="O577" s="7">
        <v>628.88232014790003</v>
      </c>
      <c r="P577" s="7">
        <v>626.45833947530002</v>
      </c>
      <c r="Q577" s="7">
        <v>4</v>
      </c>
      <c r="R577" s="7">
        <v>0</v>
      </c>
      <c r="S577" s="7">
        <v>2.3134999999999999</v>
      </c>
      <c r="T577" s="7">
        <v>0.66100000000000003</v>
      </c>
      <c r="U577" s="7">
        <v>-2.9744999999999999</v>
      </c>
      <c r="V577" s="7" t="s">
        <v>110</v>
      </c>
      <c r="W577" s="11">
        <v>45861.416666666664</v>
      </c>
    </row>
    <row r="578" spans="1:23">
      <c r="A578" t="s">
        <v>89</v>
      </c>
      <c r="B578">
        <v>56</v>
      </c>
      <c r="C578" s="10">
        <v>45861</v>
      </c>
      <c r="D578" s="11">
        <v>45861.458333333336</v>
      </c>
      <c r="E578" s="11">
        <v>45861.458333333336</v>
      </c>
      <c r="F578" t="s">
        <v>108</v>
      </c>
      <c r="G578" t="s">
        <v>109</v>
      </c>
      <c r="H578">
        <v>1</v>
      </c>
      <c r="I578">
        <v>661</v>
      </c>
      <c r="J578" s="7">
        <v>628.98609999999996</v>
      </c>
      <c r="K578" s="7">
        <v>629.333154401</v>
      </c>
      <c r="L578" s="7">
        <v>626.00829254450002</v>
      </c>
      <c r="M578" s="7">
        <v>1.774629E-3</v>
      </c>
      <c r="N578" s="7">
        <v>628.59499262869997</v>
      </c>
      <c r="O578" s="7">
        <v>629.333154401</v>
      </c>
      <c r="P578" s="7">
        <v>626.00829254450002</v>
      </c>
      <c r="Q578" s="7">
        <v>4</v>
      </c>
      <c r="R578" s="7">
        <v>-6.61</v>
      </c>
      <c r="S578" s="7">
        <v>2.3134999999999999</v>
      </c>
      <c r="T578" s="7">
        <v>0.66100000000000003</v>
      </c>
      <c r="U578" s="7">
        <v>-9.5845000000000002</v>
      </c>
      <c r="V578" s="7" t="s">
        <v>88</v>
      </c>
      <c r="W578" s="11">
        <v>45861.4375</v>
      </c>
    </row>
    <row r="579" spans="1:23">
      <c r="A579" t="s">
        <v>89</v>
      </c>
      <c r="B579">
        <v>57</v>
      </c>
      <c r="C579" s="10">
        <v>45861</v>
      </c>
      <c r="D579" s="11">
        <v>45861.5</v>
      </c>
      <c r="E579" s="11">
        <v>45861.5</v>
      </c>
      <c r="F579" t="s">
        <v>106</v>
      </c>
      <c r="G579" t="s">
        <v>107</v>
      </c>
      <c r="H579">
        <v>1</v>
      </c>
      <c r="I579">
        <v>661</v>
      </c>
      <c r="J579" s="7">
        <v>630.22270000000003</v>
      </c>
      <c r="K579" s="7">
        <v>629.44730508639998</v>
      </c>
      <c r="L579" s="7">
        <v>625.89434120809995</v>
      </c>
      <c r="M579" s="7">
        <v>1.9563343999999998E-3</v>
      </c>
      <c r="N579" s="7">
        <v>629.07565195999996</v>
      </c>
      <c r="O579" s="7">
        <v>629.44730508639998</v>
      </c>
      <c r="P579" s="7">
        <v>625.89434120809995</v>
      </c>
      <c r="Q579" s="7">
        <v>4</v>
      </c>
      <c r="R579" s="7">
        <v>0</v>
      </c>
      <c r="S579" s="7">
        <v>2.3134999999999999</v>
      </c>
      <c r="T579" s="7">
        <v>0.66100000000000003</v>
      </c>
      <c r="U579" s="7">
        <v>-2.9744999999999999</v>
      </c>
      <c r="V579" s="7" t="s">
        <v>110</v>
      </c>
      <c r="W579" s="11">
        <v>45861.479166666664</v>
      </c>
    </row>
    <row r="580" spans="1:23">
      <c r="A580" t="s">
        <v>89</v>
      </c>
      <c r="B580">
        <v>57</v>
      </c>
      <c r="C580" s="10">
        <v>45861</v>
      </c>
      <c r="D580" s="11">
        <v>45861.666666666664</v>
      </c>
      <c r="E580" s="11">
        <v>45861.666666666664</v>
      </c>
      <c r="F580" t="s">
        <v>108</v>
      </c>
      <c r="G580" t="s">
        <v>109</v>
      </c>
      <c r="H580">
        <v>1</v>
      </c>
      <c r="I580">
        <v>661</v>
      </c>
      <c r="J580" s="7">
        <v>632.45650000000001</v>
      </c>
      <c r="K580" s="7">
        <v>630.17072247780004</v>
      </c>
      <c r="L580" s="7">
        <v>625.17218716929995</v>
      </c>
      <c r="M580" s="7">
        <v>3.1078727E-3</v>
      </c>
      <c r="N580" s="7">
        <v>630.48267975889996</v>
      </c>
      <c r="O580" s="7">
        <v>630.48267975889996</v>
      </c>
      <c r="P580" s="7">
        <v>625.17218716929995</v>
      </c>
      <c r="Q580" s="7">
        <v>4</v>
      </c>
      <c r="R580" s="7">
        <v>1476.5418</v>
      </c>
      <c r="S580" s="7">
        <v>2.3134999999999999</v>
      </c>
      <c r="T580" s="7">
        <v>0.66100000000000003</v>
      </c>
      <c r="U580" s="7">
        <v>1473.5672999999999</v>
      </c>
      <c r="V580" s="7" t="s">
        <v>85</v>
      </c>
      <c r="W580" s="11">
        <v>45861.645833333336</v>
      </c>
    </row>
    <row r="581" spans="1:23">
      <c r="A581" t="s">
        <v>89</v>
      </c>
      <c r="B581">
        <v>58</v>
      </c>
      <c r="C581" s="10">
        <v>45863</v>
      </c>
      <c r="D581" s="11">
        <v>45863.520833333336</v>
      </c>
      <c r="E581" s="11">
        <v>45863.520833333336</v>
      </c>
      <c r="F581" t="s">
        <v>106</v>
      </c>
      <c r="G581" t="s">
        <v>107</v>
      </c>
      <c r="H581">
        <v>1</v>
      </c>
      <c r="I581">
        <v>665</v>
      </c>
      <c r="J581" s="7">
        <v>635.00450000000001</v>
      </c>
      <c r="K581" s="7">
        <v>634.88155851819999</v>
      </c>
      <c r="L581" s="7">
        <v>631.31948773390002</v>
      </c>
      <c r="M581" s="7">
        <v>2.1279990999999998E-3</v>
      </c>
      <c r="N581" s="7">
        <v>634.08592780740003</v>
      </c>
      <c r="O581" s="7">
        <v>634.88155851819999</v>
      </c>
      <c r="P581" s="7">
        <v>631.31948773390002</v>
      </c>
      <c r="Q581" s="7">
        <v>4</v>
      </c>
      <c r="R581" s="7">
        <v>0</v>
      </c>
      <c r="S581" s="7">
        <v>2.3275000000000001</v>
      </c>
      <c r="T581" s="7">
        <v>0.66500000000000004</v>
      </c>
      <c r="U581" s="7">
        <v>-2.9925000000000002</v>
      </c>
      <c r="V581" s="7" t="s">
        <v>110</v>
      </c>
      <c r="W581" s="11">
        <v>45863.5</v>
      </c>
    </row>
    <row r="582" spans="1:23">
      <c r="A582" t="s">
        <v>89</v>
      </c>
      <c r="B582">
        <v>58</v>
      </c>
      <c r="C582" s="10">
        <v>45863</v>
      </c>
      <c r="D582" s="11">
        <v>45863.541666666664</v>
      </c>
      <c r="E582" s="11">
        <v>45863.541666666664</v>
      </c>
      <c r="F582" t="s">
        <v>108</v>
      </c>
      <c r="G582" t="s">
        <v>109</v>
      </c>
      <c r="H582">
        <v>1</v>
      </c>
      <c r="I582">
        <v>665</v>
      </c>
      <c r="J582" s="7">
        <v>635.08420000000001</v>
      </c>
      <c r="K582" s="7">
        <v>635.11292187519996</v>
      </c>
      <c r="L582" s="7">
        <v>631.08844122020002</v>
      </c>
      <c r="M582" s="7">
        <v>2.4931942999999999E-3</v>
      </c>
      <c r="N582" s="7">
        <v>634.18864282139998</v>
      </c>
      <c r="O582" s="7">
        <v>635.11292187519996</v>
      </c>
      <c r="P582" s="7">
        <v>631.08844122020002</v>
      </c>
      <c r="Q582" s="7">
        <v>4</v>
      </c>
      <c r="R582" s="7">
        <v>53.000500000000002</v>
      </c>
      <c r="S582" s="7">
        <v>2.3275000000000001</v>
      </c>
      <c r="T582" s="7">
        <v>0.66500000000000004</v>
      </c>
      <c r="U582" s="7">
        <v>50.008000000000003</v>
      </c>
      <c r="V582" s="7" t="s">
        <v>88</v>
      </c>
      <c r="W582" s="11">
        <v>45863.520833333336</v>
      </c>
    </row>
    <row r="583" spans="1:23">
      <c r="A583" t="s">
        <v>89</v>
      </c>
      <c r="B583">
        <v>59</v>
      </c>
      <c r="C583" s="10">
        <v>45863</v>
      </c>
      <c r="D583" s="11">
        <v>45863.5625</v>
      </c>
      <c r="E583" s="11">
        <v>45863.5625</v>
      </c>
      <c r="F583" t="s">
        <v>106</v>
      </c>
      <c r="G583" t="s">
        <v>107</v>
      </c>
      <c r="H583">
        <v>1</v>
      </c>
      <c r="I583">
        <v>665</v>
      </c>
      <c r="J583" s="7">
        <v>635.28359999999998</v>
      </c>
      <c r="K583" s="7">
        <v>635.21042054359998</v>
      </c>
      <c r="L583" s="7">
        <v>630.99107607250005</v>
      </c>
      <c r="M583" s="7">
        <v>2.6470909999999999E-3</v>
      </c>
      <c r="N583" s="7">
        <v>634.27490796209997</v>
      </c>
      <c r="O583" s="7">
        <v>635.21042054359998</v>
      </c>
      <c r="P583" s="7">
        <v>630.99107607250005</v>
      </c>
      <c r="Q583" s="7">
        <v>4</v>
      </c>
      <c r="R583" s="7">
        <v>0</v>
      </c>
      <c r="S583" s="7">
        <v>2.3275000000000001</v>
      </c>
      <c r="T583" s="7">
        <v>0.66500000000000004</v>
      </c>
      <c r="U583" s="7">
        <v>-2.9925000000000002</v>
      </c>
      <c r="V583" s="7" t="s">
        <v>110</v>
      </c>
      <c r="W583" s="11">
        <v>45863.541666666664</v>
      </c>
    </row>
    <row r="584" spans="1:23">
      <c r="A584" t="s">
        <v>89</v>
      </c>
      <c r="B584">
        <v>59</v>
      </c>
      <c r="C584" s="10">
        <v>45863</v>
      </c>
      <c r="D584" s="11">
        <v>45863.625</v>
      </c>
      <c r="E584" s="11">
        <v>45863.625</v>
      </c>
      <c r="F584" t="s">
        <v>108</v>
      </c>
      <c r="G584" t="s">
        <v>109</v>
      </c>
      <c r="H584">
        <v>1</v>
      </c>
      <c r="I584">
        <v>665</v>
      </c>
      <c r="J584" s="7">
        <v>635.41830000000004</v>
      </c>
      <c r="K584" s="7">
        <v>635.42658143519998</v>
      </c>
      <c r="L584" s="7">
        <v>630.77521120510005</v>
      </c>
      <c r="M584" s="7">
        <v>2.9882899000000002E-3</v>
      </c>
      <c r="N584" s="7">
        <v>634.54951065199998</v>
      </c>
      <c r="O584" s="7">
        <v>635.42658143519998</v>
      </c>
      <c r="P584" s="7">
        <v>630.77521120510005</v>
      </c>
      <c r="Q584" s="7">
        <v>4</v>
      </c>
      <c r="R584" s="7">
        <v>89.575500000000005</v>
      </c>
      <c r="S584" s="7">
        <v>2.3275000000000001</v>
      </c>
      <c r="T584" s="7">
        <v>0.66500000000000004</v>
      </c>
      <c r="U584" s="7">
        <v>86.582999999999998</v>
      </c>
      <c r="V584" s="7" t="s">
        <v>88</v>
      </c>
      <c r="W584" s="11">
        <v>45863.604166666664</v>
      </c>
    </row>
    <row r="585" spans="1:23">
      <c r="A585" t="s">
        <v>89</v>
      </c>
      <c r="B585">
        <v>60</v>
      </c>
      <c r="C585" s="10">
        <v>45863</v>
      </c>
      <c r="D585" s="11">
        <v>45863.645833333336</v>
      </c>
      <c r="E585" s="11">
        <v>45863.645833333336</v>
      </c>
      <c r="F585" t="s">
        <v>106</v>
      </c>
      <c r="G585" t="s">
        <v>107</v>
      </c>
      <c r="H585">
        <v>1</v>
      </c>
      <c r="I585">
        <v>665</v>
      </c>
      <c r="J585" s="7">
        <v>635.56790000000001</v>
      </c>
      <c r="K585" s="7">
        <v>635.47742969540002</v>
      </c>
      <c r="L585" s="7">
        <v>630.72443257969996</v>
      </c>
      <c r="M585" s="7">
        <v>3.0685512000000002E-3</v>
      </c>
      <c r="N585" s="7">
        <v>634.63389012779999</v>
      </c>
      <c r="O585" s="7">
        <v>635.47742969540002</v>
      </c>
      <c r="P585" s="7">
        <v>630.72443257969996</v>
      </c>
      <c r="Q585" s="7">
        <v>4</v>
      </c>
      <c r="R585" s="7">
        <v>0</v>
      </c>
      <c r="S585" s="7">
        <v>2.3275000000000001</v>
      </c>
      <c r="T585" s="7">
        <v>0.66500000000000004</v>
      </c>
      <c r="U585" s="7">
        <v>-2.9925000000000002</v>
      </c>
      <c r="V585" s="7" t="s">
        <v>110</v>
      </c>
      <c r="W585" s="11">
        <v>45863.625</v>
      </c>
    </row>
    <row r="586" spans="1:23">
      <c r="A586" t="s">
        <v>89</v>
      </c>
      <c r="B586">
        <v>60</v>
      </c>
      <c r="C586" s="10">
        <v>45863</v>
      </c>
      <c r="D586" s="11">
        <v>45863.666666666664</v>
      </c>
      <c r="E586" s="11">
        <v>45863.666666666664</v>
      </c>
      <c r="F586" t="s">
        <v>108</v>
      </c>
      <c r="G586" t="s">
        <v>109</v>
      </c>
      <c r="H586">
        <v>1</v>
      </c>
      <c r="I586">
        <v>665</v>
      </c>
      <c r="J586" s="7">
        <v>635.33839999999998</v>
      </c>
      <c r="K586" s="7">
        <v>635.48523126120006</v>
      </c>
      <c r="L586" s="7">
        <v>630.71664169780001</v>
      </c>
      <c r="M586" s="7">
        <v>3.0808656000000001E-3</v>
      </c>
      <c r="N586" s="7">
        <v>634.79679535809998</v>
      </c>
      <c r="O586" s="7">
        <v>635.48523126120006</v>
      </c>
      <c r="P586" s="7">
        <v>630.71664169780001</v>
      </c>
      <c r="Q586" s="7">
        <v>4</v>
      </c>
      <c r="R586" s="7">
        <v>-152.61750000000001</v>
      </c>
      <c r="S586" s="7">
        <v>2.3275000000000001</v>
      </c>
      <c r="T586" s="7">
        <v>0.66500000000000004</v>
      </c>
      <c r="U586" s="7">
        <v>-155.61000000000001</v>
      </c>
      <c r="V586" s="7" t="s">
        <v>85</v>
      </c>
      <c r="W586" s="11">
        <v>45863.645833333336</v>
      </c>
    </row>
    <row r="587" spans="1:23">
      <c r="A587" t="s">
        <v>89</v>
      </c>
      <c r="B587">
        <v>61</v>
      </c>
      <c r="C587" s="10">
        <v>45867</v>
      </c>
      <c r="D587" s="11">
        <v>45867.479166666664</v>
      </c>
      <c r="E587" s="11">
        <v>45867.479166666664</v>
      </c>
      <c r="F587" t="s">
        <v>106</v>
      </c>
      <c r="G587" t="s">
        <v>109</v>
      </c>
      <c r="H587">
        <v>-1</v>
      </c>
      <c r="I587">
        <v>662</v>
      </c>
      <c r="J587" s="7">
        <v>633.48360000000002</v>
      </c>
      <c r="K587" s="7">
        <v>637.21822542519999</v>
      </c>
      <c r="L587" s="7">
        <v>634.2182036506</v>
      </c>
      <c r="M587" s="7">
        <v>1.5123243000000001E-3</v>
      </c>
      <c r="N587" s="7">
        <v>635.20084299730001</v>
      </c>
      <c r="O587" s="7">
        <v>637.21822542519999</v>
      </c>
      <c r="P587" s="7">
        <v>634.2182036506</v>
      </c>
      <c r="Q587" s="7">
        <v>4</v>
      </c>
      <c r="R587" s="7">
        <v>0</v>
      </c>
      <c r="S587" s="7">
        <v>2.3170000000000002</v>
      </c>
      <c r="T587" s="7">
        <v>0.66200000000000003</v>
      </c>
      <c r="U587" s="7">
        <v>-2.9790000000000001</v>
      </c>
      <c r="V587" s="7" t="s">
        <v>110</v>
      </c>
      <c r="W587" s="11">
        <v>45867.458333333336</v>
      </c>
    </row>
    <row r="588" spans="1:23">
      <c r="A588" t="s">
        <v>89</v>
      </c>
      <c r="B588">
        <v>61</v>
      </c>
      <c r="C588" s="10">
        <v>45867</v>
      </c>
      <c r="D588" s="11">
        <v>45867.541666666664</v>
      </c>
      <c r="E588" s="11">
        <v>45867.541666666664</v>
      </c>
      <c r="F588" t="s">
        <v>108</v>
      </c>
      <c r="G588" t="s">
        <v>107</v>
      </c>
      <c r="H588">
        <v>-1</v>
      </c>
      <c r="I588">
        <v>662</v>
      </c>
      <c r="J588" s="7">
        <v>634.39589999999998</v>
      </c>
      <c r="K588" s="7">
        <v>637.70628250699997</v>
      </c>
      <c r="L588" s="7">
        <v>633.73097286359996</v>
      </c>
      <c r="M588" s="7">
        <v>2.2794008999999999E-3</v>
      </c>
      <c r="N588" s="7">
        <v>634.83360078249996</v>
      </c>
      <c r="O588" s="7">
        <v>637.70628250699997</v>
      </c>
      <c r="P588" s="7">
        <v>633.73097286359996</v>
      </c>
      <c r="Q588" s="7">
        <v>4</v>
      </c>
      <c r="R588" s="7">
        <v>-603.94259999999997</v>
      </c>
      <c r="S588" s="7">
        <v>2.3170000000000002</v>
      </c>
      <c r="T588" s="7">
        <v>0.66200000000000003</v>
      </c>
      <c r="U588" s="7">
        <v>-606.92160000000001</v>
      </c>
      <c r="V588" s="7" t="s">
        <v>88</v>
      </c>
      <c r="W588" s="11">
        <v>45867.520833333336</v>
      </c>
    </row>
    <row r="589" spans="1:23">
      <c r="A589" t="s">
        <v>89</v>
      </c>
      <c r="B589">
        <v>62</v>
      </c>
      <c r="C589" s="10">
        <v>45868</v>
      </c>
      <c r="D589" s="11">
        <v>45868.4375</v>
      </c>
      <c r="E589" s="11">
        <v>45868.4375</v>
      </c>
      <c r="F589" t="s">
        <v>106</v>
      </c>
      <c r="G589" t="s">
        <v>107</v>
      </c>
      <c r="H589">
        <v>1</v>
      </c>
      <c r="I589">
        <v>660</v>
      </c>
      <c r="J589" s="7">
        <v>634.6105</v>
      </c>
      <c r="K589" s="7">
        <v>634.44776607680001</v>
      </c>
      <c r="L589" s="7">
        <v>633.00838468330005</v>
      </c>
      <c r="M589" s="7">
        <v>7.8155100000000001E-4</v>
      </c>
      <c r="N589" s="7">
        <v>634.19817326190002</v>
      </c>
      <c r="O589" s="7">
        <v>634.44776607680001</v>
      </c>
      <c r="P589" s="7">
        <v>633.00838468330005</v>
      </c>
      <c r="Q589" s="7">
        <v>4</v>
      </c>
      <c r="R589" s="7">
        <v>0</v>
      </c>
      <c r="S589" s="7">
        <v>2.31</v>
      </c>
      <c r="T589" s="7">
        <v>0.66</v>
      </c>
      <c r="U589" s="7">
        <v>-2.97</v>
      </c>
      <c r="V589" s="7" t="s">
        <v>110</v>
      </c>
      <c r="W589" s="11">
        <v>45868.416666666664</v>
      </c>
    </row>
    <row r="590" spans="1:23">
      <c r="A590" t="s">
        <v>89</v>
      </c>
      <c r="B590">
        <v>62</v>
      </c>
      <c r="C590" s="10">
        <v>45868</v>
      </c>
      <c r="D590" s="11">
        <v>45868.458333333336</v>
      </c>
      <c r="E590" s="11">
        <v>45868.458333333336</v>
      </c>
      <c r="F590" t="s">
        <v>108</v>
      </c>
      <c r="G590" t="s">
        <v>109</v>
      </c>
      <c r="H590">
        <v>1</v>
      </c>
      <c r="I590">
        <v>660</v>
      </c>
      <c r="J590" s="7">
        <v>634.5009</v>
      </c>
      <c r="K590" s="7">
        <v>634.77235143810003</v>
      </c>
      <c r="L590" s="7">
        <v>632.68402910889995</v>
      </c>
      <c r="M590" s="7">
        <v>1.2935538000000001E-3</v>
      </c>
      <c r="N590" s="7">
        <v>634.27037281510002</v>
      </c>
      <c r="O590" s="7">
        <v>634.77235143810003</v>
      </c>
      <c r="P590" s="7">
        <v>632.68402910889995</v>
      </c>
      <c r="Q590" s="7">
        <v>4</v>
      </c>
      <c r="R590" s="7">
        <v>-72.335999999999999</v>
      </c>
      <c r="S590" s="7">
        <v>2.31</v>
      </c>
      <c r="T590" s="7">
        <v>0.66</v>
      </c>
      <c r="U590" s="7">
        <v>-75.305999999999997</v>
      </c>
      <c r="V590" s="7" t="s">
        <v>88</v>
      </c>
      <c r="W590" s="11">
        <v>45868.4375</v>
      </c>
    </row>
    <row r="591" spans="1:23">
      <c r="A591" t="s">
        <v>89</v>
      </c>
      <c r="B591">
        <v>63</v>
      </c>
      <c r="C591" s="10">
        <v>45868</v>
      </c>
      <c r="D591" s="11">
        <v>45868.625</v>
      </c>
      <c r="E591" s="11">
        <v>45868.625</v>
      </c>
      <c r="F591" t="s">
        <v>106</v>
      </c>
      <c r="G591" t="s">
        <v>109</v>
      </c>
      <c r="H591">
        <v>-1</v>
      </c>
      <c r="I591">
        <v>660</v>
      </c>
      <c r="J591" s="7">
        <v>630.98050000000001</v>
      </c>
      <c r="K591" s="7">
        <v>635.94832371769996</v>
      </c>
      <c r="L591" s="7">
        <v>631.50888934679995</v>
      </c>
      <c r="M591" s="7">
        <v>3.1485393000000002E-3</v>
      </c>
      <c r="N591" s="7">
        <v>633.4921286407</v>
      </c>
      <c r="O591" s="7">
        <v>635.94832371769996</v>
      </c>
      <c r="P591" s="7">
        <v>631.50888934679995</v>
      </c>
      <c r="Q591" s="7">
        <v>4</v>
      </c>
      <c r="R591" s="7">
        <v>0</v>
      </c>
      <c r="S591" s="7">
        <v>2.31</v>
      </c>
      <c r="T591" s="7">
        <v>0.66</v>
      </c>
      <c r="U591" s="7">
        <v>-2.97</v>
      </c>
      <c r="V591" s="7" t="s">
        <v>110</v>
      </c>
      <c r="W591" s="11">
        <v>45868.604166666664</v>
      </c>
    </row>
    <row r="592" spans="1:23">
      <c r="A592" t="s">
        <v>89</v>
      </c>
      <c r="B592">
        <v>63</v>
      </c>
      <c r="C592" s="10">
        <v>45868</v>
      </c>
      <c r="D592" s="11">
        <v>45868.666666666664</v>
      </c>
      <c r="E592" s="11">
        <v>45868.666666666664</v>
      </c>
      <c r="F592" t="s">
        <v>108</v>
      </c>
      <c r="G592" t="s">
        <v>107</v>
      </c>
      <c r="H592">
        <v>-1</v>
      </c>
      <c r="I592">
        <v>660</v>
      </c>
      <c r="J592" s="7">
        <v>632.70579999999995</v>
      </c>
      <c r="K592" s="7">
        <v>636.01812601159997</v>
      </c>
      <c r="L592" s="7">
        <v>631.43913646860005</v>
      </c>
      <c r="M592" s="7">
        <v>3.2586458E-3</v>
      </c>
      <c r="N592" s="7">
        <v>632.77469066419997</v>
      </c>
      <c r="O592" s="7">
        <v>636.01812601159997</v>
      </c>
      <c r="P592" s="7">
        <v>631.43913646860005</v>
      </c>
      <c r="Q592" s="7">
        <v>4</v>
      </c>
      <c r="R592" s="7">
        <v>-1138.6980000000001</v>
      </c>
      <c r="S592" s="7">
        <v>2.31</v>
      </c>
      <c r="T592" s="7">
        <v>0.66</v>
      </c>
      <c r="U592" s="7">
        <v>-1141.6679999999999</v>
      </c>
      <c r="V592" s="7" t="s">
        <v>85</v>
      </c>
      <c r="W592" s="11">
        <v>45868.645833333336</v>
      </c>
    </row>
    <row r="593" spans="1:23">
      <c r="A593" t="s">
        <v>89</v>
      </c>
      <c r="B593">
        <v>64</v>
      </c>
      <c r="C593" s="10">
        <v>45874</v>
      </c>
      <c r="D593" s="11">
        <v>45874.4375</v>
      </c>
      <c r="E593" s="11">
        <v>45874.4375</v>
      </c>
      <c r="F593" t="s">
        <v>106</v>
      </c>
      <c r="G593" t="s">
        <v>109</v>
      </c>
      <c r="H593">
        <v>-1</v>
      </c>
      <c r="I593">
        <v>465</v>
      </c>
      <c r="J593" s="7">
        <v>628.10850000000005</v>
      </c>
      <c r="K593" s="7">
        <v>630.14410782050004</v>
      </c>
      <c r="L593" s="7">
        <v>628.77546429059998</v>
      </c>
      <c r="M593" s="7">
        <v>1.0316335000000001E-3</v>
      </c>
      <c r="N593" s="7">
        <v>628.7967247025</v>
      </c>
      <c r="O593" s="7">
        <v>630.14410782050004</v>
      </c>
      <c r="P593" s="7">
        <v>628.77546429059998</v>
      </c>
      <c r="Q593" s="7">
        <v>2.8285490704999998</v>
      </c>
      <c r="R593" s="7">
        <v>0</v>
      </c>
      <c r="S593" s="7">
        <v>1.6274999999999999</v>
      </c>
      <c r="T593" s="7">
        <v>0.46500000000000002</v>
      </c>
      <c r="U593" s="7">
        <v>-2.0924999999999998</v>
      </c>
      <c r="V593" s="7" t="s">
        <v>110</v>
      </c>
      <c r="W593" s="11">
        <v>45874.416666666664</v>
      </c>
    </row>
    <row r="594" spans="1:23">
      <c r="A594" t="s">
        <v>89</v>
      </c>
      <c r="B594">
        <v>64</v>
      </c>
      <c r="C594" s="10">
        <v>45874</v>
      </c>
      <c r="D594" s="11">
        <v>45874.5625</v>
      </c>
      <c r="E594" s="11">
        <v>45874.5625</v>
      </c>
      <c r="F594" t="s">
        <v>108</v>
      </c>
      <c r="G594" t="s">
        <v>107</v>
      </c>
      <c r="H594">
        <v>-1</v>
      </c>
      <c r="I594">
        <v>465</v>
      </c>
      <c r="J594" s="7">
        <v>627.96690000000001</v>
      </c>
      <c r="K594" s="7">
        <v>631.02069218099996</v>
      </c>
      <c r="L594" s="7">
        <v>627.89897726740003</v>
      </c>
      <c r="M594" s="7">
        <v>2.4241541E-3</v>
      </c>
      <c r="N594" s="7">
        <v>627.30936498460005</v>
      </c>
      <c r="O594" s="7">
        <v>631.02069218099996</v>
      </c>
      <c r="P594" s="7">
        <v>627.30936498460005</v>
      </c>
      <c r="Q594" s="7">
        <v>2.8285490704999998</v>
      </c>
      <c r="R594" s="7">
        <v>65.843999999999994</v>
      </c>
      <c r="S594" s="7">
        <v>1.6274999999999999</v>
      </c>
      <c r="T594" s="7">
        <v>0.46500000000000002</v>
      </c>
      <c r="U594" s="7">
        <v>63.7515</v>
      </c>
      <c r="V594" s="7" t="s">
        <v>88</v>
      </c>
      <c r="W594" s="11">
        <v>45874.541666666664</v>
      </c>
    </row>
    <row r="595" spans="1:23">
      <c r="A595" t="s">
        <v>89</v>
      </c>
      <c r="B595">
        <v>65</v>
      </c>
      <c r="C595" s="10">
        <v>45874</v>
      </c>
      <c r="D595" s="11">
        <v>45874.604166666664</v>
      </c>
      <c r="E595" s="11">
        <v>45874.604166666664</v>
      </c>
      <c r="F595" t="s">
        <v>106</v>
      </c>
      <c r="G595" t="s">
        <v>109</v>
      </c>
      <c r="H595">
        <v>-1</v>
      </c>
      <c r="I595">
        <v>465</v>
      </c>
      <c r="J595" s="7">
        <v>626.8021</v>
      </c>
      <c r="K595" s="7">
        <v>631.29007916969999</v>
      </c>
      <c r="L595" s="7">
        <v>627.62962019179997</v>
      </c>
      <c r="M595" s="7">
        <v>2.8520958000000001E-3</v>
      </c>
      <c r="N595" s="7">
        <v>627.31920353639998</v>
      </c>
      <c r="O595" s="7">
        <v>631.29007916969999</v>
      </c>
      <c r="P595" s="7">
        <v>627.31920353639998</v>
      </c>
      <c r="Q595" s="7">
        <v>2.8285490704999998</v>
      </c>
      <c r="R595" s="7">
        <v>0</v>
      </c>
      <c r="S595" s="7">
        <v>1.6274999999999999</v>
      </c>
      <c r="T595" s="7">
        <v>0.46500000000000002</v>
      </c>
      <c r="U595" s="7">
        <v>-2.0924999999999998</v>
      </c>
      <c r="V595" s="7" t="s">
        <v>110</v>
      </c>
      <c r="W595" s="11">
        <v>45874.583333333336</v>
      </c>
    </row>
    <row r="596" spans="1:23">
      <c r="A596" t="s">
        <v>89</v>
      </c>
      <c r="B596">
        <v>65</v>
      </c>
      <c r="C596" s="10">
        <v>45874</v>
      </c>
      <c r="D596" s="11">
        <v>45874.645833333336</v>
      </c>
      <c r="E596" s="11">
        <v>45874.645833333336</v>
      </c>
      <c r="F596" t="s">
        <v>108</v>
      </c>
      <c r="G596" t="s">
        <v>107</v>
      </c>
      <c r="H596">
        <v>-1</v>
      </c>
      <c r="I596">
        <v>465</v>
      </c>
      <c r="J596" s="7">
        <v>627.24090000000001</v>
      </c>
      <c r="K596" s="7">
        <v>631.74885548359998</v>
      </c>
      <c r="L596" s="7">
        <v>627.17089482109998</v>
      </c>
      <c r="M596" s="7">
        <v>3.5808966999999999E-3</v>
      </c>
      <c r="N596" s="7">
        <v>627.27105602879999</v>
      </c>
      <c r="O596" s="7">
        <v>631.74885548359998</v>
      </c>
      <c r="P596" s="7">
        <v>627.17089482109998</v>
      </c>
      <c r="Q596" s="7">
        <v>2.8285490704999998</v>
      </c>
      <c r="R596" s="7">
        <v>-204.042</v>
      </c>
      <c r="S596" s="7">
        <v>1.6274999999999999</v>
      </c>
      <c r="T596" s="7">
        <v>0.46500000000000002</v>
      </c>
      <c r="U596" s="7">
        <v>-206.1345</v>
      </c>
      <c r="V596" s="7" t="s">
        <v>88</v>
      </c>
      <c r="W596" s="11">
        <v>45874.625</v>
      </c>
    </row>
    <row r="597" spans="1:23">
      <c r="A597" t="s">
        <v>89</v>
      </c>
      <c r="B597">
        <v>66</v>
      </c>
      <c r="C597" s="10">
        <v>45875</v>
      </c>
      <c r="D597" s="11">
        <v>45875.458333333336</v>
      </c>
      <c r="E597" s="11">
        <v>45875.458333333336</v>
      </c>
      <c r="F597" t="s">
        <v>106</v>
      </c>
      <c r="G597" t="s">
        <v>107</v>
      </c>
      <c r="H597">
        <v>1</v>
      </c>
      <c r="I597">
        <v>456</v>
      </c>
      <c r="J597" s="7">
        <v>629.23540000000003</v>
      </c>
      <c r="K597" s="7">
        <v>628.21444655499999</v>
      </c>
      <c r="L597" s="7">
        <v>625.23181714700002</v>
      </c>
      <c r="M597" s="7">
        <v>1.5996952E-3</v>
      </c>
      <c r="N597" s="7">
        <v>627.68212717480003</v>
      </c>
      <c r="O597" s="7">
        <v>628.21444655499999</v>
      </c>
      <c r="P597" s="7">
        <v>625.23181714700002</v>
      </c>
      <c r="Q597" s="7">
        <v>2.7711748343</v>
      </c>
      <c r="R597" s="7">
        <v>0</v>
      </c>
      <c r="S597" s="7">
        <v>1.5960000000000001</v>
      </c>
      <c r="T597" s="7">
        <v>0.45600000000000002</v>
      </c>
      <c r="U597" s="7">
        <v>-2.052</v>
      </c>
      <c r="V597" s="7" t="s">
        <v>110</v>
      </c>
      <c r="W597" s="11">
        <v>45875.4375</v>
      </c>
    </row>
    <row r="598" spans="1:23">
      <c r="A598" t="s">
        <v>89</v>
      </c>
      <c r="B598">
        <v>66</v>
      </c>
      <c r="C598" s="10">
        <v>45875</v>
      </c>
      <c r="D598" s="11">
        <v>45875.666666666664</v>
      </c>
      <c r="E598" s="11">
        <v>45875.666666666664</v>
      </c>
      <c r="F598" t="s">
        <v>108</v>
      </c>
      <c r="G598" t="s">
        <v>109</v>
      </c>
      <c r="H598">
        <v>1</v>
      </c>
      <c r="I598">
        <v>456</v>
      </c>
      <c r="J598" s="7">
        <v>631.03049999999996</v>
      </c>
      <c r="K598" s="7">
        <v>629.50538296349998</v>
      </c>
      <c r="L598" s="7">
        <v>623.94289264539998</v>
      </c>
      <c r="M598" s="7">
        <v>3.6579119000000001E-3</v>
      </c>
      <c r="N598" s="7">
        <v>629.89443884529999</v>
      </c>
      <c r="O598" s="7">
        <v>629.89443884529999</v>
      </c>
      <c r="P598" s="7">
        <v>623.94289264539998</v>
      </c>
      <c r="Q598" s="7">
        <v>2.7711748343</v>
      </c>
      <c r="R598" s="7">
        <v>818.56560000000002</v>
      </c>
      <c r="S598" s="7">
        <v>1.5960000000000001</v>
      </c>
      <c r="T598" s="7">
        <v>0.45600000000000002</v>
      </c>
      <c r="U598" s="7">
        <v>816.5136</v>
      </c>
      <c r="V598" s="7" t="s">
        <v>85</v>
      </c>
      <c r="W598" s="11">
        <v>45875.645833333336</v>
      </c>
    </row>
    <row r="599" spans="1:23">
      <c r="A599" t="s">
        <v>89</v>
      </c>
      <c r="B599">
        <v>67</v>
      </c>
      <c r="C599" s="10">
        <v>45876</v>
      </c>
      <c r="D599" s="11">
        <v>45876.541666666664</v>
      </c>
      <c r="E599" s="11">
        <v>45876.541666666664</v>
      </c>
      <c r="F599" t="s">
        <v>106</v>
      </c>
      <c r="G599" t="s">
        <v>109</v>
      </c>
      <c r="H599">
        <v>-1</v>
      </c>
      <c r="I599">
        <v>448</v>
      </c>
      <c r="J599" s="7">
        <v>629.49469999999997</v>
      </c>
      <c r="K599" s="7">
        <v>636.20115968289997</v>
      </c>
      <c r="L599" s="7">
        <v>629.63746097190005</v>
      </c>
      <c r="M599" s="7">
        <v>2.2072458999999999E-3</v>
      </c>
      <c r="N599" s="7">
        <v>631.56682644049999</v>
      </c>
      <c r="O599" s="7">
        <v>636.20115968289997</v>
      </c>
      <c r="P599" s="7">
        <v>629.63746097190005</v>
      </c>
      <c r="Q599" s="7">
        <v>2.7318076719</v>
      </c>
      <c r="R599" s="7">
        <v>0</v>
      </c>
      <c r="S599" s="7">
        <v>1.5680000000000001</v>
      </c>
      <c r="T599" s="7">
        <v>0.44800000000000001</v>
      </c>
      <c r="U599" s="7">
        <v>-2.016</v>
      </c>
      <c r="V599" s="7" t="s">
        <v>110</v>
      </c>
      <c r="W599" s="11">
        <v>45876.520833333336</v>
      </c>
    </row>
    <row r="600" spans="1:23">
      <c r="A600" t="s">
        <v>89</v>
      </c>
      <c r="B600">
        <v>67</v>
      </c>
      <c r="C600" s="10">
        <v>45876</v>
      </c>
      <c r="D600" s="11">
        <v>45876.645833333336</v>
      </c>
      <c r="E600" s="11">
        <v>45876.645833333336</v>
      </c>
      <c r="F600" t="s">
        <v>108</v>
      </c>
      <c r="G600" t="s">
        <v>107</v>
      </c>
      <c r="H600">
        <v>-1</v>
      </c>
      <c r="I600">
        <v>448</v>
      </c>
      <c r="J600" s="7">
        <v>628.62710000000004</v>
      </c>
      <c r="K600" s="7">
        <v>637.22514948080004</v>
      </c>
      <c r="L600" s="7">
        <v>628.61955204089998</v>
      </c>
      <c r="M600" s="7">
        <v>3.8203362999999998E-3</v>
      </c>
      <c r="N600" s="7">
        <v>630.55360980190005</v>
      </c>
      <c r="O600" s="7">
        <v>637.22514948080004</v>
      </c>
      <c r="P600" s="7">
        <v>628.61955204089998</v>
      </c>
      <c r="Q600" s="7">
        <v>2.7318076719</v>
      </c>
      <c r="R600" s="7">
        <v>388.6848</v>
      </c>
      <c r="S600" s="7">
        <v>1.5680000000000001</v>
      </c>
      <c r="T600" s="7">
        <v>0.44800000000000001</v>
      </c>
      <c r="U600" s="7">
        <v>386.66879999999998</v>
      </c>
      <c r="V600" s="7" t="s">
        <v>88</v>
      </c>
      <c r="W600" s="11">
        <v>45876.625</v>
      </c>
    </row>
    <row r="601" spans="1:23">
      <c r="A601" t="s">
        <v>89</v>
      </c>
      <c r="B601">
        <v>68</v>
      </c>
      <c r="C601" s="10">
        <v>45881</v>
      </c>
      <c r="D601" s="11">
        <v>45881.4375</v>
      </c>
      <c r="E601" s="11">
        <v>45881.4375</v>
      </c>
      <c r="F601" t="s">
        <v>106</v>
      </c>
      <c r="G601" t="s">
        <v>107</v>
      </c>
      <c r="H601">
        <v>1</v>
      </c>
      <c r="I601">
        <v>432</v>
      </c>
      <c r="J601" s="7">
        <v>637.56230000000005</v>
      </c>
      <c r="K601" s="7">
        <v>636.19278418809995</v>
      </c>
      <c r="L601" s="7">
        <v>633.3787548821</v>
      </c>
      <c r="M601" s="7">
        <v>1.2346143000000001E-3</v>
      </c>
      <c r="N601" s="7">
        <v>636.13115499410003</v>
      </c>
      <c r="O601" s="7">
        <v>636.19278418809995</v>
      </c>
      <c r="P601" s="7">
        <v>633.3787548821</v>
      </c>
      <c r="Q601" s="7">
        <v>2.6279484423000001</v>
      </c>
      <c r="R601" s="7">
        <v>0</v>
      </c>
      <c r="S601" s="7">
        <v>1.512</v>
      </c>
      <c r="T601" s="7">
        <v>0.432</v>
      </c>
      <c r="U601" s="7">
        <v>-1.944</v>
      </c>
      <c r="V601" s="7" t="s">
        <v>110</v>
      </c>
      <c r="W601" s="11">
        <v>45881.416666666664</v>
      </c>
    </row>
    <row r="602" spans="1:23">
      <c r="A602" t="s">
        <v>89</v>
      </c>
      <c r="B602">
        <v>68</v>
      </c>
      <c r="C602" s="10">
        <v>45881</v>
      </c>
      <c r="D602" s="11">
        <v>45881.666666666664</v>
      </c>
      <c r="E602" s="11">
        <v>45881.666666666664</v>
      </c>
      <c r="F602" t="s">
        <v>108</v>
      </c>
      <c r="G602" t="s">
        <v>109</v>
      </c>
      <c r="H602">
        <v>1</v>
      </c>
      <c r="I602">
        <v>432</v>
      </c>
      <c r="J602" s="7">
        <v>640.91300000000001</v>
      </c>
      <c r="K602" s="7">
        <v>637.95765260630003</v>
      </c>
      <c r="L602" s="7">
        <v>631.61734893829998</v>
      </c>
      <c r="M602" s="7">
        <v>4.0121486999999999E-3</v>
      </c>
      <c r="N602" s="7">
        <v>638.87106395199999</v>
      </c>
      <c r="O602" s="7">
        <v>638.87106395199999</v>
      </c>
      <c r="P602" s="7">
        <v>631.61734893829998</v>
      </c>
      <c r="Q602" s="7">
        <v>2.6279484423000001</v>
      </c>
      <c r="R602" s="7">
        <v>1447.5024000000001</v>
      </c>
      <c r="S602" s="7">
        <v>1.512</v>
      </c>
      <c r="T602" s="7">
        <v>0.432</v>
      </c>
      <c r="U602" s="7">
        <v>1445.5583999999999</v>
      </c>
      <c r="V602" s="7" t="s">
        <v>85</v>
      </c>
      <c r="W602" s="11">
        <v>45881.645833333336</v>
      </c>
    </row>
    <row r="603" spans="1:23">
      <c r="A603" t="s">
        <v>89</v>
      </c>
      <c r="B603">
        <v>69</v>
      </c>
      <c r="C603" s="10">
        <v>45888</v>
      </c>
      <c r="D603" s="11">
        <v>45888.458333333336</v>
      </c>
      <c r="E603" s="11">
        <v>45888.458333333336</v>
      </c>
      <c r="F603" t="s">
        <v>106</v>
      </c>
      <c r="G603" t="s">
        <v>109</v>
      </c>
      <c r="H603">
        <v>-1</v>
      </c>
      <c r="I603">
        <v>425</v>
      </c>
      <c r="J603" s="7">
        <v>639.48199999999997</v>
      </c>
      <c r="K603" s="7">
        <v>642.97805377170005</v>
      </c>
      <c r="L603" s="7">
        <v>639.64669723099996</v>
      </c>
      <c r="M603" s="7">
        <v>2.2707801000000001E-3</v>
      </c>
      <c r="N603" s="7">
        <v>640.58670796989998</v>
      </c>
      <c r="O603" s="7">
        <v>642.97805377170005</v>
      </c>
      <c r="P603" s="7">
        <v>639.64669723099996</v>
      </c>
      <c r="Q603" s="7">
        <v>2.5758953286000001</v>
      </c>
      <c r="R603" s="7">
        <v>0</v>
      </c>
      <c r="S603" s="7">
        <v>1.4875</v>
      </c>
      <c r="T603" s="7">
        <v>0.42499999999999999</v>
      </c>
      <c r="U603" s="7">
        <v>-1.9125000000000001</v>
      </c>
      <c r="V603" s="7" t="s">
        <v>110</v>
      </c>
      <c r="W603" s="11">
        <v>45888.4375</v>
      </c>
    </row>
    <row r="604" spans="1:23">
      <c r="A604" t="s">
        <v>89</v>
      </c>
      <c r="B604">
        <v>69</v>
      </c>
      <c r="C604" s="10">
        <v>45888</v>
      </c>
      <c r="D604" s="11">
        <v>45888.479166666664</v>
      </c>
      <c r="E604" s="11">
        <v>45888.479166666664</v>
      </c>
      <c r="F604" t="s">
        <v>108</v>
      </c>
      <c r="G604" t="s">
        <v>107</v>
      </c>
      <c r="H604">
        <v>-1</v>
      </c>
      <c r="I604">
        <v>425</v>
      </c>
      <c r="J604" s="7">
        <v>639.79610000000002</v>
      </c>
      <c r="K604" s="7">
        <v>643.09361238290001</v>
      </c>
      <c r="L604" s="7">
        <v>639.53121405909997</v>
      </c>
      <c r="M604" s="7">
        <v>2.4509122E-3</v>
      </c>
      <c r="N604" s="7">
        <v>640.43466490909998</v>
      </c>
      <c r="O604" s="7">
        <v>643.09361238290001</v>
      </c>
      <c r="P604" s="7">
        <v>639.53121405909997</v>
      </c>
      <c r="Q604" s="7">
        <v>2.5758953286000001</v>
      </c>
      <c r="R604" s="7">
        <v>-133.49250000000001</v>
      </c>
      <c r="S604" s="7">
        <v>1.4875</v>
      </c>
      <c r="T604" s="7">
        <v>0.42499999999999999</v>
      </c>
      <c r="U604" s="7">
        <v>-135.405</v>
      </c>
      <c r="V604" s="7" t="s">
        <v>88</v>
      </c>
      <c r="W604" s="11">
        <v>45888.458333333336</v>
      </c>
    </row>
    <row r="605" spans="1:23">
      <c r="A605" t="s">
        <v>89</v>
      </c>
      <c r="B605">
        <v>70</v>
      </c>
      <c r="C605" s="10">
        <v>45888</v>
      </c>
      <c r="D605" s="11">
        <v>45888.5</v>
      </c>
      <c r="E605" s="11">
        <v>45888.5</v>
      </c>
      <c r="F605" t="s">
        <v>106</v>
      </c>
      <c r="G605" t="s">
        <v>109</v>
      </c>
      <c r="H605">
        <v>-1</v>
      </c>
      <c r="I605">
        <v>425</v>
      </c>
      <c r="J605" s="7">
        <v>638.95839999999998</v>
      </c>
      <c r="K605" s="7">
        <v>643.28170545390003</v>
      </c>
      <c r="L605" s="7">
        <v>639.34324377969995</v>
      </c>
      <c r="M605" s="7">
        <v>2.7441106999999999E-3</v>
      </c>
      <c r="N605" s="7">
        <v>640.26065527879996</v>
      </c>
      <c r="O605" s="7">
        <v>643.28170545390003</v>
      </c>
      <c r="P605" s="7">
        <v>639.34324377969995</v>
      </c>
      <c r="Q605" s="7">
        <v>2.5758953286000001</v>
      </c>
      <c r="R605" s="7">
        <v>0</v>
      </c>
      <c r="S605" s="7">
        <v>1.4875</v>
      </c>
      <c r="T605" s="7">
        <v>0.42499999999999999</v>
      </c>
      <c r="U605" s="7">
        <v>-1.9125000000000001</v>
      </c>
      <c r="V605" s="7" t="s">
        <v>110</v>
      </c>
      <c r="W605" s="11">
        <v>45888.479166666664</v>
      </c>
    </row>
    <row r="606" spans="1:23">
      <c r="A606" t="s">
        <v>89</v>
      </c>
      <c r="B606">
        <v>70</v>
      </c>
      <c r="C606" s="10">
        <v>45888</v>
      </c>
      <c r="D606" s="11">
        <v>45888.666666666664</v>
      </c>
      <c r="E606" s="11">
        <v>45888.666666666664</v>
      </c>
      <c r="F606" t="s">
        <v>108</v>
      </c>
      <c r="G606" t="s">
        <v>107</v>
      </c>
      <c r="H606">
        <v>-1</v>
      </c>
      <c r="I606">
        <v>425</v>
      </c>
      <c r="J606" s="7">
        <v>638.04100000000005</v>
      </c>
      <c r="K606" s="7">
        <v>643.92192114579996</v>
      </c>
      <c r="L606" s="7">
        <v>638.70344603540002</v>
      </c>
      <c r="M606" s="7">
        <v>3.7420754999999998E-3</v>
      </c>
      <c r="N606" s="7">
        <v>638.87439333769998</v>
      </c>
      <c r="O606" s="7">
        <v>643.92192114579996</v>
      </c>
      <c r="P606" s="7">
        <v>638.70344603540002</v>
      </c>
      <c r="Q606" s="7">
        <v>2.5758953286000001</v>
      </c>
      <c r="R606" s="7">
        <v>389.89499999999998</v>
      </c>
      <c r="S606" s="7">
        <v>1.4875</v>
      </c>
      <c r="T606" s="7">
        <v>0.42499999999999999</v>
      </c>
      <c r="U606" s="7">
        <v>387.98250000000002</v>
      </c>
      <c r="V606" s="7" t="s">
        <v>85</v>
      </c>
      <c r="W606" s="11">
        <v>45888.645833333336</v>
      </c>
    </row>
    <row r="607" spans="1:23">
      <c r="A607" t="s">
        <v>89</v>
      </c>
      <c r="B607">
        <v>71</v>
      </c>
      <c r="C607" s="10">
        <v>45889</v>
      </c>
      <c r="D607" s="11">
        <v>45889.4375</v>
      </c>
      <c r="E607" s="11">
        <v>45889.4375</v>
      </c>
      <c r="F607" t="s">
        <v>106</v>
      </c>
      <c r="G607" t="s">
        <v>109</v>
      </c>
      <c r="H607">
        <v>-1</v>
      </c>
      <c r="I607">
        <v>422</v>
      </c>
      <c r="J607" s="7">
        <v>632.18730000000005</v>
      </c>
      <c r="K607" s="7">
        <v>638.98867689320002</v>
      </c>
      <c r="L607" s="7">
        <v>632.61248835260005</v>
      </c>
      <c r="M607" s="7">
        <v>1.4852915000000001E-3</v>
      </c>
      <c r="N607" s="7">
        <v>632.98813804470001</v>
      </c>
      <c r="O607" s="7">
        <v>638.98867689320002</v>
      </c>
      <c r="P607" s="7">
        <v>632.61248835260005</v>
      </c>
      <c r="Q607" s="7">
        <v>2.5212693104000001</v>
      </c>
      <c r="R607" s="7">
        <v>0</v>
      </c>
      <c r="S607" s="7">
        <v>1.4770000000000001</v>
      </c>
      <c r="T607" s="7">
        <v>0.42199999999999999</v>
      </c>
      <c r="U607" s="7">
        <v>-1.899</v>
      </c>
      <c r="V607" s="7" t="s">
        <v>110</v>
      </c>
      <c r="W607" s="11">
        <v>45889.416666666664</v>
      </c>
    </row>
    <row r="608" spans="1:23">
      <c r="A608" t="s">
        <v>89</v>
      </c>
      <c r="B608">
        <v>71</v>
      </c>
      <c r="C608" s="10">
        <v>45889</v>
      </c>
      <c r="D608" s="11">
        <v>45889.479166666664</v>
      </c>
      <c r="E608" s="11">
        <v>45889.479166666664</v>
      </c>
      <c r="F608" t="s">
        <v>108</v>
      </c>
      <c r="G608" t="s">
        <v>107</v>
      </c>
      <c r="H608">
        <v>-1</v>
      </c>
      <c r="I608">
        <v>422</v>
      </c>
      <c r="J608" s="7">
        <v>634.5806</v>
      </c>
      <c r="K608" s="7">
        <v>639.66969341849995</v>
      </c>
      <c r="L608" s="7">
        <v>631.93626158480004</v>
      </c>
      <c r="M608" s="7">
        <v>2.5526469999999999E-3</v>
      </c>
      <c r="N608" s="7">
        <v>633.01422723960002</v>
      </c>
      <c r="O608" s="7">
        <v>639.66969341849995</v>
      </c>
      <c r="P608" s="7">
        <v>631.93626158480004</v>
      </c>
      <c r="Q608" s="7">
        <v>2.5212693104000001</v>
      </c>
      <c r="R608" s="7">
        <v>-1009.9726000000001</v>
      </c>
      <c r="S608" s="7">
        <v>1.4770000000000001</v>
      </c>
      <c r="T608" s="7">
        <v>0.42199999999999999</v>
      </c>
      <c r="U608" s="7">
        <v>-1011.8715999999999</v>
      </c>
      <c r="V608" s="7" t="s">
        <v>88</v>
      </c>
      <c r="W608" s="11">
        <v>45889.458333333336</v>
      </c>
    </row>
    <row r="609" spans="1:23">
      <c r="A609" t="s">
        <v>89</v>
      </c>
      <c r="B609">
        <v>72</v>
      </c>
      <c r="C609" s="10">
        <v>45891</v>
      </c>
      <c r="D609" s="11">
        <v>45891.4375</v>
      </c>
      <c r="E609" s="11">
        <v>45891.4375</v>
      </c>
      <c r="F609" t="s">
        <v>106</v>
      </c>
      <c r="G609" t="s">
        <v>107</v>
      </c>
      <c r="H609">
        <v>1</v>
      </c>
      <c r="I609">
        <v>518</v>
      </c>
      <c r="J609" s="7">
        <v>642.4683</v>
      </c>
      <c r="K609" s="7">
        <v>638.18155971919998</v>
      </c>
      <c r="L609" s="7">
        <v>632.76009953840003</v>
      </c>
      <c r="M609" s="7">
        <v>1.6292400999999999E-3</v>
      </c>
      <c r="N609" s="7">
        <v>640.98642363490001</v>
      </c>
      <c r="O609" s="7">
        <v>640.98642363490001</v>
      </c>
      <c r="P609" s="7">
        <v>632.76009953840003</v>
      </c>
      <c r="Q609" s="7">
        <v>3.1366209607000002</v>
      </c>
      <c r="R609" s="7">
        <v>0</v>
      </c>
      <c r="S609" s="7">
        <v>1.8129999999999999</v>
      </c>
      <c r="T609" s="7">
        <v>0.51800000000000002</v>
      </c>
      <c r="U609" s="7">
        <v>-2.331</v>
      </c>
      <c r="V609" s="7" t="s">
        <v>110</v>
      </c>
      <c r="W609" s="11">
        <v>45891.416666666664</v>
      </c>
    </row>
    <row r="610" spans="1:23">
      <c r="A610" t="s">
        <v>89</v>
      </c>
      <c r="B610">
        <v>72</v>
      </c>
      <c r="C610" s="10">
        <v>45891</v>
      </c>
      <c r="D610" s="11">
        <v>45891.666666666664</v>
      </c>
      <c r="E610" s="11">
        <v>45891.666666666664</v>
      </c>
      <c r="F610" t="s">
        <v>108</v>
      </c>
      <c r="G610" t="s">
        <v>109</v>
      </c>
      <c r="H610">
        <v>1</v>
      </c>
      <c r="I610">
        <v>518</v>
      </c>
      <c r="J610" s="7">
        <v>643.5258</v>
      </c>
      <c r="K610" s="7">
        <v>639.3268022538</v>
      </c>
      <c r="L610" s="7">
        <v>631.62087994629997</v>
      </c>
      <c r="M610" s="7">
        <v>3.4267041000000001E-3</v>
      </c>
      <c r="N610" s="7">
        <v>642.81313309459995</v>
      </c>
      <c r="O610" s="7">
        <v>642.81313309459995</v>
      </c>
      <c r="P610" s="7">
        <v>631.62087994629997</v>
      </c>
      <c r="Q610" s="7">
        <v>3.1366209607000002</v>
      </c>
      <c r="R610" s="7">
        <v>547.78499999999997</v>
      </c>
      <c r="S610" s="7">
        <v>1.8129999999999999</v>
      </c>
      <c r="T610" s="7">
        <v>0.51800000000000002</v>
      </c>
      <c r="U610" s="7">
        <v>545.45399999999995</v>
      </c>
      <c r="V610" s="7" t="s">
        <v>85</v>
      </c>
      <c r="W610" s="11">
        <v>45891.645833333336</v>
      </c>
    </row>
    <row r="611" spans="1:23">
      <c r="A611" t="s">
        <v>89</v>
      </c>
      <c r="B611">
        <v>73</v>
      </c>
      <c r="C611" s="10">
        <v>45897</v>
      </c>
      <c r="D611" s="11">
        <v>45897.604166666664</v>
      </c>
      <c r="E611" s="11">
        <v>45897.604166666664</v>
      </c>
      <c r="F611" t="s">
        <v>106</v>
      </c>
      <c r="G611" t="s">
        <v>107</v>
      </c>
      <c r="H611">
        <v>1</v>
      </c>
      <c r="I611">
        <v>535</v>
      </c>
      <c r="J611" s="7">
        <v>646.85659999999996</v>
      </c>
      <c r="K611" s="7">
        <v>646.62180719729997</v>
      </c>
      <c r="L611" s="7">
        <v>642.49546134879995</v>
      </c>
      <c r="M611" s="7">
        <v>2.7600671000000002E-3</v>
      </c>
      <c r="N611" s="7">
        <v>645.2110495595</v>
      </c>
      <c r="O611" s="7">
        <v>646.62180719729997</v>
      </c>
      <c r="P611" s="7">
        <v>642.49546134879995</v>
      </c>
      <c r="Q611" s="7">
        <v>3.2614930781</v>
      </c>
      <c r="R611" s="7">
        <v>0</v>
      </c>
      <c r="S611" s="7">
        <v>1.8725000000000001</v>
      </c>
      <c r="T611" s="7">
        <v>0.53500000000000003</v>
      </c>
      <c r="U611" s="7">
        <v>-2.4075000000000002</v>
      </c>
      <c r="V611" s="7" t="s">
        <v>110</v>
      </c>
      <c r="W611" s="11">
        <v>45897.583333333336</v>
      </c>
    </row>
    <row r="612" spans="1:23">
      <c r="A612" t="s">
        <v>89</v>
      </c>
      <c r="B612">
        <v>73</v>
      </c>
      <c r="C612" s="10">
        <v>45897</v>
      </c>
      <c r="D612" s="11">
        <v>45897.666666666664</v>
      </c>
      <c r="E612" s="11">
        <v>45897.666666666664</v>
      </c>
      <c r="F612" t="s">
        <v>108</v>
      </c>
      <c r="G612" t="s">
        <v>109</v>
      </c>
      <c r="H612">
        <v>1</v>
      </c>
      <c r="I612">
        <v>535</v>
      </c>
      <c r="J612" s="7">
        <v>647.12580000000003</v>
      </c>
      <c r="K612" s="7">
        <v>646.95155300210001</v>
      </c>
      <c r="L612" s="7">
        <v>642.1660061494</v>
      </c>
      <c r="M612" s="7">
        <v>3.2714262000000001E-3</v>
      </c>
      <c r="N612" s="7">
        <v>645.90020434899998</v>
      </c>
      <c r="O612" s="7">
        <v>646.95155300210001</v>
      </c>
      <c r="P612" s="7">
        <v>642.1660061494</v>
      </c>
      <c r="Q612" s="7">
        <v>3.2614930781</v>
      </c>
      <c r="R612" s="7">
        <v>144.02199999999999</v>
      </c>
      <c r="S612" s="7">
        <v>1.8725000000000001</v>
      </c>
      <c r="T612" s="7">
        <v>0.53500000000000003</v>
      </c>
      <c r="U612" s="7">
        <v>141.61449999999999</v>
      </c>
      <c r="V612" s="7" t="s">
        <v>85</v>
      </c>
      <c r="W612" s="11">
        <v>45897.645833333336</v>
      </c>
    </row>
    <row r="613" spans="1:23">
      <c r="A613" t="s">
        <v>89</v>
      </c>
      <c r="B613">
        <v>74</v>
      </c>
      <c r="C613" s="10">
        <v>45898</v>
      </c>
      <c r="D613" s="11">
        <v>45898.458333333336</v>
      </c>
      <c r="E613" s="11">
        <v>45898.458333333336</v>
      </c>
      <c r="F613" t="s">
        <v>106</v>
      </c>
      <c r="G613" t="s">
        <v>109</v>
      </c>
      <c r="H613">
        <v>-1</v>
      </c>
      <c r="I613">
        <v>557</v>
      </c>
      <c r="J613" s="7">
        <v>641.95510000000002</v>
      </c>
      <c r="K613" s="7">
        <v>648.66819449549996</v>
      </c>
      <c r="L613" s="7">
        <v>642.17844052279997</v>
      </c>
      <c r="M613" s="7">
        <v>2.3836088E-3</v>
      </c>
      <c r="N613" s="7">
        <v>642.9827050463</v>
      </c>
      <c r="O613" s="7">
        <v>648.66819449549996</v>
      </c>
      <c r="P613" s="7">
        <v>642.17844052279997</v>
      </c>
      <c r="Q613" s="7">
        <v>3.3876133693999999</v>
      </c>
      <c r="R613" s="7">
        <v>0</v>
      </c>
      <c r="S613" s="7">
        <v>1.9495</v>
      </c>
      <c r="T613" s="7">
        <v>0.55700000000000005</v>
      </c>
      <c r="U613" s="7">
        <v>-2.5065</v>
      </c>
      <c r="V613" s="7" t="s">
        <v>110</v>
      </c>
      <c r="W613" s="11">
        <v>45898.4375</v>
      </c>
    </row>
    <row r="614" spans="1:23">
      <c r="A614" t="s">
        <v>89</v>
      </c>
      <c r="B614">
        <v>74</v>
      </c>
      <c r="C614" s="10">
        <v>45898</v>
      </c>
      <c r="D614" s="11">
        <v>45898.479166666664</v>
      </c>
      <c r="E614" s="11">
        <v>45898.479166666664</v>
      </c>
      <c r="F614" t="s">
        <v>108</v>
      </c>
      <c r="G614" t="s">
        <v>107</v>
      </c>
      <c r="H614">
        <v>-1</v>
      </c>
      <c r="I614">
        <v>557</v>
      </c>
      <c r="J614" s="7">
        <v>642.65729999999996</v>
      </c>
      <c r="K614" s="7">
        <v>648.54115338229997</v>
      </c>
      <c r="L614" s="7">
        <v>642.30481162930005</v>
      </c>
      <c r="M614" s="7">
        <v>2.1872927999999998E-3</v>
      </c>
      <c r="N614" s="7">
        <v>642.94577415640003</v>
      </c>
      <c r="O614" s="7">
        <v>648.54115338229997</v>
      </c>
      <c r="P614" s="7">
        <v>642.30481162930005</v>
      </c>
      <c r="Q614" s="7">
        <v>3.3876133693999999</v>
      </c>
      <c r="R614" s="7">
        <v>-391.12540000000001</v>
      </c>
      <c r="S614" s="7">
        <v>1.9495</v>
      </c>
      <c r="T614" s="7">
        <v>0.55700000000000005</v>
      </c>
      <c r="U614" s="7">
        <v>-393.63189999999997</v>
      </c>
      <c r="V614" s="7" t="s">
        <v>88</v>
      </c>
      <c r="W614" s="11">
        <v>45898.458333333336</v>
      </c>
    </row>
    <row r="615" spans="1:23">
      <c r="A615" t="s">
        <v>89</v>
      </c>
      <c r="B615">
        <v>75</v>
      </c>
      <c r="C615" s="10">
        <v>45898</v>
      </c>
      <c r="D615" s="11">
        <v>45898.5</v>
      </c>
      <c r="E615" s="11">
        <v>45898.5</v>
      </c>
      <c r="F615" t="s">
        <v>106</v>
      </c>
      <c r="G615" t="s">
        <v>109</v>
      </c>
      <c r="H615">
        <v>-1</v>
      </c>
      <c r="I615">
        <v>557</v>
      </c>
      <c r="J615" s="7">
        <v>641.98009999999999</v>
      </c>
      <c r="K615" s="7">
        <v>648.48917794040005</v>
      </c>
      <c r="L615" s="7">
        <v>642.35651295599996</v>
      </c>
      <c r="M615" s="7">
        <v>2.1069753999999998E-3</v>
      </c>
      <c r="N615" s="7">
        <v>642.85525439239996</v>
      </c>
      <c r="O615" s="7">
        <v>648.48917794040005</v>
      </c>
      <c r="P615" s="7">
        <v>642.35651295599996</v>
      </c>
      <c r="Q615" s="7">
        <v>3.3876133693999999</v>
      </c>
      <c r="R615" s="7">
        <v>0</v>
      </c>
      <c r="S615" s="7">
        <v>1.9495</v>
      </c>
      <c r="T615" s="7">
        <v>0.55700000000000005</v>
      </c>
      <c r="U615" s="7">
        <v>-2.5065</v>
      </c>
      <c r="V615" s="7" t="s">
        <v>110</v>
      </c>
      <c r="W615" s="11">
        <v>45898.479166666664</v>
      </c>
    </row>
    <row r="616" spans="1:23">
      <c r="A616" t="s">
        <v>89</v>
      </c>
      <c r="B616">
        <v>75</v>
      </c>
      <c r="C616" s="10">
        <v>45898</v>
      </c>
      <c r="D616" s="11">
        <v>45898.520833333336</v>
      </c>
      <c r="E616" s="11">
        <v>45898.520833333336</v>
      </c>
      <c r="F616" t="s">
        <v>108</v>
      </c>
      <c r="G616" t="s">
        <v>107</v>
      </c>
      <c r="H616">
        <v>-1</v>
      </c>
      <c r="I616">
        <v>557</v>
      </c>
      <c r="J616" s="7">
        <v>642.42880000000002</v>
      </c>
      <c r="K616" s="7">
        <v>648.83317497819996</v>
      </c>
      <c r="L616" s="7">
        <v>642.01433013680003</v>
      </c>
      <c r="M616" s="7">
        <v>2.6385522999999998E-3</v>
      </c>
      <c r="N616" s="7">
        <v>642.82205683029997</v>
      </c>
      <c r="O616" s="7">
        <v>648.83317497819996</v>
      </c>
      <c r="P616" s="7">
        <v>642.01433013680003</v>
      </c>
      <c r="Q616" s="7">
        <v>3.3876133693999999</v>
      </c>
      <c r="R616" s="7">
        <v>-249.92590000000001</v>
      </c>
      <c r="S616" s="7">
        <v>1.9495</v>
      </c>
      <c r="T616" s="7">
        <v>0.55700000000000005</v>
      </c>
      <c r="U616" s="7">
        <v>-252.4324</v>
      </c>
      <c r="V616" s="7" t="s">
        <v>88</v>
      </c>
      <c r="W616" s="11">
        <v>45898.5</v>
      </c>
    </row>
    <row r="617" spans="1:23">
      <c r="A617" t="s">
        <v>89</v>
      </c>
      <c r="B617">
        <v>76</v>
      </c>
      <c r="C617" s="10">
        <v>45902</v>
      </c>
      <c r="D617" s="11">
        <v>45902.458333333336</v>
      </c>
      <c r="E617" s="11">
        <v>45902.458333333336</v>
      </c>
      <c r="F617" t="s">
        <v>106</v>
      </c>
      <c r="G617" t="s">
        <v>109</v>
      </c>
      <c r="H617">
        <v>-1</v>
      </c>
      <c r="I617">
        <v>535</v>
      </c>
      <c r="J617" s="7">
        <v>635.88699999999994</v>
      </c>
      <c r="K617" s="7">
        <v>644.85743672429999</v>
      </c>
      <c r="L617" s="7">
        <v>635.98537163360004</v>
      </c>
      <c r="M617" s="7">
        <v>2.4733714E-3</v>
      </c>
      <c r="N617" s="7">
        <v>637.24883816090005</v>
      </c>
      <c r="O617" s="7">
        <v>644.85743672429999</v>
      </c>
      <c r="P617" s="7">
        <v>635.98537163360004</v>
      </c>
      <c r="Q617" s="7">
        <v>3.2438515400000001</v>
      </c>
      <c r="R617" s="7">
        <v>0</v>
      </c>
      <c r="S617" s="7">
        <v>1.8725000000000001</v>
      </c>
      <c r="T617" s="7">
        <v>0.53500000000000003</v>
      </c>
      <c r="U617" s="7">
        <v>-2.4075000000000002</v>
      </c>
      <c r="V617" s="7" t="s">
        <v>110</v>
      </c>
      <c r="W617" s="11">
        <v>45902.4375</v>
      </c>
    </row>
    <row r="618" spans="1:23">
      <c r="A618" t="s">
        <v>89</v>
      </c>
      <c r="B618">
        <v>76</v>
      </c>
      <c r="C618" s="10">
        <v>45902</v>
      </c>
      <c r="D618" s="11">
        <v>45902.5625</v>
      </c>
      <c r="E618" s="11">
        <v>45902.5625</v>
      </c>
      <c r="F618" t="s">
        <v>108</v>
      </c>
      <c r="G618" t="s">
        <v>107</v>
      </c>
      <c r="H618">
        <v>-1</v>
      </c>
      <c r="I618">
        <v>535</v>
      </c>
      <c r="J618" s="7">
        <v>635.86739999999998</v>
      </c>
      <c r="K618" s="7">
        <v>645.19037158829997</v>
      </c>
      <c r="L618" s="7">
        <v>635.65538903590004</v>
      </c>
      <c r="M618" s="7">
        <v>2.9909405999999999E-3</v>
      </c>
      <c r="N618" s="7">
        <v>636.1028795213</v>
      </c>
      <c r="O618" s="7">
        <v>645.19037158829997</v>
      </c>
      <c r="P618" s="7">
        <v>635.65538903590004</v>
      </c>
      <c r="Q618" s="7">
        <v>3.2438515400000001</v>
      </c>
      <c r="R618" s="7">
        <v>10.486000000000001</v>
      </c>
      <c r="S618" s="7">
        <v>1.8725000000000001</v>
      </c>
      <c r="T618" s="7">
        <v>0.53500000000000003</v>
      </c>
      <c r="U618" s="7">
        <v>8.0785</v>
      </c>
      <c r="V618" s="7" t="s">
        <v>88</v>
      </c>
      <c r="W618" s="11">
        <v>45902.541666666664</v>
      </c>
    </row>
    <row r="619" spans="1:23">
      <c r="A619" t="s">
        <v>89</v>
      </c>
      <c r="B619">
        <v>77</v>
      </c>
      <c r="C619" s="10">
        <v>45903</v>
      </c>
      <c r="D619" s="11">
        <v>45903.458333333336</v>
      </c>
      <c r="E619" s="11">
        <v>45903.458333333336</v>
      </c>
      <c r="F619" t="s">
        <v>106</v>
      </c>
      <c r="G619" t="s">
        <v>107</v>
      </c>
      <c r="H619">
        <v>1</v>
      </c>
      <c r="I619">
        <v>558</v>
      </c>
      <c r="J619" s="7">
        <v>642.20939999999996</v>
      </c>
      <c r="K619" s="7">
        <v>641.78915880500006</v>
      </c>
      <c r="L619" s="7">
        <v>636.99443773619998</v>
      </c>
      <c r="M619" s="7">
        <v>2.3573424999999999E-3</v>
      </c>
      <c r="N619" s="7">
        <v>640.83733642029995</v>
      </c>
      <c r="O619" s="7">
        <v>641.78915880500006</v>
      </c>
      <c r="P619" s="7">
        <v>636.99443773619998</v>
      </c>
      <c r="Q619" s="7">
        <v>3.3997772365999999</v>
      </c>
      <c r="R619" s="7">
        <v>0</v>
      </c>
      <c r="S619" s="7">
        <v>1.9530000000000001</v>
      </c>
      <c r="T619" s="7">
        <v>0.55800000000000005</v>
      </c>
      <c r="U619" s="7">
        <v>-2.5110000000000001</v>
      </c>
      <c r="V619" s="7" t="s">
        <v>110</v>
      </c>
      <c r="W619" s="11">
        <v>45903.4375</v>
      </c>
    </row>
    <row r="620" spans="1:23">
      <c r="A620" t="s">
        <v>89</v>
      </c>
      <c r="B620">
        <v>77</v>
      </c>
      <c r="C620" s="10">
        <v>45903</v>
      </c>
      <c r="D620" s="11">
        <v>45903.479166666664</v>
      </c>
      <c r="E620" s="11">
        <v>45903.479166666664</v>
      </c>
      <c r="F620" t="s">
        <v>108</v>
      </c>
      <c r="G620" t="s">
        <v>109</v>
      </c>
      <c r="H620">
        <v>1</v>
      </c>
      <c r="I620">
        <v>558</v>
      </c>
      <c r="J620" s="7">
        <v>640.67370000000005</v>
      </c>
      <c r="K620" s="7">
        <v>641.67136662550001</v>
      </c>
      <c r="L620" s="7">
        <v>637.11190241259999</v>
      </c>
      <c r="M620" s="7">
        <v>2.1733727E-3</v>
      </c>
      <c r="N620" s="7">
        <v>640.80848612679995</v>
      </c>
      <c r="O620" s="7">
        <v>641.67136662550001</v>
      </c>
      <c r="P620" s="7">
        <v>637.11190241259999</v>
      </c>
      <c r="Q620" s="7">
        <v>3.3997772365999999</v>
      </c>
      <c r="R620" s="7">
        <v>-856.92059999989999</v>
      </c>
      <c r="S620" s="7">
        <v>1.9530000000000001</v>
      </c>
      <c r="T620" s="7">
        <v>0.55800000000000005</v>
      </c>
      <c r="U620" s="7">
        <v>-859.43159999989996</v>
      </c>
      <c r="V620" s="7" t="s">
        <v>88</v>
      </c>
      <c r="W620" s="11">
        <v>45903.458333333336</v>
      </c>
    </row>
    <row r="621" spans="1:23">
      <c r="A621" t="s">
        <v>89</v>
      </c>
      <c r="B621">
        <v>78</v>
      </c>
      <c r="C621" s="10">
        <v>45904</v>
      </c>
      <c r="D621" s="11">
        <v>45904.5625</v>
      </c>
      <c r="E621" s="11">
        <v>45904.5625</v>
      </c>
      <c r="F621" t="s">
        <v>106</v>
      </c>
      <c r="G621" t="s">
        <v>107</v>
      </c>
      <c r="H621">
        <v>1</v>
      </c>
      <c r="I621">
        <v>540</v>
      </c>
      <c r="J621" s="7">
        <v>645.09019999999998</v>
      </c>
      <c r="K621" s="7">
        <v>644.8428584536</v>
      </c>
      <c r="L621" s="7">
        <v>640.35552839369996</v>
      </c>
      <c r="M621" s="7">
        <v>2.4994880999999998E-3</v>
      </c>
      <c r="N621" s="7">
        <v>643.82850511369998</v>
      </c>
      <c r="O621" s="7">
        <v>644.8428584536</v>
      </c>
      <c r="P621" s="7">
        <v>640.35552839369996</v>
      </c>
      <c r="Q621" s="7">
        <v>3.3323747218999999</v>
      </c>
      <c r="R621" s="7">
        <v>0</v>
      </c>
      <c r="S621" s="7">
        <v>1.89</v>
      </c>
      <c r="T621" s="7">
        <v>0.54</v>
      </c>
      <c r="U621" s="7">
        <v>-2.4300000000000002</v>
      </c>
      <c r="V621" s="7" t="s">
        <v>110</v>
      </c>
      <c r="W621" s="11">
        <v>45904.541666666664</v>
      </c>
    </row>
    <row r="622" spans="1:23">
      <c r="A622" t="s">
        <v>89</v>
      </c>
      <c r="B622">
        <v>78</v>
      </c>
      <c r="C622" s="10">
        <v>45904</v>
      </c>
      <c r="D622" s="11">
        <v>45904.666666666664</v>
      </c>
      <c r="E622" s="11">
        <v>45904.666666666664</v>
      </c>
      <c r="F622" t="s">
        <v>108</v>
      </c>
      <c r="G622" t="s">
        <v>109</v>
      </c>
      <c r="H622">
        <v>1</v>
      </c>
      <c r="I622">
        <v>540</v>
      </c>
      <c r="J622" s="7">
        <v>647.32529999999997</v>
      </c>
      <c r="K622" s="7">
        <v>645.09781171839995</v>
      </c>
      <c r="L622" s="7">
        <v>640.10108048899997</v>
      </c>
      <c r="M622" s="7">
        <v>2.8958489999999998E-3</v>
      </c>
      <c r="N622" s="7">
        <v>645.11155126899996</v>
      </c>
      <c r="O622" s="7">
        <v>645.11155126899996</v>
      </c>
      <c r="P622" s="7">
        <v>640.10108048899997</v>
      </c>
      <c r="Q622" s="7">
        <v>3.3323747218999999</v>
      </c>
      <c r="R622" s="7">
        <v>1206.954</v>
      </c>
      <c r="S622" s="7">
        <v>1.89</v>
      </c>
      <c r="T622" s="7">
        <v>0.54</v>
      </c>
      <c r="U622" s="7">
        <v>1204.5239999999999</v>
      </c>
      <c r="V622" s="7" t="s">
        <v>85</v>
      </c>
      <c r="W622" s="11">
        <v>45904.645833333336</v>
      </c>
    </row>
    <row r="623" spans="1:23">
      <c r="A623" t="s">
        <v>89</v>
      </c>
      <c r="B623">
        <v>79</v>
      </c>
      <c r="C623" s="10">
        <v>45905</v>
      </c>
      <c r="D623" s="11">
        <v>45905.4375</v>
      </c>
      <c r="E623" s="11">
        <v>45905.4375</v>
      </c>
      <c r="F623" t="s">
        <v>106</v>
      </c>
      <c r="G623" t="s">
        <v>109</v>
      </c>
      <c r="H623">
        <v>-1</v>
      </c>
      <c r="I623">
        <v>507</v>
      </c>
      <c r="J623" s="7">
        <v>644.71749999999997</v>
      </c>
      <c r="K623" s="7">
        <v>650.24699092130004</v>
      </c>
      <c r="L623" s="7">
        <v>646.34105046599996</v>
      </c>
      <c r="M623" s="7">
        <v>1.5203325000000001E-3</v>
      </c>
      <c r="N623" s="7">
        <v>646.97050796940005</v>
      </c>
      <c r="O623" s="7">
        <v>650.24699092130004</v>
      </c>
      <c r="P623" s="7">
        <v>646.34105046599996</v>
      </c>
      <c r="Q623" s="7">
        <v>3.1174579661999999</v>
      </c>
      <c r="R623" s="7">
        <v>0</v>
      </c>
      <c r="S623" s="7">
        <v>1.7745</v>
      </c>
      <c r="T623" s="7">
        <v>0.50700000000000001</v>
      </c>
      <c r="U623" s="7">
        <v>-2.2814999999999999</v>
      </c>
      <c r="V623" s="7" t="s">
        <v>110</v>
      </c>
      <c r="W623" s="11">
        <v>45905.416666666664</v>
      </c>
    </row>
    <row r="624" spans="1:23">
      <c r="A624" t="s">
        <v>89</v>
      </c>
      <c r="B624">
        <v>79</v>
      </c>
      <c r="C624" s="10">
        <v>45905</v>
      </c>
      <c r="D624" s="11">
        <v>45905.645833333336</v>
      </c>
      <c r="E624" s="11">
        <v>45905.645833333336</v>
      </c>
      <c r="F624" t="s">
        <v>108</v>
      </c>
      <c r="G624" t="s">
        <v>107</v>
      </c>
      <c r="H624">
        <v>-1</v>
      </c>
      <c r="I624">
        <v>507</v>
      </c>
      <c r="J624" s="7">
        <v>645.37869999999998</v>
      </c>
      <c r="K624" s="7">
        <v>651.17158273940004</v>
      </c>
      <c r="L624" s="7">
        <v>645.41921379689995</v>
      </c>
      <c r="M624" s="7">
        <v>2.9444028999999999E-3</v>
      </c>
      <c r="N624" s="7">
        <v>644.85131933440005</v>
      </c>
      <c r="O624" s="7">
        <v>651.17158273940004</v>
      </c>
      <c r="P624" s="7">
        <v>644.85131933440005</v>
      </c>
      <c r="Q624" s="7">
        <v>3.1174579661999999</v>
      </c>
      <c r="R624" s="7">
        <v>-335.22840000000002</v>
      </c>
      <c r="S624" s="7">
        <v>1.7745</v>
      </c>
      <c r="T624" s="7">
        <v>0.50700000000000001</v>
      </c>
      <c r="U624" s="7">
        <v>-337.50990000000002</v>
      </c>
      <c r="V624" s="7" t="s">
        <v>88</v>
      </c>
      <c r="W624" s="11">
        <v>45905.625</v>
      </c>
    </row>
    <row r="625" spans="1:23">
      <c r="A625" t="s">
        <v>89</v>
      </c>
      <c r="B625">
        <v>80</v>
      </c>
      <c r="C625" s="10">
        <v>45911</v>
      </c>
      <c r="D625" s="11">
        <v>45911.479166666664</v>
      </c>
      <c r="E625" s="11">
        <v>45911.479166666664</v>
      </c>
      <c r="F625" t="s">
        <v>106</v>
      </c>
      <c r="G625" t="s">
        <v>107</v>
      </c>
      <c r="H625">
        <v>1</v>
      </c>
      <c r="I625">
        <v>524</v>
      </c>
      <c r="J625" s="7">
        <v>655.63229999999999</v>
      </c>
      <c r="K625" s="7">
        <v>655.49247382520002</v>
      </c>
      <c r="L625" s="7">
        <v>648.72520455200004</v>
      </c>
      <c r="M625" s="7">
        <v>2.5851451000000001E-3</v>
      </c>
      <c r="N625" s="7">
        <v>654.40606447899995</v>
      </c>
      <c r="O625" s="7">
        <v>655.49247382520002</v>
      </c>
      <c r="P625" s="7">
        <v>648.72520455200004</v>
      </c>
      <c r="Q625" s="7">
        <v>3.2595011760000001</v>
      </c>
      <c r="R625" s="7">
        <v>0</v>
      </c>
      <c r="S625" s="7">
        <v>1.8340000000000001</v>
      </c>
      <c r="T625" s="7">
        <v>0.52400000000000002</v>
      </c>
      <c r="U625" s="7">
        <v>-2.3580000000000001</v>
      </c>
      <c r="V625" s="7" t="s">
        <v>110</v>
      </c>
      <c r="W625" s="11">
        <v>45911.458333333336</v>
      </c>
    </row>
    <row r="626" spans="1:23">
      <c r="A626" t="s">
        <v>89</v>
      </c>
      <c r="B626">
        <v>80</v>
      </c>
      <c r="C626" s="10">
        <v>45911</v>
      </c>
      <c r="D626" s="11">
        <v>45911.5</v>
      </c>
      <c r="E626" s="11">
        <v>45911.5</v>
      </c>
      <c r="F626" t="s">
        <v>108</v>
      </c>
      <c r="G626" t="s">
        <v>109</v>
      </c>
      <c r="H626">
        <v>1</v>
      </c>
      <c r="I626">
        <v>524</v>
      </c>
      <c r="J626" s="7">
        <v>655.39290000000005</v>
      </c>
      <c r="K626" s="7">
        <v>655.60827331200005</v>
      </c>
      <c r="L626" s="7">
        <v>648.61000650139999</v>
      </c>
      <c r="M626" s="7">
        <v>2.7622621000000002E-3</v>
      </c>
      <c r="N626" s="7">
        <v>654.5339842249</v>
      </c>
      <c r="O626" s="7">
        <v>655.60827331200005</v>
      </c>
      <c r="P626" s="7">
        <v>648.61000650139999</v>
      </c>
      <c r="Q626" s="7">
        <v>3.2595011760000001</v>
      </c>
      <c r="R626" s="7">
        <v>-125.4456</v>
      </c>
      <c r="S626" s="7">
        <v>1.8340000000000001</v>
      </c>
      <c r="T626" s="7">
        <v>0.52400000000000002</v>
      </c>
      <c r="U626" s="7">
        <v>-127.8036</v>
      </c>
      <c r="V626" s="7" t="s">
        <v>88</v>
      </c>
      <c r="W626" s="11">
        <v>45911.479166666664</v>
      </c>
    </row>
    <row r="627" spans="1:23">
      <c r="A627" t="s">
        <v>89</v>
      </c>
      <c r="B627">
        <v>81</v>
      </c>
      <c r="C627" s="10">
        <v>45911</v>
      </c>
      <c r="D627" s="11">
        <v>45911.520833333336</v>
      </c>
      <c r="E627" s="11">
        <v>45911.520833333336</v>
      </c>
      <c r="F627" t="s">
        <v>106</v>
      </c>
      <c r="G627" t="s">
        <v>107</v>
      </c>
      <c r="H627">
        <v>1</v>
      </c>
      <c r="I627">
        <v>524</v>
      </c>
      <c r="J627" s="7">
        <v>655.56240000000003</v>
      </c>
      <c r="K627" s="7">
        <v>655.48045186829995</v>
      </c>
      <c r="L627" s="7">
        <v>648.73716406970004</v>
      </c>
      <c r="M627" s="7">
        <v>2.5667573999999999E-3</v>
      </c>
      <c r="N627" s="7">
        <v>654.62613614099996</v>
      </c>
      <c r="O627" s="7">
        <v>655.48045186829995</v>
      </c>
      <c r="P627" s="7">
        <v>648.73716406970004</v>
      </c>
      <c r="Q627" s="7">
        <v>3.2595011760000001</v>
      </c>
      <c r="R627" s="7">
        <v>0</v>
      </c>
      <c r="S627" s="7">
        <v>1.8340000000000001</v>
      </c>
      <c r="T627" s="7">
        <v>0.52400000000000002</v>
      </c>
      <c r="U627" s="7">
        <v>-2.3580000000000001</v>
      </c>
      <c r="V627" s="7" t="s">
        <v>110</v>
      </c>
      <c r="W627" s="11">
        <v>45911.5</v>
      </c>
    </row>
    <row r="628" spans="1:23">
      <c r="A628" t="s">
        <v>89</v>
      </c>
      <c r="B628">
        <v>81</v>
      </c>
      <c r="C628" s="10">
        <v>45911</v>
      </c>
      <c r="D628" s="11">
        <v>45911.5625</v>
      </c>
      <c r="E628" s="11">
        <v>45911.5625</v>
      </c>
      <c r="F628" t="s">
        <v>108</v>
      </c>
      <c r="G628" t="s">
        <v>109</v>
      </c>
      <c r="H628">
        <v>1</v>
      </c>
      <c r="I628">
        <v>524</v>
      </c>
      <c r="J628" s="7">
        <v>655.29819999999995</v>
      </c>
      <c r="K628" s="7">
        <v>655.62033543890004</v>
      </c>
      <c r="L628" s="7">
        <v>648.5980070224</v>
      </c>
      <c r="M628" s="7">
        <v>2.7807113E-3</v>
      </c>
      <c r="N628" s="7">
        <v>654.71203061990002</v>
      </c>
      <c r="O628" s="7">
        <v>655.62033543890004</v>
      </c>
      <c r="P628" s="7">
        <v>648.5980070224</v>
      </c>
      <c r="Q628" s="7">
        <v>3.2595011760000001</v>
      </c>
      <c r="R628" s="7">
        <v>-138.4408</v>
      </c>
      <c r="S628" s="7">
        <v>1.8340000000000001</v>
      </c>
      <c r="T628" s="7">
        <v>0.52400000000000002</v>
      </c>
      <c r="U628" s="7">
        <v>-140.7988</v>
      </c>
      <c r="V628" s="7" t="s">
        <v>88</v>
      </c>
      <c r="W628" s="11">
        <v>45911.541666666664</v>
      </c>
    </row>
    <row r="629" spans="1:23">
      <c r="A629" t="s">
        <v>89</v>
      </c>
      <c r="B629">
        <v>82</v>
      </c>
      <c r="C629" s="10">
        <v>45911</v>
      </c>
      <c r="D629" s="11">
        <v>45911.583333333336</v>
      </c>
      <c r="E629" s="11">
        <v>45911.583333333336</v>
      </c>
      <c r="F629" t="s">
        <v>106</v>
      </c>
      <c r="G629" t="s">
        <v>107</v>
      </c>
      <c r="H629">
        <v>1</v>
      </c>
      <c r="I629">
        <v>524</v>
      </c>
      <c r="J629" s="7">
        <v>655.76189999999997</v>
      </c>
      <c r="K629" s="7">
        <v>655.66759277680001</v>
      </c>
      <c r="L629" s="7">
        <v>648.55099512840002</v>
      </c>
      <c r="M629" s="7">
        <v>2.8529921E-3</v>
      </c>
      <c r="N629" s="7">
        <v>654.77351781089999</v>
      </c>
      <c r="O629" s="7">
        <v>655.66759277680001</v>
      </c>
      <c r="P629" s="7">
        <v>648.55099512840002</v>
      </c>
      <c r="Q629" s="7">
        <v>3.2595011760000001</v>
      </c>
      <c r="R629" s="7">
        <v>0</v>
      </c>
      <c r="S629" s="7">
        <v>1.8340000000000001</v>
      </c>
      <c r="T629" s="7">
        <v>0.52400000000000002</v>
      </c>
      <c r="U629" s="7">
        <v>-2.3580000000000001</v>
      </c>
      <c r="V629" s="7" t="s">
        <v>110</v>
      </c>
      <c r="W629" s="11">
        <v>45911.5625</v>
      </c>
    </row>
    <row r="630" spans="1:23">
      <c r="A630" t="s">
        <v>89</v>
      </c>
      <c r="B630">
        <v>82</v>
      </c>
      <c r="C630" s="10">
        <v>45911</v>
      </c>
      <c r="D630" s="11">
        <v>45911.604166666664</v>
      </c>
      <c r="E630" s="11">
        <v>45911.604166666664</v>
      </c>
      <c r="F630" t="s">
        <v>108</v>
      </c>
      <c r="G630" t="s">
        <v>109</v>
      </c>
      <c r="H630">
        <v>1</v>
      </c>
      <c r="I630">
        <v>524</v>
      </c>
      <c r="J630" s="7">
        <v>655.51260000000002</v>
      </c>
      <c r="K630" s="7">
        <v>655.73961218930003</v>
      </c>
      <c r="L630" s="7">
        <v>648.4793497682</v>
      </c>
      <c r="M630" s="7">
        <v>2.9631468000000001E-3</v>
      </c>
      <c r="N630" s="7">
        <v>654.84132261540003</v>
      </c>
      <c r="O630" s="7">
        <v>655.73961218930003</v>
      </c>
      <c r="P630" s="7">
        <v>648.4793497682</v>
      </c>
      <c r="Q630" s="7">
        <v>3.2595011760000001</v>
      </c>
      <c r="R630" s="7">
        <v>-130.63319999999999</v>
      </c>
      <c r="S630" s="7">
        <v>1.8340000000000001</v>
      </c>
      <c r="T630" s="7">
        <v>0.52400000000000002</v>
      </c>
      <c r="U630" s="7">
        <v>-132.99119999999999</v>
      </c>
      <c r="V630" s="7" t="s">
        <v>88</v>
      </c>
      <c r="W630" s="11">
        <v>45911.583333333336</v>
      </c>
    </row>
    <row r="631" spans="1:23">
      <c r="A631" t="s">
        <v>89</v>
      </c>
      <c r="B631">
        <v>83</v>
      </c>
      <c r="C631" s="10">
        <v>45911</v>
      </c>
      <c r="D631" s="11">
        <v>45911.645833333336</v>
      </c>
      <c r="E631" s="11">
        <v>45911.645833333336</v>
      </c>
      <c r="F631" t="s">
        <v>106</v>
      </c>
      <c r="G631" t="s">
        <v>107</v>
      </c>
      <c r="H631">
        <v>1</v>
      </c>
      <c r="I631">
        <v>524</v>
      </c>
      <c r="J631" s="7">
        <v>655.92139999999995</v>
      </c>
      <c r="K631" s="7">
        <v>655.77855676820002</v>
      </c>
      <c r="L631" s="7">
        <v>648.44060745859997</v>
      </c>
      <c r="M631" s="7">
        <v>3.0227130999999998E-3</v>
      </c>
      <c r="N631" s="7">
        <v>654.98323944779997</v>
      </c>
      <c r="O631" s="7">
        <v>655.77855676820002</v>
      </c>
      <c r="P631" s="7">
        <v>648.44060745859997</v>
      </c>
      <c r="Q631" s="7">
        <v>3.2595011760000001</v>
      </c>
      <c r="R631" s="7">
        <v>0</v>
      </c>
      <c r="S631" s="7">
        <v>1.8340000000000001</v>
      </c>
      <c r="T631" s="7">
        <v>0.52400000000000002</v>
      </c>
      <c r="U631" s="7">
        <v>-2.3580000000000001</v>
      </c>
      <c r="V631" s="7" t="s">
        <v>110</v>
      </c>
      <c r="W631" s="11">
        <v>45911.625</v>
      </c>
    </row>
    <row r="632" spans="1:23">
      <c r="A632" t="s">
        <v>89</v>
      </c>
      <c r="B632">
        <v>83</v>
      </c>
      <c r="C632" s="10">
        <v>45911</v>
      </c>
      <c r="D632" s="11">
        <v>45911.666666666664</v>
      </c>
      <c r="E632" s="11">
        <v>45911.666666666664</v>
      </c>
      <c r="F632" t="s">
        <v>108</v>
      </c>
      <c r="G632" t="s">
        <v>109</v>
      </c>
      <c r="H632">
        <v>1</v>
      </c>
      <c r="I632">
        <v>524</v>
      </c>
      <c r="J632" s="7">
        <v>655.81169999999997</v>
      </c>
      <c r="K632" s="7">
        <v>655.95492025659996</v>
      </c>
      <c r="L632" s="7">
        <v>648.26515996190005</v>
      </c>
      <c r="M632" s="7">
        <v>3.2924636E-3</v>
      </c>
      <c r="N632" s="7">
        <v>655.17284369799995</v>
      </c>
      <c r="O632" s="7">
        <v>655.95492025659996</v>
      </c>
      <c r="P632" s="7">
        <v>648.26515996190005</v>
      </c>
      <c r="Q632" s="7">
        <v>3.2595011760000001</v>
      </c>
      <c r="R632" s="7">
        <v>-57.482799999999997</v>
      </c>
      <c r="S632" s="7">
        <v>1.8340000000000001</v>
      </c>
      <c r="T632" s="7">
        <v>0.52400000000000002</v>
      </c>
      <c r="U632" s="7">
        <v>-59.840800000000002</v>
      </c>
      <c r="V632" s="7" t="s">
        <v>85</v>
      </c>
      <c r="W632" s="11">
        <v>45911.645833333336</v>
      </c>
    </row>
    <row r="633" spans="1:23">
      <c r="A633" t="s">
        <v>89</v>
      </c>
      <c r="B633">
        <v>84</v>
      </c>
      <c r="C633" s="10">
        <v>45917</v>
      </c>
      <c r="D633" s="11">
        <v>45917.4375</v>
      </c>
      <c r="E633" s="11">
        <v>45917.4375</v>
      </c>
      <c r="F633" t="s">
        <v>106</v>
      </c>
      <c r="G633" t="s">
        <v>109</v>
      </c>
      <c r="H633">
        <v>-1</v>
      </c>
      <c r="I633">
        <v>637</v>
      </c>
      <c r="J633" s="7">
        <v>657.34749999999997</v>
      </c>
      <c r="K633" s="7">
        <v>658.81261217669999</v>
      </c>
      <c r="L633" s="7">
        <v>657.45296986419999</v>
      </c>
      <c r="M633" s="7">
        <v>9.6860570000000001E-4</v>
      </c>
      <c r="N633" s="7">
        <v>657.79438013590004</v>
      </c>
      <c r="O633" s="7">
        <v>658.81261217669999</v>
      </c>
      <c r="P633" s="7">
        <v>657.45296986419999</v>
      </c>
      <c r="Q633" s="7">
        <v>4</v>
      </c>
      <c r="R633" s="7">
        <v>0</v>
      </c>
      <c r="S633" s="7">
        <v>2.2294999999999998</v>
      </c>
      <c r="T633" s="7">
        <v>0.63700000000000001</v>
      </c>
      <c r="U633" s="7">
        <v>-2.8664999999999998</v>
      </c>
      <c r="V633" s="7" t="s">
        <v>110</v>
      </c>
      <c r="W633" s="11">
        <v>45917.416666666664</v>
      </c>
    </row>
    <row r="634" spans="1:23">
      <c r="A634" t="s">
        <v>89</v>
      </c>
      <c r="B634">
        <v>84</v>
      </c>
      <c r="C634" s="10">
        <v>45917</v>
      </c>
      <c r="D634" s="11">
        <v>45917.458333333336</v>
      </c>
      <c r="E634" s="11">
        <v>45917.458333333336</v>
      </c>
      <c r="F634" t="s">
        <v>108</v>
      </c>
      <c r="G634" t="s">
        <v>107</v>
      </c>
      <c r="H634">
        <v>-1</v>
      </c>
      <c r="I634">
        <v>637</v>
      </c>
      <c r="J634" s="7">
        <v>657.53689999999995</v>
      </c>
      <c r="K634" s="7">
        <v>659.5379777787</v>
      </c>
      <c r="L634" s="7">
        <v>656.72769760890003</v>
      </c>
      <c r="M634" s="7">
        <v>2.0706918000000002E-3</v>
      </c>
      <c r="N634" s="7">
        <v>657.74030591389999</v>
      </c>
      <c r="O634" s="7">
        <v>659.5379777787</v>
      </c>
      <c r="P634" s="7">
        <v>656.72769760890003</v>
      </c>
      <c r="Q634" s="7">
        <v>4</v>
      </c>
      <c r="R634" s="7">
        <v>-120.6478</v>
      </c>
      <c r="S634" s="7">
        <v>2.2294999999999998</v>
      </c>
      <c r="T634" s="7">
        <v>0.63700000000000001</v>
      </c>
      <c r="U634" s="7">
        <v>-123.51430000000001</v>
      </c>
      <c r="V634" s="7" t="s">
        <v>88</v>
      </c>
      <c r="W634" s="11">
        <v>45917.4375</v>
      </c>
    </row>
    <row r="635" spans="1:23">
      <c r="A635" t="s">
        <v>89</v>
      </c>
      <c r="B635">
        <v>85</v>
      </c>
      <c r="C635" s="10">
        <v>45917</v>
      </c>
      <c r="D635" s="11">
        <v>45917.541666666664</v>
      </c>
      <c r="E635" s="11">
        <v>45917.541666666664</v>
      </c>
      <c r="F635" t="s">
        <v>106</v>
      </c>
      <c r="G635" t="s">
        <v>109</v>
      </c>
      <c r="H635">
        <v>-1</v>
      </c>
      <c r="I635">
        <v>637</v>
      </c>
      <c r="J635" s="7">
        <v>656.48990000000003</v>
      </c>
      <c r="K635" s="7">
        <v>659.28050780119997</v>
      </c>
      <c r="L635" s="7">
        <v>656.98513445280003</v>
      </c>
      <c r="M635" s="7">
        <v>1.6795041000000001E-3</v>
      </c>
      <c r="N635" s="7">
        <v>657.48449691739995</v>
      </c>
      <c r="O635" s="7">
        <v>659.28050780119997</v>
      </c>
      <c r="P635" s="7">
        <v>656.98513445280003</v>
      </c>
      <c r="Q635" s="7">
        <v>4</v>
      </c>
      <c r="R635" s="7">
        <v>0</v>
      </c>
      <c r="S635" s="7">
        <v>2.2294999999999998</v>
      </c>
      <c r="T635" s="7">
        <v>0.63700000000000001</v>
      </c>
      <c r="U635" s="7">
        <v>-2.8664999999999998</v>
      </c>
      <c r="V635" s="7" t="s">
        <v>110</v>
      </c>
      <c r="W635" s="11">
        <v>45917.520833333336</v>
      </c>
    </row>
    <row r="636" spans="1:23">
      <c r="A636" t="s">
        <v>89</v>
      </c>
      <c r="B636">
        <v>85</v>
      </c>
      <c r="C636" s="10">
        <v>45917</v>
      </c>
      <c r="D636" s="11">
        <v>45917.5625</v>
      </c>
      <c r="E636" s="11">
        <v>45917.5625</v>
      </c>
      <c r="F636" t="s">
        <v>108</v>
      </c>
      <c r="G636" t="s">
        <v>107</v>
      </c>
      <c r="H636">
        <v>-1</v>
      </c>
      <c r="I636">
        <v>637</v>
      </c>
      <c r="J636" s="7">
        <v>656.85080000000005</v>
      </c>
      <c r="K636" s="7">
        <v>659.54114272859999</v>
      </c>
      <c r="L636" s="7">
        <v>656.72453306629995</v>
      </c>
      <c r="M636" s="7">
        <v>2.0755004999999998E-3</v>
      </c>
      <c r="N636" s="7">
        <v>657.43602422399999</v>
      </c>
      <c r="O636" s="7">
        <v>659.54114272859999</v>
      </c>
      <c r="P636" s="7">
        <v>656.72453306629995</v>
      </c>
      <c r="Q636" s="7">
        <v>4</v>
      </c>
      <c r="R636" s="7">
        <v>-229.89330000000001</v>
      </c>
      <c r="S636" s="7">
        <v>2.2294999999999998</v>
      </c>
      <c r="T636" s="7">
        <v>0.63700000000000001</v>
      </c>
      <c r="U636" s="7">
        <v>-232.75980000000001</v>
      </c>
      <c r="V636" s="7" t="s">
        <v>88</v>
      </c>
      <c r="W636" s="11">
        <v>45917.541666666664</v>
      </c>
    </row>
    <row r="637" spans="1:23">
      <c r="A637" t="s">
        <v>89</v>
      </c>
      <c r="B637">
        <v>86</v>
      </c>
      <c r="C637" s="10">
        <v>45917</v>
      </c>
      <c r="D637" s="11">
        <v>45917.625</v>
      </c>
      <c r="E637" s="11">
        <v>45917.625</v>
      </c>
      <c r="F637" t="s">
        <v>106</v>
      </c>
      <c r="G637" t="s">
        <v>109</v>
      </c>
      <c r="H637">
        <v>-1</v>
      </c>
      <c r="I637">
        <v>637</v>
      </c>
      <c r="J637" s="7">
        <v>655.89149999999995</v>
      </c>
      <c r="K637" s="7">
        <v>659.78135726489995</v>
      </c>
      <c r="L637" s="7">
        <v>656.48434944300004</v>
      </c>
      <c r="M637" s="7">
        <v>2.440471E-3</v>
      </c>
      <c r="N637" s="7">
        <v>657.25743341040004</v>
      </c>
      <c r="O637" s="7">
        <v>659.78135726489995</v>
      </c>
      <c r="P637" s="7">
        <v>656.48434944300004</v>
      </c>
      <c r="Q637" s="7">
        <v>4</v>
      </c>
      <c r="R637" s="7">
        <v>0</v>
      </c>
      <c r="S637" s="7">
        <v>2.2294999999999998</v>
      </c>
      <c r="T637" s="7">
        <v>0.63700000000000001</v>
      </c>
      <c r="U637" s="7">
        <v>-2.8664999999999998</v>
      </c>
      <c r="V637" s="7" t="s">
        <v>110</v>
      </c>
      <c r="W637" s="11">
        <v>45917.604166666664</v>
      </c>
    </row>
    <row r="638" spans="1:23">
      <c r="A638" t="s">
        <v>89</v>
      </c>
      <c r="B638">
        <v>86</v>
      </c>
      <c r="C638" s="10">
        <v>45917</v>
      </c>
      <c r="D638" s="11">
        <v>45917.645833333336</v>
      </c>
      <c r="E638" s="11">
        <v>45917.645833333336</v>
      </c>
      <c r="F638" t="s">
        <v>108</v>
      </c>
      <c r="G638" t="s">
        <v>107</v>
      </c>
      <c r="H638">
        <v>-1</v>
      </c>
      <c r="I638">
        <v>637</v>
      </c>
      <c r="J638" s="7">
        <v>658.245</v>
      </c>
      <c r="K638" s="7">
        <v>659.68919969360002</v>
      </c>
      <c r="L638" s="7">
        <v>656.57649515460002</v>
      </c>
      <c r="M638" s="7">
        <v>2.3004511999999999E-3</v>
      </c>
      <c r="N638" s="7">
        <v>657.42625136150002</v>
      </c>
      <c r="O638" s="7">
        <v>659.68919969360002</v>
      </c>
      <c r="P638" s="7">
        <v>656.57649515460002</v>
      </c>
      <c r="Q638" s="7">
        <v>4</v>
      </c>
      <c r="R638" s="7">
        <v>-1499.1795</v>
      </c>
      <c r="S638" s="7">
        <v>2.2294999999999998</v>
      </c>
      <c r="T638" s="7">
        <v>0.63700000000000001</v>
      </c>
      <c r="U638" s="7">
        <v>-1502.046</v>
      </c>
      <c r="V638" s="7" t="s">
        <v>88</v>
      </c>
      <c r="W638" s="11">
        <v>45917.625</v>
      </c>
    </row>
    <row r="639" spans="1:23">
      <c r="A639" t="s">
        <v>89</v>
      </c>
      <c r="B639">
        <v>87</v>
      </c>
      <c r="C639" s="10">
        <v>45918</v>
      </c>
      <c r="D639" s="11">
        <v>45918.4375</v>
      </c>
      <c r="E639" s="11">
        <v>45918.4375</v>
      </c>
      <c r="F639" t="s">
        <v>106</v>
      </c>
      <c r="G639" t="s">
        <v>107</v>
      </c>
      <c r="H639">
        <v>1</v>
      </c>
      <c r="I639">
        <v>623</v>
      </c>
      <c r="J639" s="7">
        <v>662.65279999999996</v>
      </c>
      <c r="K639" s="7">
        <v>660.89425392759995</v>
      </c>
      <c r="L639" s="7">
        <v>656.72533640910001</v>
      </c>
      <c r="M639" s="7">
        <v>9.6152200000000003E-4</v>
      </c>
      <c r="N639" s="7">
        <v>661.19211677010003</v>
      </c>
      <c r="O639" s="7">
        <v>661.19211677010003</v>
      </c>
      <c r="P639" s="7">
        <v>656.72533640910001</v>
      </c>
      <c r="Q639" s="7">
        <v>4</v>
      </c>
      <c r="R639" s="7">
        <v>0</v>
      </c>
      <c r="S639" s="7">
        <v>2.1804999999999999</v>
      </c>
      <c r="T639" s="7">
        <v>0.623</v>
      </c>
      <c r="U639" s="7">
        <v>-2.8035000000000001</v>
      </c>
      <c r="V639" s="7" t="s">
        <v>110</v>
      </c>
      <c r="W639" s="11">
        <v>45918.416666666664</v>
      </c>
    </row>
    <row r="640" spans="1:23">
      <c r="A640" t="s">
        <v>89</v>
      </c>
      <c r="B640">
        <v>87</v>
      </c>
      <c r="C640" s="10">
        <v>45918</v>
      </c>
      <c r="D640" s="11">
        <v>45918.458333333336</v>
      </c>
      <c r="E640" s="11">
        <v>45918.458333333336</v>
      </c>
      <c r="F640" t="s">
        <v>108</v>
      </c>
      <c r="G640" t="s">
        <v>109</v>
      </c>
      <c r="H640">
        <v>1</v>
      </c>
      <c r="I640">
        <v>623</v>
      </c>
      <c r="J640" s="7">
        <v>660.92759999999998</v>
      </c>
      <c r="K640" s="7">
        <v>661.59921226899996</v>
      </c>
      <c r="L640" s="7">
        <v>656.02347653039999</v>
      </c>
      <c r="M640" s="7">
        <v>2.0292209999999999E-3</v>
      </c>
      <c r="N640" s="7">
        <v>661.13510630229996</v>
      </c>
      <c r="O640" s="7">
        <v>661.59921226899996</v>
      </c>
      <c r="P640" s="7">
        <v>656.02347653039999</v>
      </c>
      <c r="Q640" s="7">
        <v>4</v>
      </c>
      <c r="R640" s="7">
        <v>-1074.7996000000001</v>
      </c>
      <c r="S640" s="7">
        <v>2.1804999999999999</v>
      </c>
      <c r="T640" s="7">
        <v>0.623</v>
      </c>
      <c r="U640" s="7">
        <v>-1077.6031</v>
      </c>
      <c r="V640" s="7" t="s">
        <v>88</v>
      </c>
      <c r="W640" s="11">
        <v>45918.4375</v>
      </c>
    </row>
    <row r="641" spans="1:23">
      <c r="A641" t="s">
        <v>89</v>
      </c>
      <c r="B641">
        <v>88</v>
      </c>
      <c r="C641" s="10">
        <v>45918</v>
      </c>
      <c r="D641" s="11">
        <v>45918.479166666664</v>
      </c>
      <c r="E641" s="11">
        <v>45918.479166666664</v>
      </c>
      <c r="F641" t="s">
        <v>106</v>
      </c>
      <c r="G641" t="s">
        <v>107</v>
      </c>
      <c r="H641">
        <v>1</v>
      </c>
      <c r="I641">
        <v>623</v>
      </c>
      <c r="J641" s="7">
        <v>661.55579999999998</v>
      </c>
      <c r="K641" s="7">
        <v>661.47521069100003</v>
      </c>
      <c r="L641" s="7">
        <v>656.14693309150005</v>
      </c>
      <c r="M641" s="7">
        <v>1.8414137000000001E-3</v>
      </c>
      <c r="N641" s="7">
        <v>661.19440339560003</v>
      </c>
      <c r="O641" s="7">
        <v>661.47521069100003</v>
      </c>
      <c r="P641" s="7">
        <v>656.14693309150005</v>
      </c>
      <c r="Q641" s="7">
        <v>4</v>
      </c>
      <c r="R641" s="7">
        <v>0</v>
      </c>
      <c r="S641" s="7">
        <v>2.1804999999999999</v>
      </c>
      <c r="T641" s="7">
        <v>0.623</v>
      </c>
      <c r="U641" s="7">
        <v>-2.8035000000000001</v>
      </c>
      <c r="V641" s="7" t="s">
        <v>110</v>
      </c>
      <c r="W641" s="11">
        <v>45918.458333333336</v>
      </c>
    </row>
    <row r="642" spans="1:23">
      <c r="A642" t="s">
        <v>89</v>
      </c>
      <c r="B642">
        <v>88</v>
      </c>
      <c r="C642" s="10">
        <v>45918</v>
      </c>
      <c r="D642" s="11">
        <v>45918.5</v>
      </c>
      <c r="E642" s="11">
        <v>45918.5</v>
      </c>
      <c r="F642" t="s">
        <v>108</v>
      </c>
      <c r="G642" t="s">
        <v>109</v>
      </c>
      <c r="H642">
        <v>1</v>
      </c>
      <c r="I642">
        <v>623</v>
      </c>
      <c r="J642" s="7">
        <v>660.72810000000004</v>
      </c>
      <c r="K642" s="7">
        <v>661.61524099220003</v>
      </c>
      <c r="L642" s="7">
        <v>656.00751825739997</v>
      </c>
      <c r="M642" s="7">
        <v>2.0534974000000002E-3</v>
      </c>
      <c r="N642" s="7">
        <v>661.15084683420002</v>
      </c>
      <c r="O642" s="7">
        <v>661.61524099220003</v>
      </c>
      <c r="P642" s="7">
        <v>656.00751825739997</v>
      </c>
      <c r="Q642" s="7">
        <v>4</v>
      </c>
      <c r="R642" s="7">
        <v>-515.65710000000001</v>
      </c>
      <c r="S642" s="7">
        <v>2.1804999999999999</v>
      </c>
      <c r="T642" s="7">
        <v>0.623</v>
      </c>
      <c r="U642" s="7">
        <v>-518.4606</v>
      </c>
      <c r="V642" s="7" t="s">
        <v>88</v>
      </c>
      <c r="W642" s="11">
        <v>45918.479166666664</v>
      </c>
    </row>
    <row r="643" spans="1:23">
      <c r="A643" t="s">
        <v>89</v>
      </c>
      <c r="B643">
        <v>89</v>
      </c>
      <c r="C643" s="10">
        <v>45918</v>
      </c>
      <c r="D643" s="11">
        <v>45918.520833333336</v>
      </c>
      <c r="E643" s="11">
        <v>45918.520833333336</v>
      </c>
      <c r="F643" t="s">
        <v>106</v>
      </c>
      <c r="G643" t="s">
        <v>107</v>
      </c>
      <c r="H643">
        <v>1</v>
      </c>
      <c r="I643">
        <v>623</v>
      </c>
      <c r="J643" s="7">
        <v>661.64549999999997</v>
      </c>
      <c r="K643" s="7">
        <v>661.61822337119997</v>
      </c>
      <c r="L643" s="7">
        <v>656.0045489867</v>
      </c>
      <c r="M643" s="7">
        <v>2.0580144000000001E-3</v>
      </c>
      <c r="N643" s="7">
        <v>661.18575722809999</v>
      </c>
      <c r="O643" s="7">
        <v>661.61822337119997</v>
      </c>
      <c r="P643" s="7">
        <v>656.0045489867</v>
      </c>
      <c r="Q643" s="7">
        <v>4</v>
      </c>
      <c r="R643" s="7">
        <v>0</v>
      </c>
      <c r="S643" s="7">
        <v>2.1804999999999999</v>
      </c>
      <c r="T643" s="7">
        <v>0.623</v>
      </c>
      <c r="U643" s="7">
        <v>-2.8035000000000001</v>
      </c>
      <c r="V643" s="7" t="s">
        <v>110</v>
      </c>
      <c r="W643" s="11">
        <v>45918.5</v>
      </c>
    </row>
    <row r="644" spans="1:23">
      <c r="A644" t="s">
        <v>89</v>
      </c>
      <c r="B644">
        <v>89</v>
      </c>
      <c r="C644" s="10">
        <v>45918</v>
      </c>
      <c r="D644" s="11">
        <v>45918.5625</v>
      </c>
      <c r="E644" s="11">
        <v>45918.5625</v>
      </c>
      <c r="F644" t="s">
        <v>108</v>
      </c>
      <c r="G644" t="s">
        <v>109</v>
      </c>
      <c r="H644">
        <v>1</v>
      </c>
      <c r="I644">
        <v>623</v>
      </c>
      <c r="J644" s="7">
        <v>661.48599999999999</v>
      </c>
      <c r="K644" s="7">
        <v>661.63656934230005</v>
      </c>
      <c r="L644" s="7">
        <v>655.98628365059994</v>
      </c>
      <c r="M644" s="7">
        <v>2.0858004000000002E-3</v>
      </c>
      <c r="N644" s="7">
        <v>661.2619506218</v>
      </c>
      <c r="O644" s="7">
        <v>661.63656934230005</v>
      </c>
      <c r="P644" s="7">
        <v>655.98628365059994</v>
      </c>
      <c r="Q644" s="7">
        <v>4</v>
      </c>
      <c r="R644" s="7">
        <v>-99.368499999999997</v>
      </c>
      <c r="S644" s="7">
        <v>2.1804999999999999</v>
      </c>
      <c r="T644" s="7">
        <v>0.623</v>
      </c>
      <c r="U644" s="7">
        <v>-102.172</v>
      </c>
      <c r="V644" s="7" t="s">
        <v>88</v>
      </c>
      <c r="W644" s="11">
        <v>45918.541666666664</v>
      </c>
    </row>
    <row r="645" spans="1:23">
      <c r="A645" t="s">
        <v>89</v>
      </c>
      <c r="B645">
        <v>90</v>
      </c>
      <c r="C645" s="10">
        <v>45919</v>
      </c>
      <c r="D645" s="11">
        <v>45919.645833333336</v>
      </c>
      <c r="E645" s="11">
        <v>45919.645833333336</v>
      </c>
      <c r="F645" t="s">
        <v>106</v>
      </c>
      <c r="G645" t="s">
        <v>107</v>
      </c>
      <c r="H645">
        <v>1</v>
      </c>
      <c r="I645">
        <v>611</v>
      </c>
      <c r="J645" s="7">
        <v>663.85</v>
      </c>
      <c r="K645" s="7">
        <v>663.39113206139996</v>
      </c>
      <c r="L645" s="7">
        <v>659.16591145489997</v>
      </c>
      <c r="M645" s="7">
        <v>1.9122251000000001E-3</v>
      </c>
      <c r="N645" s="7">
        <v>662.32309012250005</v>
      </c>
      <c r="O645" s="7">
        <v>663.39113206139996</v>
      </c>
      <c r="P645" s="7">
        <v>659.16591145489997</v>
      </c>
      <c r="Q645" s="7">
        <v>4</v>
      </c>
      <c r="R645" s="7">
        <v>0</v>
      </c>
      <c r="S645" s="7">
        <v>2.1385000000000001</v>
      </c>
      <c r="T645" s="7">
        <v>0.61099999999999999</v>
      </c>
      <c r="U645" s="7">
        <v>-2.7494999999999998</v>
      </c>
      <c r="V645" s="7" t="s">
        <v>110</v>
      </c>
      <c r="W645" s="11">
        <v>45919.625</v>
      </c>
    </row>
    <row r="646" spans="1:23">
      <c r="A646" t="s">
        <v>89</v>
      </c>
      <c r="B646">
        <v>90</v>
      </c>
      <c r="C646" s="10">
        <v>45919</v>
      </c>
      <c r="D646" s="11">
        <v>45919.666666666664</v>
      </c>
      <c r="E646" s="11">
        <v>45919.666666666664</v>
      </c>
      <c r="F646" t="s">
        <v>108</v>
      </c>
      <c r="G646" t="s">
        <v>109</v>
      </c>
      <c r="H646">
        <v>1</v>
      </c>
      <c r="I646">
        <v>611</v>
      </c>
      <c r="J646" s="7">
        <v>663.7</v>
      </c>
      <c r="K646" s="7">
        <v>663.41078989870005</v>
      </c>
      <c r="L646" s="7">
        <v>659.14630397609994</v>
      </c>
      <c r="M646" s="7">
        <v>1.9419140999999999E-3</v>
      </c>
      <c r="N646" s="7">
        <v>662.67117351779996</v>
      </c>
      <c r="O646" s="7">
        <v>663.41078989870005</v>
      </c>
      <c r="P646" s="7">
        <v>659.14630397609994</v>
      </c>
      <c r="Q646" s="7">
        <v>4</v>
      </c>
      <c r="R646" s="7">
        <v>-91.65</v>
      </c>
      <c r="S646" s="7">
        <v>2.1385000000000001</v>
      </c>
      <c r="T646" s="7">
        <v>0.61099999999999999</v>
      </c>
      <c r="U646" s="7">
        <v>-94.399500000000003</v>
      </c>
      <c r="V646" s="7" t="s">
        <v>85</v>
      </c>
      <c r="W646" s="11">
        <v>45919.645833333336</v>
      </c>
    </row>
    <row r="647" spans="1:23">
      <c r="A647" t="s">
        <v>89</v>
      </c>
      <c r="B647">
        <v>91</v>
      </c>
      <c r="C647" s="10">
        <v>45922</v>
      </c>
      <c r="D647" s="11">
        <v>45922.458333333336</v>
      </c>
      <c r="E647" s="11">
        <v>45922.458333333336</v>
      </c>
      <c r="F647" t="s">
        <v>106</v>
      </c>
      <c r="G647" t="s">
        <v>107</v>
      </c>
      <c r="H647">
        <v>1</v>
      </c>
      <c r="I647">
        <v>609</v>
      </c>
      <c r="J647" s="7">
        <v>664.96</v>
      </c>
      <c r="K647" s="7">
        <v>664.9431044849</v>
      </c>
      <c r="L647" s="7">
        <v>662.18740122279996</v>
      </c>
      <c r="M647" s="7">
        <v>1.8729915E-3</v>
      </c>
      <c r="N647" s="7">
        <v>664.00973277100002</v>
      </c>
      <c r="O647" s="7">
        <v>664.9431044849</v>
      </c>
      <c r="P647" s="7">
        <v>662.18740122279996</v>
      </c>
      <c r="Q647" s="7">
        <v>4</v>
      </c>
      <c r="R647" s="7">
        <v>0</v>
      </c>
      <c r="S647" s="7">
        <v>2.1315</v>
      </c>
      <c r="T647" s="7">
        <v>0.60899999999999999</v>
      </c>
      <c r="U647" s="7">
        <v>-2.7404999999999999</v>
      </c>
      <c r="V647" s="7" t="s">
        <v>110</v>
      </c>
      <c r="W647" s="11">
        <v>45922.4375</v>
      </c>
    </row>
    <row r="648" spans="1:23">
      <c r="A648" t="s">
        <v>89</v>
      </c>
      <c r="B648">
        <v>91</v>
      </c>
      <c r="C648" s="10">
        <v>45922</v>
      </c>
      <c r="D648" s="11">
        <v>45922.479166666664</v>
      </c>
      <c r="E648" s="11">
        <v>45922.479166666664</v>
      </c>
      <c r="F648" t="s">
        <v>108</v>
      </c>
      <c r="G648" t="s">
        <v>109</v>
      </c>
      <c r="H648">
        <v>1</v>
      </c>
      <c r="I648">
        <v>609</v>
      </c>
      <c r="J648" s="7">
        <v>664.93</v>
      </c>
      <c r="K648" s="7">
        <v>665.02410734010004</v>
      </c>
      <c r="L648" s="7">
        <v>662.10643132040002</v>
      </c>
      <c r="M648" s="7">
        <v>1.9950389000000001E-3</v>
      </c>
      <c r="N648" s="7">
        <v>664.17226220810005</v>
      </c>
      <c r="O648" s="7">
        <v>665.02410734010004</v>
      </c>
      <c r="P648" s="7">
        <v>662.10643132040002</v>
      </c>
      <c r="Q648" s="7">
        <v>4</v>
      </c>
      <c r="R648" s="7">
        <v>-18.270000000100001</v>
      </c>
      <c r="S648" s="7">
        <v>2.1315</v>
      </c>
      <c r="T648" s="7">
        <v>0.60899999999999999</v>
      </c>
      <c r="U648" s="7">
        <v>-21.010500000099999</v>
      </c>
      <c r="V648" s="7" t="s">
        <v>88</v>
      </c>
      <c r="W648" s="11">
        <v>45922.458333333336</v>
      </c>
    </row>
    <row r="649" spans="1:23">
      <c r="A649" t="s">
        <v>89</v>
      </c>
      <c r="B649">
        <v>92</v>
      </c>
      <c r="C649" s="10">
        <v>45922</v>
      </c>
      <c r="D649" s="11">
        <v>45922.520833333336</v>
      </c>
      <c r="E649" s="11">
        <v>45922.520833333336</v>
      </c>
      <c r="F649" t="s">
        <v>106</v>
      </c>
      <c r="G649" t="s">
        <v>107</v>
      </c>
      <c r="H649">
        <v>1</v>
      </c>
      <c r="I649">
        <v>609</v>
      </c>
      <c r="J649" s="7">
        <v>665.85500000000002</v>
      </c>
      <c r="K649" s="7">
        <v>664.94075467109997</v>
      </c>
      <c r="L649" s="7">
        <v>662.18975008070004</v>
      </c>
      <c r="M649" s="7">
        <v>1.8694511000000001E-3</v>
      </c>
      <c r="N649" s="7">
        <v>664.52443926770002</v>
      </c>
      <c r="O649" s="7">
        <v>664.94075467109997</v>
      </c>
      <c r="P649" s="7">
        <v>662.18975008070004</v>
      </c>
      <c r="Q649" s="7">
        <v>4</v>
      </c>
      <c r="R649" s="7">
        <v>0</v>
      </c>
      <c r="S649" s="7">
        <v>2.1315</v>
      </c>
      <c r="T649" s="7">
        <v>0.60899999999999999</v>
      </c>
      <c r="U649" s="7">
        <v>-2.7404999999999999</v>
      </c>
      <c r="V649" s="7" t="s">
        <v>110</v>
      </c>
      <c r="W649" s="11">
        <v>45922.5</v>
      </c>
    </row>
    <row r="650" spans="1:23">
      <c r="A650" t="s">
        <v>89</v>
      </c>
      <c r="B650">
        <v>92</v>
      </c>
      <c r="C650" s="10">
        <v>45922</v>
      </c>
      <c r="D650" s="11">
        <v>45922.666666666664</v>
      </c>
      <c r="E650" s="11">
        <v>45922.666666666664</v>
      </c>
      <c r="F650" t="s">
        <v>108</v>
      </c>
      <c r="G650" t="s">
        <v>109</v>
      </c>
      <c r="H650">
        <v>1</v>
      </c>
      <c r="I650">
        <v>609</v>
      </c>
      <c r="J650" s="7">
        <v>666.84</v>
      </c>
      <c r="K650" s="7">
        <v>665.06874762070004</v>
      </c>
      <c r="L650" s="7">
        <v>662.06180919990004</v>
      </c>
      <c r="M650" s="7">
        <v>2.0622987E-3</v>
      </c>
      <c r="N650" s="7">
        <v>665.63604221690002</v>
      </c>
      <c r="O650" s="7">
        <v>665.63604221690002</v>
      </c>
      <c r="P650" s="7">
        <v>662.06180919990004</v>
      </c>
      <c r="Q650" s="7">
        <v>4</v>
      </c>
      <c r="R650" s="7">
        <v>599.86500000000001</v>
      </c>
      <c r="S650" s="7">
        <v>2.1315</v>
      </c>
      <c r="T650" s="7">
        <v>0.60899999999999999</v>
      </c>
      <c r="U650" s="7">
        <v>597.12450000000001</v>
      </c>
      <c r="V650" s="7" t="s">
        <v>85</v>
      </c>
      <c r="W650" s="11">
        <v>45922.645833333336</v>
      </c>
    </row>
    <row r="651" spans="1:23">
      <c r="A651" t="s">
        <v>89</v>
      </c>
      <c r="B651">
        <v>93</v>
      </c>
      <c r="C651" s="10">
        <v>45923</v>
      </c>
      <c r="D651" s="11">
        <v>45923.5</v>
      </c>
      <c r="E651" s="11">
        <v>45923.5</v>
      </c>
      <c r="F651" t="s">
        <v>106</v>
      </c>
      <c r="G651" t="s">
        <v>109</v>
      </c>
      <c r="H651">
        <v>-1</v>
      </c>
      <c r="I651">
        <v>610</v>
      </c>
      <c r="J651" s="7">
        <v>665.57069999999999</v>
      </c>
      <c r="K651" s="7">
        <v>667.8536830173</v>
      </c>
      <c r="L651" s="7">
        <v>665.76640819040006</v>
      </c>
      <c r="M651" s="7">
        <v>1.5201292999999999E-3</v>
      </c>
      <c r="N651" s="7">
        <v>666.43339372200001</v>
      </c>
      <c r="O651" s="7">
        <v>667.8536830173</v>
      </c>
      <c r="P651" s="7">
        <v>665.76640819040006</v>
      </c>
      <c r="Q651" s="7">
        <v>4</v>
      </c>
      <c r="R651" s="7">
        <v>0</v>
      </c>
      <c r="S651" s="7">
        <v>2.1349999999999998</v>
      </c>
      <c r="T651" s="7">
        <v>0.61</v>
      </c>
      <c r="U651" s="7">
        <v>-2.7450000000000001</v>
      </c>
      <c r="V651" s="7" t="s">
        <v>110</v>
      </c>
      <c r="W651" s="11">
        <v>45923.479166666664</v>
      </c>
    </row>
    <row r="652" spans="1:23">
      <c r="A652" t="s">
        <v>89</v>
      </c>
      <c r="B652">
        <v>93</v>
      </c>
      <c r="C652" s="10">
        <v>45923</v>
      </c>
      <c r="D652" s="11">
        <v>45923.666666666664</v>
      </c>
      <c r="E652" s="11">
        <v>45923.666666666664</v>
      </c>
      <c r="F652" t="s">
        <v>108</v>
      </c>
      <c r="G652" t="s">
        <v>107</v>
      </c>
      <c r="H652">
        <v>-1</v>
      </c>
      <c r="I652">
        <v>610</v>
      </c>
      <c r="J652" s="7">
        <v>663.21</v>
      </c>
      <c r="K652" s="7">
        <v>668.39000723929996</v>
      </c>
      <c r="L652" s="7">
        <v>665.23013222509996</v>
      </c>
      <c r="M652" s="7">
        <v>2.3244065E-3</v>
      </c>
      <c r="N652" s="7">
        <v>664.32810369849994</v>
      </c>
      <c r="O652" s="7">
        <v>668.39000723929996</v>
      </c>
      <c r="P652" s="7">
        <v>664.32810369849994</v>
      </c>
      <c r="Q652" s="7">
        <v>4</v>
      </c>
      <c r="R652" s="7">
        <v>1440.027</v>
      </c>
      <c r="S652" s="7">
        <v>2.1349999999999998</v>
      </c>
      <c r="T652" s="7">
        <v>0.61</v>
      </c>
      <c r="U652" s="7">
        <v>1437.2819999999999</v>
      </c>
      <c r="V652" s="7" t="s">
        <v>85</v>
      </c>
      <c r="W652" s="11">
        <v>45923.645833333336</v>
      </c>
    </row>
    <row r="653" spans="1:23">
      <c r="A653" t="s">
        <v>89</v>
      </c>
      <c r="B653">
        <v>94</v>
      </c>
      <c r="C653" s="10">
        <v>45924</v>
      </c>
      <c r="D653" s="11">
        <v>45924.5</v>
      </c>
      <c r="E653" s="11">
        <v>45924.5</v>
      </c>
      <c r="F653" t="s">
        <v>106</v>
      </c>
      <c r="G653" t="s">
        <v>109</v>
      </c>
      <c r="H653">
        <v>-1</v>
      </c>
      <c r="I653">
        <v>622</v>
      </c>
      <c r="J653" s="7">
        <v>660.38</v>
      </c>
      <c r="K653" s="7">
        <v>664.28452637520002</v>
      </c>
      <c r="L653" s="7">
        <v>661.94078956190003</v>
      </c>
      <c r="M653" s="7">
        <v>1.6201901999999999E-3</v>
      </c>
      <c r="N653" s="7">
        <v>662.41881930839997</v>
      </c>
      <c r="O653" s="7">
        <v>664.28452637520002</v>
      </c>
      <c r="P653" s="7">
        <v>661.94078956190003</v>
      </c>
      <c r="Q653" s="7">
        <v>4</v>
      </c>
      <c r="R653" s="7">
        <v>0</v>
      </c>
      <c r="S653" s="7">
        <v>2.177</v>
      </c>
      <c r="T653" s="7">
        <v>0.622</v>
      </c>
      <c r="U653" s="7">
        <v>-2.7989999999999999</v>
      </c>
      <c r="V653" s="7" t="s">
        <v>110</v>
      </c>
      <c r="W653" s="11">
        <v>45924.479166666664</v>
      </c>
    </row>
    <row r="654" spans="1:23">
      <c r="A654" t="s">
        <v>89</v>
      </c>
      <c r="B654">
        <v>94</v>
      </c>
      <c r="C654" s="10">
        <v>45924</v>
      </c>
      <c r="D654" s="11">
        <v>45924.625</v>
      </c>
      <c r="E654" s="11">
        <v>45924.625</v>
      </c>
      <c r="F654" t="s">
        <v>108</v>
      </c>
      <c r="G654" t="s">
        <v>107</v>
      </c>
      <c r="H654">
        <v>-1</v>
      </c>
      <c r="I654">
        <v>622</v>
      </c>
      <c r="J654" s="7">
        <v>661.11249999999995</v>
      </c>
      <c r="K654" s="7">
        <v>665.11610838950003</v>
      </c>
      <c r="L654" s="7">
        <v>661.10945205309997</v>
      </c>
      <c r="M654" s="7">
        <v>2.8740646000000002E-3</v>
      </c>
      <c r="N654" s="7">
        <v>661.63776311460003</v>
      </c>
      <c r="O654" s="7">
        <v>665.11610838950003</v>
      </c>
      <c r="P654" s="7">
        <v>661.10945205309997</v>
      </c>
      <c r="Q654" s="7">
        <v>4</v>
      </c>
      <c r="R654" s="7">
        <v>-455.61500000000001</v>
      </c>
      <c r="S654" s="7">
        <v>2.177</v>
      </c>
      <c r="T654" s="7">
        <v>0.622</v>
      </c>
      <c r="U654" s="7">
        <v>-458.41399999999999</v>
      </c>
      <c r="V654" s="7" t="s">
        <v>88</v>
      </c>
      <c r="W654" s="11">
        <v>45924.604166666664</v>
      </c>
    </row>
    <row r="655" spans="1:23">
      <c r="A655" t="s">
        <v>89</v>
      </c>
      <c r="B655">
        <v>95</v>
      </c>
      <c r="C655" s="10">
        <v>45924</v>
      </c>
      <c r="D655" s="11">
        <v>45924.645833333336</v>
      </c>
      <c r="E655" s="11">
        <v>45924.645833333336</v>
      </c>
      <c r="F655" t="s">
        <v>106</v>
      </c>
      <c r="G655" t="s">
        <v>109</v>
      </c>
      <c r="H655">
        <v>-1</v>
      </c>
      <c r="I655">
        <v>622</v>
      </c>
      <c r="J655" s="7">
        <v>660.80250000000001</v>
      </c>
      <c r="K655" s="7">
        <v>665.02395965339997</v>
      </c>
      <c r="L655" s="7">
        <v>661.20157369519995</v>
      </c>
      <c r="M655" s="7">
        <v>2.7351211000000001E-3</v>
      </c>
      <c r="N655" s="7">
        <v>661.59006700800001</v>
      </c>
      <c r="O655" s="7">
        <v>665.02395965339997</v>
      </c>
      <c r="P655" s="7">
        <v>661.20157369519995</v>
      </c>
      <c r="Q655" s="7">
        <v>4</v>
      </c>
      <c r="R655" s="7">
        <v>0</v>
      </c>
      <c r="S655" s="7">
        <v>2.177</v>
      </c>
      <c r="T655" s="7">
        <v>0.622</v>
      </c>
      <c r="U655" s="7">
        <v>-2.7989999999999999</v>
      </c>
      <c r="V655" s="7" t="s">
        <v>110</v>
      </c>
      <c r="W655" s="11">
        <v>45924.625</v>
      </c>
    </row>
    <row r="656" spans="1:23">
      <c r="A656" t="s">
        <v>89</v>
      </c>
      <c r="B656">
        <v>95</v>
      </c>
      <c r="C656" s="10">
        <v>45924</v>
      </c>
      <c r="D656" s="11">
        <v>45924.666666666664</v>
      </c>
      <c r="E656" s="11">
        <v>45924.666666666664</v>
      </c>
      <c r="F656" t="s">
        <v>108</v>
      </c>
      <c r="G656" t="s">
        <v>107</v>
      </c>
      <c r="H656">
        <v>-1</v>
      </c>
      <c r="I656">
        <v>622</v>
      </c>
      <c r="J656" s="7">
        <v>661.1</v>
      </c>
      <c r="K656" s="7">
        <v>664.88088462109999</v>
      </c>
      <c r="L656" s="7">
        <v>661.34460665990002</v>
      </c>
      <c r="M656" s="7">
        <v>2.5193899999999998E-3</v>
      </c>
      <c r="N656" s="7">
        <v>661.50044949380003</v>
      </c>
      <c r="O656" s="7">
        <v>664.88088462109999</v>
      </c>
      <c r="P656" s="7">
        <v>661.34460665990002</v>
      </c>
      <c r="Q656" s="7">
        <v>4</v>
      </c>
      <c r="R656" s="7">
        <v>-185.04499999999999</v>
      </c>
      <c r="S656" s="7">
        <v>2.177</v>
      </c>
      <c r="T656" s="7">
        <v>0.622</v>
      </c>
      <c r="U656" s="7">
        <v>-187.84399999999999</v>
      </c>
      <c r="V656" s="7" t="s">
        <v>85</v>
      </c>
      <c r="W656" s="11">
        <v>45924.645833333336</v>
      </c>
    </row>
    <row r="657" spans="1:23">
      <c r="A657" t="s">
        <v>89</v>
      </c>
      <c r="B657">
        <v>96</v>
      </c>
      <c r="C657" s="10">
        <v>45930</v>
      </c>
      <c r="D657" s="11">
        <v>45930.645833333336</v>
      </c>
      <c r="E657" s="11">
        <v>45930.645833333336</v>
      </c>
      <c r="F657" t="s">
        <v>106</v>
      </c>
      <c r="G657" t="s">
        <v>107</v>
      </c>
      <c r="H657">
        <v>1</v>
      </c>
      <c r="I657">
        <v>618</v>
      </c>
      <c r="J657" s="7">
        <v>665.40499999999997</v>
      </c>
      <c r="K657" s="7">
        <v>665.29428213430003</v>
      </c>
      <c r="L657" s="7">
        <v>661.45221374250002</v>
      </c>
      <c r="M657" s="7">
        <v>2.43232E-3</v>
      </c>
      <c r="N657" s="7">
        <v>663.3506120024</v>
      </c>
      <c r="O657" s="7">
        <v>665.29428213430003</v>
      </c>
      <c r="P657" s="7">
        <v>661.45221374250002</v>
      </c>
      <c r="Q657" s="7">
        <v>4</v>
      </c>
      <c r="R657" s="7">
        <v>0</v>
      </c>
      <c r="S657" s="7">
        <v>2.1629999999999998</v>
      </c>
      <c r="T657" s="7">
        <v>0.61799999999999999</v>
      </c>
      <c r="U657" s="7">
        <v>-2.7810000000000001</v>
      </c>
      <c r="V657" s="7" t="s">
        <v>110</v>
      </c>
      <c r="W657" s="11">
        <v>45930.625</v>
      </c>
    </row>
    <row r="658" spans="1:23">
      <c r="A658" t="s">
        <v>89</v>
      </c>
      <c r="B658">
        <v>96</v>
      </c>
      <c r="C658" s="10">
        <v>45930</v>
      </c>
      <c r="D658" s="11">
        <v>45930.666666666664</v>
      </c>
      <c r="E658" s="11">
        <v>45930.666666666664</v>
      </c>
      <c r="F658" t="s">
        <v>108</v>
      </c>
      <c r="G658" t="s">
        <v>109</v>
      </c>
      <c r="H658">
        <v>1</v>
      </c>
      <c r="I658">
        <v>618</v>
      </c>
      <c r="J658" s="7">
        <v>666.18</v>
      </c>
      <c r="K658" s="7">
        <v>664.99636711740004</v>
      </c>
      <c r="L658" s="7">
        <v>661.74985269599995</v>
      </c>
      <c r="M658" s="7">
        <v>1.9834365000000001E-3</v>
      </c>
      <c r="N658" s="7">
        <v>664.31106298069994</v>
      </c>
      <c r="O658" s="7">
        <v>664.99636711740004</v>
      </c>
      <c r="P658" s="7">
        <v>661.74985269599995</v>
      </c>
      <c r="Q658" s="7">
        <v>4</v>
      </c>
      <c r="R658" s="7">
        <v>478.95</v>
      </c>
      <c r="S658" s="7">
        <v>2.1629999999999998</v>
      </c>
      <c r="T658" s="7">
        <v>0.61799999999999999</v>
      </c>
      <c r="U658" s="7">
        <v>476.16899999999998</v>
      </c>
      <c r="V658" s="7" t="s">
        <v>85</v>
      </c>
      <c r="W658" s="11">
        <v>45930.645833333336</v>
      </c>
    </row>
    <row r="659" spans="1:23">
      <c r="A659" t="s">
        <v>89</v>
      </c>
      <c r="B659">
        <v>97</v>
      </c>
      <c r="C659" s="10">
        <v>45931</v>
      </c>
      <c r="D659" s="11">
        <v>45931.5625</v>
      </c>
      <c r="E659" s="11">
        <v>45931.5625</v>
      </c>
      <c r="F659" t="s">
        <v>106</v>
      </c>
      <c r="G659" t="s">
        <v>107</v>
      </c>
      <c r="H659">
        <v>1</v>
      </c>
      <c r="I659">
        <v>620</v>
      </c>
      <c r="J659" s="7">
        <v>667.99869999999999</v>
      </c>
      <c r="K659" s="7">
        <v>667.48899663520001</v>
      </c>
      <c r="L659" s="7">
        <v>662.37831097239996</v>
      </c>
      <c r="M659" s="7">
        <v>1.9649293999999999E-3</v>
      </c>
      <c r="N659" s="7">
        <v>665.6464478721</v>
      </c>
      <c r="O659" s="7">
        <v>667.48899663520001</v>
      </c>
      <c r="P659" s="7">
        <v>662.37831097239996</v>
      </c>
      <c r="Q659" s="7">
        <v>4</v>
      </c>
      <c r="R659" s="7">
        <v>0</v>
      </c>
      <c r="S659" s="7">
        <v>2.17</v>
      </c>
      <c r="T659" s="7">
        <v>0.62</v>
      </c>
      <c r="U659" s="7">
        <v>-2.79</v>
      </c>
      <c r="V659" s="7" t="s">
        <v>110</v>
      </c>
      <c r="W659" s="11">
        <v>45931.541666666664</v>
      </c>
    </row>
    <row r="660" spans="1:23">
      <c r="A660" t="s">
        <v>89</v>
      </c>
      <c r="B660">
        <v>97</v>
      </c>
      <c r="C660" s="10">
        <v>45931</v>
      </c>
      <c r="D660" s="11">
        <v>45931.666666666664</v>
      </c>
      <c r="E660" s="11">
        <v>45931.666666666664</v>
      </c>
      <c r="F660" t="s">
        <v>108</v>
      </c>
      <c r="G660" t="s">
        <v>109</v>
      </c>
      <c r="H660">
        <v>1</v>
      </c>
      <c r="I660">
        <v>620</v>
      </c>
      <c r="J660" s="7">
        <v>668.45</v>
      </c>
      <c r="K660" s="7">
        <v>667.62646146489999</v>
      </c>
      <c r="L660" s="7">
        <v>662.24136151710002</v>
      </c>
      <c r="M660" s="7">
        <v>2.1712772000000002E-3</v>
      </c>
      <c r="N660" s="7">
        <v>666.87834276449996</v>
      </c>
      <c r="O660" s="7">
        <v>667.62646146489999</v>
      </c>
      <c r="P660" s="7">
        <v>662.24136151710002</v>
      </c>
      <c r="Q660" s="7">
        <v>4</v>
      </c>
      <c r="R660" s="7">
        <v>279.80599999999998</v>
      </c>
      <c r="S660" s="7">
        <v>2.17</v>
      </c>
      <c r="T660" s="7">
        <v>0.62</v>
      </c>
      <c r="U660" s="7">
        <v>277.01600000000002</v>
      </c>
      <c r="V660" s="7" t="s">
        <v>85</v>
      </c>
      <c r="W660" s="11">
        <v>45931.645833333336</v>
      </c>
    </row>
    <row r="661" spans="1:23">
      <c r="A661" t="s">
        <v>89</v>
      </c>
      <c r="B661">
        <v>98</v>
      </c>
      <c r="C661" s="10">
        <v>45933</v>
      </c>
      <c r="D661" s="11">
        <v>45933.458333333336</v>
      </c>
      <c r="E661" s="11">
        <v>45933.458333333336</v>
      </c>
      <c r="F661" t="s">
        <v>106</v>
      </c>
      <c r="G661" t="s">
        <v>107</v>
      </c>
      <c r="H661">
        <v>1</v>
      </c>
      <c r="I661">
        <v>615</v>
      </c>
      <c r="J661" s="7">
        <v>672.1</v>
      </c>
      <c r="K661" s="7">
        <v>671.7319760826</v>
      </c>
      <c r="L661" s="7">
        <v>668.16031992789999</v>
      </c>
      <c r="M661" s="7">
        <v>1.5834555000000001E-3</v>
      </c>
      <c r="N661" s="7">
        <v>671.24897690110004</v>
      </c>
      <c r="O661" s="7">
        <v>671.7319760826</v>
      </c>
      <c r="P661" s="7">
        <v>668.16031992789999</v>
      </c>
      <c r="Q661" s="7">
        <v>4</v>
      </c>
      <c r="R661" s="7">
        <v>0</v>
      </c>
      <c r="S661" s="7">
        <v>2.1524999999999999</v>
      </c>
      <c r="T661" s="7">
        <v>0.61499999999999999</v>
      </c>
      <c r="U661" s="7">
        <v>-2.7675000000000001</v>
      </c>
      <c r="V661" s="7" t="s">
        <v>110</v>
      </c>
      <c r="W661" s="11">
        <v>45933.4375</v>
      </c>
    </row>
    <row r="662" spans="1:23">
      <c r="A662" t="s">
        <v>89</v>
      </c>
      <c r="B662">
        <v>98</v>
      </c>
      <c r="C662" s="10">
        <v>45933</v>
      </c>
      <c r="D662" s="11">
        <v>45933.479166666664</v>
      </c>
      <c r="E662" s="11">
        <v>45933.479166666664</v>
      </c>
      <c r="F662" t="s">
        <v>108</v>
      </c>
      <c r="G662" t="s">
        <v>109</v>
      </c>
      <c r="H662">
        <v>1</v>
      </c>
      <c r="I662">
        <v>615</v>
      </c>
      <c r="J662" s="7">
        <v>671.76</v>
      </c>
      <c r="K662" s="7">
        <v>671.89100035609999</v>
      </c>
      <c r="L662" s="7">
        <v>668.00163946759994</v>
      </c>
      <c r="M662" s="7">
        <v>1.8205680000000001E-3</v>
      </c>
      <c r="N662" s="7">
        <v>671.33011226730002</v>
      </c>
      <c r="O662" s="7">
        <v>671.89100035609999</v>
      </c>
      <c r="P662" s="7">
        <v>668.00163946759994</v>
      </c>
      <c r="Q662" s="7">
        <v>4</v>
      </c>
      <c r="R662" s="7">
        <v>-209.1</v>
      </c>
      <c r="S662" s="7">
        <v>2.1524999999999999</v>
      </c>
      <c r="T662" s="7">
        <v>0.61499999999999999</v>
      </c>
      <c r="U662" s="7">
        <v>-211.86750000000001</v>
      </c>
      <c r="V662" s="7" t="s">
        <v>88</v>
      </c>
      <c r="W662" s="11">
        <v>45933.458333333336</v>
      </c>
    </row>
    <row r="663" spans="1:23">
      <c r="A663" t="s">
        <v>89</v>
      </c>
      <c r="B663">
        <v>99</v>
      </c>
      <c r="C663" s="10">
        <v>45933</v>
      </c>
      <c r="D663" s="11">
        <v>45933.5</v>
      </c>
      <c r="E663" s="11">
        <v>45933.5</v>
      </c>
      <c r="F663" t="s">
        <v>106</v>
      </c>
      <c r="G663" t="s">
        <v>107</v>
      </c>
      <c r="H663">
        <v>1</v>
      </c>
      <c r="I663">
        <v>615</v>
      </c>
      <c r="J663" s="7">
        <v>672.51</v>
      </c>
      <c r="K663" s="7">
        <v>672.04425536880001</v>
      </c>
      <c r="L663" s="7">
        <v>667.8487157948</v>
      </c>
      <c r="M663" s="7">
        <v>2.0490782999999999E-3</v>
      </c>
      <c r="N663" s="7">
        <v>671.51563071759995</v>
      </c>
      <c r="O663" s="7">
        <v>672.04425536880001</v>
      </c>
      <c r="P663" s="7">
        <v>667.8487157948</v>
      </c>
      <c r="Q663" s="7">
        <v>4</v>
      </c>
      <c r="R663" s="7">
        <v>0</v>
      </c>
      <c r="S663" s="7">
        <v>2.1524999999999999</v>
      </c>
      <c r="T663" s="7">
        <v>0.61499999999999999</v>
      </c>
      <c r="U663" s="7">
        <v>-2.7675000000000001</v>
      </c>
      <c r="V663" s="7" t="s">
        <v>110</v>
      </c>
      <c r="W663" s="11">
        <v>45933.479166666664</v>
      </c>
    </row>
    <row r="664" spans="1:23">
      <c r="A664" t="s">
        <v>89</v>
      </c>
      <c r="B664">
        <v>99</v>
      </c>
      <c r="C664" s="10">
        <v>45933</v>
      </c>
      <c r="D664" s="11">
        <v>45933.5625</v>
      </c>
      <c r="E664" s="11">
        <v>45933.5625</v>
      </c>
      <c r="F664" t="s">
        <v>108</v>
      </c>
      <c r="G664" t="s">
        <v>109</v>
      </c>
      <c r="H664">
        <v>1</v>
      </c>
      <c r="I664">
        <v>615</v>
      </c>
      <c r="J664" s="7">
        <v>670.26499999999999</v>
      </c>
      <c r="K664" s="7">
        <v>672.21387727069998</v>
      </c>
      <c r="L664" s="7">
        <v>667.67946061830003</v>
      </c>
      <c r="M664" s="7">
        <v>2.3019923999999998E-3</v>
      </c>
      <c r="N664" s="7">
        <v>671.37643629470006</v>
      </c>
      <c r="O664" s="7">
        <v>672.21387727069998</v>
      </c>
      <c r="P664" s="7">
        <v>667.67946061830003</v>
      </c>
      <c r="Q664" s="7">
        <v>4</v>
      </c>
      <c r="R664" s="7">
        <v>-1380.675</v>
      </c>
      <c r="S664" s="7">
        <v>2.1524999999999999</v>
      </c>
      <c r="T664" s="7">
        <v>0.61499999999999999</v>
      </c>
      <c r="U664" s="7">
        <v>-1383.4425000000001</v>
      </c>
      <c r="V664" s="7" t="s">
        <v>88</v>
      </c>
      <c r="W664" s="11">
        <v>45933.541666666664</v>
      </c>
    </row>
    <row r="665" spans="1:23">
      <c r="A665" t="s">
        <v>89</v>
      </c>
      <c r="B665">
        <v>100</v>
      </c>
      <c r="C665" s="10">
        <v>45936</v>
      </c>
      <c r="D665" s="11">
        <v>45936.5</v>
      </c>
      <c r="E665" s="11">
        <v>45936.5</v>
      </c>
      <c r="F665" t="s">
        <v>106</v>
      </c>
      <c r="G665" t="s">
        <v>107</v>
      </c>
      <c r="H665">
        <v>1</v>
      </c>
      <c r="I665">
        <v>606</v>
      </c>
      <c r="J665" s="7">
        <v>671.83</v>
      </c>
      <c r="K665" s="7">
        <v>671.44573716779996</v>
      </c>
      <c r="L665" s="7">
        <v>667.71591496370002</v>
      </c>
      <c r="M665" s="7">
        <v>2.2326100999999999E-3</v>
      </c>
      <c r="N665" s="7">
        <v>670.55558501919995</v>
      </c>
      <c r="O665" s="7">
        <v>671.44573716779996</v>
      </c>
      <c r="P665" s="7">
        <v>667.71591496370002</v>
      </c>
      <c r="Q665" s="7">
        <v>4</v>
      </c>
      <c r="R665" s="7">
        <v>0</v>
      </c>
      <c r="S665" s="7">
        <v>2.121</v>
      </c>
      <c r="T665" s="7">
        <v>0.60599999999999998</v>
      </c>
      <c r="U665" s="7">
        <v>-2.7269999999999999</v>
      </c>
      <c r="V665" s="7" t="s">
        <v>110</v>
      </c>
      <c r="W665" s="11">
        <v>45936.479166666664</v>
      </c>
    </row>
    <row r="666" spans="1:23">
      <c r="A666" t="s">
        <v>89</v>
      </c>
      <c r="B666">
        <v>100</v>
      </c>
      <c r="C666" s="10">
        <v>45936</v>
      </c>
      <c r="D666" s="11">
        <v>45936.645833333336</v>
      </c>
      <c r="E666" s="11">
        <v>45936.645833333336</v>
      </c>
      <c r="F666" t="s">
        <v>108</v>
      </c>
      <c r="G666" t="s">
        <v>109</v>
      </c>
      <c r="H666">
        <v>1</v>
      </c>
      <c r="I666">
        <v>606</v>
      </c>
      <c r="J666" s="7">
        <v>671.73</v>
      </c>
      <c r="K666" s="7">
        <v>671.78539952530002</v>
      </c>
      <c r="L666" s="7">
        <v>667.37662778369997</v>
      </c>
      <c r="M666" s="7">
        <v>2.7396067000000001E-3</v>
      </c>
      <c r="N666" s="7">
        <v>671.15942197029995</v>
      </c>
      <c r="O666" s="7">
        <v>671.78539952530002</v>
      </c>
      <c r="P666" s="7">
        <v>667.37662778369997</v>
      </c>
      <c r="Q666" s="7">
        <v>4</v>
      </c>
      <c r="R666" s="7">
        <v>-60.6</v>
      </c>
      <c r="S666" s="7">
        <v>2.121</v>
      </c>
      <c r="T666" s="7">
        <v>0.60599999999999998</v>
      </c>
      <c r="U666" s="7">
        <v>-63.326999999999998</v>
      </c>
      <c r="V666" s="7" t="s">
        <v>88</v>
      </c>
      <c r="W666" s="11">
        <v>45936.625</v>
      </c>
    </row>
    <row r="667" spans="1:23">
      <c r="A667" t="s">
        <v>89</v>
      </c>
      <c r="B667">
        <v>101</v>
      </c>
      <c r="C667" s="10">
        <v>45937</v>
      </c>
      <c r="D667" s="11">
        <v>45937.479166666664</v>
      </c>
      <c r="E667" s="11">
        <v>45937.479166666664</v>
      </c>
      <c r="F667" t="s">
        <v>106</v>
      </c>
      <c r="G667" t="s">
        <v>109</v>
      </c>
      <c r="H667">
        <v>-1</v>
      </c>
      <c r="I667">
        <v>604</v>
      </c>
      <c r="J667" s="7">
        <v>669.23</v>
      </c>
      <c r="K667" s="7">
        <v>673.41471522660004</v>
      </c>
      <c r="L667" s="7">
        <v>670.2912371118</v>
      </c>
      <c r="M667" s="7">
        <v>1.9635844000000001E-3</v>
      </c>
      <c r="N667" s="7">
        <v>670.58700342110001</v>
      </c>
      <c r="O667" s="7">
        <v>673.41471522660004</v>
      </c>
      <c r="P667" s="7">
        <v>670.2912371118</v>
      </c>
      <c r="Q667" s="7">
        <v>4</v>
      </c>
      <c r="R667" s="7">
        <v>0</v>
      </c>
      <c r="S667" s="7">
        <v>2.1139999999999999</v>
      </c>
      <c r="T667" s="7">
        <v>0.60399999999999998</v>
      </c>
      <c r="U667" s="7">
        <v>-2.718</v>
      </c>
      <c r="V667" s="7" t="s">
        <v>110</v>
      </c>
      <c r="W667" s="11">
        <v>45937.458333333336</v>
      </c>
    </row>
    <row r="668" spans="1:23">
      <c r="A668" t="s">
        <v>89</v>
      </c>
      <c r="B668">
        <v>101</v>
      </c>
      <c r="C668" s="10">
        <v>45937</v>
      </c>
      <c r="D668" s="11">
        <v>45937.666666666664</v>
      </c>
      <c r="E668" s="11">
        <v>45937.666666666664</v>
      </c>
      <c r="F668" t="s">
        <v>108</v>
      </c>
      <c r="G668" t="s">
        <v>107</v>
      </c>
      <c r="H668">
        <v>-1</v>
      </c>
      <c r="I668">
        <v>604</v>
      </c>
      <c r="J668" s="7">
        <v>669.12</v>
      </c>
      <c r="K668" s="7">
        <v>673.9356845689</v>
      </c>
      <c r="L668" s="7">
        <v>669.77064371359995</v>
      </c>
      <c r="M668" s="7">
        <v>2.7387268000000002E-3</v>
      </c>
      <c r="N668" s="7">
        <v>669.40221292490003</v>
      </c>
      <c r="O668" s="7">
        <v>673.9356845689</v>
      </c>
      <c r="P668" s="7">
        <v>669.40221292490003</v>
      </c>
      <c r="Q668" s="7">
        <v>4</v>
      </c>
      <c r="R668" s="7">
        <v>66.44</v>
      </c>
      <c r="S668" s="7">
        <v>2.1139999999999999</v>
      </c>
      <c r="T668" s="7">
        <v>0.60399999999999998</v>
      </c>
      <c r="U668" s="7">
        <v>63.722000000000001</v>
      </c>
      <c r="V668" s="7" t="s">
        <v>85</v>
      </c>
      <c r="W668" s="11">
        <v>45937.645833333336</v>
      </c>
    </row>
    <row r="669" spans="1:23">
      <c r="A669" t="s">
        <v>89</v>
      </c>
      <c r="B669">
        <v>102</v>
      </c>
      <c r="C669" s="10">
        <v>45938</v>
      </c>
      <c r="D669" s="11">
        <v>45938.4375</v>
      </c>
      <c r="E669" s="11">
        <v>45938.4375</v>
      </c>
      <c r="F669" t="s">
        <v>106</v>
      </c>
      <c r="G669" t="s">
        <v>107</v>
      </c>
      <c r="H669">
        <v>1</v>
      </c>
      <c r="I669">
        <v>606</v>
      </c>
      <c r="J669" s="7">
        <v>671.91</v>
      </c>
      <c r="K669" s="7">
        <v>671.40482756409995</v>
      </c>
      <c r="L669" s="7">
        <v>668.10209682540005</v>
      </c>
      <c r="M669" s="7">
        <v>1.5212565000000001E-3</v>
      </c>
      <c r="N669" s="7">
        <v>671.00160537980003</v>
      </c>
      <c r="O669" s="7">
        <v>671.40482756409995</v>
      </c>
      <c r="P669" s="7">
        <v>668.10209682540005</v>
      </c>
      <c r="Q669" s="7">
        <v>4</v>
      </c>
      <c r="R669" s="7">
        <v>0</v>
      </c>
      <c r="S669" s="7">
        <v>2.121</v>
      </c>
      <c r="T669" s="7">
        <v>0.60599999999999998</v>
      </c>
      <c r="U669" s="7">
        <v>-2.7269999999999999</v>
      </c>
      <c r="V669" s="7" t="s">
        <v>110</v>
      </c>
      <c r="W669" s="11">
        <v>45938.416666666664</v>
      </c>
    </row>
    <row r="670" spans="1:23">
      <c r="A670" t="s">
        <v>89</v>
      </c>
      <c r="B670">
        <v>102</v>
      </c>
      <c r="C670" s="10">
        <v>45938</v>
      </c>
      <c r="D670" s="11">
        <v>45938.625</v>
      </c>
      <c r="E670" s="11">
        <v>45938.625</v>
      </c>
      <c r="F670" t="s">
        <v>108</v>
      </c>
      <c r="G670" t="s">
        <v>109</v>
      </c>
      <c r="H670">
        <v>1</v>
      </c>
      <c r="I670">
        <v>606</v>
      </c>
      <c r="J670" s="7">
        <v>672.24069999999995</v>
      </c>
      <c r="K670" s="7">
        <v>672.40805104210006</v>
      </c>
      <c r="L670" s="7">
        <v>667.10076640540001</v>
      </c>
      <c r="M670" s="7">
        <v>3.0177451000000001E-3</v>
      </c>
      <c r="N670" s="7">
        <v>671.94990288500003</v>
      </c>
      <c r="O670" s="7">
        <v>672.40805104210006</v>
      </c>
      <c r="P670" s="7">
        <v>667.10076640540001</v>
      </c>
      <c r="Q670" s="7">
        <v>4</v>
      </c>
      <c r="R670" s="7">
        <v>200.4042</v>
      </c>
      <c r="S670" s="7">
        <v>2.121</v>
      </c>
      <c r="T670" s="7">
        <v>0.60599999999999998</v>
      </c>
      <c r="U670" s="7">
        <v>197.6772</v>
      </c>
      <c r="V670" s="7" t="s">
        <v>88</v>
      </c>
      <c r="W670" s="11">
        <v>45938.604166666664</v>
      </c>
    </row>
    <row r="671" spans="1:23">
      <c r="A671" t="s">
        <v>89</v>
      </c>
      <c r="B671">
        <v>103</v>
      </c>
      <c r="C671" s="10">
        <v>45938</v>
      </c>
      <c r="D671" s="11">
        <v>45938.645833333336</v>
      </c>
      <c r="E671" s="11">
        <v>45938.645833333336</v>
      </c>
      <c r="F671" t="s">
        <v>106</v>
      </c>
      <c r="G671" t="s">
        <v>107</v>
      </c>
      <c r="H671">
        <v>1</v>
      </c>
      <c r="I671">
        <v>606</v>
      </c>
      <c r="J671" s="7">
        <v>672.875</v>
      </c>
      <c r="K671" s="7">
        <v>672.58617427019999</v>
      </c>
      <c r="L671" s="7">
        <v>666.92297929150004</v>
      </c>
      <c r="M671" s="7">
        <v>3.283448E-3</v>
      </c>
      <c r="N671" s="7">
        <v>672.03391032770003</v>
      </c>
      <c r="O671" s="7">
        <v>672.58617427019999</v>
      </c>
      <c r="P671" s="7">
        <v>666.92297929150004</v>
      </c>
      <c r="Q671" s="7">
        <v>4</v>
      </c>
      <c r="R671" s="7">
        <v>0</v>
      </c>
      <c r="S671" s="7">
        <v>2.121</v>
      </c>
      <c r="T671" s="7">
        <v>0.60599999999999998</v>
      </c>
      <c r="U671" s="7">
        <v>-2.7269999999999999</v>
      </c>
      <c r="V671" s="7" t="s">
        <v>110</v>
      </c>
      <c r="W671" s="11">
        <v>45938.625</v>
      </c>
    </row>
    <row r="672" spans="1:23">
      <c r="A672" t="s">
        <v>89</v>
      </c>
      <c r="B672">
        <v>103</v>
      </c>
      <c r="C672" s="10">
        <v>45938</v>
      </c>
      <c r="D672" s="11">
        <v>45938.666666666664</v>
      </c>
      <c r="E672" s="11">
        <v>45938.666666666664</v>
      </c>
      <c r="F672" t="s">
        <v>108</v>
      </c>
      <c r="G672" t="s">
        <v>109</v>
      </c>
      <c r="H672">
        <v>1</v>
      </c>
      <c r="I672">
        <v>606</v>
      </c>
      <c r="J672" s="7">
        <v>673.11</v>
      </c>
      <c r="K672" s="7">
        <v>672.3796253946</v>
      </c>
      <c r="L672" s="7">
        <v>667.12913841449995</v>
      </c>
      <c r="M672" s="7">
        <v>2.9753431000000001E-3</v>
      </c>
      <c r="N672" s="7">
        <v>672.27716954940001</v>
      </c>
      <c r="O672" s="7">
        <v>672.3796253946</v>
      </c>
      <c r="P672" s="7">
        <v>667.12913841449995</v>
      </c>
      <c r="Q672" s="7">
        <v>4</v>
      </c>
      <c r="R672" s="7">
        <v>142.41</v>
      </c>
      <c r="S672" s="7">
        <v>2.121</v>
      </c>
      <c r="T672" s="7">
        <v>0.60599999999999998</v>
      </c>
      <c r="U672" s="7">
        <v>139.68299999999999</v>
      </c>
      <c r="V672" s="7" t="s">
        <v>85</v>
      </c>
      <c r="W672" s="11">
        <v>45938.645833333336</v>
      </c>
    </row>
    <row r="673" spans="1:23">
      <c r="A673" t="s">
        <v>89</v>
      </c>
      <c r="B673">
        <v>104</v>
      </c>
      <c r="C673" s="10">
        <v>45939</v>
      </c>
      <c r="D673" s="11">
        <v>45939.541666666664</v>
      </c>
      <c r="E673" s="11">
        <v>45939.541666666664</v>
      </c>
      <c r="F673" t="s">
        <v>106</v>
      </c>
      <c r="G673" t="s">
        <v>109</v>
      </c>
      <c r="H673">
        <v>-1</v>
      </c>
      <c r="I673">
        <v>607</v>
      </c>
      <c r="J673" s="7">
        <v>669.76</v>
      </c>
      <c r="K673" s="7">
        <v>674.92758540780005</v>
      </c>
      <c r="L673" s="7">
        <v>669.91614097850004</v>
      </c>
      <c r="M673" s="7">
        <v>2.7002799000000002E-3</v>
      </c>
      <c r="N673" s="7">
        <v>671.21776956279996</v>
      </c>
      <c r="O673" s="7">
        <v>674.92758540780005</v>
      </c>
      <c r="P673" s="7">
        <v>669.91614097850004</v>
      </c>
      <c r="Q673" s="7">
        <v>4</v>
      </c>
      <c r="R673" s="7">
        <v>0</v>
      </c>
      <c r="S673" s="7">
        <v>2.1244999999999998</v>
      </c>
      <c r="T673" s="7">
        <v>0.60699999999999998</v>
      </c>
      <c r="U673" s="7">
        <v>-2.7315</v>
      </c>
      <c r="V673" s="7" t="s">
        <v>110</v>
      </c>
      <c r="W673" s="11">
        <v>45939.520833333336</v>
      </c>
    </row>
    <row r="674" spans="1:23">
      <c r="A674" t="s">
        <v>89</v>
      </c>
      <c r="B674">
        <v>104</v>
      </c>
      <c r="C674" s="10">
        <v>45939</v>
      </c>
      <c r="D674" s="11">
        <v>45939.583333333336</v>
      </c>
      <c r="E674" s="11">
        <v>45939.583333333336</v>
      </c>
      <c r="F674" t="s">
        <v>108</v>
      </c>
      <c r="G674" t="s">
        <v>107</v>
      </c>
      <c r="H674">
        <v>-1</v>
      </c>
      <c r="I674">
        <v>607</v>
      </c>
      <c r="J674" s="7">
        <v>670.18</v>
      </c>
      <c r="K674" s="7">
        <v>675.06797361500003</v>
      </c>
      <c r="L674" s="7">
        <v>669.77604059309999</v>
      </c>
      <c r="M674" s="7">
        <v>2.9088463999999998E-3</v>
      </c>
      <c r="N674" s="7">
        <v>670.95984908790001</v>
      </c>
      <c r="O674" s="7">
        <v>675.06797361500003</v>
      </c>
      <c r="P674" s="7">
        <v>669.77604059309999</v>
      </c>
      <c r="Q674" s="7">
        <v>4</v>
      </c>
      <c r="R674" s="7">
        <v>-254.94</v>
      </c>
      <c r="S674" s="7">
        <v>2.1244999999999998</v>
      </c>
      <c r="T674" s="7">
        <v>0.60699999999999998</v>
      </c>
      <c r="U674" s="7">
        <v>-257.67149999999998</v>
      </c>
      <c r="V674" s="7" t="s">
        <v>88</v>
      </c>
      <c r="W674" s="11">
        <v>45939.5625</v>
      </c>
    </row>
    <row r="675" spans="1:23">
      <c r="A675" t="s">
        <v>89</v>
      </c>
      <c r="B675">
        <v>105</v>
      </c>
      <c r="C675" s="10">
        <v>45940</v>
      </c>
      <c r="D675" s="11">
        <v>45940.458333333336</v>
      </c>
      <c r="E675" s="11">
        <v>45940.458333333336</v>
      </c>
      <c r="F675" t="s">
        <v>106</v>
      </c>
      <c r="G675" t="s">
        <v>109</v>
      </c>
      <c r="H675">
        <v>-1</v>
      </c>
      <c r="I675">
        <v>604</v>
      </c>
      <c r="J675" s="7">
        <v>668.72500000000002</v>
      </c>
      <c r="K675" s="7">
        <v>674.43125578290005</v>
      </c>
      <c r="L675" s="7">
        <v>669.90251016649995</v>
      </c>
      <c r="M675" s="7">
        <v>1.8736066000000001E-3</v>
      </c>
      <c r="N675" s="7">
        <v>671.40110267789998</v>
      </c>
      <c r="O675" s="7">
        <v>674.43125578290005</v>
      </c>
      <c r="P675" s="7">
        <v>669.90251016649995</v>
      </c>
      <c r="Q675" s="7">
        <v>4</v>
      </c>
      <c r="R675" s="7">
        <v>0</v>
      </c>
      <c r="S675" s="7">
        <v>2.1139999999999999</v>
      </c>
      <c r="T675" s="7">
        <v>0.60399999999999998</v>
      </c>
      <c r="U675" s="7">
        <v>-2.718</v>
      </c>
      <c r="V675" s="7" t="s">
        <v>110</v>
      </c>
      <c r="W675" s="11">
        <v>45940.4375</v>
      </c>
    </row>
    <row r="676" spans="1:23">
      <c r="A676" t="s">
        <v>89</v>
      </c>
      <c r="B676">
        <v>105</v>
      </c>
      <c r="C676" s="10">
        <v>45940</v>
      </c>
      <c r="D676" s="11">
        <v>45940.666666666664</v>
      </c>
      <c r="E676" s="11">
        <v>45940.666666666664</v>
      </c>
      <c r="F676" t="s">
        <v>108</v>
      </c>
      <c r="G676" t="s">
        <v>107</v>
      </c>
      <c r="H676">
        <v>-1</v>
      </c>
      <c r="I676">
        <v>604</v>
      </c>
      <c r="J676" s="7">
        <v>653.02</v>
      </c>
      <c r="K676" s="7">
        <v>675.28243696380002</v>
      </c>
      <c r="L676" s="7">
        <v>669.05387050429999</v>
      </c>
      <c r="M676" s="7">
        <v>3.1380437999999999E-3</v>
      </c>
      <c r="N676" s="7">
        <v>660.93212764409998</v>
      </c>
      <c r="O676" s="7">
        <v>675.28243696380002</v>
      </c>
      <c r="P676" s="7">
        <v>660.93212764409998</v>
      </c>
      <c r="Q676" s="7">
        <v>4</v>
      </c>
      <c r="R676" s="7">
        <v>9485.82</v>
      </c>
      <c r="S676" s="7">
        <v>2.1139999999999999</v>
      </c>
      <c r="T676" s="7">
        <v>0.60399999999999998</v>
      </c>
      <c r="U676" s="7">
        <v>9483.1020000000008</v>
      </c>
      <c r="V676" s="7" t="s">
        <v>85</v>
      </c>
      <c r="W676" s="11">
        <v>45940.645833333336</v>
      </c>
    </row>
    <row r="677" spans="1:23">
      <c r="A677" t="s">
        <v>89</v>
      </c>
      <c r="B677">
        <v>106</v>
      </c>
      <c r="C677" s="10">
        <v>45946</v>
      </c>
      <c r="D677" s="11">
        <v>45946.583333333336</v>
      </c>
      <c r="E677" s="11">
        <v>45946.583333333336</v>
      </c>
      <c r="F677" t="s">
        <v>106</v>
      </c>
      <c r="G677" t="s">
        <v>109</v>
      </c>
      <c r="H677">
        <v>-1</v>
      </c>
      <c r="I677">
        <v>359</v>
      </c>
      <c r="J677" s="7">
        <v>661.81</v>
      </c>
      <c r="K677" s="7">
        <v>669.89078126699997</v>
      </c>
      <c r="L677" s="7">
        <v>661.95145256549995</v>
      </c>
      <c r="M677" s="7">
        <v>4.8386840000000002E-3</v>
      </c>
      <c r="N677" s="7">
        <v>664.66242217959996</v>
      </c>
      <c r="O677" s="7">
        <v>669.89078126699997</v>
      </c>
      <c r="P677" s="7">
        <v>661.95145256549995</v>
      </c>
      <c r="Q677" s="7">
        <v>2.1582159224000002</v>
      </c>
      <c r="R677" s="7">
        <v>0</v>
      </c>
      <c r="S677" s="7">
        <v>1.2565</v>
      </c>
      <c r="T677" s="7">
        <v>0.35899999999999999</v>
      </c>
      <c r="U677" s="7">
        <v>-1.6154999999999999</v>
      </c>
      <c r="V677" s="7" t="s">
        <v>110</v>
      </c>
      <c r="W677" s="11">
        <v>45946.5625</v>
      </c>
    </row>
    <row r="678" spans="1:23">
      <c r="A678" t="s">
        <v>89</v>
      </c>
      <c r="B678">
        <v>106</v>
      </c>
      <c r="C678" s="10">
        <v>45946</v>
      </c>
      <c r="D678" s="11">
        <v>45946.666666666664</v>
      </c>
      <c r="E678" s="11">
        <v>45946.666666666664</v>
      </c>
      <c r="F678" t="s">
        <v>108</v>
      </c>
      <c r="G678" t="s">
        <v>107</v>
      </c>
      <c r="H678">
        <v>-1</v>
      </c>
      <c r="I678">
        <v>359</v>
      </c>
      <c r="J678" s="7">
        <v>660.64</v>
      </c>
      <c r="K678" s="7">
        <v>670.03164667119995</v>
      </c>
      <c r="L678" s="7">
        <v>661.81090305279997</v>
      </c>
      <c r="M678" s="7">
        <v>5.0499825999999999E-3</v>
      </c>
      <c r="N678" s="7">
        <v>662.80307974389996</v>
      </c>
      <c r="O678" s="7">
        <v>670.03164667119995</v>
      </c>
      <c r="P678" s="7">
        <v>661.81090305279997</v>
      </c>
      <c r="Q678" s="7">
        <v>2.1582159224000002</v>
      </c>
      <c r="R678" s="7">
        <v>420.03</v>
      </c>
      <c r="S678" s="7">
        <v>1.2565</v>
      </c>
      <c r="T678" s="7">
        <v>0.35899999999999999</v>
      </c>
      <c r="U678" s="7">
        <v>418.41449999999998</v>
      </c>
      <c r="V678" s="7" t="s">
        <v>85</v>
      </c>
      <c r="W678" s="11">
        <v>45946.645833333336</v>
      </c>
    </row>
    <row r="679" spans="1:23">
      <c r="A679" t="s">
        <v>89</v>
      </c>
      <c r="B679">
        <v>107</v>
      </c>
      <c r="C679" s="10">
        <v>45947</v>
      </c>
      <c r="D679" s="11">
        <v>45947.4375</v>
      </c>
      <c r="E679" s="11">
        <v>45947.4375</v>
      </c>
      <c r="F679" t="s">
        <v>106</v>
      </c>
      <c r="G679" t="s">
        <v>107</v>
      </c>
      <c r="H679">
        <v>1</v>
      </c>
      <c r="I679">
        <v>360</v>
      </c>
      <c r="J679" s="7">
        <v>662.4</v>
      </c>
      <c r="K679" s="7">
        <v>661.64563398409996</v>
      </c>
      <c r="L679" s="7">
        <v>659.64438108640002</v>
      </c>
      <c r="M679" s="7">
        <v>1.5070521000000001E-3</v>
      </c>
      <c r="N679" s="7">
        <v>661.22370587529997</v>
      </c>
      <c r="O679" s="7">
        <v>661.64563398409996</v>
      </c>
      <c r="P679" s="7">
        <v>659.64438108640002</v>
      </c>
      <c r="Q679" s="7">
        <v>2.1366755983000001</v>
      </c>
      <c r="R679" s="7">
        <v>0</v>
      </c>
      <c r="S679" s="7">
        <v>1.26</v>
      </c>
      <c r="T679" s="7">
        <v>0.36</v>
      </c>
      <c r="U679" s="7">
        <v>-1.62</v>
      </c>
      <c r="V679" s="7" t="s">
        <v>110</v>
      </c>
      <c r="W679" s="11">
        <v>45947.416666666664</v>
      </c>
    </row>
    <row r="680" spans="1:23">
      <c r="A680" t="s">
        <v>89</v>
      </c>
      <c r="B680">
        <v>107</v>
      </c>
      <c r="C680" s="10">
        <v>45947</v>
      </c>
      <c r="D680" s="11">
        <v>45947.458333333336</v>
      </c>
      <c r="E680" s="11">
        <v>45947.458333333336</v>
      </c>
      <c r="F680" t="s">
        <v>108</v>
      </c>
      <c r="G680" t="s">
        <v>109</v>
      </c>
      <c r="H680">
        <v>1</v>
      </c>
      <c r="I680">
        <v>360</v>
      </c>
      <c r="J680" s="7">
        <v>659.57</v>
      </c>
      <c r="K680" s="7">
        <v>662.10172873279998</v>
      </c>
      <c r="L680" s="7">
        <v>659.18829324139995</v>
      </c>
      <c r="M680" s="7">
        <v>2.1974249000000002E-3</v>
      </c>
      <c r="N680" s="7">
        <v>660.89558421029994</v>
      </c>
      <c r="O680" s="7">
        <v>662.10172873279998</v>
      </c>
      <c r="P680" s="7">
        <v>659.18829324139995</v>
      </c>
      <c r="Q680" s="7">
        <v>2.1366755983000001</v>
      </c>
      <c r="R680" s="7">
        <v>-1018.8</v>
      </c>
      <c r="S680" s="7">
        <v>1.26</v>
      </c>
      <c r="T680" s="7">
        <v>0.36</v>
      </c>
      <c r="U680" s="7">
        <v>-1020.42</v>
      </c>
      <c r="V680" s="7" t="s">
        <v>88</v>
      </c>
      <c r="W680" s="11">
        <v>45947.4375</v>
      </c>
    </row>
    <row r="681" spans="1:23">
      <c r="A681" t="s">
        <v>89</v>
      </c>
      <c r="B681">
        <v>108</v>
      </c>
      <c r="C681" s="10">
        <v>45947</v>
      </c>
      <c r="D681" s="11">
        <v>45947.604166666664</v>
      </c>
      <c r="E681" s="11">
        <v>45947.604166666664</v>
      </c>
      <c r="F681" t="s">
        <v>106</v>
      </c>
      <c r="G681" t="s">
        <v>107</v>
      </c>
      <c r="H681">
        <v>1</v>
      </c>
      <c r="I681">
        <v>360</v>
      </c>
      <c r="J681" s="7">
        <v>664.65</v>
      </c>
      <c r="K681" s="7">
        <v>664.42972327079997</v>
      </c>
      <c r="L681" s="7">
        <v>656.86033394139997</v>
      </c>
      <c r="M681" s="7">
        <v>5.7212189E-3</v>
      </c>
      <c r="N681" s="7">
        <v>661.50546680289995</v>
      </c>
      <c r="O681" s="7">
        <v>664.42972327079997</v>
      </c>
      <c r="P681" s="7">
        <v>656.86033394139997</v>
      </c>
      <c r="Q681" s="7">
        <v>2.1366755983000001</v>
      </c>
      <c r="R681" s="7">
        <v>0</v>
      </c>
      <c r="S681" s="7">
        <v>1.26</v>
      </c>
      <c r="T681" s="7">
        <v>0.36</v>
      </c>
      <c r="U681" s="7">
        <v>-1.62</v>
      </c>
      <c r="V681" s="7" t="s">
        <v>110</v>
      </c>
      <c r="W681" s="11">
        <v>45947.583333333336</v>
      </c>
    </row>
    <row r="682" spans="1:23">
      <c r="A682" t="s">
        <v>89</v>
      </c>
      <c r="B682">
        <v>108</v>
      </c>
      <c r="C682" s="10">
        <v>45947</v>
      </c>
      <c r="D682" s="11">
        <v>45947.666666666664</v>
      </c>
      <c r="E682" s="11">
        <v>45947.666666666664</v>
      </c>
      <c r="F682" t="s">
        <v>108</v>
      </c>
      <c r="G682" t="s">
        <v>109</v>
      </c>
      <c r="H682">
        <v>1</v>
      </c>
      <c r="I682">
        <v>360</v>
      </c>
      <c r="J682" s="7">
        <v>664.39</v>
      </c>
      <c r="K682" s="7">
        <v>664.41203224929995</v>
      </c>
      <c r="L682" s="7">
        <v>656.87802469509995</v>
      </c>
      <c r="M682" s="7">
        <v>5.6944407000000001E-3</v>
      </c>
      <c r="N682" s="7">
        <v>662.29460136190005</v>
      </c>
      <c r="O682" s="7">
        <v>664.41203224929995</v>
      </c>
      <c r="P682" s="7">
        <v>656.87802469509995</v>
      </c>
      <c r="Q682" s="7">
        <v>2.1366755983000001</v>
      </c>
      <c r="R682" s="7">
        <v>-93.6</v>
      </c>
      <c r="S682" s="7">
        <v>1.26</v>
      </c>
      <c r="T682" s="7">
        <v>0.36</v>
      </c>
      <c r="U682" s="7">
        <v>-95.22</v>
      </c>
      <c r="V682" s="7" t="s">
        <v>85</v>
      </c>
      <c r="W682" s="11">
        <v>45947.645833333336</v>
      </c>
    </row>
    <row r="683" spans="1:23">
      <c r="A683" t="s">
        <v>89</v>
      </c>
      <c r="B683">
        <v>109</v>
      </c>
      <c r="C683" s="10">
        <v>45950</v>
      </c>
      <c r="D683" s="11">
        <v>45950.4375</v>
      </c>
      <c r="E683" s="11">
        <v>45950.4375</v>
      </c>
      <c r="F683" t="s">
        <v>106</v>
      </c>
      <c r="G683" t="s">
        <v>107</v>
      </c>
      <c r="H683">
        <v>1</v>
      </c>
      <c r="I683">
        <v>349</v>
      </c>
      <c r="J683" s="7">
        <v>670.3</v>
      </c>
      <c r="K683" s="7">
        <v>669.88360946190005</v>
      </c>
      <c r="L683" s="7">
        <v>663.27373274360002</v>
      </c>
      <c r="M683" s="7">
        <v>1.6801386000000001E-3</v>
      </c>
      <c r="N683" s="7">
        <v>669.35279147469998</v>
      </c>
      <c r="O683" s="7">
        <v>669.88360946190005</v>
      </c>
      <c r="P683" s="7">
        <v>663.27373274360002</v>
      </c>
      <c r="Q683" s="7">
        <v>2.1143047312999999</v>
      </c>
      <c r="R683" s="7">
        <v>0</v>
      </c>
      <c r="S683" s="7">
        <v>1.2215</v>
      </c>
      <c r="T683" s="7">
        <v>0.34899999999999998</v>
      </c>
      <c r="U683" s="7">
        <v>-1.5705</v>
      </c>
      <c r="V683" s="7" t="s">
        <v>110</v>
      </c>
      <c r="W683" s="11">
        <v>45950.416666666664</v>
      </c>
    </row>
    <row r="684" spans="1:23">
      <c r="A684" t="s">
        <v>89</v>
      </c>
      <c r="B684">
        <v>109</v>
      </c>
      <c r="C684" s="10">
        <v>45950</v>
      </c>
      <c r="D684" s="11">
        <v>45950.5</v>
      </c>
      <c r="E684" s="11">
        <v>45950.5</v>
      </c>
      <c r="F684" t="s">
        <v>108</v>
      </c>
      <c r="G684" t="s">
        <v>109</v>
      </c>
      <c r="H684">
        <v>1</v>
      </c>
      <c r="I684">
        <v>349</v>
      </c>
      <c r="J684" s="7">
        <v>670.64</v>
      </c>
      <c r="K684" s="7">
        <v>671.52361136019999</v>
      </c>
      <c r="L684" s="7">
        <v>661.64444740780004</v>
      </c>
      <c r="M684" s="7">
        <v>4.1324411999999998E-3</v>
      </c>
      <c r="N684" s="7">
        <v>670.07440389390001</v>
      </c>
      <c r="O684" s="7">
        <v>671.52361136019999</v>
      </c>
      <c r="P684" s="7">
        <v>661.64444740780004</v>
      </c>
      <c r="Q684" s="7">
        <v>2.1143047312999999</v>
      </c>
      <c r="R684" s="7">
        <v>118.66</v>
      </c>
      <c r="S684" s="7">
        <v>1.2215</v>
      </c>
      <c r="T684" s="7">
        <v>0.34899999999999998</v>
      </c>
      <c r="U684" s="7">
        <v>117.0895</v>
      </c>
      <c r="V684" s="7" t="s">
        <v>88</v>
      </c>
      <c r="W684" s="11">
        <v>45950.479166666664</v>
      </c>
    </row>
    <row r="685" spans="1:23">
      <c r="A685" t="s">
        <v>89</v>
      </c>
      <c r="B685">
        <v>110</v>
      </c>
      <c r="C685" s="10">
        <v>45952</v>
      </c>
      <c r="D685" s="11">
        <v>45952.4375</v>
      </c>
      <c r="E685" s="11">
        <v>45952.4375</v>
      </c>
      <c r="F685" t="s">
        <v>106</v>
      </c>
      <c r="G685" t="s">
        <v>109</v>
      </c>
      <c r="H685">
        <v>-1</v>
      </c>
      <c r="I685">
        <v>336</v>
      </c>
      <c r="J685" s="7">
        <v>669.33749999999998</v>
      </c>
      <c r="K685" s="7">
        <v>672.37887855880001</v>
      </c>
      <c r="L685" s="7">
        <v>670.1262430964</v>
      </c>
      <c r="M685" s="7">
        <v>1.6220688E-3</v>
      </c>
      <c r="N685" s="7">
        <v>670.39811205520004</v>
      </c>
      <c r="O685" s="7">
        <v>672.37887855880001</v>
      </c>
      <c r="P685" s="7">
        <v>670.1262430964</v>
      </c>
      <c r="Q685" s="7">
        <v>2.0444292327000002</v>
      </c>
      <c r="R685" s="7">
        <v>0</v>
      </c>
      <c r="S685" s="7">
        <v>1.1759999999999999</v>
      </c>
      <c r="T685" s="7">
        <v>0.33600000000000002</v>
      </c>
      <c r="U685" s="7">
        <v>-1.512</v>
      </c>
      <c r="V685" s="7" t="s">
        <v>110</v>
      </c>
      <c r="W685" s="11">
        <v>45952.416666666664</v>
      </c>
    </row>
    <row r="686" spans="1:23">
      <c r="A686" t="s">
        <v>89</v>
      </c>
      <c r="B686">
        <v>110</v>
      </c>
      <c r="C686" s="10">
        <v>45952</v>
      </c>
      <c r="D686" s="11">
        <v>45952.458333333336</v>
      </c>
      <c r="E686" s="11">
        <v>45952.458333333336</v>
      </c>
      <c r="F686" t="s">
        <v>108</v>
      </c>
      <c r="G686" t="s">
        <v>107</v>
      </c>
      <c r="H686">
        <v>-1</v>
      </c>
      <c r="I686">
        <v>336</v>
      </c>
      <c r="J686" s="7">
        <v>670.08</v>
      </c>
      <c r="K686" s="7">
        <v>672.98892378649998</v>
      </c>
      <c r="L686" s="7">
        <v>669.51626602609997</v>
      </c>
      <c r="M686" s="7">
        <v>2.5308343000000001E-3</v>
      </c>
      <c r="N686" s="7">
        <v>670.26526981790005</v>
      </c>
      <c r="O686" s="7">
        <v>672.98892378649998</v>
      </c>
      <c r="P686" s="7">
        <v>669.51626602609997</v>
      </c>
      <c r="Q686" s="7">
        <v>2.0444292327000002</v>
      </c>
      <c r="R686" s="7">
        <v>-249.48</v>
      </c>
      <c r="S686" s="7">
        <v>1.1759999999999999</v>
      </c>
      <c r="T686" s="7">
        <v>0.33600000000000002</v>
      </c>
      <c r="U686" s="7">
        <v>-250.99199999999999</v>
      </c>
      <c r="V686" s="7" t="s">
        <v>88</v>
      </c>
      <c r="W686" s="11">
        <v>45952.4375</v>
      </c>
    </row>
    <row r="687" spans="1:23">
      <c r="A687" t="s">
        <v>89</v>
      </c>
      <c r="B687">
        <v>111</v>
      </c>
      <c r="C687" s="10">
        <v>45952</v>
      </c>
      <c r="D687" s="11">
        <v>45952.479166666664</v>
      </c>
      <c r="E687" s="11">
        <v>45952.479166666664</v>
      </c>
      <c r="F687" t="s">
        <v>106</v>
      </c>
      <c r="G687" t="s">
        <v>109</v>
      </c>
      <c r="H687">
        <v>-1</v>
      </c>
      <c r="I687">
        <v>336</v>
      </c>
      <c r="J687" s="7">
        <v>667.89</v>
      </c>
      <c r="K687" s="7">
        <v>673.46085005700002</v>
      </c>
      <c r="L687" s="7">
        <v>669.04439248159997</v>
      </c>
      <c r="M687" s="7">
        <v>3.2338483000000002E-3</v>
      </c>
      <c r="N687" s="7">
        <v>669.72099911570001</v>
      </c>
      <c r="O687" s="7">
        <v>673.46085005700002</v>
      </c>
      <c r="P687" s="7">
        <v>669.04439248159997</v>
      </c>
      <c r="Q687" s="7">
        <v>2.0444292327000002</v>
      </c>
      <c r="R687" s="7">
        <v>0</v>
      </c>
      <c r="S687" s="7">
        <v>1.1759999999999999</v>
      </c>
      <c r="T687" s="7">
        <v>0.33600000000000002</v>
      </c>
      <c r="U687" s="7">
        <v>-1.512</v>
      </c>
      <c r="V687" s="7" t="s">
        <v>110</v>
      </c>
      <c r="W687" s="11">
        <v>45952.458333333336</v>
      </c>
    </row>
    <row r="688" spans="1:23">
      <c r="A688" t="s">
        <v>89</v>
      </c>
      <c r="B688">
        <v>111</v>
      </c>
      <c r="C688" s="10">
        <v>45952</v>
      </c>
      <c r="D688" s="11">
        <v>45952.5</v>
      </c>
      <c r="E688" s="11">
        <v>45952.5</v>
      </c>
      <c r="F688" t="s">
        <v>108</v>
      </c>
      <c r="G688" t="s">
        <v>107</v>
      </c>
      <c r="H688">
        <v>-1</v>
      </c>
      <c r="I688">
        <v>336</v>
      </c>
      <c r="J688" s="7">
        <v>669.00800000000004</v>
      </c>
      <c r="K688" s="7">
        <v>674.07173323209997</v>
      </c>
      <c r="L688" s="7">
        <v>668.43357755759996</v>
      </c>
      <c r="M688" s="7">
        <v>4.1438622E-3</v>
      </c>
      <c r="N688" s="7">
        <v>669.60864525110003</v>
      </c>
      <c r="O688" s="7">
        <v>674.07173323209997</v>
      </c>
      <c r="P688" s="7">
        <v>668.43357755759996</v>
      </c>
      <c r="Q688" s="7">
        <v>2.0444292327000002</v>
      </c>
      <c r="R688" s="7">
        <v>-375.64800000000002</v>
      </c>
      <c r="S688" s="7">
        <v>1.1759999999999999</v>
      </c>
      <c r="T688" s="7">
        <v>0.33600000000000002</v>
      </c>
      <c r="U688" s="7">
        <v>-377.16</v>
      </c>
      <c r="V688" s="7" t="s">
        <v>88</v>
      </c>
      <c r="W688" s="11">
        <v>45952.479166666664</v>
      </c>
    </row>
    <row r="689" spans="1:23">
      <c r="A689" t="s">
        <v>89</v>
      </c>
      <c r="B689">
        <v>112</v>
      </c>
      <c r="C689" s="10">
        <v>45952</v>
      </c>
      <c r="D689" s="11">
        <v>45952.520833333336</v>
      </c>
      <c r="E689" s="11">
        <v>45952.520833333336</v>
      </c>
      <c r="F689" t="s">
        <v>106</v>
      </c>
      <c r="G689" t="s">
        <v>109</v>
      </c>
      <c r="H689">
        <v>-1</v>
      </c>
      <c r="I689">
        <v>336</v>
      </c>
      <c r="J689" s="7">
        <v>667.63</v>
      </c>
      <c r="K689" s="7">
        <v>674.47035583000002</v>
      </c>
      <c r="L689" s="7">
        <v>668.03499949590002</v>
      </c>
      <c r="M689" s="7">
        <v>4.7376778999999999E-3</v>
      </c>
      <c r="N689" s="7">
        <v>669.41249392190002</v>
      </c>
      <c r="O689" s="7">
        <v>674.47035583000002</v>
      </c>
      <c r="P689" s="7">
        <v>668.03499949590002</v>
      </c>
      <c r="Q689" s="7">
        <v>2.0444292327000002</v>
      </c>
      <c r="R689" s="7">
        <v>0</v>
      </c>
      <c r="S689" s="7">
        <v>1.1759999999999999</v>
      </c>
      <c r="T689" s="7">
        <v>0.33600000000000002</v>
      </c>
      <c r="U689" s="7">
        <v>-1.512</v>
      </c>
      <c r="V689" s="7" t="s">
        <v>110</v>
      </c>
      <c r="W689" s="11">
        <v>45952.5</v>
      </c>
    </row>
    <row r="690" spans="1:23">
      <c r="A690" t="s">
        <v>89</v>
      </c>
      <c r="B690">
        <v>112</v>
      </c>
      <c r="C690" s="10">
        <v>45952</v>
      </c>
      <c r="D690" s="11">
        <v>45952.645833333336</v>
      </c>
      <c r="E690" s="11">
        <v>45952.645833333336</v>
      </c>
      <c r="F690" t="s">
        <v>108</v>
      </c>
      <c r="G690" t="s">
        <v>107</v>
      </c>
      <c r="H690">
        <v>-1</v>
      </c>
      <c r="I690">
        <v>336</v>
      </c>
      <c r="J690" s="7">
        <v>667.46</v>
      </c>
      <c r="K690" s="7">
        <v>675.2263736978</v>
      </c>
      <c r="L690" s="7">
        <v>667.27906609429999</v>
      </c>
      <c r="M690" s="7">
        <v>5.8638943999999998E-3</v>
      </c>
      <c r="N690" s="7">
        <v>667.75893460500004</v>
      </c>
      <c r="O690" s="7">
        <v>675.2263736978</v>
      </c>
      <c r="P690" s="7">
        <v>667.27906609429999</v>
      </c>
      <c r="Q690" s="7">
        <v>2.0444292327000002</v>
      </c>
      <c r="R690" s="7">
        <v>57.12</v>
      </c>
      <c r="S690" s="7">
        <v>1.1759999999999999</v>
      </c>
      <c r="T690" s="7">
        <v>0.33600000000000002</v>
      </c>
      <c r="U690" s="7">
        <v>55.607999999999997</v>
      </c>
      <c r="V690" s="7" t="s">
        <v>88</v>
      </c>
      <c r="W690" s="11">
        <v>45952.625</v>
      </c>
    </row>
    <row r="691" spans="1:23">
      <c r="A691" t="s">
        <v>89</v>
      </c>
      <c r="B691">
        <v>113</v>
      </c>
      <c r="C691" s="10">
        <v>45960</v>
      </c>
      <c r="D691" s="11">
        <v>45960.4375</v>
      </c>
      <c r="E691" s="11">
        <v>45960.4375</v>
      </c>
      <c r="F691" t="s">
        <v>106</v>
      </c>
      <c r="G691" t="s">
        <v>109</v>
      </c>
      <c r="H691">
        <v>-1</v>
      </c>
      <c r="I691">
        <v>308</v>
      </c>
      <c r="J691" s="7">
        <v>683.44</v>
      </c>
      <c r="K691" s="7">
        <v>688.48993574270003</v>
      </c>
      <c r="L691" s="7">
        <v>683.95380863770004</v>
      </c>
      <c r="M691" s="7">
        <v>1.6001626E-3</v>
      </c>
      <c r="N691" s="7">
        <v>684.48701690680002</v>
      </c>
      <c r="O691" s="7">
        <v>688.48993574270003</v>
      </c>
      <c r="P691" s="7">
        <v>683.95380863770004</v>
      </c>
      <c r="Q691" s="7">
        <v>1.9230869080999999</v>
      </c>
      <c r="R691" s="7">
        <v>0</v>
      </c>
      <c r="S691" s="7">
        <v>1.0780000000000001</v>
      </c>
      <c r="T691" s="7">
        <v>0.308</v>
      </c>
      <c r="U691" s="7">
        <v>-1.3859999999999999</v>
      </c>
      <c r="V691" s="7" t="s">
        <v>110</v>
      </c>
      <c r="W691" s="11">
        <v>45960.416666666664</v>
      </c>
    </row>
    <row r="692" spans="1:23">
      <c r="A692" t="s">
        <v>89</v>
      </c>
      <c r="B692">
        <v>113</v>
      </c>
      <c r="C692" s="10">
        <v>45960</v>
      </c>
      <c r="D692" s="11">
        <v>45960.458333333336</v>
      </c>
      <c r="E692" s="11">
        <v>45960.458333333336</v>
      </c>
      <c r="F692" t="s">
        <v>108</v>
      </c>
      <c r="G692" t="s">
        <v>107</v>
      </c>
      <c r="H692">
        <v>-1</v>
      </c>
      <c r="I692">
        <v>308</v>
      </c>
      <c r="J692" s="7">
        <v>684.49</v>
      </c>
      <c r="K692" s="7">
        <v>688.90638404929996</v>
      </c>
      <c r="L692" s="7">
        <v>683.53877799659995</v>
      </c>
      <c r="M692" s="7">
        <v>2.2060025E-3</v>
      </c>
      <c r="N692" s="7">
        <v>684.48759193269996</v>
      </c>
      <c r="O692" s="7">
        <v>688.90638404929996</v>
      </c>
      <c r="P692" s="7">
        <v>683.53877799659995</v>
      </c>
      <c r="Q692" s="7">
        <v>1.9230869080999999</v>
      </c>
      <c r="R692" s="7">
        <v>-323.39999999999998</v>
      </c>
      <c r="S692" s="7">
        <v>1.0780000000000001</v>
      </c>
      <c r="T692" s="7">
        <v>0.308</v>
      </c>
      <c r="U692" s="7">
        <v>-324.786</v>
      </c>
      <c r="V692" s="7" t="s">
        <v>88</v>
      </c>
      <c r="W692" s="11">
        <v>45960.4375</v>
      </c>
    </row>
    <row r="693" spans="1:23">
      <c r="A693" t="s">
        <v>89</v>
      </c>
      <c r="B693">
        <v>114</v>
      </c>
      <c r="C693" s="10">
        <v>45964</v>
      </c>
      <c r="D693" s="11">
        <v>45964.4375</v>
      </c>
      <c r="E693" s="11">
        <v>45964.4375</v>
      </c>
      <c r="F693" t="s">
        <v>106</v>
      </c>
      <c r="G693" t="s">
        <v>109</v>
      </c>
      <c r="H693">
        <v>-1</v>
      </c>
      <c r="I693">
        <v>491</v>
      </c>
      <c r="J693" s="7">
        <v>680.38990000000001</v>
      </c>
      <c r="K693" s="7">
        <v>683.55718801370006</v>
      </c>
      <c r="L693" s="7">
        <v>681.02351102290004</v>
      </c>
      <c r="M693" s="7">
        <v>1.5196449E-3</v>
      </c>
      <c r="N693" s="7">
        <v>681.63184732510001</v>
      </c>
      <c r="O693" s="7">
        <v>683.55718801370006</v>
      </c>
      <c r="P693" s="7">
        <v>681.02351102290004</v>
      </c>
      <c r="Q693" s="7">
        <v>3.0560860845</v>
      </c>
      <c r="R693" s="7">
        <v>0</v>
      </c>
      <c r="S693" s="7">
        <v>1.7184999999999999</v>
      </c>
      <c r="T693" s="7">
        <v>0.49099999999999999</v>
      </c>
      <c r="U693" s="7">
        <v>-2.2094999999999998</v>
      </c>
      <c r="V693" s="7" t="s">
        <v>110</v>
      </c>
      <c r="W693" s="11">
        <v>45964.416666666664</v>
      </c>
    </row>
    <row r="694" spans="1:23">
      <c r="A694" t="s">
        <v>89</v>
      </c>
      <c r="B694">
        <v>114</v>
      </c>
      <c r="C694" s="10">
        <v>45964</v>
      </c>
      <c r="D694" s="11">
        <v>45964.458333333336</v>
      </c>
      <c r="E694" s="11">
        <v>45964.458333333336</v>
      </c>
      <c r="F694" t="s">
        <v>108</v>
      </c>
      <c r="G694" t="s">
        <v>107</v>
      </c>
      <c r="H694">
        <v>-1</v>
      </c>
      <c r="I694">
        <v>491</v>
      </c>
      <c r="J694" s="7">
        <v>682.42</v>
      </c>
      <c r="K694" s="7">
        <v>683.61363507639999</v>
      </c>
      <c r="L694" s="7">
        <v>680.96710200400003</v>
      </c>
      <c r="M694" s="7">
        <v>1.6023488E-3</v>
      </c>
      <c r="N694" s="7">
        <v>681.8289748295</v>
      </c>
      <c r="O694" s="7">
        <v>683.61363507639999</v>
      </c>
      <c r="P694" s="7">
        <v>680.96710200400003</v>
      </c>
      <c r="Q694" s="7">
        <v>3.0560860845</v>
      </c>
      <c r="R694" s="7">
        <v>-996.77909999999997</v>
      </c>
      <c r="S694" s="7">
        <v>1.7184999999999999</v>
      </c>
      <c r="T694" s="7">
        <v>0.49099999999999999</v>
      </c>
      <c r="U694" s="7">
        <v>-998.98860000000002</v>
      </c>
      <c r="V694" s="7" t="s">
        <v>88</v>
      </c>
      <c r="W694" s="11">
        <v>45964.4375</v>
      </c>
    </row>
    <row r="695" spans="1:23">
      <c r="A695" t="s">
        <v>89</v>
      </c>
      <c r="B695">
        <v>115</v>
      </c>
      <c r="C695" s="10">
        <v>45965</v>
      </c>
      <c r="D695" s="11">
        <v>45965.520833333336</v>
      </c>
      <c r="E695" s="11">
        <v>45965.520833333336</v>
      </c>
      <c r="F695" t="s">
        <v>106</v>
      </c>
      <c r="G695" t="s">
        <v>109</v>
      </c>
      <c r="H695">
        <v>-1</v>
      </c>
      <c r="I695">
        <v>494</v>
      </c>
      <c r="J695" s="7">
        <v>676.94</v>
      </c>
      <c r="K695" s="7">
        <v>684.95452796070003</v>
      </c>
      <c r="L695" s="7">
        <v>677.19619870090003</v>
      </c>
      <c r="M695" s="7">
        <v>2.3627008E-3</v>
      </c>
      <c r="N695" s="7">
        <v>678.38625947000003</v>
      </c>
      <c r="O695" s="7">
        <v>684.95452796070003</v>
      </c>
      <c r="P695" s="7">
        <v>677.19619870090003</v>
      </c>
      <c r="Q695" s="7">
        <v>3.0876082077999998</v>
      </c>
      <c r="R695" s="7">
        <v>0</v>
      </c>
      <c r="S695" s="7">
        <v>1.7290000000000001</v>
      </c>
      <c r="T695" s="7">
        <v>0.49399999999999999</v>
      </c>
      <c r="U695" s="7">
        <v>-2.2229999999999999</v>
      </c>
      <c r="V695" s="7" t="s">
        <v>110</v>
      </c>
      <c r="W695" s="11">
        <v>45965.5</v>
      </c>
    </row>
    <row r="696" spans="1:23">
      <c r="A696" t="s">
        <v>89</v>
      </c>
      <c r="B696">
        <v>115</v>
      </c>
      <c r="C696" s="10">
        <v>45965</v>
      </c>
      <c r="D696" s="11">
        <v>45965.604166666664</v>
      </c>
      <c r="E696" s="11">
        <v>45965.604166666664</v>
      </c>
      <c r="F696" t="s">
        <v>108</v>
      </c>
      <c r="G696" t="s">
        <v>107</v>
      </c>
      <c r="H696">
        <v>-1</v>
      </c>
      <c r="I696">
        <v>494</v>
      </c>
      <c r="J696" s="7">
        <v>676.23</v>
      </c>
      <c r="K696" s="7">
        <v>686.14491588620001</v>
      </c>
      <c r="L696" s="7">
        <v>676.0137195195</v>
      </c>
      <c r="M696" s="7">
        <v>4.1047148999999996E-3</v>
      </c>
      <c r="N696" s="7">
        <v>677.60143869060005</v>
      </c>
      <c r="O696" s="7">
        <v>686.14491588620001</v>
      </c>
      <c r="P696" s="7">
        <v>676.0137195195</v>
      </c>
      <c r="Q696" s="7">
        <v>3.0876082077999998</v>
      </c>
      <c r="R696" s="7">
        <v>350.74</v>
      </c>
      <c r="S696" s="7">
        <v>1.7290000000000001</v>
      </c>
      <c r="T696" s="7">
        <v>0.49399999999999999</v>
      </c>
      <c r="U696" s="7">
        <v>348.517</v>
      </c>
      <c r="V696" s="7" t="s">
        <v>88</v>
      </c>
      <c r="W696" s="11">
        <v>45965.583333333336</v>
      </c>
    </row>
    <row r="697" spans="1:23">
      <c r="A697" t="s">
        <v>89</v>
      </c>
      <c r="B697">
        <v>116</v>
      </c>
      <c r="C697" s="10">
        <v>45965</v>
      </c>
      <c r="D697" s="11">
        <v>45965.625</v>
      </c>
      <c r="E697" s="11">
        <v>45965.625</v>
      </c>
      <c r="F697" t="s">
        <v>106</v>
      </c>
      <c r="G697" t="s">
        <v>109</v>
      </c>
      <c r="H697">
        <v>-1</v>
      </c>
      <c r="I697">
        <v>494</v>
      </c>
      <c r="J697" s="7">
        <v>675.22500000000002</v>
      </c>
      <c r="K697" s="7">
        <v>685.96318664490002</v>
      </c>
      <c r="L697" s="7">
        <v>676.19424138119996</v>
      </c>
      <c r="M697" s="7">
        <v>3.8387722999999999E-3</v>
      </c>
      <c r="N697" s="7">
        <v>677.40780204500004</v>
      </c>
      <c r="O697" s="7">
        <v>685.96318664490002</v>
      </c>
      <c r="P697" s="7">
        <v>676.19424138119996</v>
      </c>
      <c r="Q697" s="7">
        <v>3.0876082077999998</v>
      </c>
      <c r="R697" s="7">
        <v>0</v>
      </c>
      <c r="S697" s="7">
        <v>1.7290000000000001</v>
      </c>
      <c r="T697" s="7">
        <v>0.49399999999999999</v>
      </c>
      <c r="U697" s="7">
        <v>-2.2229999999999999</v>
      </c>
      <c r="V697" s="7" t="s">
        <v>110</v>
      </c>
      <c r="W697" s="11">
        <v>45965.604166666664</v>
      </c>
    </row>
    <row r="698" spans="1:23">
      <c r="A698" t="s">
        <v>89</v>
      </c>
      <c r="B698">
        <v>116</v>
      </c>
      <c r="C698" s="10">
        <v>45965</v>
      </c>
      <c r="D698" s="11">
        <v>45965.645833333336</v>
      </c>
      <c r="E698" s="11">
        <v>45965.645833333336</v>
      </c>
      <c r="F698" t="s">
        <v>108</v>
      </c>
      <c r="G698" t="s">
        <v>107</v>
      </c>
      <c r="H698">
        <v>-1</v>
      </c>
      <c r="I698">
        <v>494</v>
      </c>
      <c r="J698" s="7">
        <v>675.98500000000001</v>
      </c>
      <c r="K698" s="7">
        <v>686.19301223160005</v>
      </c>
      <c r="L698" s="7">
        <v>675.96594271840002</v>
      </c>
      <c r="M698" s="7">
        <v>4.1750991000000003E-3</v>
      </c>
      <c r="N698" s="7">
        <v>677.2943890409</v>
      </c>
      <c r="O698" s="7">
        <v>686.19301223160005</v>
      </c>
      <c r="P698" s="7">
        <v>675.96594271840002</v>
      </c>
      <c r="Q698" s="7">
        <v>3.0876082077999998</v>
      </c>
      <c r="R698" s="7">
        <v>-375.44</v>
      </c>
      <c r="S698" s="7">
        <v>1.7290000000000001</v>
      </c>
      <c r="T698" s="7">
        <v>0.49399999999999999</v>
      </c>
      <c r="U698" s="7">
        <v>-377.66300000000001</v>
      </c>
      <c r="V698" s="7" t="s">
        <v>88</v>
      </c>
      <c r="W698" s="11">
        <v>45965.625</v>
      </c>
    </row>
    <row r="699" spans="1:23">
      <c r="A699" t="s">
        <v>89</v>
      </c>
      <c r="B699">
        <v>117</v>
      </c>
      <c r="C699" s="10">
        <v>45966</v>
      </c>
      <c r="D699" s="11">
        <v>45966.479166666664</v>
      </c>
      <c r="E699" s="11">
        <v>45966.479166666664</v>
      </c>
      <c r="F699" t="s">
        <v>106</v>
      </c>
      <c r="G699" t="s">
        <v>107</v>
      </c>
      <c r="H699">
        <v>1</v>
      </c>
      <c r="I699">
        <v>430</v>
      </c>
      <c r="J699" s="7">
        <v>678.34</v>
      </c>
      <c r="K699" s="7">
        <v>678.11960855079997</v>
      </c>
      <c r="L699" s="7">
        <v>674.29309792540005</v>
      </c>
      <c r="M699" s="7">
        <v>1.4023193000000001E-3</v>
      </c>
      <c r="N699" s="7">
        <v>677.55040512979997</v>
      </c>
      <c r="O699" s="7">
        <v>678.11960855079997</v>
      </c>
      <c r="P699" s="7">
        <v>674.29309792540005</v>
      </c>
      <c r="Q699" s="7">
        <v>2.6854700379000001</v>
      </c>
      <c r="R699" s="7">
        <v>0</v>
      </c>
      <c r="S699" s="7">
        <v>1.5049999999999999</v>
      </c>
      <c r="T699" s="7">
        <v>0.43</v>
      </c>
      <c r="U699" s="7">
        <v>-1.9350000000000001</v>
      </c>
      <c r="V699" s="7" t="s">
        <v>110</v>
      </c>
      <c r="W699" s="11">
        <v>45966.458333333336</v>
      </c>
    </row>
    <row r="700" spans="1:23">
      <c r="A700" t="s">
        <v>89</v>
      </c>
      <c r="B700">
        <v>117</v>
      </c>
      <c r="C700" s="10">
        <v>45966</v>
      </c>
      <c r="D700" s="11">
        <v>45966.645833333336</v>
      </c>
      <c r="E700" s="11">
        <v>45966.645833333336</v>
      </c>
      <c r="F700" t="s">
        <v>108</v>
      </c>
      <c r="G700" t="s">
        <v>109</v>
      </c>
      <c r="H700">
        <v>1</v>
      </c>
      <c r="I700">
        <v>430</v>
      </c>
      <c r="J700" s="7">
        <v>679.76</v>
      </c>
      <c r="K700" s="7">
        <v>679.97781577620003</v>
      </c>
      <c r="L700" s="7">
        <v>672.44018677029999</v>
      </c>
      <c r="M700" s="7">
        <v>4.1463971999999997E-3</v>
      </c>
      <c r="N700" s="7">
        <v>678.78286308830002</v>
      </c>
      <c r="O700" s="7">
        <v>679.97781577620003</v>
      </c>
      <c r="P700" s="7">
        <v>672.44018677029999</v>
      </c>
      <c r="Q700" s="7">
        <v>2.6854700379000001</v>
      </c>
      <c r="R700" s="7">
        <v>610.6</v>
      </c>
      <c r="S700" s="7">
        <v>1.5049999999999999</v>
      </c>
      <c r="T700" s="7">
        <v>0.43</v>
      </c>
      <c r="U700" s="7">
        <v>608.66499999999996</v>
      </c>
      <c r="V700" s="7" t="s">
        <v>88</v>
      </c>
      <c r="W700" s="11">
        <v>45966.625</v>
      </c>
    </row>
    <row r="701" spans="1:23">
      <c r="A701" t="s">
        <v>89</v>
      </c>
      <c r="B701">
        <v>118</v>
      </c>
      <c r="C701" s="10">
        <v>45967</v>
      </c>
      <c r="D701" s="11">
        <v>45967.458333333336</v>
      </c>
      <c r="E701" s="11">
        <v>45967.458333333336</v>
      </c>
      <c r="F701" t="s">
        <v>106</v>
      </c>
      <c r="G701" t="s">
        <v>109</v>
      </c>
      <c r="H701">
        <v>-1</v>
      </c>
      <c r="I701">
        <v>456</v>
      </c>
      <c r="J701" s="7">
        <v>670.91</v>
      </c>
      <c r="K701" s="7">
        <v>678.46799375679996</v>
      </c>
      <c r="L701" s="7">
        <v>673.16663243929997</v>
      </c>
      <c r="M701" s="7">
        <v>1.3105371000000001E-3</v>
      </c>
      <c r="N701" s="7">
        <v>673.18105446660002</v>
      </c>
      <c r="O701" s="7">
        <v>678.46799375679996</v>
      </c>
      <c r="P701" s="7">
        <v>673.16663243929997</v>
      </c>
      <c r="Q701" s="7">
        <v>2.8143169222000002</v>
      </c>
      <c r="R701" s="7">
        <v>0</v>
      </c>
      <c r="S701" s="7">
        <v>1.5960000000000001</v>
      </c>
      <c r="T701" s="7">
        <v>0.45600000000000002</v>
      </c>
      <c r="U701" s="7">
        <v>-2.052</v>
      </c>
      <c r="V701" s="7" t="s">
        <v>110</v>
      </c>
      <c r="W701" s="11">
        <v>45967.4375</v>
      </c>
    </row>
    <row r="702" spans="1:23">
      <c r="A702" t="s">
        <v>89</v>
      </c>
      <c r="B702">
        <v>118</v>
      </c>
      <c r="C702" s="10">
        <v>45967</v>
      </c>
      <c r="D702" s="11">
        <v>45967.604166666664</v>
      </c>
      <c r="E702" s="11">
        <v>45967.604166666664</v>
      </c>
      <c r="F702" t="s">
        <v>108</v>
      </c>
      <c r="G702" t="s">
        <v>107</v>
      </c>
      <c r="H702">
        <v>-1</v>
      </c>
      <c r="I702">
        <v>456</v>
      </c>
      <c r="J702" s="7">
        <v>673.4</v>
      </c>
      <c r="K702" s="7">
        <v>679.85698398479997</v>
      </c>
      <c r="L702" s="7">
        <v>671.78487845719997</v>
      </c>
      <c r="M702" s="7">
        <v>3.3604652E-3</v>
      </c>
      <c r="N702" s="7">
        <v>671.97757440520002</v>
      </c>
      <c r="O702" s="7">
        <v>679.85698398479997</v>
      </c>
      <c r="P702" s="7">
        <v>671.78487845719997</v>
      </c>
      <c r="Q702" s="7">
        <v>2.8143169222000002</v>
      </c>
      <c r="R702" s="7">
        <v>-1135.44</v>
      </c>
      <c r="S702" s="7">
        <v>1.5960000000000001</v>
      </c>
      <c r="T702" s="7">
        <v>0.45600000000000002</v>
      </c>
      <c r="U702" s="7">
        <v>-1137.492</v>
      </c>
      <c r="V702" s="7" t="s">
        <v>88</v>
      </c>
      <c r="W702" s="11">
        <v>45967.583333333336</v>
      </c>
    </row>
    <row r="703" spans="1:23">
      <c r="A703" t="s">
        <v>89</v>
      </c>
      <c r="B703">
        <v>119</v>
      </c>
      <c r="C703" s="10">
        <v>45968</v>
      </c>
      <c r="D703" s="11">
        <v>45968.458333333336</v>
      </c>
      <c r="E703" s="11">
        <v>45968.458333333336</v>
      </c>
      <c r="F703" t="s">
        <v>106</v>
      </c>
      <c r="G703" t="s">
        <v>109</v>
      </c>
      <c r="H703">
        <v>-1</v>
      </c>
      <c r="I703">
        <v>418</v>
      </c>
      <c r="J703" s="7">
        <v>663.36</v>
      </c>
      <c r="K703" s="7">
        <v>671.33323656849996</v>
      </c>
      <c r="L703" s="7">
        <v>665.32781605340006</v>
      </c>
      <c r="M703" s="7">
        <v>1.5265125E-3</v>
      </c>
      <c r="N703" s="7">
        <v>665.41627858109996</v>
      </c>
      <c r="O703" s="7">
        <v>671.33323656849996</v>
      </c>
      <c r="P703" s="7">
        <v>665.32781605340006</v>
      </c>
      <c r="Q703" s="7">
        <v>2.5813760322000001</v>
      </c>
      <c r="R703" s="7">
        <v>0</v>
      </c>
      <c r="S703" s="7">
        <v>1.4630000000000001</v>
      </c>
      <c r="T703" s="7">
        <v>0.41799999999999998</v>
      </c>
      <c r="U703" s="7">
        <v>-1.881</v>
      </c>
      <c r="V703" s="7" t="s">
        <v>110</v>
      </c>
      <c r="W703" s="11">
        <v>45968.4375</v>
      </c>
    </row>
    <row r="704" spans="1:23">
      <c r="A704" t="s">
        <v>89</v>
      </c>
      <c r="B704">
        <v>119</v>
      </c>
      <c r="C704" s="10">
        <v>45968</v>
      </c>
      <c r="D704" s="11">
        <v>45968.5625</v>
      </c>
      <c r="E704" s="11">
        <v>45968.5625</v>
      </c>
      <c r="F704" t="s">
        <v>108</v>
      </c>
      <c r="G704" t="s">
        <v>107</v>
      </c>
      <c r="H704">
        <v>-1</v>
      </c>
      <c r="I704">
        <v>418</v>
      </c>
      <c r="J704" s="7">
        <v>665.3</v>
      </c>
      <c r="K704" s="7">
        <v>672.43621489780003</v>
      </c>
      <c r="L704" s="7">
        <v>664.23136203240006</v>
      </c>
      <c r="M704" s="7">
        <v>3.1719873999999999E-3</v>
      </c>
      <c r="N704" s="7">
        <v>664.40288230110002</v>
      </c>
      <c r="O704" s="7">
        <v>672.43621489780003</v>
      </c>
      <c r="P704" s="7">
        <v>664.23136203240006</v>
      </c>
      <c r="Q704" s="7">
        <v>2.5813760322000001</v>
      </c>
      <c r="R704" s="7">
        <v>-810.92</v>
      </c>
      <c r="S704" s="7">
        <v>1.4630000000000001</v>
      </c>
      <c r="T704" s="7">
        <v>0.41799999999999998</v>
      </c>
      <c r="U704" s="7">
        <v>-812.80100000000004</v>
      </c>
      <c r="V704" s="7" t="s">
        <v>88</v>
      </c>
      <c r="W704" s="11">
        <v>45968.541666666664</v>
      </c>
    </row>
    <row r="705" spans="1:23">
      <c r="A705" t="s">
        <v>89</v>
      </c>
      <c r="B705">
        <v>120</v>
      </c>
      <c r="C705" s="10">
        <v>45971</v>
      </c>
      <c r="D705" s="11">
        <v>45971.604166666664</v>
      </c>
      <c r="E705" s="11">
        <v>45971.604166666664</v>
      </c>
      <c r="F705" t="s">
        <v>106</v>
      </c>
      <c r="G705" t="s">
        <v>107</v>
      </c>
      <c r="H705">
        <v>1</v>
      </c>
      <c r="I705">
        <v>437</v>
      </c>
      <c r="J705" s="7">
        <v>680.755</v>
      </c>
      <c r="K705" s="7">
        <v>680.34725822589996</v>
      </c>
      <c r="L705" s="7">
        <v>669.16803160999996</v>
      </c>
      <c r="M705" s="7">
        <v>2.6856168999999999E-3</v>
      </c>
      <c r="N705" s="7">
        <v>678.08747553260002</v>
      </c>
      <c r="O705" s="7">
        <v>680.34725822589996</v>
      </c>
      <c r="P705" s="7">
        <v>669.16803160999996</v>
      </c>
      <c r="Q705" s="7">
        <v>2.7667595926000002</v>
      </c>
      <c r="R705" s="7">
        <v>0</v>
      </c>
      <c r="S705" s="7">
        <v>1.5295000000000001</v>
      </c>
      <c r="T705" s="7">
        <v>0.437</v>
      </c>
      <c r="U705" s="7">
        <v>-1.9664999999999999</v>
      </c>
      <c r="V705" s="7" t="s">
        <v>110</v>
      </c>
      <c r="W705" s="11">
        <v>45971.583333333336</v>
      </c>
    </row>
    <row r="706" spans="1:23">
      <c r="A706" t="s">
        <v>89</v>
      </c>
      <c r="B706">
        <v>120</v>
      </c>
      <c r="C706" s="10">
        <v>45971</v>
      </c>
      <c r="D706" s="11">
        <v>45971.666666666664</v>
      </c>
      <c r="E706" s="11">
        <v>45971.666666666664</v>
      </c>
      <c r="F706" t="s">
        <v>108</v>
      </c>
      <c r="G706" t="s">
        <v>109</v>
      </c>
      <c r="H706">
        <v>1</v>
      </c>
      <c r="I706">
        <v>437</v>
      </c>
      <c r="J706" s="7">
        <v>681.44</v>
      </c>
      <c r="K706" s="7">
        <v>680.78014347730004</v>
      </c>
      <c r="L706" s="7">
        <v>668.73996629600003</v>
      </c>
      <c r="M706" s="7">
        <v>3.3235967000000001E-3</v>
      </c>
      <c r="N706" s="7">
        <v>679.1472405961</v>
      </c>
      <c r="O706" s="7">
        <v>680.78014347730004</v>
      </c>
      <c r="P706" s="7">
        <v>668.73996629600003</v>
      </c>
      <c r="Q706" s="7">
        <v>2.7667595926000002</v>
      </c>
      <c r="R706" s="7">
        <v>299.34500000000003</v>
      </c>
      <c r="S706" s="7">
        <v>1.5295000000000001</v>
      </c>
      <c r="T706" s="7">
        <v>0.437</v>
      </c>
      <c r="U706" s="7">
        <v>297.37849999999997</v>
      </c>
      <c r="V706" s="7" t="s">
        <v>85</v>
      </c>
      <c r="W706" s="11">
        <v>45971.645833333336</v>
      </c>
    </row>
    <row r="707" spans="1:23">
      <c r="A707" t="s">
        <v>89</v>
      </c>
      <c r="B707">
        <v>121</v>
      </c>
      <c r="C707" s="10">
        <v>45972</v>
      </c>
      <c r="D707" s="11">
        <v>45972.4375</v>
      </c>
      <c r="E707" s="11">
        <v>45972.4375</v>
      </c>
      <c r="F707" t="s">
        <v>106</v>
      </c>
      <c r="G707" t="s">
        <v>109</v>
      </c>
      <c r="H707">
        <v>-1</v>
      </c>
      <c r="I707">
        <v>378</v>
      </c>
      <c r="J707" s="7">
        <v>679.36500000000001</v>
      </c>
      <c r="K707" s="7">
        <v>682.201765464</v>
      </c>
      <c r="L707" s="7">
        <v>679.88412324750004</v>
      </c>
      <c r="M707" s="7">
        <v>1.1178761000000001E-3</v>
      </c>
      <c r="N707" s="7">
        <v>680.10247133220003</v>
      </c>
      <c r="O707" s="7">
        <v>682.201765464</v>
      </c>
      <c r="P707" s="7">
        <v>679.88412324750004</v>
      </c>
      <c r="Q707" s="7">
        <v>2.3961202730000002</v>
      </c>
      <c r="R707" s="7">
        <v>0</v>
      </c>
      <c r="S707" s="7">
        <v>1.323</v>
      </c>
      <c r="T707" s="7">
        <v>0.378</v>
      </c>
      <c r="U707" s="7">
        <v>-1.7010000000000001</v>
      </c>
      <c r="V707" s="7" t="s">
        <v>110</v>
      </c>
      <c r="W707" s="11">
        <v>45972.416666666664</v>
      </c>
    </row>
    <row r="708" spans="1:23">
      <c r="A708" t="s">
        <v>89</v>
      </c>
      <c r="B708">
        <v>121</v>
      </c>
      <c r="C708" s="10">
        <v>45972</v>
      </c>
      <c r="D708" s="11">
        <v>45972.5</v>
      </c>
      <c r="E708" s="11">
        <v>45972.5</v>
      </c>
      <c r="F708" t="s">
        <v>108</v>
      </c>
      <c r="G708" t="s">
        <v>107</v>
      </c>
      <c r="H708">
        <v>-1</v>
      </c>
      <c r="I708">
        <v>378</v>
      </c>
      <c r="J708" s="7">
        <v>679.7</v>
      </c>
      <c r="K708" s="7">
        <v>683.0721573257</v>
      </c>
      <c r="L708" s="7">
        <v>679.01474682590003</v>
      </c>
      <c r="M708" s="7">
        <v>2.3951593000000001E-3</v>
      </c>
      <c r="N708" s="7">
        <v>679.77053406949994</v>
      </c>
      <c r="O708" s="7">
        <v>683.0721573257</v>
      </c>
      <c r="P708" s="7">
        <v>679.01474682590003</v>
      </c>
      <c r="Q708" s="7">
        <v>2.3961202730000002</v>
      </c>
      <c r="R708" s="7">
        <v>-126.63</v>
      </c>
      <c r="S708" s="7">
        <v>1.323</v>
      </c>
      <c r="T708" s="7">
        <v>0.378</v>
      </c>
      <c r="U708" s="7">
        <v>-128.33099999999999</v>
      </c>
      <c r="V708" s="7" t="s">
        <v>88</v>
      </c>
      <c r="W708" s="11">
        <v>45972.479166666664</v>
      </c>
    </row>
    <row r="709" spans="1:23">
      <c r="A709" t="s">
        <v>89</v>
      </c>
      <c r="B709">
        <v>122</v>
      </c>
      <c r="C709" s="10">
        <v>45974</v>
      </c>
      <c r="D709" s="11">
        <v>45974.458333333336</v>
      </c>
      <c r="E709" s="11">
        <v>45974.458333333336</v>
      </c>
      <c r="F709" t="s">
        <v>106</v>
      </c>
      <c r="G709" t="s">
        <v>109</v>
      </c>
      <c r="H709">
        <v>-1</v>
      </c>
      <c r="I709">
        <v>393</v>
      </c>
      <c r="J709" s="7">
        <v>676.3</v>
      </c>
      <c r="K709" s="7">
        <v>684.58794795159997</v>
      </c>
      <c r="L709" s="7">
        <v>677.52028910169997</v>
      </c>
      <c r="M709" s="7">
        <v>1.7676079999999999E-3</v>
      </c>
      <c r="N709" s="7">
        <v>677.93765824319996</v>
      </c>
      <c r="O709" s="7">
        <v>684.58794795159997</v>
      </c>
      <c r="P709" s="7">
        <v>677.52028910169997</v>
      </c>
      <c r="Q709" s="7">
        <v>2.4820626578999998</v>
      </c>
      <c r="R709" s="7">
        <v>0</v>
      </c>
      <c r="S709" s="7">
        <v>1.3754999999999999</v>
      </c>
      <c r="T709" s="7">
        <v>0.39300000000000002</v>
      </c>
      <c r="U709" s="7">
        <v>-1.7685</v>
      </c>
      <c r="V709" s="7" t="s">
        <v>110</v>
      </c>
      <c r="W709" s="11">
        <v>45974.4375</v>
      </c>
    </row>
    <row r="710" spans="1:23">
      <c r="A710" t="s">
        <v>89</v>
      </c>
      <c r="B710">
        <v>122</v>
      </c>
      <c r="C710" s="10">
        <v>45974</v>
      </c>
      <c r="D710" s="11">
        <v>45974.666666666664</v>
      </c>
      <c r="E710" s="11">
        <v>45974.666666666664</v>
      </c>
      <c r="F710" t="s">
        <v>108</v>
      </c>
      <c r="G710" t="s">
        <v>107</v>
      </c>
      <c r="H710">
        <v>-1</v>
      </c>
      <c r="I710">
        <v>393</v>
      </c>
      <c r="J710" s="7">
        <v>672.04</v>
      </c>
      <c r="K710" s="7">
        <v>685.62668743380004</v>
      </c>
      <c r="L710" s="7">
        <v>676.48863283230003</v>
      </c>
      <c r="M710" s="7">
        <v>3.2876107000000001E-3</v>
      </c>
      <c r="N710" s="7">
        <v>674.41437908939997</v>
      </c>
      <c r="O710" s="7">
        <v>685.62668743380004</v>
      </c>
      <c r="P710" s="7">
        <v>674.41437908939997</v>
      </c>
      <c r="Q710" s="7">
        <v>2.4820626578999998</v>
      </c>
      <c r="R710" s="7">
        <v>1674.18</v>
      </c>
      <c r="S710" s="7">
        <v>1.3754999999999999</v>
      </c>
      <c r="T710" s="7">
        <v>0.39300000000000002</v>
      </c>
      <c r="U710" s="7">
        <v>1672.4114999999999</v>
      </c>
      <c r="V710" s="7" t="s">
        <v>85</v>
      </c>
      <c r="W710" s="11">
        <v>45974.645833333336</v>
      </c>
    </row>
    <row r="711" spans="1:23">
      <c r="A711" t="s">
        <v>89</v>
      </c>
      <c r="B711">
        <v>123</v>
      </c>
      <c r="C711" s="10">
        <v>45975</v>
      </c>
      <c r="D711" s="11">
        <v>45975.479166666664</v>
      </c>
      <c r="E711" s="11">
        <v>45975.479166666664</v>
      </c>
      <c r="F711" t="s">
        <v>106</v>
      </c>
      <c r="G711" t="s">
        <v>107</v>
      </c>
      <c r="H711">
        <v>1</v>
      </c>
      <c r="I711">
        <v>359</v>
      </c>
      <c r="J711" s="7">
        <v>674.48</v>
      </c>
      <c r="K711" s="7">
        <v>673.41905589739997</v>
      </c>
      <c r="L711" s="7">
        <v>667.3776953286</v>
      </c>
      <c r="M711" s="7">
        <v>2.0520444E-3</v>
      </c>
      <c r="N711" s="7">
        <v>670.61807095059999</v>
      </c>
      <c r="O711" s="7">
        <v>673.41905589739997</v>
      </c>
      <c r="P711" s="7">
        <v>667.3776953286</v>
      </c>
      <c r="Q711" s="7">
        <v>2.2034344729000002</v>
      </c>
      <c r="R711" s="7">
        <v>0</v>
      </c>
      <c r="S711" s="7">
        <v>1.2565</v>
      </c>
      <c r="T711" s="7">
        <v>0.35899999999999999</v>
      </c>
      <c r="U711" s="7">
        <v>-1.6154999999999999</v>
      </c>
      <c r="V711" s="7" t="s">
        <v>110</v>
      </c>
      <c r="W711" s="11">
        <v>45975.458333333336</v>
      </c>
    </row>
    <row r="712" spans="1:23">
      <c r="A712" t="s">
        <v>89</v>
      </c>
      <c r="B712">
        <v>123</v>
      </c>
      <c r="C712" s="10">
        <v>45975</v>
      </c>
      <c r="D712" s="11">
        <v>45975.5625</v>
      </c>
      <c r="E712" s="11">
        <v>45975.5625</v>
      </c>
      <c r="F712" t="s">
        <v>108</v>
      </c>
      <c r="G712" t="s">
        <v>109</v>
      </c>
      <c r="H712">
        <v>1</v>
      </c>
      <c r="I712">
        <v>359</v>
      </c>
      <c r="J712" s="7">
        <v>672.99</v>
      </c>
      <c r="K712" s="7">
        <v>674.103526106</v>
      </c>
      <c r="L712" s="7">
        <v>666.69657597260004</v>
      </c>
      <c r="M712" s="7">
        <v>3.0705405999999998E-3</v>
      </c>
      <c r="N712" s="7">
        <v>671.75204898679999</v>
      </c>
      <c r="O712" s="7">
        <v>674.103526106</v>
      </c>
      <c r="P712" s="7">
        <v>666.69657597260004</v>
      </c>
      <c r="Q712" s="7">
        <v>2.2034344729000002</v>
      </c>
      <c r="R712" s="7">
        <v>-534.91</v>
      </c>
      <c r="S712" s="7">
        <v>1.2565</v>
      </c>
      <c r="T712" s="7">
        <v>0.35899999999999999</v>
      </c>
      <c r="U712" s="7">
        <v>-536.52549999999997</v>
      </c>
      <c r="V712" s="7" t="s">
        <v>88</v>
      </c>
      <c r="W712" s="11">
        <v>45975.541666666664</v>
      </c>
    </row>
    <row r="713" spans="1:23">
      <c r="A713" t="s">
        <v>89</v>
      </c>
      <c r="B713">
        <v>124</v>
      </c>
      <c r="C713" s="10">
        <v>45975</v>
      </c>
      <c r="D713" s="11">
        <v>45975.604166666664</v>
      </c>
      <c r="E713" s="11">
        <v>45975.604166666664</v>
      </c>
      <c r="F713" t="s">
        <v>106</v>
      </c>
      <c r="G713" t="s">
        <v>107</v>
      </c>
      <c r="H713">
        <v>1</v>
      </c>
      <c r="I713">
        <v>359</v>
      </c>
      <c r="J713" s="7">
        <v>674.04010000000005</v>
      </c>
      <c r="K713" s="7">
        <v>673.87421798160005</v>
      </c>
      <c r="L713" s="7">
        <v>666.92476150949994</v>
      </c>
      <c r="M713" s="7">
        <v>2.7293285999999998E-3</v>
      </c>
      <c r="N713" s="7">
        <v>672.03461612420006</v>
      </c>
      <c r="O713" s="7">
        <v>673.87421798160005</v>
      </c>
      <c r="P713" s="7">
        <v>666.92476150949994</v>
      </c>
      <c r="Q713" s="7">
        <v>2.2034344729000002</v>
      </c>
      <c r="R713" s="7">
        <v>0</v>
      </c>
      <c r="S713" s="7">
        <v>1.2565</v>
      </c>
      <c r="T713" s="7">
        <v>0.35899999999999999</v>
      </c>
      <c r="U713" s="7">
        <v>-1.6154999999999999</v>
      </c>
      <c r="V713" s="7" t="s">
        <v>110</v>
      </c>
      <c r="W713" s="11">
        <v>45975.583333333336</v>
      </c>
    </row>
    <row r="714" spans="1:23">
      <c r="A714" t="s">
        <v>89</v>
      </c>
      <c r="B714">
        <v>124</v>
      </c>
      <c r="C714" s="10">
        <v>45975</v>
      </c>
      <c r="D714" s="11">
        <v>45975.645833333336</v>
      </c>
      <c r="E714" s="11">
        <v>45975.645833333336</v>
      </c>
      <c r="F714" t="s">
        <v>108</v>
      </c>
      <c r="G714" t="s">
        <v>109</v>
      </c>
      <c r="H714">
        <v>1</v>
      </c>
      <c r="I714">
        <v>359</v>
      </c>
      <c r="J714" s="7">
        <v>672.46</v>
      </c>
      <c r="K714" s="7">
        <v>674.49530455980005</v>
      </c>
      <c r="L714" s="7">
        <v>666.30671548659996</v>
      </c>
      <c r="M714" s="7">
        <v>3.6535095999999999E-3</v>
      </c>
      <c r="N714" s="7">
        <v>672.19775053559999</v>
      </c>
      <c r="O714" s="7">
        <v>674.49530455980005</v>
      </c>
      <c r="P714" s="7">
        <v>666.30671548659996</v>
      </c>
      <c r="Q714" s="7">
        <v>2.2034344729000002</v>
      </c>
      <c r="R714" s="7">
        <v>-567.2559</v>
      </c>
      <c r="S714" s="7">
        <v>1.2565</v>
      </c>
      <c r="T714" s="7">
        <v>0.35899999999999999</v>
      </c>
      <c r="U714" s="7">
        <v>-568.87139999999999</v>
      </c>
      <c r="V714" s="7" t="s">
        <v>88</v>
      </c>
      <c r="W714" s="11">
        <v>45975.625</v>
      </c>
    </row>
    <row r="715" spans="1:23">
      <c r="A715" t="s">
        <v>89</v>
      </c>
      <c r="B715">
        <v>125</v>
      </c>
      <c r="C715" s="10">
        <v>45978</v>
      </c>
      <c r="D715" s="11">
        <v>45978.541666666664</v>
      </c>
      <c r="E715" s="11">
        <v>45978.541666666664</v>
      </c>
      <c r="F715" t="s">
        <v>106</v>
      </c>
      <c r="G715" t="s">
        <v>109</v>
      </c>
      <c r="H715">
        <v>-1</v>
      </c>
      <c r="I715">
        <v>383</v>
      </c>
      <c r="J715" s="7">
        <v>669.23299999999995</v>
      </c>
      <c r="K715" s="7">
        <v>675.01109891060003</v>
      </c>
      <c r="L715" s="7">
        <v>669.74179945449998</v>
      </c>
      <c r="M715" s="7">
        <v>3.2565900000000002E-3</v>
      </c>
      <c r="N715" s="7">
        <v>671.60577250300003</v>
      </c>
      <c r="O715" s="7">
        <v>675.01109891060003</v>
      </c>
      <c r="P715" s="7">
        <v>669.74179945449998</v>
      </c>
      <c r="Q715" s="7">
        <v>2.3912737236999999</v>
      </c>
      <c r="R715" s="7">
        <v>0</v>
      </c>
      <c r="S715" s="7">
        <v>1.3405</v>
      </c>
      <c r="T715" s="7">
        <v>0.38300000000000001</v>
      </c>
      <c r="U715" s="7">
        <v>-1.7235</v>
      </c>
      <c r="V715" s="7" t="s">
        <v>110</v>
      </c>
      <c r="W715" s="11">
        <v>45978.520833333336</v>
      </c>
    </row>
    <row r="716" spans="1:23">
      <c r="A716" t="s">
        <v>89</v>
      </c>
      <c r="B716">
        <v>125</v>
      </c>
      <c r="C716" s="10">
        <v>45978</v>
      </c>
      <c r="D716" s="11">
        <v>45978.666666666664</v>
      </c>
      <c r="E716" s="11">
        <v>45978.666666666664</v>
      </c>
      <c r="F716" t="s">
        <v>108</v>
      </c>
      <c r="G716" t="s">
        <v>107</v>
      </c>
      <c r="H716">
        <v>-1</v>
      </c>
      <c r="I716">
        <v>383</v>
      </c>
      <c r="J716" s="7">
        <v>665.67</v>
      </c>
      <c r="K716" s="7">
        <v>675.57050304920006</v>
      </c>
      <c r="L716" s="7">
        <v>669.18313529049999</v>
      </c>
      <c r="M716" s="7">
        <v>4.0880220999999998E-3</v>
      </c>
      <c r="N716" s="7">
        <v>667.96508228590005</v>
      </c>
      <c r="O716" s="7">
        <v>675.57050304920006</v>
      </c>
      <c r="P716" s="7">
        <v>667.96508228590005</v>
      </c>
      <c r="Q716" s="7">
        <v>2.3912737236999999</v>
      </c>
      <c r="R716" s="7">
        <v>1364.6289999999999</v>
      </c>
      <c r="S716" s="7">
        <v>1.3405</v>
      </c>
      <c r="T716" s="7">
        <v>0.38300000000000001</v>
      </c>
      <c r="U716" s="7">
        <v>1362.9055000000001</v>
      </c>
      <c r="V716" s="7" t="s">
        <v>85</v>
      </c>
      <c r="W716" s="11">
        <v>45978.645833333336</v>
      </c>
    </row>
    <row r="717" spans="1:23">
      <c r="A717" t="s">
        <v>89</v>
      </c>
      <c r="B717">
        <v>126</v>
      </c>
      <c r="C717" s="10">
        <v>45981</v>
      </c>
      <c r="D717" s="11">
        <v>45981.5</v>
      </c>
      <c r="E717" s="11">
        <v>45981.5</v>
      </c>
      <c r="F717" t="s">
        <v>106</v>
      </c>
      <c r="G717" t="s">
        <v>109</v>
      </c>
      <c r="H717">
        <v>-1</v>
      </c>
      <c r="I717">
        <v>382</v>
      </c>
      <c r="J717" s="7">
        <v>659.75</v>
      </c>
      <c r="K717" s="7">
        <v>677.58553996850003</v>
      </c>
      <c r="L717" s="7">
        <v>660.20012404600004</v>
      </c>
      <c r="M717" s="7">
        <v>3.6670177000000001E-3</v>
      </c>
      <c r="N717" s="7">
        <v>668.35007427970004</v>
      </c>
      <c r="O717" s="7">
        <v>677.58553996850003</v>
      </c>
      <c r="P717" s="7">
        <v>660.20012404600004</v>
      </c>
      <c r="Q717" s="7">
        <v>2.3589998270999999</v>
      </c>
      <c r="R717" s="7">
        <v>0</v>
      </c>
      <c r="S717" s="7">
        <v>1.337</v>
      </c>
      <c r="T717" s="7">
        <v>0.38200000000000001</v>
      </c>
      <c r="U717" s="7">
        <v>-1.7190000000000001</v>
      </c>
      <c r="V717" s="7" t="s">
        <v>110</v>
      </c>
      <c r="W717" s="11">
        <v>45981.479166666664</v>
      </c>
    </row>
    <row r="718" spans="1:23">
      <c r="A718" t="s">
        <v>89</v>
      </c>
      <c r="B718">
        <v>126</v>
      </c>
      <c r="C718" s="10">
        <v>45981</v>
      </c>
      <c r="D718" s="11">
        <v>45981.666666666664</v>
      </c>
      <c r="E718" s="11">
        <v>45981.666666666664</v>
      </c>
      <c r="F718" t="s">
        <v>108</v>
      </c>
      <c r="G718" t="s">
        <v>107</v>
      </c>
      <c r="H718">
        <v>-1</v>
      </c>
      <c r="I718">
        <v>382</v>
      </c>
      <c r="J718" s="7">
        <v>652.53</v>
      </c>
      <c r="K718" s="7">
        <v>678.10841128130005</v>
      </c>
      <c r="L718" s="7">
        <v>659.68691839170003</v>
      </c>
      <c r="M718" s="7">
        <v>4.4415158000000003E-3</v>
      </c>
      <c r="N718" s="7">
        <v>660.94844387440003</v>
      </c>
      <c r="O718" s="7">
        <v>678.10841128130005</v>
      </c>
      <c r="P718" s="7">
        <v>659.68691839170003</v>
      </c>
      <c r="Q718" s="7">
        <v>2.3589998270999999</v>
      </c>
      <c r="R718" s="7">
        <v>2758.04</v>
      </c>
      <c r="S718" s="7">
        <v>1.337</v>
      </c>
      <c r="T718" s="7">
        <v>0.38200000000000001</v>
      </c>
      <c r="U718" s="7">
        <v>2756.3209999999999</v>
      </c>
      <c r="V718" s="7" t="s">
        <v>85</v>
      </c>
      <c r="W718" s="11">
        <v>45981.645833333336</v>
      </c>
    </row>
    <row r="719" spans="1:23">
      <c r="A719" t="s">
        <v>89</v>
      </c>
      <c r="B719">
        <v>127</v>
      </c>
      <c r="C719" s="10">
        <v>45982</v>
      </c>
      <c r="D719" s="11">
        <v>45982.5</v>
      </c>
      <c r="E719" s="11">
        <v>45982.5</v>
      </c>
      <c r="F719" t="s">
        <v>106</v>
      </c>
      <c r="G719" t="s">
        <v>107</v>
      </c>
      <c r="H719">
        <v>1</v>
      </c>
      <c r="I719">
        <v>378</v>
      </c>
      <c r="J719" s="7">
        <v>660.82</v>
      </c>
      <c r="K719" s="7">
        <v>658.19349475119998</v>
      </c>
      <c r="L719" s="7">
        <v>649.17831905989999</v>
      </c>
      <c r="M719" s="7">
        <v>5.1364395999999998E-3</v>
      </c>
      <c r="N719" s="7">
        <v>655.2402900024</v>
      </c>
      <c r="O719" s="7">
        <v>658.19349475119998</v>
      </c>
      <c r="P719" s="7">
        <v>649.17831905989999</v>
      </c>
      <c r="Q719" s="7">
        <v>2.2096824423000001</v>
      </c>
      <c r="R719" s="7">
        <v>0</v>
      </c>
      <c r="S719" s="7">
        <v>1.323</v>
      </c>
      <c r="T719" s="7">
        <v>0.378</v>
      </c>
      <c r="U719" s="7">
        <v>-1.7010000000000001</v>
      </c>
      <c r="V719" s="7" t="s">
        <v>110</v>
      </c>
      <c r="W719" s="11">
        <v>45982.479166666664</v>
      </c>
    </row>
    <row r="720" spans="1:23">
      <c r="A720" t="s">
        <v>89</v>
      </c>
      <c r="B720">
        <v>127</v>
      </c>
      <c r="C720" s="10">
        <v>45982</v>
      </c>
      <c r="D720" s="11">
        <v>45982.5625</v>
      </c>
      <c r="E720" s="11">
        <v>45982.5625</v>
      </c>
      <c r="F720" t="s">
        <v>108</v>
      </c>
      <c r="G720" t="s">
        <v>109</v>
      </c>
      <c r="H720">
        <v>1</v>
      </c>
      <c r="I720">
        <v>378</v>
      </c>
      <c r="J720" s="7">
        <v>658.13</v>
      </c>
      <c r="K720" s="7">
        <v>658.68013990220004</v>
      </c>
      <c r="L720" s="7">
        <v>648.69338318289999</v>
      </c>
      <c r="M720" s="7">
        <v>5.8796022000000003E-3</v>
      </c>
      <c r="N720" s="7">
        <v>656.44707975200004</v>
      </c>
      <c r="O720" s="7">
        <v>658.68013990220004</v>
      </c>
      <c r="P720" s="7">
        <v>648.69338318289999</v>
      </c>
      <c r="Q720" s="7">
        <v>2.2096824423000001</v>
      </c>
      <c r="R720" s="7">
        <v>-1016.82</v>
      </c>
      <c r="S720" s="7">
        <v>1.323</v>
      </c>
      <c r="T720" s="7">
        <v>0.378</v>
      </c>
      <c r="U720" s="7">
        <v>-1018.521</v>
      </c>
      <c r="V720" s="7" t="s">
        <v>88</v>
      </c>
      <c r="W720" s="11">
        <v>45982.541666666664</v>
      </c>
    </row>
    <row r="721" spans="1:23">
      <c r="A721" t="s">
        <v>89</v>
      </c>
      <c r="B721">
        <v>128</v>
      </c>
      <c r="C721" s="10">
        <v>45982</v>
      </c>
      <c r="D721" s="11">
        <v>45982.583333333336</v>
      </c>
      <c r="E721" s="11">
        <v>45982.583333333336</v>
      </c>
      <c r="F721" t="s">
        <v>106</v>
      </c>
      <c r="G721" t="s">
        <v>107</v>
      </c>
      <c r="H721">
        <v>1</v>
      </c>
      <c r="I721">
        <v>378</v>
      </c>
      <c r="J721" s="7">
        <v>662.29</v>
      </c>
      <c r="K721" s="7">
        <v>658.94746956339998</v>
      </c>
      <c r="L721" s="7">
        <v>648.42699248020006</v>
      </c>
      <c r="M721" s="7">
        <v>6.2878450000000002E-3</v>
      </c>
      <c r="N721" s="7">
        <v>657.0452246008</v>
      </c>
      <c r="O721" s="7">
        <v>658.94746956339998</v>
      </c>
      <c r="P721" s="7">
        <v>648.42699248020006</v>
      </c>
      <c r="Q721" s="7">
        <v>2.2096824423000001</v>
      </c>
      <c r="R721" s="7">
        <v>0</v>
      </c>
      <c r="S721" s="7">
        <v>1.323</v>
      </c>
      <c r="T721" s="7">
        <v>0.378</v>
      </c>
      <c r="U721" s="7">
        <v>-1.7010000000000001</v>
      </c>
      <c r="V721" s="7" t="s">
        <v>110</v>
      </c>
      <c r="W721" s="11">
        <v>45982.5625</v>
      </c>
    </row>
    <row r="722" spans="1:23">
      <c r="A722" t="s">
        <v>89</v>
      </c>
      <c r="B722">
        <v>128</v>
      </c>
      <c r="C722" s="10">
        <v>45982</v>
      </c>
      <c r="D722" s="11">
        <v>45982.666666666664</v>
      </c>
      <c r="E722" s="11">
        <v>45982.666666666664</v>
      </c>
      <c r="F722" t="s">
        <v>108</v>
      </c>
      <c r="G722" t="s">
        <v>109</v>
      </c>
      <c r="H722">
        <v>1</v>
      </c>
      <c r="I722">
        <v>378</v>
      </c>
      <c r="J722" s="7">
        <v>659.03</v>
      </c>
      <c r="K722" s="7">
        <v>659.20088185580005</v>
      </c>
      <c r="L722" s="7">
        <v>648.17447026349998</v>
      </c>
      <c r="M722" s="7">
        <v>6.6748344999999999E-3</v>
      </c>
      <c r="N722" s="7">
        <v>658.13040770099997</v>
      </c>
      <c r="O722" s="7">
        <v>659.20088185580005</v>
      </c>
      <c r="P722" s="7">
        <v>648.17447026349998</v>
      </c>
      <c r="Q722" s="7">
        <v>2.2096824423000001</v>
      </c>
      <c r="R722" s="7">
        <v>-1232.28</v>
      </c>
      <c r="S722" s="7">
        <v>1.323</v>
      </c>
      <c r="T722" s="7">
        <v>0.378</v>
      </c>
      <c r="U722" s="7">
        <v>-1233.981</v>
      </c>
      <c r="V722" s="7" t="s">
        <v>85</v>
      </c>
      <c r="W722" s="11">
        <v>45982.645833333336</v>
      </c>
    </row>
    <row r="723" spans="1:23">
      <c r="A723" t="s">
        <v>89</v>
      </c>
      <c r="B723">
        <v>129</v>
      </c>
      <c r="C723" s="10">
        <v>45985</v>
      </c>
      <c r="D723" s="11">
        <v>45985.4375</v>
      </c>
      <c r="E723" s="11">
        <v>45985.4375</v>
      </c>
      <c r="F723" t="s">
        <v>106</v>
      </c>
      <c r="G723" t="s">
        <v>107</v>
      </c>
      <c r="H723">
        <v>1</v>
      </c>
      <c r="I723">
        <v>343</v>
      </c>
      <c r="J723" s="7">
        <v>665.43499999999995</v>
      </c>
      <c r="K723" s="7">
        <v>664.83744500549994</v>
      </c>
      <c r="L723" s="7">
        <v>658.41737950979996</v>
      </c>
      <c r="M723" s="7">
        <v>9.2957909999999996E-4</v>
      </c>
      <c r="N723" s="7">
        <v>664.71933623270002</v>
      </c>
      <c r="O723" s="7">
        <v>664.83744500549994</v>
      </c>
      <c r="P723" s="7">
        <v>658.41737950979996</v>
      </c>
      <c r="Q723" s="7">
        <v>2.0761008019</v>
      </c>
      <c r="R723" s="7">
        <v>0</v>
      </c>
      <c r="S723" s="7">
        <v>1.2004999999999999</v>
      </c>
      <c r="T723" s="7">
        <v>0.34300000000000003</v>
      </c>
      <c r="U723" s="7">
        <v>-1.5435000000000001</v>
      </c>
      <c r="V723" s="7" t="s">
        <v>110</v>
      </c>
      <c r="W723" s="11">
        <v>45985.416666666664</v>
      </c>
    </row>
    <row r="724" spans="1:23">
      <c r="A724" t="s">
        <v>89</v>
      </c>
      <c r="B724">
        <v>129</v>
      </c>
      <c r="C724" s="10">
        <v>45985</v>
      </c>
      <c r="D724" s="11">
        <v>45985.5</v>
      </c>
      <c r="E724" s="11">
        <v>45985.5</v>
      </c>
      <c r="F724" t="s">
        <v>108</v>
      </c>
      <c r="G724" t="s">
        <v>109</v>
      </c>
      <c r="H724">
        <v>1</v>
      </c>
      <c r="I724">
        <v>343</v>
      </c>
      <c r="J724" s="7">
        <v>667.48</v>
      </c>
      <c r="K724" s="7">
        <v>668.00246116820006</v>
      </c>
      <c r="L724" s="7">
        <v>655.27709375860002</v>
      </c>
      <c r="M724" s="7">
        <v>5.6945909000000001E-3</v>
      </c>
      <c r="N724" s="7">
        <v>665.81729021060005</v>
      </c>
      <c r="O724" s="7">
        <v>668.00246116820006</v>
      </c>
      <c r="P724" s="7">
        <v>655.27709375860002</v>
      </c>
      <c r="Q724" s="7">
        <v>2.0761008019</v>
      </c>
      <c r="R724" s="7">
        <v>701.43499999999995</v>
      </c>
      <c r="S724" s="7">
        <v>1.2004999999999999</v>
      </c>
      <c r="T724" s="7">
        <v>0.34300000000000003</v>
      </c>
      <c r="U724" s="7">
        <v>699.89149999999995</v>
      </c>
      <c r="V724" s="7" t="s">
        <v>88</v>
      </c>
      <c r="W724" s="11">
        <v>45985.479166666664</v>
      </c>
    </row>
    <row r="725" spans="1:23">
      <c r="A725" t="s">
        <v>89</v>
      </c>
      <c r="B725">
        <v>130</v>
      </c>
      <c r="C725" s="10">
        <v>45985</v>
      </c>
      <c r="D725" s="11">
        <v>45985.520833333336</v>
      </c>
      <c r="E725" s="11">
        <v>45985.520833333336</v>
      </c>
      <c r="F725" t="s">
        <v>106</v>
      </c>
      <c r="G725" t="s">
        <v>107</v>
      </c>
      <c r="H725">
        <v>1</v>
      </c>
      <c r="I725">
        <v>343</v>
      </c>
      <c r="J725" s="7">
        <v>668.21</v>
      </c>
      <c r="K725" s="7">
        <v>667.83718139170003</v>
      </c>
      <c r="L725" s="7">
        <v>655.44108209240005</v>
      </c>
      <c r="M725" s="7">
        <v>5.4457580000000002E-3</v>
      </c>
      <c r="N725" s="7">
        <v>666.01810066250005</v>
      </c>
      <c r="O725" s="7">
        <v>667.83718139170003</v>
      </c>
      <c r="P725" s="7">
        <v>655.44108209240005</v>
      </c>
      <c r="Q725" s="7">
        <v>2.0761008019</v>
      </c>
      <c r="R725" s="7">
        <v>0</v>
      </c>
      <c r="S725" s="7">
        <v>1.2004999999999999</v>
      </c>
      <c r="T725" s="7">
        <v>0.34300000000000003</v>
      </c>
      <c r="U725" s="7">
        <v>-1.5435000000000001</v>
      </c>
      <c r="V725" s="7" t="s">
        <v>110</v>
      </c>
      <c r="W725" s="11">
        <v>45985.5</v>
      </c>
    </row>
    <row r="726" spans="1:23">
      <c r="A726" t="s">
        <v>89</v>
      </c>
      <c r="B726">
        <v>130</v>
      </c>
      <c r="C726" s="10">
        <v>45985</v>
      </c>
      <c r="D726" s="11">
        <v>45985.604166666664</v>
      </c>
      <c r="E726" s="11">
        <v>45985.604166666664</v>
      </c>
      <c r="F726" t="s">
        <v>108</v>
      </c>
      <c r="G726" t="s">
        <v>109</v>
      </c>
      <c r="H726">
        <v>1</v>
      </c>
      <c r="I726">
        <v>343</v>
      </c>
      <c r="J726" s="7">
        <v>668.96</v>
      </c>
      <c r="K726" s="7">
        <v>669.01435952639997</v>
      </c>
      <c r="L726" s="7">
        <v>654.27310204649996</v>
      </c>
      <c r="M726" s="7">
        <v>7.2180294999999997E-3</v>
      </c>
      <c r="N726" s="7">
        <v>666.79506625160002</v>
      </c>
      <c r="O726" s="7">
        <v>669.01435952639997</v>
      </c>
      <c r="P726" s="7">
        <v>654.27310204649996</v>
      </c>
      <c r="Q726" s="7">
        <v>2.0761008019</v>
      </c>
      <c r="R726" s="7">
        <v>257.25</v>
      </c>
      <c r="S726" s="7">
        <v>1.2004999999999999</v>
      </c>
      <c r="T726" s="7">
        <v>0.34300000000000003</v>
      </c>
      <c r="U726" s="7">
        <v>255.70650000000001</v>
      </c>
      <c r="V726" s="7" t="s">
        <v>88</v>
      </c>
      <c r="W726" s="11">
        <v>45985.583333333336</v>
      </c>
    </row>
    <row r="727" spans="1:23">
      <c r="A727" t="s">
        <v>89</v>
      </c>
      <c r="B727">
        <v>131</v>
      </c>
      <c r="C727" s="10">
        <v>45985</v>
      </c>
      <c r="D727" s="11">
        <v>45985.645833333336</v>
      </c>
      <c r="E727" s="11">
        <v>45985.645833333336</v>
      </c>
      <c r="F727" t="s">
        <v>106</v>
      </c>
      <c r="G727" t="s">
        <v>107</v>
      </c>
      <c r="H727">
        <v>1</v>
      </c>
      <c r="I727">
        <v>343</v>
      </c>
      <c r="J727" s="7">
        <v>668.92</v>
      </c>
      <c r="K727" s="7">
        <v>668.74118506959996</v>
      </c>
      <c r="L727" s="7">
        <v>654.54414200660005</v>
      </c>
      <c r="M727" s="7">
        <v>6.8067583999999997E-3</v>
      </c>
      <c r="N727" s="7">
        <v>667.10522173430002</v>
      </c>
      <c r="O727" s="7">
        <v>668.74118506959996</v>
      </c>
      <c r="P727" s="7">
        <v>654.54414200660005</v>
      </c>
      <c r="Q727" s="7">
        <v>2.0761008019</v>
      </c>
      <c r="R727" s="7">
        <v>0</v>
      </c>
      <c r="S727" s="7">
        <v>1.2004999999999999</v>
      </c>
      <c r="T727" s="7">
        <v>0.34300000000000003</v>
      </c>
      <c r="U727" s="7">
        <v>-1.5435000000000001</v>
      </c>
      <c r="V727" s="7" t="s">
        <v>110</v>
      </c>
      <c r="W727" s="11">
        <v>45985.625</v>
      </c>
    </row>
    <row r="728" spans="1:23">
      <c r="A728" t="s">
        <v>89</v>
      </c>
      <c r="B728">
        <v>131</v>
      </c>
      <c r="C728" s="10">
        <v>45985</v>
      </c>
      <c r="D728" s="11">
        <v>45985.666666666664</v>
      </c>
      <c r="E728" s="11">
        <v>45985.666666666664</v>
      </c>
      <c r="F728" t="s">
        <v>108</v>
      </c>
      <c r="G728" t="s">
        <v>109</v>
      </c>
      <c r="H728">
        <v>1</v>
      </c>
      <c r="I728">
        <v>343</v>
      </c>
      <c r="J728" s="7">
        <v>668.73</v>
      </c>
      <c r="K728" s="7">
        <v>668.90085944340001</v>
      </c>
      <c r="L728" s="7">
        <v>654.38571527659997</v>
      </c>
      <c r="M728" s="7">
        <v>7.0471522000000002E-3</v>
      </c>
      <c r="N728" s="7">
        <v>667.49507416250003</v>
      </c>
      <c r="O728" s="7">
        <v>668.90085944340001</v>
      </c>
      <c r="P728" s="7">
        <v>654.38571527659997</v>
      </c>
      <c r="Q728" s="7">
        <v>2.0761008019</v>
      </c>
      <c r="R728" s="7">
        <v>-65.17</v>
      </c>
      <c r="S728" s="7">
        <v>1.2004999999999999</v>
      </c>
      <c r="T728" s="7">
        <v>0.34300000000000003</v>
      </c>
      <c r="U728" s="7">
        <v>-66.713499999999996</v>
      </c>
      <c r="V728" s="7" t="s">
        <v>85</v>
      </c>
      <c r="W728" s="11">
        <v>45985.645833333336</v>
      </c>
    </row>
    <row r="729" spans="1:23">
      <c r="A729" t="s">
        <v>89</v>
      </c>
      <c r="B729">
        <v>132</v>
      </c>
      <c r="C729" s="10">
        <v>45986</v>
      </c>
      <c r="D729" s="11">
        <v>45986.520833333336</v>
      </c>
      <c r="E729" s="11">
        <v>45986.520833333336</v>
      </c>
      <c r="F729" t="s">
        <v>106</v>
      </c>
      <c r="G729" t="s">
        <v>107</v>
      </c>
      <c r="H729">
        <v>1</v>
      </c>
      <c r="I729">
        <v>323</v>
      </c>
      <c r="J729" s="7">
        <v>673.33</v>
      </c>
      <c r="K729" s="7">
        <v>672.60824500930005</v>
      </c>
      <c r="L729" s="7">
        <v>664.93220931949998</v>
      </c>
      <c r="M729" s="7">
        <v>5.6791092E-3</v>
      </c>
      <c r="N729" s="7">
        <v>669.90336674859998</v>
      </c>
      <c r="O729" s="7">
        <v>672.60824500930005</v>
      </c>
      <c r="P729" s="7">
        <v>664.93220931949998</v>
      </c>
      <c r="Q729" s="7">
        <v>1.9502487294999999</v>
      </c>
      <c r="R729" s="7">
        <v>0</v>
      </c>
      <c r="S729" s="7">
        <v>1.1305000000000001</v>
      </c>
      <c r="T729" s="7">
        <v>0.32300000000000001</v>
      </c>
      <c r="U729" s="7">
        <v>-1.4535</v>
      </c>
      <c r="V729" s="7" t="s">
        <v>110</v>
      </c>
      <c r="W729" s="11">
        <v>45986.5</v>
      </c>
    </row>
    <row r="730" spans="1:23">
      <c r="A730" t="s">
        <v>89</v>
      </c>
      <c r="B730">
        <v>132</v>
      </c>
      <c r="C730" s="10">
        <v>45986</v>
      </c>
      <c r="D730" s="11">
        <v>45986.604166666664</v>
      </c>
      <c r="E730" s="11">
        <v>45986.604166666664</v>
      </c>
      <c r="F730" t="s">
        <v>108</v>
      </c>
      <c r="G730" t="s">
        <v>109</v>
      </c>
      <c r="H730">
        <v>1</v>
      </c>
      <c r="I730">
        <v>323</v>
      </c>
      <c r="J730" s="7">
        <v>673.34</v>
      </c>
      <c r="K730" s="7">
        <v>673.79753158029996</v>
      </c>
      <c r="L730" s="7">
        <v>663.74306500549994</v>
      </c>
      <c r="M730" s="7">
        <v>7.4573221000000002E-3</v>
      </c>
      <c r="N730" s="7">
        <v>670.86880159780003</v>
      </c>
      <c r="O730" s="7">
        <v>673.79753158029996</v>
      </c>
      <c r="P730" s="7">
        <v>663.74306500549994</v>
      </c>
      <c r="Q730" s="7">
        <v>1.9502487294999999</v>
      </c>
      <c r="R730" s="7">
        <v>3.23</v>
      </c>
      <c r="S730" s="7">
        <v>1.1305000000000001</v>
      </c>
      <c r="T730" s="7">
        <v>0.32300000000000001</v>
      </c>
      <c r="U730" s="7">
        <v>1.7765</v>
      </c>
      <c r="V730" s="7" t="s">
        <v>88</v>
      </c>
      <c r="W730" s="11">
        <v>45986.583333333336</v>
      </c>
    </row>
    <row r="731" spans="1:23">
      <c r="A731" t="s">
        <v>89</v>
      </c>
      <c r="B731">
        <v>133</v>
      </c>
      <c r="C731" s="10">
        <v>45986</v>
      </c>
      <c r="D731" s="11">
        <v>45986.645833333336</v>
      </c>
      <c r="E731" s="11">
        <v>45986.645833333336</v>
      </c>
      <c r="F731" t="s">
        <v>106</v>
      </c>
      <c r="G731" t="s">
        <v>107</v>
      </c>
      <c r="H731">
        <v>1</v>
      </c>
      <c r="I731">
        <v>323</v>
      </c>
      <c r="J731" s="7">
        <v>674.52</v>
      </c>
      <c r="K731" s="7">
        <v>673.50235005269997</v>
      </c>
      <c r="L731" s="7">
        <v>664.03821122479997</v>
      </c>
      <c r="M731" s="7">
        <v>7.0159686999999998E-3</v>
      </c>
      <c r="N731" s="7">
        <v>671.36857549800004</v>
      </c>
      <c r="O731" s="7">
        <v>673.50235005269997</v>
      </c>
      <c r="P731" s="7">
        <v>664.03821122479997</v>
      </c>
      <c r="Q731" s="7">
        <v>1.9502487294999999</v>
      </c>
      <c r="R731" s="7">
        <v>0</v>
      </c>
      <c r="S731" s="7">
        <v>1.1305000000000001</v>
      </c>
      <c r="T731" s="7">
        <v>0.32300000000000001</v>
      </c>
      <c r="U731" s="7">
        <v>-1.4535</v>
      </c>
      <c r="V731" s="7" t="s">
        <v>110</v>
      </c>
      <c r="W731" s="11">
        <v>45986.625</v>
      </c>
    </row>
    <row r="732" spans="1:23">
      <c r="A732" t="s">
        <v>89</v>
      </c>
      <c r="B732">
        <v>133</v>
      </c>
      <c r="C732" s="10">
        <v>45986</v>
      </c>
      <c r="D732" s="11">
        <v>45986.666666666664</v>
      </c>
      <c r="E732" s="11">
        <v>45986.666666666664</v>
      </c>
      <c r="F732" t="s">
        <v>108</v>
      </c>
      <c r="G732" t="s">
        <v>109</v>
      </c>
      <c r="H732">
        <v>1</v>
      </c>
      <c r="I732">
        <v>323</v>
      </c>
      <c r="J732" s="7">
        <v>675.02</v>
      </c>
      <c r="K732" s="7">
        <v>673.59703149890004</v>
      </c>
      <c r="L732" s="7">
        <v>663.94354110400002</v>
      </c>
      <c r="M732" s="7">
        <v>7.1575357999999999E-3</v>
      </c>
      <c r="N732" s="7">
        <v>671.97859804960001</v>
      </c>
      <c r="O732" s="7">
        <v>673.59703149890004</v>
      </c>
      <c r="P732" s="7">
        <v>663.94354110400002</v>
      </c>
      <c r="Q732" s="7">
        <v>1.9502487294999999</v>
      </c>
      <c r="R732" s="7">
        <v>161.5</v>
      </c>
      <c r="S732" s="7">
        <v>1.1305000000000001</v>
      </c>
      <c r="T732" s="7">
        <v>0.32300000000000001</v>
      </c>
      <c r="U732" s="7">
        <v>160.04650000000001</v>
      </c>
      <c r="V732" s="7" t="s">
        <v>85</v>
      </c>
      <c r="W732" s="11">
        <v>45986.645833333336</v>
      </c>
    </row>
    <row r="733" spans="1:23">
      <c r="A733" t="s">
        <v>89</v>
      </c>
      <c r="B733">
        <v>134</v>
      </c>
      <c r="C733" s="10">
        <v>45987</v>
      </c>
      <c r="D733" s="11">
        <v>45987.4375</v>
      </c>
      <c r="E733" s="11">
        <v>45987.4375</v>
      </c>
      <c r="F733" t="s">
        <v>106</v>
      </c>
      <c r="G733" t="s">
        <v>107</v>
      </c>
      <c r="H733">
        <v>1</v>
      </c>
      <c r="I733">
        <v>310</v>
      </c>
      <c r="J733" s="7">
        <v>678.2</v>
      </c>
      <c r="K733" s="7">
        <v>677.87478758700001</v>
      </c>
      <c r="L733" s="7">
        <v>674.32742857589994</v>
      </c>
      <c r="M733" s="7">
        <v>1.0260013E-3</v>
      </c>
      <c r="N733" s="7">
        <v>677.55403661050002</v>
      </c>
      <c r="O733" s="7">
        <v>677.87478758700001</v>
      </c>
      <c r="P733" s="7">
        <v>674.32742857589994</v>
      </c>
      <c r="Q733" s="7">
        <v>1.8945441379000001</v>
      </c>
      <c r="R733" s="7">
        <v>0</v>
      </c>
      <c r="S733" s="7">
        <v>1.085</v>
      </c>
      <c r="T733" s="7">
        <v>0.31</v>
      </c>
      <c r="U733" s="7">
        <v>-1.395</v>
      </c>
      <c r="V733" s="7" t="s">
        <v>110</v>
      </c>
      <c r="W733" s="11">
        <v>45987.416666666664</v>
      </c>
    </row>
    <row r="734" spans="1:23">
      <c r="A734" t="s">
        <v>89</v>
      </c>
      <c r="B734">
        <v>134</v>
      </c>
      <c r="C734" s="10">
        <v>45987</v>
      </c>
      <c r="D734" s="11">
        <v>45987.520833333336</v>
      </c>
      <c r="E734" s="11">
        <v>45987.520833333336</v>
      </c>
      <c r="F734" t="s">
        <v>108</v>
      </c>
      <c r="G734" t="s">
        <v>109</v>
      </c>
      <c r="H734">
        <v>1</v>
      </c>
      <c r="I734">
        <v>310</v>
      </c>
      <c r="J734" s="7">
        <v>680.97</v>
      </c>
      <c r="K734" s="7">
        <v>681.14839518910003</v>
      </c>
      <c r="L734" s="7">
        <v>671.06426279489995</v>
      </c>
      <c r="M734" s="7">
        <v>5.8601777999999997E-3</v>
      </c>
      <c r="N734" s="7">
        <v>679.17722900410001</v>
      </c>
      <c r="O734" s="7">
        <v>681.14839518910003</v>
      </c>
      <c r="P734" s="7">
        <v>671.06426279489995</v>
      </c>
      <c r="Q734" s="7">
        <v>1.8945441379000001</v>
      </c>
      <c r="R734" s="7">
        <v>858.7</v>
      </c>
      <c r="S734" s="7">
        <v>1.085</v>
      </c>
      <c r="T734" s="7">
        <v>0.31</v>
      </c>
      <c r="U734" s="7">
        <v>857.30499999999995</v>
      </c>
      <c r="V734" s="7" t="s">
        <v>88</v>
      </c>
      <c r="W734" s="11">
        <v>45987.5</v>
      </c>
    </row>
    <row r="735" spans="1:23">
      <c r="A735" t="s">
        <v>89</v>
      </c>
      <c r="B735">
        <v>135</v>
      </c>
      <c r="C735" s="10">
        <v>45992</v>
      </c>
      <c r="D735" s="11">
        <v>45992.4375</v>
      </c>
      <c r="E735" s="11">
        <v>45992.4375</v>
      </c>
      <c r="F735" t="s">
        <v>106</v>
      </c>
      <c r="G735" t="s">
        <v>109</v>
      </c>
      <c r="H735">
        <v>-1</v>
      </c>
      <c r="I735">
        <v>317</v>
      </c>
      <c r="J735" s="7">
        <v>679.67499999999995</v>
      </c>
      <c r="K735" s="7">
        <v>684.12087625230004</v>
      </c>
      <c r="L735" s="7">
        <v>680.82109160259995</v>
      </c>
      <c r="M735" s="7">
        <v>1.0694863E-3</v>
      </c>
      <c r="N735" s="7">
        <v>680.83389950050002</v>
      </c>
      <c r="O735" s="7">
        <v>684.12087625230004</v>
      </c>
      <c r="P735" s="7">
        <v>680.82109160259995</v>
      </c>
      <c r="Q735" s="7">
        <v>1.9377462148</v>
      </c>
      <c r="R735" s="7">
        <v>0</v>
      </c>
      <c r="S735" s="7">
        <v>1.1094999999999999</v>
      </c>
      <c r="T735" s="7">
        <v>0.317</v>
      </c>
      <c r="U735" s="7">
        <v>-1.4265000000000001</v>
      </c>
      <c r="V735" s="7" t="s">
        <v>110</v>
      </c>
      <c r="W735" s="11">
        <v>45992.416666666664</v>
      </c>
    </row>
    <row r="736" spans="1:23">
      <c r="A736" t="s">
        <v>89</v>
      </c>
      <c r="B736">
        <v>135</v>
      </c>
      <c r="C736" s="10">
        <v>45992</v>
      </c>
      <c r="D736" s="11">
        <v>45992.458333333336</v>
      </c>
      <c r="E736" s="11">
        <v>45992.458333333336</v>
      </c>
      <c r="F736" t="s">
        <v>108</v>
      </c>
      <c r="G736" t="s">
        <v>107</v>
      </c>
      <c r="H736">
        <v>-1</v>
      </c>
      <c r="I736">
        <v>317</v>
      </c>
      <c r="J736" s="7">
        <v>681.73</v>
      </c>
      <c r="K736" s="7">
        <v>685.48423849849996</v>
      </c>
      <c r="L736" s="7">
        <v>679.46140015419996</v>
      </c>
      <c r="M736" s="7">
        <v>3.0644851000000001E-3</v>
      </c>
      <c r="N736" s="7">
        <v>681.04454841580002</v>
      </c>
      <c r="O736" s="7">
        <v>685.48423849849996</v>
      </c>
      <c r="P736" s="7">
        <v>679.46140015419996</v>
      </c>
      <c r="Q736" s="7">
        <v>1.9377462148</v>
      </c>
      <c r="R736" s="7">
        <v>-651.43499999999995</v>
      </c>
      <c r="S736" s="7">
        <v>1.1094999999999999</v>
      </c>
      <c r="T736" s="7">
        <v>0.317</v>
      </c>
      <c r="U736" s="7">
        <v>-652.86149999999998</v>
      </c>
      <c r="V736" s="7" t="s">
        <v>88</v>
      </c>
      <c r="W736" s="11">
        <v>45992.4375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360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4"/>
  <cols>
    <col min="1" max="2" width="21" customWidth="1"/>
    <col min="3" max="3" width="14" customWidth="1"/>
    <col min="4" max="4" width="17" customWidth="1"/>
    <col min="5" max="5" width="18" customWidth="1"/>
    <col min="6" max="7" width="17" customWidth="1"/>
    <col min="8" max="8" width="16" customWidth="1"/>
    <col min="9" max="9" width="15" customWidth="1"/>
    <col min="10" max="10" width="12" customWidth="1"/>
    <col min="11" max="11" width="15" customWidth="1"/>
    <col min="12" max="17" width="17" customWidth="1"/>
    <col min="18" max="19" width="12" customWidth="1"/>
    <col min="20" max="20" width="24" customWidth="1"/>
  </cols>
  <sheetData>
    <row r="1" spans="1:22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" customHeight="1">
      <c r="A2" s="2" t="s">
        <v>111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2" customHeight="1">
      <c r="A3" s="3" t="s">
        <v>112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38" customHeight="1">
      <c r="A6" s="5" t="s">
        <v>113</v>
      </c>
      <c r="B6" s="5" t="s">
        <v>114</v>
      </c>
      <c r="C6" s="5" t="s">
        <v>35</v>
      </c>
      <c r="D6" s="5" t="s">
        <v>115</v>
      </c>
      <c r="E6" s="5" t="s">
        <v>116</v>
      </c>
      <c r="F6" s="5" t="s">
        <v>117</v>
      </c>
      <c r="G6" s="5" t="s">
        <v>118</v>
      </c>
      <c r="H6" s="5" t="s">
        <v>119</v>
      </c>
      <c r="I6" s="5" t="s">
        <v>120</v>
      </c>
      <c r="J6" s="5" t="s">
        <v>121</v>
      </c>
      <c r="K6" s="5" t="s">
        <v>99</v>
      </c>
      <c r="L6" s="5" t="s">
        <v>97</v>
      </c>
      <c r="M6" s="5" t="s">
        <v>98</v>
      </c>
      <c r="N6" s="5" t="s">
        <v>100</v>
      </c>
      <c r="O6" s="5" t="s">
        <v>101</v>
      </c>
      <c r="P6" s="5" t="s">
        <v>102</v>
      </c>
      <c r="Q6" s="5" t="s">
        <v>122</v>
      </c>
      <c r="R6" s="5" t="s">
        <v>123</v>
      </c>
      <c r="S6" s="5" t="s">
        <v>124</v>
      </c>
      <c r="T6" s="5" t="s">
        <v>125</v>
      </c>
    </row>
    <row r="7" spans="1:22">
      <c r="A7" s="11">
        <v>45729.395833333336</v>
      </c>
      <c r="B7" s="11">
        <v>45729.416666666664</v>
      </c>
      <c r="C7" s="10">
        <v>45729</v>
      </c>
      <c r="D7" s="7">
        <v>549.94529999999997</v>
      </c>
      <c r="E7" s="7">
        <v>3376733</v>
      </c>
      <c r="F7" s="7">
        <v>3376733</v>
      </c>
      <c r="G7" s="7">
        <v>3376733</v>
      </c>
      <c r="H7" s="7">
        <v>549.94529999999997</v>
      </c>
      <c r="I7" s="7">
        <v>554.01580000000001</v>
      </c>
      <c r="J7" s="7">
        <v>0</v>
      </c>
      <c r="K7" s="7"/>
      <c r="L7" s="7"/>
      <c r="M7" s="7"/>
      <c r="N7" s="7">
        <v>549.94529999999997</v>
      </c>
      <c r="O7" s="7"/>
      <c r="P7" s="7"/>
      <c r="Q7">
        <v>0</v>
      </c>
      <c r="R7">
        <v>0</v>
      </c>
      <c r="S7" s="11">
        <v>45729.666666666664</v>
      </c>
      <c r="T7">
        <v>2545</v>
      </c>
    </row>
    <row r="8" spans="1:22">
      <c r="A8" s="11">
        <v>45729.416666666664</v>
      </c>
      <c r="B8" s="11">
        <v>45729.4375</v>
      </c>
      <c r="C8" s="10">
        <v>45729</v>
      </c>
      <c r="D8" s="7">
        <v>552.32060000000001</v>
      </c>
      <c r="E8" s="7">
        <v>3104572</v>
      </c>
      <c r="F8" s="7">
        <v>3104572</v>
      </c>
      <c r="G8" s="7">
        <v>6481305</v>
      </c>
      <c r="H8" s="7">
        <v>549.94529999999997</v>
      </c>
      <c r="I8" s="7">
        <v>554.01580000000001</v>
      </c>
      <c r="J8" s="7">
        <v>0</v>
      </c>
      <c r="K8" s="7"/>
      <c r="L8" s="7"/>
      <c r="M8" s="7"/>
      <c r="N8" s="7">
        <v>551.08307856030001</v>
      </c>
      <c r="O8" s="7"/>
      <c r="P8" s="7"/>
      <c r="Q8">
        <v>0</v>
      </c>
      <c r="R8">
        <v>0</v>
      </c>
      <c r="S8" s="11">
        <v>45729.666666666664</v>
      </c>
      <c r="T8">
        <v>2544</v>
      </c>
    </row>
    <row r="9" spans="1:22">
      <c r="A9" s="11">
        <v>45729.4375</v>
      </c>
      <c r="B9" s="11">
        <v>45729.458333333336</v>
      </c>
      <c r="C9" s="10">
        <v>45729</v>
      </c>
      <c r="D9" s="7">
        <v>551.25009999999997</v>
      </c>
      <c r="E9" s="7">
        <v>2113298</v>
      </c>
      <c r="F9" s="7">
        <v>2113298</v>
      </c>
      <c r="G9" s="7">
        <v>8594603</v>
      </c>
      <c r="H9" s="7">
        <v>549.94529999999997</v>
      </c>
      <c r="I9" s="7">
        <v>554.01580000000001</v>
      </c>
      <c r="J9" s="7">
        <v>0</v>
      </c>
      <c r="K9" s="7"/>
      <c r="L9" s="7"/>
      <c r="M9" s="7"/>
      <c r="N9" s="7">
        <v>551.12414689989998</v>
      </c>
      <c r="O9" s="7"/>
      <c r="P9" s="7"/>
      <c r="Q9">
        <v>0</v>
      </c>
      <c r="R9">
        <v>0</v>
      </c>
      <c r="S9" s="11">
        <v>45729.666666666664</v>
      </c>
      <c r="T9">
        <v>2543</v>
      </c>
    </row>
    <row r="10" spans="1:22">
      <c r="A10" s="11">
        <v>45729.458333333336</v>
      </c>
      <c r="B10" s="11">
        <v>45729.479166666664</v>
      </c>
      <c r="C10" s="10">
        <v>45729</v>
      </c>
      <c r="D10" s="7">
        <v>549.42589999999996</v>
      </c>
      <c r="E10" s="7">
        <v>1985860</v>
      </c>
      <c r="F10" s="7">
        <v>1985860</v>
      </c>
      <c r="G10" s="7">
        <v>10580463</v>
      </c>
      <c r="H10" s="7">
        <v>549.94529999999997</v>
      </c>
      <c r="I10" s="7">
        <v>554.01580000000001</v>
      </c>
      <c r="J10" s="7">
        <v>0</v>
      </c>
      <c r="K10" s="7"/>
      <c r="L10" s="7"/>
      <c r="M10" s="7"/>
      <c r="N10" s="7">
        <v>550.80540086869996</v>
      </c>
      <c r="O10" s="7"/>
      <c r="P10" s="7"/>
      <c r="Q10">
        <v>0</v>
      </c>
      <c r="R10">
        <v>0</v>
      </c>
      <c r="S10" s="11">
        <v>45729.666666666664</v>
      </c>
      <c r="T10">
        <v>2542</v>
      </c>
    </row>
    <row r="11" spans="1:22">
      <c r="A11" s="11">
        <v>45729.479166666664</v>
      </c>
      <c r="B11" s="11">
        <v>45729.5</v>
      </c>
      <c r="C11" s="10">
        <v>45729</v>
      </c>
      <c r="D11" s="7">
        <v>547.76059999999995</v>
      </c>
      <c r="E11" s="7">
        <v>3384171</v>
      </c>
      <c r="F11" s="7">
        <v>3384171</v>
      </c>
      <c r="G11" s="7">
        <v>13964634</v>
      </c>
      <c r="H11" s="7">
        <v>549.94529999999997</v>
      </c>
      <c r="I11" s="7">
        <v>554.01580000000001</v>
      </c>
      <c r="J11" s="7">
        <v>0</v>
      </c>
      <c r="K11" s="7"/>
      <c r="L11" s="7"/>
      <c r="M11" s="7"/>
      <c r="N11" s="7">
        <v>550.06752783889999</v>
      </c>
      <c r="O11" s="7"/>
      <c r="P11" s="7"/>
      <c r="Q11">
        <v>0</v>
      </c>
      <c r="R11">
        <v>0</v>
      </c>
      <c r="S11" s="11">
        <v>45729.666666666664</v>
      </c>
      <c r="T11">
        <v>2541</v>
      </c>
    </row>
    <row r="12" spans="1:22">
      <c r="A12" s="11">
        <v>45729.5</v>
      </c>
      <c r="B12" s="11">
        <v>45729.520833333336</v>
      </c>
      <c r="C12" s="10">
        <v>45729</v>
      </c>
      <c r="D12" s="7">
        <v>547.74069999999995</v>
      </c>
      <c r="E12" s="7">
        <v>2046320</v>
      </c>
      <c r="F12" s="7">
        <v>2046320</v>
      </c>
      <c r="G12" s="7">
        <v>16010954</v>
      </c>
      <c r="H12" s="7">
        <v>549.94529999999997</v>
      </c>
      <c r="I12" s="7">
        <v>554.01580000000001</v>
      </c>
      <c r="J12" s="7">
        <v>0</v>
      </c>
      <c r="K12" s="7"/>
      <c r="L12" s="7"/>
      <c r="M12" s="7"/>
      <c r="N12" s="7">
        <v>549.77014179030004</v>
      </c>
      <c r="O12" s="7"/>
      <c r="P12" s="7"/>
      <c r="Q12">
        <v>0</v>
      </c>
      <c r="R12">
        <v>0</v>
      </c>
      <c r="S12" s="11">
        <v>45729.666666666664</v>
      </c>
      <c r="T12">
        <v>2540</v>
      </c>
    </row>
    <row r="13" spans="1:22">
      <c r="A13" s="11">
        <v>45729.520833333336</v>
      </c>
      <c r="B13" s="11">
        <v>45729.541666666664</v>
      </c>
      <c r="C13" s="10">
        <v>45729</v>
      </c>
      <c r="D13" s="7">
        <v>547.7903</v>
      </c>
      <c r="E13" s="7">
        <v>3163341</v>
      </c>
      <c r="F13" s="7">
        <v>3163341</v>
      </c>
      <c r="G13" s="7">
        <v>19174295</v>
      </c>
      <c r="H13" s="7">
        <v>549.94529999999997</v>
      </c>
      <c r="I13" s="7">
        <v>554.01580000000001</v>
      </c>
      <c r="J13" s="7">
        <v>0</v>
      </c>
      <c r="K13" s="7"/>
      <c r="L13" s="7"/>
      <c r="M13" s="7"/>
      <c r="N13" s="7">
        <v>549.44351102200005</v>
      </c>
      <c r="O13" s="7"/>
      <c r="P13" s="7"/>
      <c r="Q13">
        <v>0</v>
      </c>
      <c r="R13">
        <v>0</v>
      </c>
      <c r="S13" s="11">
        <v>45729.666666666664</v>
      </c>
      <c r="T13">
        <v>2539</v>
      </c>
    </row>
    <row r="14" spans="1:22">
      <c r="A14" s="11">
        <v>45729.541666666664</v>
      </c>
      <c r="B14" s="11">
        <v>45729.5625</v>
      </c>
      <c r="C14" s="10">
        <v>45729</v>
      </c>
      <c r="D14" s="7">
        <v>546.22410000000002</v>
      </c>
      <c r="E14" s="7">
        <v>2542120</v>
      </c>
      <c r="F14" s="7">
        <v>2542120</v>
      </c>
      <c r="G14" s="7">
        <v>21716415</v>
      </c>
      <c r="H14" s="7">
        <v>549.94529999999997</v>
      </c>
      <c r="I14" s="7">
        <v>554.01580000000001</v>
      </c>
      <c r="J14" s="7">
        <v>0</v>
      </c>
      <c r="K14" s="7"/>
      <c r="L14" s="7"/>
      <c r="M14" s="7"/>
      <c r="N14" s="7">
        <v>549.06664729249997</v>
      </c>
      <c r="O14" s="7"/>
      <c r="P14" s="7"/>
      <c r="Q14">
        <v>0</v>
      </c>
      <c r="R14">
        <v>0</v>
      </c>
      <c r="S14" s="11">
        <v>45729.666666666664</v>
      </c>
      <c r="T14">
        <v>2538</v>
      </c>
    </row>
    <row r="15" spans="1:22">
      <c r="A15" s="11">
        <v>45729.5625</v>
      </c>
      <c r="B15" s="11">
        <v>45729.583333333336</v>
      </c>
      <c r="C15" s="10">
        <v>45729</v>
      </c>
      <c r="D15" s="7">
        <v>545.22280000000001</v>
      </c>
      <c r="E15" s="7">
        <v>2811644</v>
      </c>
      <c r="F15" s="7">
        <v>2811644</v>
      </c>
      <c r="G15" s="7">
        <v>24528059</v>
      </c>
      <c r="H15" s="7">
        <v>549.94529999999997</v>
      </c>
      <c r="I15" s="7">
        <v>554.01580000000001</v>
      </c>
      <c r="J15" s="7">
        <v>0</v>
      </c>
      <c r="K15" s="7"/>
      <c r="L15" s="7"/>
      <c r="M15" s="7"/>
      <c r="N15" s="7">
        <v>548.62602823750001</v>
      </c>
      <c r="O15" s="7"/>
      <c r="P15" s="7"/>
      <c r="Q15">
        <v>0</v>
      </c>
      <c r="R15">
        <v>0</v>
      </c>
      <c r="S15" s="11">
        <v>45729.666666666664</v>
      </c>
      <c r="T15">
        <v>2537</v>
      </c>
    </row>
    <row r="16" spans="1:22">
      <c r="A16" s="11">
        <v>45729.583333333336</v>
      </c>
      <c r="B16" s="11">
        <v>45729.604166666664</v>
      </c>
      <c r="C16" s="10">
        <v>45729</v>
      </c>
      <c r="D16" s="7">
        <v>548.28570000000002</v>
      </c>
      <c r="E16" s="7">
        <v>2882136</v>
      </c>
      <c r="F16" s="7">
        <v>2882136</v>
      </c>
      <c r="G16" s="7">
        <v>27410195</v>
      </c>
      <c r="H16" s="7">
        <v>549.94529999999997</v>
      </c>
      <c r="I16" s="7">
        <v>554.01580000000001</v>
      </c>
      <c r="J16" s="7">
        <v>0</v>
      </c>
      <c r="K16" s="7"/>
      <c r="L16" s="7"/>
      <c r="M16" s="7"/>
      <c r="N16" s="7">
        <v>548.59024329459999</v>
      </c>
      <c r="O16" s="7"/>
      <c r="P16" s="7"/>
      <c r="Q16">
        <v>0</v>
      </c>
      <c r="R16">
        <v>0</v>
      </c>
      <c r="S16" s="11">
        <v>45729.666666666664</v>
      </c>
      <c r="T16">
        <v>2536</v>
      </c>
    </row>
    <row r="17" spans="1:20">
      <c r="A17" s="11">
        <v>45729.604166666664</v>
      </c>
      <c r="B17" s="11">
        <v>45729.625</v>
      </c>
      <c r="C17" s="10">
        <v>45729</v>
      </c>
      <c r="D17" s="7">
        <v>548.98979999999995</v>
      </c>
      <c r="E17" s="7">
        <v>2802139</v>
      </c>
      <c r="F17" s="7">
        <v>2802139</v>
      </c>
      <c r="G17" s="7">
        <v>30212334</v>
      </c>
      <c r="H17" s="7">
        <v>549.94529999999997</v>
      </c>
      <c r="I17" s="7">
        <v>554.01580000000001</v>
      </c>
      <c r="J17" s="7">
        <v>0</v>
      </c>
      <c r="K17" s="7"/>
      <c r="L17" s="7"/>
      <c r="M17" s="7"/>
      <c r="N17" s="7">
        <v>548.62730145190005</v>
      </c>
      <c r="O17" s="7"/>
      <c r="P17" s="7"/>
      <c r="Q17">
        <v>0</v>
      </c>
      <c r="R17">
        <v>0</v>
      </c>
      <c r="S17" s="11">
        <v>45729.666666666664</v>
      </c>
      <c r="T17">
        <v>2535</v>
      </c>
    </row>
    <row r="18" spans="1:20">
      <c r="A18" s="11">
        <v>45729.625</v>
      </c>
      <c r="B18" s="11">
        <v>45729.645833333336</v>
      </c>
      <c r="C18" s="10">
        <v>45729</v>
      </c>
      <c r="D18" s="7">
        <v>546.68989999999997</v>
      </c>
      <c r="E18" s="7">
        <v>2909677</v>
      </c>
      <c r="F18" s="7">
        <v>2909677</v>
      </c>
      <c r="G18" s="7">
        <v>33122011</v>
      </c>
      <c r="H18" s="7">
        <v>549.94529999999997</v>
      </c>
      <c r="I18" s="7">
        <v>554.01580000000001</v>
      </c>
      <c r="J18" s="7">
        <v>0</v>
      </c>
      <c r="K18" s="7"/>
      <c r="L18" s="7"/>
      <c r="M18" s="7"/>
      <c r="N18" s="7">
        <v>548.45710609620005</v>
      </c>
      <c r="O18" s="7"/>
      <c r="P18" s="7"/>
      <c r="Q18">
        <v>0</v>
      </c>
      <c r="R18">
        <v>0</v>
      </c>
      <c r="S18" s="11">
        <v>45729.666666666664</v>
      </c>
      <c r="T18">
        <v>2534</v>
      </c>
    </row>
    <row r="19" spans="1:20">
      <c r="A19" s="11">
        <v>45729.645833333336</v>
      </c>
      <c r="B19" s="11">
        <v>45729.666666666664</v>
      </c>
      <c r="C19" s="10">
        <v>45729</v>
      </c>
      <c r="D19" s="7">
        <v>546.63049999999998</v>
      </c>
      <c r="E19" s="7">
        <v>11001275</v>
      </c>
      <c r="F19" s="7">
        <v>11001275</v>
      </c>
      <c r="G19" s="7">
        <v>44123286</v>
      </c>
      <c r="H19" s="7">
        <v>549.94529999999997</v>
      </c>
      <c r="I19" s="7">
        <v>554.01580000000001</v>
      </c>
      <c r="J19" s="7">
        <v>0</v>
      </c>
      <c r="K19" s="7"/>
      <c r="L19" s="7"/>
      <c r="M19" s="7"/>
      <c r="N19" s="7">
        <v>548.00167773160001</v>
      </c>
      <c r="O19" s="7"/>
      <c r="P19" s="7"/>
      <c r="Q19">
        <v>0</v>
      </c>
      <c r="R19">
        <v>1</v>
      </c>
      <c r="S19" s="11">
        <v>45729.666666666664</v>
      </c>
      <c r="T19">
        <v>2533</v>
      </c>
    </row>
    <row r="20" spans="1:20">
      <c r="A20" s="11">
        <v>45730.395833333336</v>
      </c>
      <c r="B20" s="11">
        <v>45730.416666666664</v>
      </c>
      <c r="C20" s="10">
        <v>45730</v>
      </c>
      <c r="D20" s="7">
        <v>552.07280000000003</v>
      </c>
      <c r="E20" s="7">
        <v>4982233</v>
      </c>
      <c r="F20" s="7">
        <v>4982233</v>
      </c>
      <c r="G20" s="7">
        <v>4982233</v>
      </c>
      <c r="H20" s="7">
        <v>552.07280000000003</v>
      </c>
      <c r="I20" s="7">
        <v>546.63049999999998</v>
      </c>
      <c r="J20" s="7">
        <v>1</v>
      </c>
      <c r="K20" s="7"/>
      <c r="L20" s="7"/>
      <c r="M20" s="7"/>
      <c r="N20" s="7">
        <v>552.07280000000003</v>
      </c>
      <c r="O20" s="7"/>
      <c r="P20" s="7"/>
      <c r="Q20">
        <v>0</v>
      </c>
      <c r="R20">
        <v>0</v>
      </c>
      <c r="S20" s="11">
        <v>45730.666666666664</v>
      </c>
      <c r="T20">
        <v>2531</v>
      </c>
    </row>
    <row r="21" spans="1:20">
      <c r="A21" s="11">
        <v>45730.416666666664</v>
      </c>
      <c r="B21" s="11">
        <v>45730.4375</v>
      </c>
      <c r="C21" s="10">
        <v>45730</v>
      </c>
      <c r="D21" s="7">
        <v>552.07899999999995</v>
      </c>
      <c r="E21" s="7">
        <v>4527192</v>
      </c>
      <c r="F21" s="7">
        <v>4527192</v>
      </c>
      <c r="G21" s="7">
        <v>9509425</v>
      </c>
      <c r="H21" s="7">
        <v>552.07280000000003</v>
      </c>
      <c r="I21" s="7">
        <v>546.63049999999998</v>
      </c>
      <c r="J21" s="7">
        <v>1</v>
      </c>
      <c r="K21" s="7"/>
      <c r="L21" s="7"/>
      <c r="M21" s="7"/>
      <c r="N21" s="7">
        <v>552.07575166009997</v>
      </c>
      <c r="O21" s="7"/>
      <c r="P21" s="7"/>
      <c r="Q21">
        <v>0</v>
      </c>
      <c r="R21">
        <v>0</v>
      </c>
      <c r="S21" s="11">
        <v>45730.666666666664</v>
      </c>
      <c r="T21">
        <v>2530</v>
      </c>
    </row>
    <row r="22" spans="1:20">
      <c r="A22" s="11">
        <v>45730.4375</v>
      </c>
      <c r="B22" s="11">
        <v>45730.458333333336</v>
      </c>
      <c r="C22" s="10">
        <v>45730</v>
      </c>
      <c r="D22" s="7">
        <v>555.52260000000001</v>
      </c>
      <c r="E22" s="7">
        <v>2073895</v>
      </c>
      <c r="F22" s="7">
        <v>2073895</v>
      </c>
      <c r="G22" s="7">
        <v>11583320</v>
      </c>
      <c r="H22" s="7">
        <v>552.07280000000003</v>
      </c>
      <c r="I22" s="7">
        <v>546.63049999999998</v>
      </c>
      <c r="J22" s="7">
        <v>1</v>
      </c>
      <c r="K22" s="7"/>
      <c r="L22" s="7"/>
      <c r="M22" s="7"/>
      <c r="N22" s="7">
        <v>552.69288056079995</v>
      </c>
      <c r="O22" s="7"/>
      <c r="P22" s="7"/>
      <c r="Q22">
        <v>0</v>
      </c>
      <c r="R22">
        <v>0</v>
      </c>
      <c r="S22" s="11">
        <v>45730.666666666664</v>
      </c>
      <c r="T22">
        <v>2529</v>
      </c>
    </row>
    <row r="23" spans="1:20">
      <c r="A23" s="11">
        <v>45730.458333333336</v>
      </c>
      <c r="B23" s="11">
        <v>45730.479166666664</v>
      </c>
      <c r="C23" s="10">
        <v>45730</v>
      </c>
      <c r="D23" s="7">
        <v>556.20680000000004</v>
      </c>
      <c r="E23" s="7">
        <v>2307136</v>
      </c>
      <c r="F23" s="7">
        <v>2307136</v>
      </c>
      <c r="G23" s="7">
        <v>13890456</v>
      </c>
      <c r="H23" s="7">
        <v>552.07280000000003</v>
      </c>
      <c r="I23" s="7">
        <v>546.63049999999998</v>
      </c>
      <c r="J23" s="7">
        <v>1</v>
      </c>
      <c r="K23" s="7"/>
      <c r="L23" s="7"/>
      <c r="M23" s="7"/>
      <c r="N23" s="7">
        <v>553.27652518980005</v>
      </c>
      <c r="O23" s="7"/>
      <c r="P23" s="7"/>
      <c r="Q23">
        <v>0</v>
      </c>
      <c r="R23">
        <v>0</v>
      </c>
      <c r="S23" s="11">
        <v>45730.666666666664</v>
      </c>
      <c r="T23">
        <v>2528</v>
      </c>
    </row>
    <row r="24" spans="1:20">
      <c r="A24" s="11">
        <v>45730.479166666664</v>
      </c>
      <c r="B24" s="11">
        <v>45730.5</v>
      </c>
      <c r="C24" s="10">
        <v>45730</v>
      </c>
      <c r="D24" s="7">
        <v>557.22760000000005</v>
      </c>
      <c r="E24" s="7">
        <v>1922389</v>
      </c>
      <c r="F24" s="7">
        <v>1922389</v>
      </c>
      <c r="G24" s="7">
        <v>15812845</v>
      </c>
      <c r="H24" s="7">
        <v>552.07280000000003</v>
      </c>
      <c r="I24" s="7">
        <v>546.63049999999998</v>
      </c>
      <c r="J24" s="7">
        <v>1</v>
      </c>
      <c r="K24" s="7"/>
      <c r="L24" s="7"/>
      <c r="M24" s="7"/>
      <c r="N24" s="7">
        <v>553.75686270990002</v>
      </c>
      <c r="O24" s="7"/>
      <c r="P24" s="7"/>
      <c r="Q24">
        <v>0</v>
      </c>
      <c r="R24">
        <v>0</v>
      </c>
      <c r="S24" s="11">
        <v>45730.666666666664</v>
      </c>
      <c r="T24">
        <v>2527</v>
      </c>
    </row>
    <row r="25" spans="1:20">
      <c r="A25" s="11">
        <v>45730.5</v>
      </c>
      <c r="B25" s="11">
        <v>45730.520833333336</v>
      </c>
      <c r="C25" s="10">
        <v>45730</v>
      </c>
      <c r="D25" s="7">
        <v>555.32929999999999</v>
      </c>
      <c r="E25" s="7">
        <v>1546660</v>
      </c>
      <c r="F25" s="7">
        <v>1546660</v>
      </c>
      <c r="G25" s="7">
        <v>17359505</v>
      </c>
      <c r="H25" s="7">
        <v>552.07280000000003</v>
      </c>
      <c r="I25" s="7">
        <v>546.63049999999998</v>
      </c>
      <c r="J25" s="7">
        <v>1</v>
      </c>
      <c r="K25" s="7"/>
      <c r="L25" s="7"/>
      <c r="M25" s="7"/>
      <c r="N25" s="7">
        <v>553.89696036010002</v>
      </c>
      <c r="O25" s="7"/>
      <c r="P25" s="7"/>
      <c r="Q25">
        <v>0</v>
      </c>
      <c r="R25">
        <v>0</v>
      </c>
      <c r="S25" s="11">
        <v>45730.666666666664</v>
      </c>
      <c r="T25">
        <v>2526</v>
      </c>
    </row>
    <row r="26" spans="1:20">
      <c r="A26" s="11">
        <v>45730.520833333336</v>
      </c>
      <c r="B26" s="11">
        <v>45730.541666666664</v>
      </c>
      <c r="C26" s="10">
        <v>45730</v>
      </c>
      <c r="D26" s="7">
        <v>557.04920000000004</v>
      </c>
      <c r="E26" s="7">
        <v>1932079</v>
      </c>
      <c r="F26" s="7">
        <v>1932079</v>
      </c>
      <c r="G26" s="7">
        <v>19291584</v>
      </c>
      <c r="H26" s="7">
        <v>552.07280000000003</v>
      </c>
      <c r="I26" s="7">
        <v>546.63049999999998</v>
      </c>
      <c r="J26" s="7">
        <v>1</v>
      </c>
      <c r="K26" s="7"/>
      <c r="L26" s="7"/>
      <c r="M26" s="7"/>
      <c r="N26" s="7">
        <v>554.21266154939997</v>
      </c>
      <c r="O26" s="7"/>
      <c r="P26" s="7"/>
      <c r="Q26">
        <v>0</v>
      </c>
      <c r="R26">
        <v>0</v>
      </c>
      <c r="S26" s="11">
        <v>45730.666666666664</v>
      </c>
      <c r="T26">
        <v>2525</v>
      </c>
    </row>
    <row r="27" spans="1:20">
      <c r="A27" s="11">
        <v>45730.541666666664</v>
      </c>
      <c r="B27" s="11">
        <v>45730.5625</v>
      </c>
      <c r="C27" s="10">
        <v>45730</v>
      </c>
      <c r="D27" s="7">
        <v>556.55340000000001</v>
      </c>
      <c r="E27" s="7">
        <v>2012855</v>
      </c>
      <c r="F27" s="7">
        <v>2012855</v>
      </c>
      <c r="G27" s="7">
        <v>21304439</v>
      </c>
      <c r="H27" s="7">
        <v>552.07280000000003</v>
      </c>
      <c r="I27" s="7">
        <v>546.63049999999998</v>
      </c>
      <c r="J27" s="7">
        <v>1</v>
      </c>
      <c r="K27" s="7"/>
      <c r="L27" s="7"/>
      <c r="M27" s="7"/>
      <c r="N27" s="7">
        <v>554.43381579310005</v>
      </c>
      <c r="O27" s="7"/>
      <c r="P27" s="7"/>
      <c r="Q27">
        <v>0</v>
      </c>
      <c r="R27">
        <v>0</v>
      </c>
      <c r="S27" s="11">
        <v>45730.666666666664</v>
      </c>
      <c r="T27">
        <v>2524</v>
      </c>
    </row>
    <row r="28" spans="1:20">
      <c r="A28" s="11">
        <v>45730.5625</v>
      </c>
      <c r="B28" s="11">
        <v>45730.583333333336</v>
      </c>
      <c r="C28" s="10">
        <v>45730</v>
      </c>
      <c r="D28" s="7">
        <v>555.80010000000004</v>
      </c>
      <c r="E28" s="7">
        <v>1949061</v>
      </c>
      <c r="F28" s="7">
        <v>1949061</v>
      </c>
      <c r="G28" s="7">
        <v>23253500</v>
      </c>
      <c r="H28" s="7">
        <v>552.07280000000003</v>
      </c>
      <c r="I28" s="7">
        <v>546.63049999999998</v>
      </c>
      <c r="J28" s="7">
        <v>1</v>
      </c>
      <c r="K28" s="7"/>
      <c r="L28" s="7"/>
      <c r="M28" s="7"/>
      <c r="N28" s="7">
        <v>554.548334952</v>
      </c>
      <c r="O28" s="7"/>
      <c r="P28" s="7"/>
      <c r="Q28">
        <v>0</v>
      </c>
      <c r="R28">
        <v>0</v>
      </c>
      <c r="S28" s="11">
        <v>45730.666666666664</v>
      </c>
      <c r="T28">
        <v>2523</v>
      </c>
    </row>
    <row r="29" spans="1:20">
      <c r="A29" s="11">
        <v>45730.583333333336</v>
      </c>
      <c r="B29" s="11">
        <v>45730.604166666664</v>
      </c>
      <c r="C29" s="10">
        <v>45730</v>
      </c>
      <c r="D29" s="7">
        <v>555.83979999999997</v>
      </c>
      <c r="E29" s="7">
        <v>1791395</v>
      </c>
      <c r="F29" s="7">
        <v>1791395</v>
      </c>
      <c r="G29" s="7">
        <v>25044895</v>
      </c>
      <c r="H29" s="7">
        <v>552.07280000000003</v>
      </c>
      <c r="I29" s="7">
        <v>546.63049999999998</v>
      </c>
      <c r="J29" s="7">
        <v>1</v>
      </c>
      <c r="K29" s="7"/>
      <c r="L29" s="7"/>
      <c r="M29" s="7"/>
      <c r="N29" s="7">
        <v>554.64071002599997</v>
      </c>
      <c r="O29" s="7"/>
      <c r="P29" s="7"/>
      <c r="Q29">
        <v>0</v>
      </c>
      <c r="R29">
        <v>0</v>
      </c>
      <c r="S29" s="11">
        <v>45730.666666666664</v>
      </c>
      <c r="T29">
        <v>2522</v>
      </c>
    </row>
    <row r="30" spans="1:20">
      <c r="A30" s="11">
        <v>45730.604166666664</v>
      </c>
      <c r="B30" s="11">
        <v>45730.625</v>
      </c>
      <c r="C30" s="10">
        <v>45730</v>
      </c>
      <c r="D30" s="7">
        <v>556.85599999999999</v>
      </c>
      <c r="E30" s="7">
        <v>1803387</v>
      </c>
      <c r="F30" s="7">
        <v>1803387</v>
      </c>
      <c r="G30" s="7">
        <v>26848282</v>
      </c>
      <c r="H30" s="7">
        <v>552.07280000000003</v>
      </c>
      <c r="I30" s="7">
        <v>546.63049999999998</v>
      </c>
      <c r="J30" s="7">
        <v>1</v>
      </c>
      <c r="K30" s="7"/>
      <c r="L30" s="7"/>
      <c r="M30" s="7"/>
      <c r="N30" s="7">
        <v>554.78951005500005</v>
      </c>
      <c r="O30" s="7"/>
      <c r="P30" s="7"/>
      <c r="Q30">
        <v>0</v>
      </c>
      <c r="R30">
        <v>0</v>
      </c>
      <c r="S30" s="11">
        <v>45730.666666666664</v>
      </c>
      <c r="T30">
        <v>2521</v>
      </c>
    </row>
    <row r="31" spans="1:20">
      <c r="A31" s="11">
        <v>45730.625</v>
      </c>
      <c r="B31" s="11">
        <v>45730.645833333336</v>
      </c>
      <c r="C31" s="10">
        <v>45730</v>
      </c>
      <c r="D31" s="7">
        <v>556.95010000000002</v>
      </c>
      <c r="E31" s="7">
        <v>2054884</v>
      </c>
      <c r="F31" s="7">
        <v>2054884</v>
      </c>
      <c r="G31" s="7">
        <v>28903166</v>
      </c>
      <c r="H31" s="7">
        <v>552.07280000000003</v>
      </c>
      <c r="I31" s="7">
        <v>546.63049999999998</v>
      </c>
      <c r="J31" s="7">
        <v>1</v>
      </c>
      <c r="K31" s="7"/>
      <c r="L31" s="7"/>
      <c r="M31" s="7"/>
      <c r="N31" s="7">
        <v>554.94311819990003</v>
      </c>
      <c r="O31" s="7"/>
      <c r="P31" s="7"/>
      <c r="Q31">
        <v>0</v>
      </c>
      <c r="R31">
        <v>0</v>
      </c>
      <c r="S31" s="11">
        <v>45730.666666666664</v>
      </c>
      <c r="T31">
        <v>2520</v>
      </c>
    </row>
    <row r="32" spans="1:20">
      <c r="A32" s="11">
        <v>45730.645833333336</v>
      </c>
      <c r="B32" s="11">
        <v>45730.666666666664</v>
      </c>
      <c r="C32" s="10">
        <v>45730</v>
      </c>
      <c r="D32" s="7">
        <v>557.92160000000001</v>
      </c>
      <c r="E32" s="7">
        <v>10485052</v>
      </c>
      <c r="F32" s="7">
        <v>10485052</v>
      </c>
      <c r="G32" s="7">
        <v>39388218</v>
      </c>
      <c r="H32" s="7">
        <v>552.07280000000003</v>
      </c>
      <c r="I32" s="7">
        <v>546.63049999999998</v>
      </c>
      <c r="J32" s="7">
        <v>1</v>
      </c>
      <c r="K32" s="7"/>
      <c r="L32" s="7"/>
      <c r="M32" s="7"/>
      <c r="N32" s="7">
        <v>555.71484703069996</v>
      </c>
      <c r="O32" s="7"/>
      <c r="P32" s="7"/>
      <c r="Q32">
        <v>0</v>
      </c>
      <c r="R32">
        <v>1</v>
      </c>
      <c r="S32" s="11">
        <v>45730.666666666664</v>
      </c>
      <c r="T32">
        <v>2519</v>
      </c>
    </row>
    <row r="33" spans="1:20">
      <c r="A33" s="11">
        <v>45733.395833333336</v>
      </c>
      <c r="B33" s="11">
        <v>45733.416666666664</v>
      </c>
      <c r="C33" s="10">
        <v>45733</v>
      </c>
      <c r="D33" s="7">
        <v>560.50390000000004</v>
      </c>
      <c r="E33" s="7">
        <v>4651265</v>
      </c>
      <c r="F33" s="7">
        <v>4651265</v>
      </c>
      <c r="G33" s="7">
        <v>4651265</v>
      </c>
      <c r="H33" s="7">
        <v>560.50390000000004</v>
      </c>
      <c r="I33" s="7">
        <v>557.92160000000001</v>
      </c>
      <c r="J33" s="7">
        <v>2</v>
      </c>
      <c r="K33" s="7"/>
      <c r="L33" s="7"/>
      <c r="M33" s="7"/>
      <c r="N33" s="7">
        <v>560.50390000000004</v>
      </c>
      <c r="O33" s="7"/>
      <c r="P33" s="7"/>
      <c r="Q33">
        <v>0</v>
      </c>
      <c r="R33">
        <v>0</v>
      </c>
      <c r="S33" s="11">
        <v>45733.666666666664</v>
      </c>
      <c r="T33">
        <v>2517</v>
      </c>
    </row>
    <row r="34" spans="1:20">
      <c r="A34" s="11">
        <v>45733.416666666664</v>
      </c>
      <c r="B34" s="11">
        <v>45733.4375</v>
      </c>
      <c r="C34" s="10">
        <v>45733</v>
      </c>
      <c r="D34" s="7">
        <v>559.577</v>
      </c>
      <c r="E34" s="7">
        <v>2258448</v>
      </c>
      <c r="F34" s="7">
        <v>2258448</v>
      </c>
      <c r="G34" s="7">
        <v>6909713</v>
      </c>
      <c r="H34" s="7">
        <v>560.50390000000004</v>
      </c>
      <c r="I34" s="7">
        <v>557.92160000000001</v>
      </c>
      <c r="J34" s="7">
        <v>2</v>
      </c>
      <c r="K34" s="7"/>
      <c r="L34" s="7"/>
      <c r="M34" s="7"/>
      <c r="N34" s="7">
        <v>560.20094162079999</v>
      </c>
      <c r="O34" s="7"/>
      <c r="P34" s="7"/>
      <c r="Q34">
        <v>0</v>
      </c>
      <c r="R34">
        <v>0</v>
      </c>
      <c r="S34" s="11">
        <v>45733.666666666664</v>
      </c>
      <c r="T34">
        <v>2516</v>
      </c>
    </row>
    <row r="35" spans="1:20">
      <c r="A35" s="11">
        <v>45733.4375</v>
      </c>
      <c r="B35" s="11">
        <v>45733.458333333336</v>
      </c>
      <c r="C35" s="10">
        <v>45733</v>
      </c>
      <c r="D35" s="7">
        <v>559.13099999999997</v>
      </c>
      <c r="E35" s="7">
        <v>1928177</v>
      </c>
      <c r="F35" s="7">
        <v>1928177</v>
      </c>
      <c r="G35" s="7">
        <v>8837890</v>
      </c>
      <c r="H35" s="7">
        <v>560.50390000000004</v>
      </c>
      <c r="I35" s="7">
        <v>557.92160000000001</v>
      </c>
      <c r="J35" s="7">
        <v>2</v>
      </c>
      <c r="K35" s="7"/>
      <c r="L35" s="7"/>
      <c r="M35" s="7"/>
      <c r="N35" s="7">
        <v>559.96751069729999</v>
      </c>
      <c r="O35" s="7"/>
      <c r="P35" s="7"/>
      <c r="Q35">
        <v>0</v>
      </c>
      <c r="R35">
        <v>0</v>
      </c>
      <c r="S35" s="11">
        <v>45733.666666666664</v>
      </c>
      <c r="T35">
        <v>2515</v>
      </c>
    </row>
    <row r="36" spans="1:20">
      <c r="A36" s="11">
        <v>45733.458333333336</v>
      </c>
      <c r="B36" s="11">
        <v>45733.479166666664</v>
      </c>
      <c r="C36" s="10">
        <v>45733</v>
      </c>
      <c r="D36" s="7">
        <v>559.1558</v>
      </c>
      <c r="E36" s="7">
        <v>1629590</v>
      </c>
      <c r="F36" s="7">
        <v>1629590</v>
      </c>
      <c r="G36" s="7">
        <v>10467480</v>
      </c>
      <c r="H36" s="7">
        <v>560.50390000000004</v>
      </c>
      <c r="I36" s="7">
        <v>557.92160000000001</v>
      </c>
      <c r="J36" s="7">
        <v>2</v>
      </c>
      <c r="K36" s="7"/>
      <c r="L36" s="7"/>
      <c r="M36" s="7"/>
      <c r="N36" s="7">
        <v>559.84114259010005</v>
      </c>
      <c r="O36" s="7"/>
      <c r="P36" s="7"/>
      <c r="Q36">
        <v>0</v>
      </c>
      <c r="R36">
        <v>0</v>
      </c>
      <c r="S36" s="11">
        <v>45733.666666666664</v>
      </c>
      <c r="T36">
        <v>2514</v>
      </c>
    </row>
    <row r="37" spans="1:20">
      <c r="A37" s="11">
        <v>45733.479166666664</v>
      </c>
      <c r="B37" s="11">
        <v>45733.5</v>
      </c>
      <c r="C37" s="10">
        <v>45733</v>
      </c>
      <c r="D37" s="7">
        <v>558.90300000000002</v>
      </c>
      <c r="E37" s="7">
        <v>1525734</v>
      </c>
      <c r="F37" s="7">
        <v>1525734</v>
      </c>
      <c r="G37" s="7">
        <v>11993214</v>
      </c>
      <c r="H37" s="7">
        <v>560.50390000000004</v>
      </c>
      <c r="I37" s="7">
        <v>557.92160000000001</v>
      </c>
      <c r="J37" s="7">
        <v>2</v>
      </c>
      <c r="K37" s="7"/>
      <c r="L37" s="7"/>
      <c r="M37" s="7"/>
      <c r="N37" s="7">
        <v>559.72179542870003</v>
      </c>
      <c r="O37" s="7"/>
      <c r="P37" s="7"/>
      <c r="Q37">
        <v>0</v>
      </c>
      <c r="R37">
        <v>0</v>
      </c>
      <c r="S37" s="11">
        <v>45733.666666666664</v>
      </c>
      <c r="T37">
        <v>2513</v>
      </c>
    </row>
    <row r="38" spans="1:20">
      <c r="A38" s="11">
        <v>45733.5</v>
      </c>
      <c r="B38" s="11">
        <v>45733.520833333336</v>
      </c>
      <c r="C38" s="10">
        <v>45733</v>
      </c>
      <c r="D38" s="7">
        <v>558.97239999999999</v>
      </c>
      <c r="E38" s="7">
        <v>1087812</v>
      </c>
      <c r="F38" s="7">
        <v>1087812</v>
      </c>
      <c r="G38" s="7">
        <v>13081026</v>
      </c>
      <c r="H38" s="7">
        <v>560.50390000000004</v>
      </c>
      <c r="I38" s="7">
        <v>557.92160000000001</v>
      </c>
      <c r="J38" s="7">
        <v>2</v>
      </c>
      <c r="K38" s="7"/>
      <c r="L38" s="7"/>
      <c r="M38" s="7"/>
      <c r="N38" s="7">
        <v>559.65947605559995</v>
      </c>
      <c r="O38" s="7"/>
      <c r="P38" s="7"/>
      <c r="Q38">
        <v>0</v>
      </c>
      <c r="R38">
        <v>0</v>
      </c>
      <c r="S38" s="11">
        <v>45733.666666666664</v>
      </c>
      <c r="T38">
        <v>2512</v>
      </c>
    </row>
    <row r="39" spans="1:20">
      <c r="A39" s="11">
        <v>45733.520833333336</v>
      </c>
      <c r="B39" s="11">
        <v>45733.541666666664</v>
      </c>
      <c r="C39" s="10">
        <v>45733</v>
      </c>
      <c r="D39" s="7">
        <v>559.62660000000005</v>
      </c>
      <c r="E39" s="7">
        <v>1173476</v>
      </c>
      <c r="F39" s="7">
        <v>1173476</v>
      </c>
      <c r="G39" s="7">
        <v>14254502</v>
      </c>
      <c r="H39" s="7">
        <v>560.50390000000004</v>
      </c>
      <c r="I39" s="7">
        <v>557.92160000000001</v>
      </c>
      <c r="J39" s="7">
        <v>2</v>
      </c>
      <c r="K39" s="7"/>
      <c r="L39" s="7"/>
      <c r="M39" s="7"/>
      <c r="N39" s="7">
        <v>559.65676959400002</v>
      </c>
      <c r="O39" s="7"/>
      <c r="P39" s="7"/>
      <c r="Q39">
        <v>0</v>
      </c>
      <c r="R39">
        <v>0</v>
      </c>
      <c r="S39" s="11">
        <v>45733.666666666664</v>
      </c>
      <c r="T39">
        <v>2511</v>
      </c>
    </row>
    <row r="40" spans="1:20">
      <c r="A40" s="11">
        <v>45733.541666666664</v>
      </c>
      <c r="B40" s="11">
        <v>45733.5625</v>
      </c>
      <c r="C40" s="10">
        <v>45733</v>
      </c>
      <c r="D40" s="7">
        <v>560.92499999999995</v>
      </c>
      <c r="E40" s="7">
        <v>1212716</v>
      </c>
      <c r="F40" s="7">
        <v>1212716</v>
      </c>
      <c r="G40" s="7">
        <v>15467218</v>
      </c>
      <c r="H40" s="7">
        <v>560.50390000000004</v>
      </c>
      <c r="I40" s="7">
        <v>557.92160000000001</v>
      </c>
      <c r="J40" s="7">
        <v>2</v>
      </c>
      <c r="K40" s="7"/>
      <c r="L40" s="7"/>
      <c r="M40" s="7"/>
      <c r="N40" s="7">
        <v>559.7562059183</v>
      </c>
      <c r="O40" s="7"/>
      <c r="P40" s="7"/>
      <c r="Q40">
        <v>0</v>
      </c>
      <c r="R40">
        <v>0</v>
      </c>
      <c r="S40" s="11">
        <v>45733.666666666664</v>
      </c>
      <c r="T40">
        <v>2510</v>
      </c>
    </row>
    <row r="41" spans="1:20">
      <c r="A41" s="11">
        <v>45733.5625</v>
      </c>
      <c r="B41" s="11">
        <v>45733.583333333336</v>
      </c>
      <c r="C41" s="10">
        <v>45733</v>
      </c>
      <c r="D41" s="7">
        <v>562.18420000000003</v>
      </c>
      <c r="E41" s="7">
        <v>1648483</v>
      </c>
      <c r="F41" s="7">
        <v>1648483</v>
      </c>
      <c r="G41" s="7">
        <v>17115701</v>
      </c>
      <c r="H41" s="7">
        <v>560.50390000000004</v>
      </c>
      <c r="I41" s="7">
        <v>557.92160000000001</v>
      </c>
      <c r="J41" s="7">
        <v>2</v>
      </c>
      <c r="K41" s="7"/>
      <c r="L41" s="7"/>
      <c r="M41" s="7"/>
      <c r="N41" s="7">
        <v>559.99005593519996</v>
      </c>
      <c r="O41" s="7"/>
      <c r="P41" s="7"/>
      <c r="Q41">
        <v>0</v>
      </c>
      <c r="R41">
        <v>0</v>
      </c>
      <c r="S41" s="11">
        <v>45733.666666666664</v>
      </c>
      <c r="T41">
        <v>2509</v>
      </c>
    </row>
    <row r="42" spans="1:20">
      <c r="A42" s="11">
        <v>45733.583333333336</v>
      </c>
      <c r="B42" s="11">
        <v>45733.604166666664</v>
      </c>
      <c r="C42" s="10">
        <v>45733</v>
      </c>
      <c r="D42" s="7">
        <v>563.69100000000003</v>
      </c>
      <c r="E42" s="7">
        <v>2749091</v>
      </c>
      <c r="F42" s="7">
        <v>2749091</v>
      </c>
      <c r="G42" s="7">
        <v>19864792</v>
      </c>
      <c r="H42" s="7">
        <v>560.50390000000004</v>
      </c>
      <c r="I42" s="7">
        <v>557.92160000000001</v>
      </c>
      <c r="J42" s="7">
        <v>2</v>
      </c>
      <c r="K42" s="7"/>
      <c r="L42" s="7"/>
      <c r="M42" s="7"/>
      <c r="N42" s="7">
        <v>560.50223003799999</v>
      </c>
      <c r="O42" s="7"/>
      <c r="P42" s="7"/>
      <c r="Q42">
        <v>0</v>
      </c>
      <c r="R42">
        <v>0</v>
      </c>
      <c r="S42" s="11">
        <v>45733.666666666664</v>
      </c>
      <c r="T42">
        <v>2508</v>
      </c>
    </row>
    <row r="43" spans="1:20">
      <c r="A43" s="11">
        <v>45733.604166666664</v>
      </c>
      <c r="B43" s="11">
        <v>45733.625</v>
      </c>
      <c r="C43" s="10">
        <v>45733</v>
      </c>
      <c r="D43" s="7">
        <v>564.2604</v>
      </c>
      <c r="E43" s="7">
        <v>2238727</v>
      </c>
      <c r="F43" s="7">
        <v>2238727</v>
      </c>
      <c r="G43" s="7">
        <v>22103519</v>
      </c>
      <c r="H43" s="7">
        <v>560.50390000000004</v>
      </c>
      <c r="I43" s="7">
        <v>557.92160000000001</v>
      </c>
      <c r="J43" s="7">
        <v>2</v>
      </c>
      <c r="K43" s="7"/>
      <c r="L43" s="7"/>
      <c r="M43" s="7"/>
      <c r="N43" s="7">
        <v>560.88287153509998</v>
      </c>
      <c r="O43" s="7"/>
      <c r="P43" s="7"/>
      <c r="Q43">
        <v>0</v>
      </c>
      <c r="R43">
        <v>0</v>
      </c>
      <c r="S43" s="11">
        <v>45733.666666666664</v>
      </c>
      <c r="T43">
        <v>2507</v>
      </c>
    </row>
    <row r="44" spans="1:20">
      <c r="A44" s="11">
        <v>45733.625</v>
      </c>
      <c r="B44" s="11">
        <v>45733.645833333336</v>
      </c>
      <c r="C44" s="10">
        <v>45733</v>
      </c>
      <c r="D44" s="7">
        <v>563.95870000000002</v>
      </c>
      <c r="E44" s="7">
        <v>2266966</v>
      </c>
      <c r="F44" s="7">
        <v>2266966</v>
      </c>
      <c r="G44" s="7">
        <v>24370485</v>
      </c>
      <c r="H44" s="7">
        <v>560.50390000000004</v>
      </c>
      <c r="I44" s="7">
        <v>557.92160000000001</v>
      </c>
      <c r="J44" s="7">
        <v>2</v>
      </c>
      <c r="K44" s="7"/>
      <c r="L44" s="7"/>
      <c r="M44" s="7"/>
      <c r="N44" s="7">
        <v>561.16898806300003</v>
      </c>
      <c r="O44" s="7"/>
      <c r="P44" s="7"/>
      <c r="Q44">
        <v>0</v>
      </c>
      <c r="R44">
        <v>0</v>
      </c>
      <c r="S44" s="11">
        <v>45733.666666666664</v>
      </c>
      <c r="T44">
        <v>2506</v>
      </c>
    </row>
    <row r="45" spans="1:20">
      <c r="A45" s="11">
        <v>45733.645833333336</v>
      </c>
      <c r="B45" s="11">
        <v>45733.666666666664</v>
      </c>
      <c r="C45" s="10">
        <v>45733</v>
      </c>
      <c r="D45" s="7">
        <v>562.22389999999996</v>
      </c>
      <c r="E45" s="7">
        <v>7980933</v>
      </c>
      <c r="F45" s="7">
        <v>7980933</v>
      </c>
      <c r="G45" s="7">
        <v>32351418</v>
      </c>
      <c r="H45" s="7">
        <v>560.50390000000004</v>
      </c>
      <c r="I45" s="7">
        <v>557.92160000000001</v>
      </c>
      <c r="J45" s="7">
        <v>2</v>
      </c>
      <c r="K45" s="7"/>
      <c r="L45" s="7"/>
      <c r="M45" s="7"/>
      <c r="N45" s="7">
        <v>561.42922956129996</v>
      </c>
      <c r="O45" s="7"/>
      <c r="P45" s="7"/>
      <c r="Q45">
        <v>0</v>
      </c>
      <c r="R45">
        <v>1</v>
      </c>
      <c r="S45" s="11">
        <v>45733.666666666664</v>
      </c>
      <c r="T45">
        <v>2505</v>
      </c>
    </row>
    <row r="46" spans="1:20">
      <c r="A46" s="11">
        <v>45734.395833333336</v>
      </c>
      <c r="B46" s="11">
        <v>45734.416666666664</v>
      </c>
      <c r="C46" s="10">
        <v>45734</v>
      </c>
      <c r="D46" s="7">
        <v>555.88310000000001</v>
      </c>
      <c r="E46" s="7">
        <v>4870372</v>
      </c>
      <c r="F46" s="7">
        <v>4870372</v>
      </c>
      <c r="G46" s="7">
        <v>4870372</v>
      </c>
      <c r="H46" s="7">
        <v>555.88310000000001</v>
      </c>
      <c r="I46" s="7">
        <v>562.22389999999996</v>
      </c>
      <c r="J46" s="7">
        <v>3</v>
      </c>
      <c r="K46" s="7"/>
      <c r="L46" s="7"/>
      <c r="M46" s="7"/>
      <c r="N46" s="7">
        <v>555.88310000000001</v>
      </c>
      <c r="O46" s="7"/>
      <c r="P46" s="7"/>
      <c r="Q46">
        <v>0</v>
      </c>
      <c r="R46">
        <v>0</v>
      </c>
      <c r="S46" s="11">
        <v>45734.666666666664</v>
      </c>
      <c r="T46">
        <v>2503</v>
      </c>
    </row>
    <row r="47" spans="1:20">
      <c r="A47" s="11">
        <v>45734.416666666664</v>
      </c>
      <c r="B47" s="11">
        <v>45734.4375</v>
      </c>
      <c r="C47" s="10">
        <v>45734</v>
      </c>
      <c r="D47" s="7">
        <v>556.31560000000002</v>
      </c>
      <c r="E47" s="7">
        <v>3076691</v>
      </c>
      <c r="F47" s="7">
        <v>3076691</v>
      </c>
      <c r="G47" s="7">
        <v>7947063</v>
      </c>
      <c r="H47" s="7">
        <v>555.88310000000001</v>
      </c>
      <c r="I47" s="7">
        <v>562.22389999999996</v>
      </c>
      <c r="J47" s="7">
        <v>3</v>
      </c>
      <c r="K47" s="7"/>
      <c r="L47" s="7"/>
      <c r="M47" s="7"/>
      <c r="N47" s="7">
        <v>556.05054158910002</v>
      </c>
      <c r="O47" s="7"/>
      <c r="P47" s="7"/>
      <c r="Q47">
        <v>0</v>
      </c>
      <c r="R47">
        <v>0</v>
      </c>
      <c r="S47" s="11">
        <v>45734.666666666664</v>
      </c>
      <c r="T47">
        <v>2502</v>
      </c>
    </row>
    <row r="48" spans="1:20">
      <c r="A48" s="11">
        <v>45734.4375</v>
      </c>
      <c r="B48" s="11">
        <v>45734.458333333336</v>
      </c>
      <c r="C48" s="10">
        <v>45734</v>
      </c>
      <c r="D48" s="7">
        <v>555.97860000000003</v>
      </c>
      <c r="E48" s="7">
        <v>2228276</v>
      </c>
      <c r="F48" s="7">
        <v>2228276</v>
      </c>
      <c r="G48" s="7">
        <v>10175339</v>
      </c>
      <c r="H48" s="7">
        <v>555.88310000000001</v>
      </c>
      <c r="I48" s="7">
        <v>562.22389999999996</v>
      </c>
      <c r="J48" s="7">
        <v>3</v>
      </c>
      <c r="K48" s="7"/>
      <c r="L48" s="7"/>
      <c r="M48" s="7"/>
      <c r="N48" s="7">
        <v>556.03478725239995</v>
      </c>
      <c r="O48" s="7"/>
      <c r="P48" s="7"/>
      <c r="Q48">
        <v>0</v>
      </c>
      <c r="R48">
        <v>0</v>
      </c>
      <c r="S48" s="11">
        <v>45734.666666666664</v>
      </c>
      <c r="T48">
        <v>2501</v>
      </c>
    </row>
    <row r="49" spans="1:20">
      <c r="A49" s="11">
        <v>45734.458333333336</v>
      </c>
      <c r="B49" s="11">
        <v>45734.479166666664</v>
      </c>
      <c r="C49" s="10">
        <v>45734</v>
      </c>
      <c r="D49" s="7">
        <v>554.99720000000002</v>
      </c>
      <c r="E49" s="7">
        <v>2165756</v>
      </c>
      <c r="F49" s="7">
        <v>2165756</v>
      </c>
      <c r="G49" s="7">
        <v>12341095</v>
      </c>
      <c r="H49" s="7">
        <v>555.88310000000001</v>
      </c>
      <c r="I49" s="7">
        <v>562.22389999999996</v>
      </c>
      <c r="J49" s="7">
        <v>3</v>
      </c>
      <c r="K49" s="7"/>
      <c r="L49" s="7"/>
      <c r="M49" s="7"/>
      <c r="N49" s="7">
        <v>555.85269961619997</v>
      </c>
      <c r="O49" s="7"/>
      <c r="P49" s="7"/>
      <c r="Q49">
        <v>0</v>
      </c>
      <c r="R49">
        <v>0</v>
      </c>
      <c r="S49" s="11">
        <v>45734.666666666664</v>
      </c>
      <c r="T49">
        <v>2500</v>
      </c>
    </row>
    <row r="50" spans="1:20">
      <c r="A50" s="11">
        <v>45734.479166666664</v>
      </c>
      <c r="B50" s="11">
        <v>45734.5</v>
      </c>
      <c r="C50" s="10">
        <v>45734</v>
      </c>
      <c r="D50" s="7">
        <v>554.78909999999996</v>
      </c>
      <c r="E50" s="7">
        <v>1601306</v>
      </c>
      <c r="F50" s="7">
        <v>1601306</v>
      </c>
      <c r="G50" s="7">
        <v>13942401</v>
      </c>
      <c r="H50" s="7">
        <v>555.88310000000001</v>
      </c>
      <c r="I50" s="7">
        <v>562.22389999999996</v>
      </c>
      <c r="J50" s="7">
        <v>3</v>
      </c>
      <c r="K50" s="7"/>
      <c r="L50" s="7"/>
      <c r="M50" s="7"/>
      <c r="N50" s="7">
        <v>555.73054357959995</v>
      </c>
      <c r="O50" s="7"/>
      <c r="P50" s="7"/>
      <c r="Q50">
        <v>0</v>
      </c>
      <c r="R50">
        <v>0</v>
      </c>
      <c r="S50" s="11">
        <v>45734.666666666664</v>
      </c>
      <c r="T50">
        <v>2499</v>
      </c>
    </row>
    <row r="51" spans="1:20">
      <c r="A51" s="11">
        <v>45734.5</v>
      </c>
      <c r="B51" s="11">
        <v>45734.520833333336</v>
      </c>
      <c r="C51" s="10">
        <v>45734</v>
      </c>
      <c r="D51" s="7">
        <v>556.82119999999998</v>
      </c>
      <c r="E51" s="7">
        <v>1825169</v>
      </c>
      <c r="F51" s="7">
        <v>1825169</v>
      </c>
      <c r="G51" s="7">
        <v>15767570</v>
      </c>
      <c r="H51" s="7">
        <v>555.88310000000001</v>
      </c>
      <c r="I51" s="7">
        <v>562.22389999999996</v>
      </c>
      <c r="J51" s="7">
        <v>3</v>
      </c>
      <c r="K51" s="7"/>
      <c r="L51" s="7"/>
      <c r="M51" s="7"/>
      <c r="N51" s="7">
        <v>555.85679209399996</v>
      </c>
      <c r="O51" s="7"/>
      <c r="P51" s="7"/>
      <c r="Q51">
        <v>0</v>
      </c>
      <c r="R51">
        <v>0</v>
      </c>
      <c r="S51" s="11">
        <v>45734.666666666664</v>
      </c>
      <c r="T51">
        <v>2498</v>
      </c>
    </row>
    <row r="52" spans="1:20">
      <c r="A52" s="11">
        <v>45734.520833333336</v>
      </c>
      <c r="B52" s="11">
        <v>45734.541666666664</v>
      </c>
      <c r="C52" s="10">
        <v>45734</v>
      </c>
      <c r="D52" s="7">
        <v>555.96370000000002</v>
      </c>
      <c r="E52" s="7">
        <v>1575985</v>
      </c>
      <c r="F52" s="7">
        <v>1575985</v>
      </c>
      <c r="G52" s="7">
        <v>17343555</v>
      </c>
      <c r="H52" s="7">
        <v>555.88310000000001</v>
      </c>
      <c r="I52" s="7">
        <v>562.22389999999996</v>
      </c>
      <c r="J52" s="7">
        <v>3</v>
      </c>
      <c r="K52" s="7"/>
      <c r="L52" s="7"/>
      <c r="M52" s="7"/>
      <c r="N52" s="7">
        <v>555.86650666840001</v>
      </c>
      <c r="O52" s="7"/>
      <c r="P52" s="7"/>
      <c r="Q52">
        <v>0</v>
      </c>
      <c r="R52">
        <v>0</v>
      </c>
      <c r="S52" s="11">
        <v>45734.666666666664</v>
      </c>
      <c r="T52">
        <v>2497</v>
      </c>
    </row>
    <row r="53" spans="1:20">
      <c r="A53" s="11">
        <v>45734.541666666664</v>
      </c>
      <c r="B53" s="11">
        <v>45734.5625</v>
      </c>
      <c r="C53" s="10">
        <v>45734</v>
      </c>
      <c r="D53" s="7">
        <v>555.69110000000001</v>
      </c>
      <c r="E53" s="7">
        <v>1730884</v>
      </c>
      <c r="F53" s="7">
        <v>1730884</v>
      </c>
      <c r="G53" s="7">
        <v>19074439</v>
      </c>
      <c r="H53" s="7">
        <v>555.88310000000001</v>
      </c>
      <c r="I53" s="7">
        <v>562.22389999999996</v>
      </c>
      <c r="J53" s="7">
        <v>3</v>
      </c>
      <c r="K53" s="7"/>
      <c r="L53" s="7"/>
      <c r="M53" s="7"/>
      <c r="N53" s="7">
        <v>555.8505896291</v>
      </c>
      <c r="O53" s="7"/>
      <c r="P53" s="7"/>
      <c r="Q53">
        <v>0</v>
      </c>
      <c r="R53">
        <v>0</v>
      </c>
      <c r="S53" s="11">
        <v>45734.666666666664</v>
      </c>
      <c r="T53">
        <v>2496</v>
      </c>
    </row>
    <row r="54" spans="1:20">
      <c r="A54" s="11">
        <v>45734.5625</v>
      </c>
      <c r="B54" s="11">
        <v>45734.583333333336</v>
      </c>
      <c r="C54" s="10">
        <v>45734</v>
      </c>
      <c r="D54" s="7">
        <v>555.94889999999998</v>
      </c>
      <c r="E54" s="7">
        <v>1301424</v>
      </c>
      <c r="F54" s="7">
        <v>1301424</v>
      </c>
      <c r="G54" s="7">
        <v>20375863</v>
      </c>
      <c r="H54" s="7">
        <v>555.88310000000001</v>
      </c>
      <c r="I54" s="7">
        <v>562.22389999999996</v>
      </c>
      <c r="J54" s="7">
        <v>3</v>
      </c>
      <c r="K54" s="7"/>
      <c r="L54" s="7"/>
      <c r="M54" s="7"/>
      <c r="N54" s="7">
        <v>555.85686879750006</v>
      </c>
      <c r="O54" s="7"/>
      <c r="P54" s="7"/>
      <c r="Q54">
        <v>0</v>
      </c>
      <c r="R54">
        <v>0</v>
      </c>
      <c r="S54" s="11">
        <v>45734.666666666664</v>
      </c>
      <c r="T54">
        <v>2495</v>
      </c>
    </row>
    <row r="55" spans="1:20">
      <c r="A55" s="11">
        <v>45734.583333333336</v>
      </c>
      <c r="B55" s="11">
        <v>45734.604166666664</v>
      </c>
      <c r="C55" s="10">
        <v>45734</v>
      </c>
      <c r="D55" s="7">
        <v>555.64149999999995</v>
      </c>
      <c r="E55" s="7">
        <v>1184798</v>
      </c>
      <c r="F55" s="7">
        <v>1184798</v>
      </c>
      <c r="G55" s="7">
        <v>21560661</v>
      </c>
      <c r="H55" s="7">
        <v>555.88310000000001</v>
      </c>
      <c r="I55" s="7">
        <v>562.22389999999996</v>
      </c>
      <c r="J55" s="7">
        <v>3</v>
      </c>
      <c r="K55" s="7"/>
      <c r="L55" s="7"/>
      <c r="M55" s="7"/>
      <c r="N55" s="7">
        <v>555.84503388580004</v>
      </c>
      <c r="O55" s="7"/>
      <c r="P55" s="7"/>
      <c r="Q55">
        <v>0</v>
      </c>
      <c r="R55">
        <v>0</v>
      </c>
      <c r="S55" s="11">
        <v>45734.666666666664</v>
      </c>
      <c r="T55">
        <v>2494</v>
      </c>
    </row>
    <row r="56" spans="1:20">
      <c r="A56" s="11">
        <v>45734.604166666664</v>
      </c>
      <c r="B56" s="11">
        <v>45734.625</v>
      </c>
      <c r="C56" s="10">
        <v>45734</v>
      </c>
      <c r="D56" s="7">
        <v>556.48299999999995</v>
      </c>
      <c r="E56" s="7">
        <v>1456900</v>
      </c>
      <c r="F56" s="7">
        <v>1456900</v>
      </c>
      <c r="G56" s="7">
        <v>23017561</v>
      </c>
      <c r="H56" s="7">
        <v>555.88310000000001</v>
      </c>
      <c r="I56" s="7">
        <v>562.22389999999996</v>
      </c>
      <c r="J56" s="7">
        <v>3</v>
      </c>
      <c r="K56" s="7"/>
      <c r="L56" s="7"/>
      <c r="M56" s="7"/>
      <c r="N56" s="7">
        <v>555.88541404729995</v>
      </c>
      <c r="O56" s="7"/>
      <c r="P56" s="7"/>
      <c r="Q56">
        <v>0</v>
      </c>
      <c r="R56">
        <v>0</v>
      </c>
      <c r="S56" s="11">
        <v>45734.666666666664</v>
      </c>
      <c r="T56">
        <v>2493</v>
      </c>
    </row>
    <row r="57" spans="1:20">
      <c r="A57" s="11">
        <v>45734.625</v>
      </c>
      <c r="B57" s="11">
        <v>45734.645833333336</v>
      </c>
      <c r="C57" s="10">
        <v>45734</v>
      </c>
      <c r="D57" s="7">
        <v>556.4049</v>
      </c>
      <c r="E57" s="7">
        <v>1474113</v>
      </c>
      <c r="F57" s="7">
        <v>1474113</v>
      </c>
      <c r="G57" s="7">
        <v>24491674</v>
      </c>
      <c r="H57" s="7">
        <v>555.88310000000001</v>
      </c>
      <c r="I57" s="7">
        <v>562.22389999999996</v>
      </c>
      <c r="J57" s="7">
        <v>3</v>
      </c>
      <c r="K57" s="7"/>
      <c r="L57" s="7"/>
      <c r="M57" s="7"/>
      <c r="N57" s="7">
        <v>555.91668104020005</v>
      </c>
      <c r="O57" s="7"/>
      <c r="P57" s="7"/>
      <c r="Q57">
        <v>0</v>
      </c>
      <c r="R57">
        <v>0</v>
      </c>
      <c r="S57" s="11">
        <v>45734.666666666664</v>
      </c>
      <c r="T57">
        <v>2492</v>
      </c>
    </row>
    <row r="58" spans="1:20">
      <c r="A58" s="11">
        <v>45734.645833333336</v>
      </c>
      <c r="B58" s="11">
        <v>45734.666666666664</v>
      </c>
      <c r="C58" s="10">
        <v>45734</v>
      </c>
      <c r="D58" s="7">
        <v>556.1472</v>
      </c>
      <c r="E58" s="7">
        <v>8187947</v>
      </c>
      <c r="F58" s="7">
        <v>8187947</v>
      </c>
      <c r="G58" s="7">
        <v>32679621</v>
      </c>
      <c r="H58" s="7">
        <v>555.88310000000001</v>
      </c>
      <c r="I58" s="7">
        <v>562.22389999999996</v>
      </c>
      <c r="J58" s="7">
        <v>3</v>
      </c>
      <c r="K58" s="7"/>
      <c r="L58" s="7"/>
      <c r="M58" s="7"/>
      <c r="N58" s="7">
        <v>555.97443804490001</v>
      </c>
      <c r="O58" s="7"/>
      <c r="P58" s="7"/>
      <c r="Q58">
        <v>0</v>
      </c>
      <c r="R58">
        <v>1</v>
      </c>
      <c r="S58" s="11">
        <v>45734.666666666664</v>
      </c>
      <c r="T58">
        <v>2491</v>
      </c>
    </row>
    <row r="59" spans="1:20">
      <c r="A59" s="11">
        <v>45735.395833333336</v>
      </c>
      <c r="B59" s="11">
        <v>45735.416666666664</v>
      </c>
      <c r="C59" s="10">
        <v>45735</v>
      </c>
      <c r="D59" s="7">
        <v>559.21029999999996</v>
      </c>
      <c r="E59" s="7">
        <v>2862353</v>
      </c>
      <c r="F59" s="7">
        <v>2862353</v>
      </c>
      <c r="G59" s="7">
        <v>2862353</v>
      </c>
      <c r="H59" s="7">
        <v>559.21029999999996</v>
      </c>
      <c r="I59" s="7">
        <v>556.14710000000002</v>
      </c>
      <c r="J59" s="7">
        <v>4</v>
      </c>
      <c r="K59" s="7"/>
      <c r="L59" s="7"/>
      <c r="M59" s="7"/>
      <c r="N59" s="7">
        <v>559.21029999999996</v>
      </c>
      <c r="O59" s="7"/>
      <c r="P59" s="7"/>
      <c r="Q59">
        <v>0</v>
      </c>
      <c r="R59">
        <v>0</v>
      </c>
      <c r="S59" s="11">
        <v>45735.666666666664</v>
      </c>
      <c r="T59">
        <v>2489</v>
      </c>
    </row>
    <row r="60" spans="1:20">
      <c r="A60" s="11">
        <v>45735.416666666664</v>
      </c>
      <c r="B60" s="11">
        <v>45735.4375</v>
      </c>
      <c r="C60" s="10">
        <v>45735</v>
      </c>
      <c r="D60" s="7">
        <v>559.60820000000001</v>
      </c>
      <c r="E60" s="7">
        <v>2105049</v>
      </c>
      <c r="F60" s="7">
        <v>2105049</v>
      </c>
      <c r="G60" s="7">
        <v>4967402</v>
      </c>
      <c r="H60" s="7">
        <v>559.21029999999996</v>
      </c>
      <c r="I60" s="7">
        <v>556.14710000000002</v>
      </c>
      <c r="J60" s="7">
        <v>4</v>
      </c>
      <c r="K60" s="7"/>
      <c r="L60" s="7"/>
      <c r="M60" s="7"/>
      <c r="N60" s="7">
        <v>559.37891912869998</v>
      </c>
      <c r="O60" s="7"/>
      <c r="P60" s="7"/>
      <c r="Q60">
        <v>0</v>
      </c>
      <c r="R60">
        <v>0</v>
      </c>
      <c r="S60" s="11">
        <v>45735.666666666664</v>
      </c>
      <c r="T60">
        <v>2488</v>
      </c>
    </row>
    <row r="61" spans="1:20">
      <c r="A61" s="11">
        <v>45735.4375</v>
      </c>
      <c r="B61" s="11">
        <v>45735.458333333336</v>
      </c>
      <c r="C61" s="10">
        <v>45735</v>
      </c>
      <c r="D61" s="7">
        <v>558.45680000000004</v>
      </c>
      <c r="E61" s="7">
        <v>1537902</v>
      </c>
      <c r="F61" s="7">
        <v>1537902</v>
      </c>
      <c r="G61" s="7">
        <v>6505304</v>
      </c>
      <c r="H61" s="7">
        <v>559.21029999999996</v>
      </c>
      <c r="I61" s="7">
        <v>556.14710000000002</v>
      </c>
      <c r="J61" s="7">
        <v>4</v>
      </c>
      <c r="K61" s="7"/>
      <c r="L61" s="7"/>
      <c r="M61" s="7"/>
      <c r="N61" s="7">
        <v>559.16092334370001</v>
      </c>
      <c r="O61" s="7"/>
      <c r="P61" s="7"/>
      <c r="Q61">
        <v>0</v>
      </c>
      <c r="R61">
        <v>0</v>
      </c>
      <c r="S61" s="11">
        <v>45735.666666666664</v>
      </c>
      <c r="T61">
        <v>2487</v>
      </c>
    </row>
    <row r="62" spans="1:20">
      <c r="A62" s="11">
        <v>45735.458333333336</v>
      </c>
      <c r="B62" s="11">
        <v>45735.479166666664</v>
      </c>
      <c r="C62" s="10">
        <v>45735</v>
      </c>
      <c r="D62" s="7">
        <v>559.69600000000003</v>
      </c>
      <c r="E62" s="7">
        <v>1249190</v>
      </c>
      <c r="F62" s="7">
        <v>1249190</v>
      </c>
      <c r="G62" s="7">
        <v>7754494</v>
      </c>
      <c r="H62" s="7">
        <v>559.21029999999996</v>
      </c>
      <c r="I62" s="7">
        <v>556.14710000000002</v>
      </c>
      <c r="J62" s="7">
        <v>4</v>
      </c>
      <c r="K62" s="7"/>
      <c r="L62" s="7"/>
      <c r="M62" s="7"/>
      <c r="N62" s="7">
        <v>559.24712012299995</v>
      </c>
      <c r="O62" s="7"/>
      <c r="P62" s="7"/>
      <c r="Q62">
        <v>0</v>
      </c>
      <c r="R62">
        <v>0</v>
      </c>
      <c r="S62" s="11">
        <v>45735.666666666664</v>
      </c>
      <c r="T62">
        <v>2486</v>
      </c>
    </row>
    <row r="63" spans="1:20">
      <c r="A63" s="11">
        <v>45735.479166666664</v>
      </c>
      <c r="B63" s="11">
        <v>45735.5</v>
      </c>
      <c r="C63" s="10">
        <v>45735</v>
      </c>
      <c r="D63" s="7">
        <v>560.84590000000003</v>
      </c>
      <c r="E63" s="7">
        <v>1578164</v>
      </c>
      <c r="F63" s="7">
        <v>1578164</v>
      </c>
      <c r="G63" s="7">
        <v>9332658</v>
      </c>
      <c r="H63" s="7">
        <v>559.21029999999996</v>
      </c>
      <c r="I63" s="7">
        <v>556.14710000000002</v>
      </c>
      <c r="J63" s="7">
        <v>4</v>
      </c>
      <c r="K63" s="7"/>
      <c r="L63" s="7"/>
      <c r="M63" s="7"/>
      <c r="N63" s="7">
        <v>559.51747577579999</v>
      </c>
      <c r="O63" s="7"/>
      <c r="P63" s="7"/>
      <c r="Q63">
        <v>0</v>
      </c>
      <c r="R63">
        <v>0</v>
      </c>
      <c r="S63" s="11">
        <v>45735.666666666664</v>
      </c>
      <c r="T63">
        <v>2485</v>
      </c>
    </row>
    <row r="64" spans="1:20">
      <c r="A64" s="11">
        <v>45735.5</v>
      </c>
      <c r="B64" s="11">
        <v>45735.520833333336</v>
      </c>
      <c r="C64" s="10">
        <v>45735</v>
      </c>
      <c r="D64" s="7">
        <v>560.62789999999995</v>
      </c>
      <c r="E64" s="7">
        <v>1169906</v>
      </c>
      <c r="F64" s="7">
        <v>1169906</v>
      </c>
      <c r="G64" s="7">
        <v>10502564</v>
      </c>
      <c r="H64" s="7">
        <v>559.21029999999996</v>
      </c>
      <c r="I64" s="7">
        <v>556.14710000000002</v>
      </c>
      <c r="J64" s="7">
        <v>4</v>
      </c>
      <c r="K64" s="7"/>
      <c r="L64" s="7"/>
      <c r="M64" s="7"/>
      <c r="N64" s="7">
        <v>559.64116861519994</v>
      </c>
      <c r="O64" s="7"/>
      <c r="P64" s="7"/>
      <c r="Q64">
        <v>0</v>
      </c>
      <c r="R64">
        <v>0</v>
      </c>
      <c r="S64" s="11">
        <v>45735.666666666664</v>
      </c>
      <c r="T64">
        <v>2484</v>
      </c>
    </row>
    <row r="65" spans="1:20">
      <c r="A65" s="11">
        <v>45735.520833333336</v>
      </c>
      <c r="B65" s="11">
        <v>45735.541666666664</v>
      </c>
      <c r="C65" s="10">
        <v>45735</v>
      </c>
      <c r="D65" s="7">
        <v>559.97360000000003</v>
      </c>
      <c r="E65" s="7">
        <v>933003</v>
      </c>
      <c r="F65" s="7">
        <v>933003</v>
      </c>
      <c r="G65" s="7">
        <v>11435567</v>
      </c>
      <c r="H65" s="7">
        <v>559.21029999999996</v>
      </c>
      <c r="I65" s="7">
        <v>556.14710000000002</v>
      </c>
      <c r="J65" s="7">
        <v>4</v>
      </c>
      <c r="K65" s="7"/>
      <c r="L65" s="7"/>
      <c r="M65" s="7"/>
      <c r="N65" s="7">
        <v>559.66829096770005</v>
      </c>
      <c r="O65" s="7"/>
      <c r="P65" s="7"/>
      <c r="Q65">
        <v>0</v>
      </c>
      <c r="R65">
        <v>0</v>
      </c>
      <c r="S65" s="11">
        <v>45735.666666666664</v>
      </c>
      <c r="T65">
        <v>2483</v>
      </c>
    </row>
    <row r="66" spans="1:20">
      <c r="A66" s="11">
        <v>45735.541666666664</v>
      </c>
      <c r="B66" s="11">
        <v>45735.5625</v>
      </c>
      <c r="C66" s="10">
        <v>45735</v>
      </c>
      <c r="D66" s="7">
        <v>558.48789999999997</v>
      </c>
      <c r="E66" s="7">
        <v>1256609</v>
      </c>
      <c r="F66" s="7">
        <v>1256609</v>
      </c>
      <c r="G66" s="7">
        <v>12692176</v>
      </c>
      <c r="H66" s="7">
        <v>559.21029999999996</v>
      </c>
      <c r="I66" s="7">
        <v>556.14710000000002</v>
      </c>
      <c r="J66" s="7">
        <v>4</v>
      </c>
      <c r="K66" s="7"/>
      <c r="L66" s="7"/>
      <c r="M66" s="7"/>
      <c r="N66" s="7">
        <v>559.55142448920003</v>
      </c>
      <c r="O66" s="7"/>
      <c r="P66" s="7"/>
      <c r="Q66">
        <v>0</v>
      </c>
      <c r="R66">
        <v>0</v>
      </c>
      <c r="S66" s="11">
        <v>45735.666666666664</v>
      </c>
      <c r="T66">
        <v>2482</v>
      </c>
    </row>
    <row r="67" spans="1:20">
      <c r="A67" s="11">
        <v>45735.5625</v>
      </c>
      <c r="B67" s="11">
        <v>45735.583333333336</v>
      </c>
      <c r="C67" s="10">
        <v>45735</v>
      </c>
      <c r="D67" s="7">
        <v>557.87199999999996</v>
      </c>
      <c r="E67" s="7">
        <v>1261876</v>
      </c>
      <c r="F67" s="7">
        <v>1261876</v>
      </c>
      <c r="G67" s="7">
        <v>13954052</v>
      </c>
      <c r="H67" s="7">
        <v>559.21029999999996</v>
      </c>
      <c r="I67" s="7">
        <v>556.14710000000002</v>
      </c>
      <c r="J67" s="7">
        <v>4</v>
      </c>
      <c r="K67" s="7"/>
      <c r="L67" s="7"/>
      <c r="M67" s="7"/>
      <c r="N67" s="7">
        <v>559.3995527994</v>
      </c>
      <c r="O67" s="7"/>
      <c r="P67" s="7"/>
      <c r="Q67">
        <v>0</v>
      </c>
      <c r="R67">
        <v>0</v>
      </c>
      <c r="S67" s="11">
        <v>45735.666666666664</v>
      </c>
      <c r="T67">
        <v>2481</v>
      </c>
    </row>
    <row r="68" spans="1:20">
      <c r="A68" s="11">
        <v>45735.583333333336</v>
      </c>
      <c r="B68" s="11">
        <v>45735.604166666664</v>
      </c>
      <c r="C68" s="10">
        <v>45735</v>
      </c>
      <c r="D68" s="7">
        <v>559.83479999999997</v>
      </c>
      <c r="E68" s="7">
        <v>3592192</v>
      </c>
      <c r="F68" s="7">
        <v>3592192</v>
      </c>
      <c r="G68" s="7">
        <v>17546244</v>
      </c>
      <c r="H68" s="7">
        <v>559.21029999999996</v>
      </c>
      <c r="I68" s="7">
        <v>556.14710000000002</v>
      </c>
      <c r="J68" s="7">
        <v>4</v>
      </c>
      <c r="K68" s="7"/>
      <c r="L68" s="7"/>
      <c r="M68" s="7"/>
      <c r="N68" s="7">
        <v>559.48865970530005</v>
      </c>
      <c r="O68" s="7"/>
      <c r="P68" s="7"/>
      <c r="Q68">
        <v>0</v>
      </c>
      <c r="R68">
        <v>0</v>
      </c>
      <c r="S68" s="11">
        <v>45735.666666666664</v>
      </c>
      <c r="T68">
        <v>2480</v>
      </c>
    </row>
    <row r="69" spans="1:20">
      <c r="A69" s="11">
        <v>45735.604166666664</v>
      </c>
      <c r="B69" s="11">
        <v>45735.625</v>
      </c>
      <c r="C69" s="10">
        <v>45735</v>
      </c>
      <c r="D69" s="7">
        <v>563.30439999999999</v>
      </c>
      <c r="E69" s="7">
        <v>3986869</v>
      </c>
      <c r="F69" s="7">
        <v>3986869</v>
      </c>
      <c r="G69" s="7">
        <v>21533113</v>
      </c>
      <c r="H69" s="7">
        <v>559.21029999999996</v>
      </c>
      <c r="I69" s="7">
        <v>556.14710000000002</v>
      </c>
      <c r="J69" s="7">
        <v>4</v>
      </c>
      <c r="K69" s="7"/>
      <c r="L69" s="7"/>
      <c r="M69" s="7"/>
      <c r="N69" s="7">
        <v>560.19514634719997</v>
      </c>
      <c r="O69" s="7"/>
      <c r="P69" s="7"/>
      <c r="Q69">
        <v>0</v>
      </c>
      <c r="R69">
        <v>0</v>
      </c>
      <c r="S69" s="11">
        <v>45735.666666666664</v>
      </c>
      <c r="T69">
        <v>2479</v>
      </c>
    </row>
    <row r="70" spans="1:20">
      <c r="A70" s="11">
        <v>45735.625</v>
      </c>
      <c r="B70" s="11">
        <v>45735.645833333336</v>
      </c>
      <c r="C70" s="10">
        <v>45735</v>
      </c>
      <c r="D70" s="7">
        <v>562.15940000000001</v>
      </c>
      <c r="E70" s="7">
        <v>6591472</v>
      </c>
      <c r="F70" s="7">
        <v>6591472</v>
      </c>
      <c r="G70" s="7">
        <v>28124585</v>
      </c>
      <c r="H70" s="7">
        <v>559.21029999999996</v>
      </c>
      <c r="I70" s="7">
        <v>556.14710000000002</v>
      </c>
      <c r="J70" s="7">
        <v>4</v>
      </c>
      <c r="K70" s="7"/>
      <c r="L70" s="7"/>
      <c r="M70" s="7"/>
      <c r="N70" s="7">
        <v>560.65550240059997</v>
      </c>
      <c r="O70" s="7"/>
      <c r="P70" s="7"/>
      <c r="Q70">
        <v>0</v>
      </c>
      <c r="R70">
        <v>0</v>
      </c>
      <c r="S70" s="11">
        <v>45735.666666666664</v>
      </c>
      <c r="T70">
        <v>2478</v>
      </c>
    </row>
    <row r="71" spans="1:20">
      <c r="A71" s="11">
        <v>45735.645833333336</v>
      </c>
      <c r="B71" s="11">
        <v>45735.666666666664</v>
      </c>
      <c r="C71" s="10">
        <v>45735</v>
      </c>
      <c r="D71" s="7">
        <v>562.20399999999995</v>
      </c>
      <c r="E71" s="7">
        <v>10729524</v>
      </c>
      <c r="F71" s="7">
        <v>10729524</v>
      </c>
      <c r="G71" s="7">
        <v>38854109</v>
      </c>
      <c r="H71" s="7">
        <v>559.21029999999996</v>
      </c>
      <c r="I71" s="7">
        <v>556.14710000000002</v>
      </c>
      <c r="J71" s="7">
        <v>4</v>
      </c>
      <c r="K71" s="7"/>
      <c r="L71" s="7"/>
      <c r="M71" s="7"/>
      <c r="N71" s="7">
        <v>561.0913477309</v>
      </c>
      <c r="O71" s="7"/>
      <c r="P71" s="7"/>
      <c r="Q71">
        <v>0</v>
      </c>
      <c r="R71">
        <v>1</v>
      </c>
      <c r="S71" s="11">
        <v>45735.666666666664</v>
      </c>
      <c r="T71">
        <v>2477</v>
      </c>
    </row>
    <row r="72" spans="1:20">
      <c r="A72" s="11">
        <v>45736.395833333336</v>
      </c>
      <c r="B72" s="11">
        <v>45736.416666666664</v>
      </c>
      <c r="C72" s="10">
        <v>45736</v>
      </c>
      <c r="D72" s="7">
        <v>561.68849999999998</v>
      </c>
      <c r="E72" s="7">
        <v>3640210</v>
      </c>
      <c r="F72" s="7">
        <v>3640210</v>
      </c>
      <c r="G72" s="7">
        <v>3640210</v>
      </c>
      <c r="H72" s="7">
        <v>561.68849999999998</v>
      </c>
      <c r="I72" s="7">
        <v>562.20399999999995</v>
      </c>
      <c r="J72" s="7">
        <v>5</v>
      </c>
      <c r="K72" s="7"/>
      <c r="L72" s="7"/>
      <c r="M72" s="7"/>
      <c r="N72" s="7">
        <v>561.68849999999998</v>
      </c>
      <c r="O72" s="7"/>
      <c r="P72" s="7"/>
      <c r="Q72">
        <v>0</v>
      </c>
      <c r="R72">
        <v>0</v>
      </c>
      <c r="S72" s="11">
        <v>45736.666666666664</v>
      </c>
      <c r="T72">
        <v>2475</v>
      </c>
    </row>
    <row r="73" spans="1:20">
      <c r="A73" s="11">
        <v>45736.416666666664</v>
      </c>
      <c r="B73" s="11">
        <v>45736.4375</v>
      </c>
      <c r="C73" s="10">
        <v>45736</v>
      </c>
      <c r="D73" s="7">
        <v>564.54349999999999</v>
      </c>
      <c r="E73" s="7">
        <v>3494509</v>
      </c>
      <c r="F73" s="7">
        <v>3494509</v>
      </c>
      <c r="G73" s="7">
        <v>7134719</v>
      </c>
      <c r="H73" s="7">
        <v>561.68849999999998</v>
      </c>
      <c r="I73" s="7">
        <v>562.20399999999995</v>
      </c>
      <c r="J73" s="7">
        <v>5</v>
      </c>
      <c r="K73" s="7"/>
      <c r="L73" s="7"/>
      <c r="M73" s="7"/>
      <c r="N73" s="7">
        <v>563.08684844159995</v>
      </c>
      <c r="O73" s="7"/>
      <c r="P73" s="7"/>
      <c r="Q73">
        <v>0</v>
      </c>
      <c r="R73">
        <v>0</v>
      </c>
      <c r="S73" s="11">
        <v>45736.666666666664</v>
      </c>
      <c r="T73">
        <v>2474</v>
      </c>
    </row>
    <row r="74" spans="1:20">
      <c r="A74" s="11">
        <v>45736.4375</v>
      </c>
      <c r="B74" s="11">
        <v>45736.458333333336</v>
      </c>
      <c r="C74" s="10">
        <v>45736</v>
      </c>
      <c r="D74" s="7">
        <v>564.55349999999999</v>
      </c>
      <c r="E74" s="7">
        <v>2019260</v>
      </c>
      <c r="F74" s="7">
        <v>2019260</v>
      </c>
      <c r="G74" s="7">
        <v>9153979</v>
      </c>
      <c r="H74" s="7">
        <v>561.68849999999998</v>
      </c>
      <c r="I74" s="7">
        <v>562.20399999999995</v>
      </c>
      <c r="J74" s="7">
        <v>5</v>
      </c>
      <c r="K74" s="7"/>
      <c r="L74" s="7"/>
      <c r="M74" s="7"/>
      <c r="N74" s="7">
        <v>563.41037450889996</v>
      </c>
      <c r="O74" s="7"/>
      <c r="P74" s="7"/>
      <c r="Q74">
        <v>0</v>
      </c>
      <c r="R74">
        <v>0</v>
      </c>
      <c r="S74" s="11">
        <v>45736.666666666664</v>
      </c>
      <c r="T74">
        <v>2473</v>
      </c>
    </row>
    <row r="75" spans="1:20">
      <c r="A75" s="11">
        <v>45736.458333333336</v>
      </c>
      <c r="B75" s="11">
        <v>45736.479166666664</v>
      </c>
      <c r="C75" s="10">
        <v>45736</v>
      </c>
      <c r="D75" s="7">
        <v>563.96860000000004</v>
      </c>
      <c r="E75" s="7">
        <v>1683351</v>
      </c>
      <c r="F75" s="7">
        <v>1683351</v>
      </c>
      <c r="G75" s="7">
        <v>10837330</v>
      </c>
      <c r="H75" s="7">
        <v>561.68849999999998</v>
      </c>
      <c r="I75" s="7">
        <v>562.20399999999995</v>
      </c>
      <c r="J75" s="7">
        <v>5</v>
      </c>
      <c r="K75" s="7"/>
      <c r="L75" s="7"/>
      <c r="M75" s="7"/>
      <c r="N75" s="7">
        <v>563.49708308369998</v>
      </c>
      <c r="O75" s="7"/>
      <c r="P75" s="7"/>
      <c r="Q75">
        <v>0</v>
      </c>
      <c r="R75">
        <v>0</v>
      </c>
      <c r="S75" s="11">
        <v>45736.666666666664</v>
      </c>
      <c r="T75">
        <v>2472</v>
      </c>
    </row>
    <row r="76" spans="1:20">
      <c r="A76" s="11">
        <v>45736.479166666664</v>
      </c>
      <c r="B76" s="11">
        <v>45736.5</v>
      </c>
      <c r="C76" s="10">
        <v>45736</v>
      </c>
      <c r="D76" s="7">
        <v>563.10630000000003</v>
      </c>
      <c r="E76" s="7">
        <v>1988015</v>
      </c>
      <c r="F76" s="7">
        <v>1988015</v>
      </c>
      <c r="G76" s="7">
        <v>12825345</v>
      </c>
      <c r="H76" s="7">
        <v>561.68849999999998</v>
      </c>
      <c r="I76" s="7">
        <v>562.20399999999995</v>
      </c>
      <c r="J76" s="7">
        <v>5</v>
      </c>
      <c r="K76" s="7"/>
      <c r="L76" s="7"/>
      <c r="M76" s="7"/>
      <c r="N76" s="7">
        <v>563.43650906929997</v>
      </c>
      <c r="O76" s="7"/>
      <c r="P76" s="7"/>
      <c r="Q76">
        <v>0</v>
      </c>
      <c r="R76">
        <v>0</v>
      </c>
      <c r="S76" s="11">
        <v>45736.666666666664</v>
      </c>
      <c r="T76">
        <v>2471</v>
      </c>
    </row>
    <row r="77" spans="1:20">
      <c r="A77" s="11">
        <v>45736.5</v>
      </c>
      <c r="B77" s="11">
        <v>45736.520833333336</v>
      </c>
      <c r="C77" s="10">
        <v>45736</v>
      </c>
      <c r="D77" s="7">
        <v>561.24239999999998</v>
      </c>
      <c r="E77" s="7">
        <v>2198540</v>
      </c>
      <c r="F77" s="7">
        <v>2198540</v>
      </c>
      <c r="G77" s="7">
        <v>15023885</v>
      </c>
      <c r="H77" s="7">
        <v>561.68849999999998</v>
      </c>
      <c r="I77" s="7">
        <v>562.20399999999995</v>
      </c>
      <c r="J77" s="7">
        <v>5</v>
      </c>
      <c r="K77" s="7"/>
      <c r="L77" s="7"/>
      <c r="M77" s="7"/>
      <c r="N77" s="7">
        <v>563.1154312287</v>
      </c>
      <c r="O77" s="7"/>
      <c r="P77" s="7"/>
      <c r="Q77">
        <v>0</v>
      </c>
      <c r="R77">
        <v>0</v>
      </c>
      <c r="S77" s="11">
        <v>45736.666666666664</v>
      </c>
      <c r="T77">
        <v>2470</v>
      </c>
    </row>
    <row r="78" spans="1:20">
      <c r="A78" s="11">
        <v>45736.520833333336</v>
      </c>
      <c r="B78" s="11">
        <v>45736.541666666664</v>
      </c>
      <c r="C78" s="10">
        <v>45736</v>
      </c>
      <c r="D78" s="7">
        <v>560.90549999999996</v>
      </c>
      <c r="E78" s="7">
        <v>1841618</v>
      </c>
      <c r="F78" s="7">
        <v>1841618</v>
      </c>
      <c r="G78" s="7">
        <v>16865503</v>
      </c>
      <c r="H78" s="7">
        <v>561.68849999999998</v>
      </c>
      <c r="I78" s="7">
        <v>562.20399999999995</v>
      </c>
      <c r="J78" s="7">
        <v>5</v>
      </c>
      <c r="K78" s="7"/>
      <c r="L78" s="7"/>
      <c r="M78" s="7"/>
      <c r="N78" s="7">
        <v>562.87411917719999</v>
      </c>
      <c r="O78" s="7"/>
      <c r="P78" s="7"/>
      <c r="Q78">
        <v>0</v>
      </c>
      <c r="R78">
        <v>0</v>
      </c>
      <c r="S78" s="11">
        <v>45736.666666666664</v>
      </c>
      <c r="T78">
        <v>2469</v>
      </c>
    </row>
    <row r="79" spans="1:20">
      <c r="A79" s="11">
        <v>45736.541666666664</v>
      </c>
      <c r="B79" s="11">
        <v>45736.5625</v>
      </c>
      <c r="C79" s="10">
        <v>45736</v>
      </c>
      <c r="D79" s="7">
        <v>559.8741</v>
      </c>
      <c r="E79" s="7">
        <v>1620936</v>
      </c>
      <c r="F79" s="7">
        <v>1620936</v>
      </c>
      <c r="G79" s="7">
        <v>18486439</v>
      </c>
      <c r="H79" s="7">
        <v>561.68849999999998</v>
      </c>
      <c r="I79" s="7">
        <v>562.20399999999995</v>
      </c>
      <c r="J79" s="7">
        <v>5</v>
      </c>
      <c r="K79" s="7"/>
      <c r="L79" s="7"/>
      <c r="M79" s="7"/>
      <c r="N79" s="7">
        <v>562.61107018840005</v>
      </c>
      <c r="O79" s="7"/>
      <c r="P79" s="7"/>
      <c r="Q79">
        <v>0</v>
      </c>
      <c r="R79">
        <v>0</v>
      </c>
      <c r="S79" s="11">
        <v>45736.666666666664</v>
      </c>
      <c r="T79">
        <v>2468</v>
      </c>
    </row>
    <row r="80" spans="1:20">
      <c r="A80" s="11">
        <v>45736.5625</v>
      </c>
      <c r="B80" s="11">
        <v>45736.583333333336</v>
      </c>
      <c r="C80" s="10">
        <v>45736</v>
      </c>
      <c r="D80" s="7">
        <v>560.28009999999995</v>
      </c>
      <c r="E80" s="7">
        <v>1642805</v>
      </c>
      <c r="F80" s="7">
        <v>1642805</v>
      </c>
      <c r="G80" s="7">
        <v>20129244</v>
      </c>
      <c r="H80" s="7">
        <v>561.68849999999998</v>
      </c>
      <c r="I80" s="7">
        <v>562.20399999999995</v>
      </c>
      <c r="J80" s="7">
        <v>5</v>
      </c>
      <c r="K80" s="7"/>
      <c r="L80" s="7"/>
      <c r="M80" s="7"/>
      <c r="N80" s="7">
        <v>562.42083306469999</v>
      </c>
      <c r="O80" s="7"/>
      <c r="P80" s="7"/>
      <c r="Q80">
        <v>0</v>
      </c>
      <c r="R80">
        <v>0</v>
      </c>
      <c r="S80" s="11">
        <v>45736.666666666664</v>
      </c>
      <c r="T80">
        <v>2467</v>
      </c>
    </row>
    <row r="81" spans="1:20">
      <c r="A81" s="11">
        <v>45736.583333333336</v>
      </c>
      <c r="B81" s="11">
        <v>45736.604166666664</v>
      </c>
      <c r="C81" s="10">
        <v>45736</v>
      </c>
      <c r="D81" s="7">
        <v>559.23009999999999</v>
      </c>
      <c r="E81" s="7">
        <v>1713027</v>
      </c>
      <c r="F81" s="7">
        <v>1713027</v>
      </c>
      <c r="G81" s="7">
        <v>21842271</v>
      </c>
      <c r="H81" s="7">
        <v>561.68849999999998</v>
      </c>
      <c r="I81" s="7">
        <v>562.20399999999995</v>
      </c>
      <c r="J81" s="7">
        <v>5</v>
      </c>
      <c r="K81" s="7"/>
      <c r="L81" s="7"/>
      <c r="M81" s="7"/>
      <c r="N81" s="7">
        <v>562.17059297339995</v>
      </c>
      <c r="O81" s="7"/>
      <c r="P81" s="7"/>
      <c r="Q81">
        <v>0</v>
      </c>
      <c r="R81">
        <v>0</v>
      </c>
      <c r="S81" s="11">
        <v>45736.666666666664</v>
      </c>
      <c r="T81">
        <v>2466</v>
      </c>
    </row>
    <row r="82" spans="1:20">
      <c r="A82" s="11">
        <v>45736.604166666664</v>
      </c>
      <c r="B82" s="11">
        <v>45736.625</v>
      </c>
      <c r="C82" s="10">
        <v>45736</v>
      </c>
      <c r="D82" s="7">
        <v>559.47789999999998</v>
      </c>
      <c r="E82" s="7">
        <v>2764366</v>
      </c>
      <c r="F82" s="7">
        <v>2764366</v>
      </c>
      <c r="G82" s="7">
        <v>24606637</v>
      </c>
      <c r="H82" s="7">
        <v>561.68849999999998</v>
      </c>
      <c r="I82" s="7">
        <v>562.20399999999995</v>
      </c>
      <c r="J82" s="7">
        <v>5</v>
      </c>
      <c r="K82" s="7"/>
      <c r="L82" s="7"/>
      <c r="M82" s="7"/>
      <c r="N82" s="7">
        <v>561.86808967299999</v>
      </c>
      <c r="O82" s="7"/>
      <c r="P82" s="7"/>
      <c r="Q82">
        <v>0</v>
      </c>
      <c r="R82">
        <v>0</v>
      </c>
      <c r="S82" s="11">
        <v>45736.666666666664</v>
      </c>
      <c r="T82">
        <v>2465</v>
      </c>
    </row>
    <row r="83" spans="1:20">
      <c r="A83" s="11">
        <v>45736.625</v>
      </c>
      <c r="B83" s="11">
        <v>45736.645833333336</v>
      </c>
      <c r="C83" s="10">
        <v>45736</v>
      </c>
      <c r="D83" s="7">
        <v>559.89919999999995</v>
      </c>
      <c r="E83" s="7">
        <v>2737038</v>
      </c>
      <c r="F83" s="7">
        <v>2737038</v>
      </c>
      <c r="G83" s="7">
        <v>27343675</v>
      </c>
      <c r="H83" s="7">
        <v>561.68849999999998</v>
      </c>
      <c r="I83" s="7">
        <v>562.20399999999995</v>
      </c>
      <c r="J83" s="7">
        <v>5</v>
      </c>
      <c r="K83" s="7"/>
      <c r="L83" s="7"/>
      <c r="M83" s="7"/>
      <c r="N83" s="7">
        <v>561.67100841549995</v>
      </c>
      <c r="O83" s="7"/>
      <c r="P83" s="7"/>
      <c r="Q83">
        <v>0</v>
      </c>
      <c r="R83">
        <v>0</v>
      </c>
      <c r="S83" s="11">
        <v>45736.666666666664</v>
      </c>
      <c r="T83">
        <v>2464</v>
      </c>
    </row>
    <row r="84" spans="1:20">
      <c r="A84" s="11">
        <v>45736.645833333336</v>
      </c>
      <c r="B84" s="11">
        <v>45736.666666666664</v>
      </c>
      <c r="C84" s="10">
        <v>45736</v>
      </c>
      <c r="D84" s="7">
        <v>560.57820000000004</v>
      </c>
      <c r="E84" s="7">
        <v>9519700</v>
      </c>
      <c r="F84" s="7">
        <v>9519700</v>
      </c>
      <c r="G84" s="7">
        <v>36863375</v>
      </c>
      <c r="H84" s="7">
        <v>561.68849999999998</v>
      </c>
      <c r="I84" s="7">
        <v>562.20399999999995</v>
      </c>
      <c r="J84" s="7">
        <v>5</v>
      </c>
      <c r="K84" s="7"/>
      <c r="L84" s="7"/>
      <c r="M84" s="7"/>
      <c r="N84" s="7">
        <v>561.44514711730005</v>
      </c>
      <c r="O84" s="7"/>
      <c r="P84" s="7"/>
      <c r="Q84">
        <v>0</v>
      </c>
      <c r="R84">
        <v>1</v>
      </c>
      <c r="S84" s="11">
        <v>45736.666666666664</v>
      </c>
      <c r="T84">
        <v>2463</v>
      </c>
    </row>
    <row r="85" spans="1:20">
      <c r="A85" s="11">
        <v>45737.395833333336</v>
      </c>
      <c r="B85" s="11">
        <v>45737.416666666664</v>
      </c>
      <c r="C85" s="10">
        <v>45737</v>
      </c>
      <c r="D85" s="7">
        <v>556.73649999999998</v>
      </c>
      <c r="E85" s="7">
        <v>5335251</v>
      </c>
      <c r="F85" s="7">
        <v>5335251</v>
      </c>
      <c r="G85" s="7">
        <v>5335251</v>
      </c>
      <c r="H85" s="7">
        <v>556.73649999999998</v>
      </c>
      <c r="I85" s="7">
        <v>560.57830000000001</v>
      </c>
      <c r="J85" s="7">
        <v>6</v>
      </c>
      <c r="K85" s="7"/>
      <c r="L85" s="7"/>
      <c r="M85" s="7"/>
      <c r="N85" s="7">
        <v>556.73649999999998</v>
      </c>
      <c r="O85" s="7"/>
      <c r="P85" s="7"/>
      <c r="Q85">
        <v>0</v>
      </c>
      <c r="R85">
        <v>0</v>
      </c>
      <c r="S85" s="11">
        <v>45737.666666666664</v>
      </c>
      <c r="T85">
        <v>2461</v>
      </c>
    </row>
    <row r="86" spans="1:20">
      <c r="A86" s="11">
        <v>45737.416666666664</v>
      </c>
      <c r="B86" s="11">
        <v>45737.4375</v>
      </c>
      <c r="C86" s="10">
        <v>45737</v>
      </c>
      <c r="D86" s="7">
        <v>556.59670000000006</v>
      </c>
      <c r="E86" s="7">
        <v>2235949</v>
      </c>
      <c r="F86" s="7">
        <v>2235949</v>
      </c>
      <c r="G86" s="7">
        <v>7571200</v>
      </c>
      <c r="H86" s="7">
        <v>556.73649999999998</v>
      </c>
      <c r="I86" s="7">
        <v>560.57830000000001</v>
      </c>
      <c r="J86" s="7">
        <v>6</v>
      </c>
      <c r="K86" s="7"/>
      <c r="L86" s="7"/>
      <c r="M86" s="7"/>
      <c r="N86" s="7">
        <v>556.69521385380006</v>
      </c>
      <c r="O86" s="7"/>
      <c r="P86" s="7"/>
      <c r="Q86">
        <v>0</v>
      </c>
      <c r="R86">
        <v>0</v>
      </c>
      <c r="S86" s="11">
        <v>45737.666666666664</v>
      </c>
      <c r="T86">
        <v>2460</v>
      </c>
    </row>
    <row r="87" spans="1:20">
      <c r="A87" s="11">
        <v>45737.4375</v>
      </c>
      <c r="B87" s="11">
        <v>45737.458333333336</v>
      </c>
      <c r="C87" s="10">
        <v>45737</v>
      </c>
      <c r="D87" s="7">
        <v>558.33569999999997</v>
      </c>
      <c r="E87" s="7">
        <v>1866666</v>
      </c>
      <c r="F87" s="7">
        <v>1866666</v>
      </c>
      <c r="G87" s="7">
        <v>9437866</v>
      </c>
      <c r="H87" s="7">
        <v>556.73649999999998</v>
      </c>
      <c r="I87" s="7">
        <v>560.57830000000001</v>
      </c>
      <c r="J87" s="7">
        <v>6</v>
      </c>
      <c r="K87" s="7"/>
      <c r="L87" s="7"/>
      <c r="M87" s="7"/>
      <c r="N87" s="7">
        <v>557.01967700180001</v>
      </c>
      <c r="O87" s="7"/>
      <c r="P87" s="7"/>
      <c r="Q87">
        <v>0</v>
      </c>
      <c r="R87">
        <v>0</v>
      </c>
      <c r="S87" s="11">
        <v>45737.666666666664</v>
      </c>
      <c r="T87">
        <v>2459</v>
      </c>
    </row>
    <row r="88" spans="1:20">
      <c r="A88" s="11">
        <v>45737.458333333336</v>
      </c>
      <c r="B88" s="11">
        <v>45737.479166666664</v>
      </c>
      <c r="C88" s="10">
        <v>45737</v>
      </c>
      <c r="D88" s="7">
        <v>556.61659999999995</v>
      </c>
      <c r="E88" s="7">
        <v>1672206</v>
      </c>
      <c r="F88" s="7">
        <v>1672206</v>
      </c>
      <c r="G88" s="7">
        <v>11110072</v>
      </c>
      <c r="H88" s="7">
        <v>556.73649999999998</v>
      </c>
      <c r="I88" s="7">
        <v>560.57830000000001</v>
      </c>
      <c r="J88" s="7">
        <v>6</v>
      </c>
      <c r="K88" s="7"/>
      <c r="L88" s="7"/>
      <c r="M88" s="7"/>
      <c r="N88" s="7">
        <v>556.95900882779995</v>
      </c>
      <c r="O88" s="7"/>
      <c r="P88" s="7"/>
      <c r="Q88">
        <v>0</v>
      </c>
      <c r="R88">
        <v>0</v>
      </c>
      <c r="S88" s="11">
        <v>45737.666666666664</v>
      </c>
      <c r="T88">
        <v>2458</v>
      </c>
    </row>
    <row r="89" spans="1:20">
      <c r="A89" s="11">
        <v>45737.479166666664</v>
      </c>
      <c r="B89" s="11">
        <v>45737.5</v>
      </c>
      <c r="C89" s="10">
        <v>45737</v>
      </c>
      <c r="D89" s="7">
        <v>556.12940000000003</v>
      </c>
      <c r="E89" s="7">
        <v>1288490</v>
      </c>
      <c r="F89" s="7">
        <v>1288490</v>
      </c>
      <c r="G89" s="7">
        <v>12398562</v>
      </c>
      <c r="H89" s="7">
        <v>556.73649999999998</v>
      </c>
      <c r="I89" s="7">
        <v>560.57830000000001</v>
      </c>
      <c r="J89" s="7">
        <v>6</v>
      </c>
      <c r="K89" s="7"/>
      <c r="L89" s="7"/>
      <c r="M89" s="7"/>
      <c r="N89" s="7">
        <v>556.87279377489995</v>
      </c>
      <c r="O89" s="7"/>
      <c r="P89" s="7"/>
      <c r="Q89">
        <v>0</v>
      </c>
      <c r="R89">
        <v>0</v>
      </c>
      <c r="S89" s="11">
        <v>45737.666666666664</v>
      </c>
      <c r="T89">
        <v>2457</v>
      </c>
    </row>
    <row r="90" spans="1:20">
      <c r="A90" s="11">
        <v>45737.5</v>
      </c>
      <c r="B90" s="11">
        <v>45737.520833333336</v>
      </c>
      <c r="C90" s="10">
        <v>45737</v>
      </c>
      <c r="D90" s="7">
        <v>559.15200000000004</v>
      </c>
      <c r="E90" s="7">
        <v>2888490</v>
      </c>
      <c r="F90" s="7">
        <v>2888490</v>
      </c>
      <c r="G90" s="7">
        <v>15287052</v>
      </c>
      <c r="H90" s="7">
        <v>556.73649999999998</v>
      </c>
      <c r="I90" s="7">
        <v>560.57830000000001</v>
      </c>
      <c r="J90" s="7">
        <v>6</v>
      </c>
      <c r="K90" s="7"/>
      <c r="L90" s="7"/>
      <c r="M90" s="7"/>
      <c r="N90" s="7">
        <v>557.30345001850003</v>
      </c>
      <c r="O90" s="7"/>
      <c r="P90" s="7"/>
      <c r="Q90">
        <v>0</v>
      </c>
      <c r="R90">
        <v>0</v>
      </c>
      <c r="S90" s="11">
        <v>45737.666666666664</v>
      </c>
      <c r="T90">
        <v>2456</v>
      </c>
    </row>
    <row r="91" spans="1:20">
      <c r="A91" s="11">
        <v>45737.520833333336</v>
      </c>
      <c r="B91" s="11">
        <v>45737.541666666664</v>
      </c>
      <c r="C91" s="10">
        <v>45737</v>
      </c>
      <c r="D91" s="7">
        <v>560.40480000000002</v>
      </c>
      <c r="E91" s="7">
        <v>1866892</v>
      </c>
      <c r="F91" s="7">
        <v>1866892</v>
      </c>
      <c r="G91" s="7">
        <v>17153944</v>
      </c>
      <c r="H91" s="7">
        <v>556.73649999999998</v>
      </c>
      <c r="I91" s="7">
        <v>560.57830000000001</v>
      </c>
      <c r="J91" s="7">
        <v>6</v>
      </c>
      <c r="K91" s="7"/>
      <c r="L91" s="7"/>
      <c r="M91" s="7"/>
      <c r="N91" s="7">
        <v>557.64097504879999</v>
      </c>
      <c r="O91" s="7"/>
      <c r="P91" s="7"/>
      <c r="Q91">
        <v>0</v>
      </c>
      <c r="R91">
        <v>0</v>
      </c>
      <c r="S91" s="11">
        <v>45737.666666666664</v>
      </c>
      <c r="T91">
        <v>2455</v>
      </c>
    </row>
    <row r="92" spans="1:20">
      <c r="A92" s="11">
        <v>45737.541666666664</v>
      </c>
      <c r="B92" s="11">
        <v>45737.5625</v>
      </c>
      <c r="C92" s="10">
        <v>45737</v>
      </c>
      <c r="D92" s="7">
        <v>558.89350000000002</v>
      </c>
      <c r="E92" s="7">
        <v>1354991</v>
      </c>
      <c r="F92" s="7">
        <v>1354991</v>
      </c>
      <c r="G92" s="7">
        <v>18508935</v>
      </c>
      <c r="H92" s="7">
        <v>556.73649999999998</v>
      </c>
      <c r="I92" s="7">
        <v>560.57830000000001</v>
      </c>
      <c r="J92" s="7">
        <v>6</v>
      </c>
      <c r="K92" s="7"/>
      <c r="L92" s="7"/>
      <c r="M92" s="7"/>
      <c r="N92" s="7">
        <v>557.73266914340002</v>
      </c>
      <c r="O92" s="7"/>
      <c r="P92" s="7"/>
      <c r="Q92">
        <v>0</v>
      </c>
      <c r="R92">
        <v>0</v>
      </c>
      <c r="S92" s="11">
        <v>45737.666666666664</v>
      </c>
      <c r="T92">
        <v>2454</v>
      </c>
    </row>
    <row r="93" spans="1:20">
      <c r="A93" s="11">
        <v>45737.5625</v>
      </c>
      <c r="B93" s="11">
        <v>45737.583333333336</v>
      </c>
      <c r="C93" s="10">
        <v>45737</v>
      </c>
      <c r="D93" s="7">
        <v>559.68399999999997</v>
      </c>
      <c r="E93" s="7">
        <v>1643655</v>
      </c>
      <c r="F93" s="7">
        <v>1643655</v>
      </c>
      <c r="G93" s="7">
        <v>20152590</v>
      </c>
      <c r="H93" s="7">
        <v>556.73649999999998</v>
      </c>
      <c r="I93" s="7">
        <v>560.57830000000001</v>
      </c>
      <c r="J93" s="7">
        <v>6</v>
      </c>
      <c r="K93" s="7"/>
      <c r="L93" s="7"/>
      <c r="M93" s="7"/>
      <c r="N93" s="7">
        <v>557.8918206331</v>
      </c>
      <c r="O93" s="7"/>
      <c r="P93" s="7"/>
      <c r="Q93">
        <v>0</v>
      </c>
      <c r="R93">
        <v>0</v>
      </c>
      <c r="S93" s="11">
        <v>45737.666666666664</v>
      </c>
      <c r="T93">
        <v>2453</v>
      </c>
    </row>
    <row r="94" spans="1:20">
      <c r="A94" s="11">
        <v>45737.583333333336</v>
      </c>
      <c r="B94" s="11">
        <v>45737.604166666664</v>
      </c>
      <c r="C94" s="10">
        <v>45737</v>
      </c>
      <c r="D94" s="7">
        <v>558.91340000000002</v>
      </c>
      <c r="E94" s="7">
        <v>1683597</v>
      </c>
      <c r="F94" s="7">
        <v>1683597</v>
      </c>
      <c r="G94" s="7">
        <v>21836187</v>
      </c>
      <c r="H94" s="7">
        <v>556.73649999999998</v>
      </c>
      <c r="I94" s="7">
        <v>560.57830000000001</v>
      </c>
      <c r="J94" s="7">
        <v>6</v>
      </c>
      <c r="K94" s="7"/>
      <c r="L94" s="7"/>
      <c r="M94" s="7"/>
      <c r="N94" s="7">
        <v>557.97058566459998</v>
      </c>
      <c r="O94" s="7"/>
      <c r="P94" s="7"/>
      <c r="Q94">
        <v>0</v>
      </c>
      <c r="R94">
        <v>0</v>
      </c>
      <c r="S94" s="11">
        <v>45737.666666666664</v>
      </c>
      <c r="T94">
        <v>2452</v>
      </c>
    </row>
    <row r="95" spans="1:20">
      <c r="A95" s="11">
        <v>45737.604166666664</v>
      </c>
      <c r="B95" s="11">
        <v>45737.625</v>
      </c>
      <c r="C95" s="10">
        <v>45737</v>
      </c>
      <c r="D95" s="7">
        <v>559.34090000000003</v>
      </c>
      <c r="E95" s="7">
        <v>1594319</v>
      </c>
      <c r="F95" s="7">
        <v>1594319</v>
      </c>
      <c r="G95" s="7">
        <v>23430506</v>
      </c>
      <c r="H95" s="7">
        <v>556.73649999999998</v>
      </c>
      <c r="I95" s="7">
        <v>560.57830000000001</v>
      </c>
      <c r="J95" s="7">
        <v>6</v>
      </c>
      <c r="K95" s="7"/>
      <c r="L95" s="7"/>
      <c r="M95" s="7"/>
      <c r="N95" s="7">
        <v>558.06382813150003</v>
      </c>
      <c r="O95" s="7"/>
      <c r="P95" s="7"/>
      <c r="Q95">
        <v>0</v>
      </c>
      <c r="R95">
        <v>0</v>
      </c>
      <c r="S95" s="11">
        <v>45737.666666666664</v>
      </c>
      <c r="T95">
        <v>2451</v>
      </c>
    </row>
    <row r="96" spans="1:20">
      <c r="A96" s="11">
        <v>45737.625</v>
      </c>
      <c r="B96" s="11">
        <v>45737.645833333336</v>
      </c>
      <c r="C96" s="10">
        <v>45737</v>
      </c>
      <c r="D96" s="7">
        <v>558.81399999999996</v>
      </c>
      <c r="E96" s="7">
        <v>2111819</v>
      </c>
      <c r="F96" s="7">
        <v>2111819</v>
      </c>
      <c r="G96" s="7">
        <v>25542325</v>
      </c>
      <c r="H96" s="7">
        <v>556.73649999999998</v>
      </c>
      <c r="I96" s="7">
        <v>560.57830000000001</v>
      </c>
      <c r="J96" s="7">
        <v>6</v>
      </c>
      <c r="K96" s="7"/>
      <c r="L96" s="7"/>
      <c r="M96" s="7"/>
      <c r="N96" s="7">
        <v>558.12585174159994</v>
      </c>
      <c r="O96" s="7"/>
      <c r="P96" s="7"/>
      <c r="Q96">
        <v>0</v>
      </c>
      <c r="R96">
        <v>0</v>
      </c>
      <c r="S96" s="11">
        <v>45737.666666666664</v>
      </c>
      <c r="T96">
        <v>2450</v>
      </c>
    </row>
    <row r="97" spans="1:20">
      <c r="A97" s="11">
        <v>45737.645833333336</v>
      </c>
      <c r="B97" s="11">
        <v>45737.666666666664</v>
      </c>
      <c r="C97" s="10">
        <v>45737</v>
      </c>
      <c r="D97" s="7">
        <v>560.76279999999997</v>
      </c>
      <c r="E97" s="7">
        <v>13739369</v>
      </c>
      <c r="F97" s="7">
        <v>13739369</v>
      </c>
      <c r="G97" s="7">
        <v>39281694</v>
      </c>
      <c r="H97" s="7">
        <v>556.73649999999998</v>
      </c>
      <c r="I97" s="7">
        <v>560.57830000000001</v>
      </c>
      <c r="J97" s="7">
        <v>6</v>
      </c>
      <c r="K97" s="7"/>
      <c r="L97" s="7"/>
      <c r="M97" s="7"/>
      <c r="N97" s="7">
        <v>559.04120411190002</v>
      </c>
      <c r="O97" s="7"/>
      <c r="P97" s="7"/>
      <c r="Q97">
        <v>0</v>
      </c>
      <c r="R97">
        <v>1</v>
      </c>
      <c r="S97" s="11">
        <v>45737.666666666664</v>
      </c>
      <c r="T97">
        <v>2449</v>
      </c>
    </row>
    <row r="98" spans="1:20">
      <c r="A98" s="11">
        <v>45740.395833333336</v>
      </c>
      <c r="B98" s="11">
        <v>45740.416666666664</v>
      </c>
      <c r="C98" s="10">
        <v>45740</v>
      </c>
      <c r="D98" s="7">
        <v>569.52750000000003</v>
      </c>
      <c r="E98" s="7">
        <v>4829783</v>
      </c>
      <c r="F98" s="7">
        <v>4829783</v>
      </c>
      <c r="G98" s="7">
        <v>4829783</v>
      </c>
      <c r="H98" s="7">
        <v>569.52750000000003</v>
      </c>
      <c r="I98" s="7">
        <v>560.76260000000002</v>
      </c>
      <c r="J98" s="7">
        <v>7</v>
      </c>
      <c r="K98" s="7"/>
      <c r="L98" s="7"/>
      <c r="M98" s="7"/>
      <c r="N98" s="7">
        <v>569.52750000000003</v>
      </c>
      <c r="O98" s="7"/>
      <c r="P98" s="7"/>
      <c r="Q98">
        <v>0</v>
      </c>
      <c r="R98">
        <v>0</v>
      </c>
      <c r="S98" s="11">
        <v>45740.666666666664</v>
      </c>
      <c r="T98">
        <v>2447</v>
      </c>
    </row>
    <row r="99" spans="1:20">
      <c r="A99" s="11">
        <v>45740.416666666664</v>
      </c>
      <c r="B99" s="11">
        <v>45740.4375</v>
      </c>
      <c r="C99" s="10">
        <v>45740</v>
      </c>
      <c r="D99" s="7">
        <v>569.88049999999998</v>
      </c>
      <c r="E99" s="7">
        <v>2447610</v>
      </c>
      <c r="F99" s="7">
        <v>2447610</v>
      </c>
      <c r="G99" s="7">
        <v>7277393</v>
      </c>
      <c r="H99" s="7">
        <v>569.52750000000003</v>
      </c>
      <c r="I99" s="7">
        <v>560.76260000000002</v>
      </c>
      <c r="J99" s="7">
        <v>7</v>
      </c>
      <c r="K99" s="7"/>
      <c r="L99" s="7"/>
      <c r="M99" s="7"/>
      <c r="N99" s="7">
        <v>569.64622470400002</v>
      </c>
      <c r="O99" s="7"/>
      <c r="P99" s="7"/>
      <c r="Q99">
        <v>0</v>
      </c>
      <c r="R99">
        <v>0</v>
      </c>
      <c r="S99" s="11">
        <v>45740.666666666664</v>
      </c>
      <c r="T99">
        <v>2446</v>
      </c>
    </row>
    <row r="100" spans="1:20">
      <c r="A100" s="11">
        <v>45740.4375</v>
      </c>
      <c r="B100" s="11">
        <v>45740.458333333336</v>
      </c>
      <c r="C100" s="10">
        <v>45740</v>
      </c>
      <c r="D100" s="7">
        <v>570.31799999999998</v>
      </c>
      <c r="E100" s="7">
        <v>2357597</v>
      </c>
      <c r="F100" s="7">
        <v>2357597</v>
      </c>
      <c r="G100" s="7">
        <v>9634990</v>
      </c>
      <c r="H100" s="7">
        <v>569.52750000000003</v>
      </c>
      <c r="I100" s="7">
        <v>560.76260000000002</v>
      </c>
      <c r="J100" s="7">
        <v>7</v>
      </c>
      <c r="K100" s="7"/>
      <c r="L100" s="7"/>
      <c r="M100" s="7"/>
      <c r="N100" s="7">
        <v>569.81060218879998</v>
      </c>
      <c r="O100" s="7"/>
      <c r="P100" s="7"/>
      <c r="Q100">
        <v>0</v>
      </c>
      <c r="R100">
        <v>0</v>
      </c>
      <c r="S100" s="11">
        <v>45740.666666666664</v>
      </c>
      <c r="T100">
        <v>2445</v>
      </c>
    </row>
    <row r="101" spans="1:20">
      <c r="A101" s="11">
        <v>45740.458333333336</v>
      </c>
      <c r="B101" s="11">
        <v>45740.479166666664</v>
      </c>
      <c r="C101" s="10">
        <v>45740</v>
      </c>
      <c r="D101" s="7">
        <v>570.46709999999996</v>
      </c>
      <c r="E101" s="7">
        <v>1562019</v>
      </c>
      <c r="F101" s="7">
        <v>1562019</v>
      </c>
      <c r="G101" s="7">
        <v>11197009</v>
      </c>
      <c r="H101" s="7">
        <v>569.52750000000003</v>
      </c>
      <c r="I101" s="7">
        <v>560.76260000000002</v>
      </c>
      <c r="J101" s="7">
        <v>7</v>
      </c>
      <c r="K101" s="7"/>
      <c r="L101" s="7"/>
      <c r="M101" s="7"/>
      <c r="N101" s="7">
        <v>569.90218575860001</v>
      </c>
      <c r="O101" s="7"/>
      <c r="P101" s="7"/>
      <c r="Q101">
        <v>0</v>
      </c>
      <c r="R101">
        <v>0</v>
      </c>
      <c r="S101" s="11">
        <v>45740.666666666664</v>
      </c>
      <c r="T101">
        <v>2444</v>
      </c>
    </row>
    <row r="102" spans="1:20">
      <c r="A102" s="11">
        <v>45740.479166666664</v>
      </c>
      <c r="B102" s="11">
        <v>45740.5</v>
      </c>
      <c r="C102" s="10">
        <v>45740</v>
      </c>
      <c r="D102" s="7">
        <v>570.63610000000006</v>
      </c>
      <c r="E102" s="7">
        <v>1341308</v>
      </c>
      <c r="F102" s="7">
        <v>1341308</v>
      </c>
      <c r="G102" s="7">
        <v>12538317</v>
      </c>
      <c r="H102" s="7">
        <v>569.52750000000003</v>
      </c>
      <c r="I102" s="7">
        <v>560.76260000000002</v>
      </c>
      <c r="J102" s="7">
        <v>7</v>
      </c>
      <c r="K102" s="7"/>
      <c r="L102" s="7"/>
      <c r="M102" s="7"/>
      <c r="N102" s="7">
        <v>569.98069749529998</v>
      </c>
      <c r="O102" s="7"/>
      <c r="P102" s="7"/>
      <c r="Q102">
        <v>0</v>
      </c>
      <c r="R102">
        <v>0</v>
      </c>
      <c r="S102" s="11">
        <v>45740.666666666664</v>
      </c>
      <c r="T102">
        <v>2443</v>
      </c>
    </row>
    <row r="103" spans="1:20">
      <c r="A103" s="11">
        <v>45740.5</v>
      </c>
      <c r="B103" s="11">
        <v>45740.520833333336</v>
      </c>
      <c r="C103" s="10">
        <v>45740</v>
      </c>
      <c r="D103" s="7">
        <v>570.03959999999995</v>
      </c>
      <c r="E103" s="7">
        <v>1917020</v>
      </c>
      <c r="F103" s="7">
        <v>1917020</v>
      </c>
      <c r="G103" s="7">
        <v>14455337</v>
      </c>
      <c r="H103" s="7">
        <v>569.52750000000003</v>
      </c>
      <c r="I103" s="7">
        <v>560.76260000000002</v>
      </c>
      <c r="J103" s="7">
        <v>7</v>
      </c>
      <c r="K103" s="7"/>
      <c r="L103" s="7"/>
      <c r="M103" s="7"/>
      <c r="N103" s="7">
        <v>569.98850895479995</v>
      </c>
      <c r="O103" s="7"/>
      <c r="P103" s="7"/>
      <c r="Q103">
        <v>0</v>
      </c>
      <c r="R103">
        <v>0</v>
      </c>
      <c r="S103" s="11">
        <v>45740.666666666664</v>
      </c>
      <c r="T103">
        <v>2442</v>
      </c>
    </row>
    <row r="104" spans="1:20">
      <c r="A104" s="11">
        <v>45740.520833333336</v>
      </c>
      <c r="B104" s="11">
        <v>45740.541666666664</v>
      </c>
      <c r="C104" s="10">
        <v>45740</v>
      </c>
      <c r="D104" s="7">
        <v>569.87049999999999</v>
      </c>
      <c r="E104" s="7">
        <v>1610787</v>
      </c>
      <c r="F104" s="7">
        <v>1610787</v>
      </c>
      <c r="G104" s="7">
        <v>16066124</v>
      </c>
      <c r="H104" s="7">
        <v>569.52750000000003</v>
      </c>
      <c r="I104" s="7">
        <v>560.76260000000002</v>
      </c>
      <c r="J104" s="7">
        <v>7</v>
      </c>
      <c r="K104" s="7"/>
      <c r="L104" s="7"/>
      <c r="M104" s="7"/>
      <c r="N104" s="7">
        <v>569.97667739600001</v>
      </c>
      <c r="O104" s="7"/>
      <c r="P104" s="7"/>
      <c r="Q104">
        <v>0</v>
      </c>
      <c r="R104">
        <v>0</v>
      </c>
      <c r="S104" s="11">
        <v>45740.666666666664</v>
      </c>
      <c r="T104">
        <v>2441</v>
      </c>
    </row>
    <row r="105" spans="1:20">
      <c r="A105" s="11">
        <v>45740.541666666664</v>
      </c>
      <c r="B105" s="11">
        <v>45740.5625</v>
      </c>
      <c r="C105" s="10">
        <v>45740</v>
      </c>
      <c r="D105" s="7">
        <v>569.81089999999995</v>
      </c>
      <c r="E105" s="7">
        <v>1506861</v>
      </c>
      <c r="F105" s="7">
        <v>1506861</v>
      </c>
      <c r="G105" s="7">
        <v>17572985</v>
      </c>
      <c r="H105" s="7">
        <v>569.52750000000003</v>
      </c>
      <c r="I105" s="7">
        <v>560.76260000000002</v>
      </c>
      <c r="J105" s="7">
        <v>7</v>
      </c>
      <c r="K105" s="7"/>
      <c r="L105" s="7"/>
      <c r="M105" s="7"/>
      <c r="N105" s="7">
        <v>569.96246219620002</v>
      </c>
      <c r="O105" s="7"/>
      <c r="P105" s="7"/>
      <c r="Q105">
        <v>0</v>
      </c>
      <c r="R105">
        <v>0</v>
      </c>
      <c r="S105" s="11">
        <v>45740.666666666664</v>
      </c>
      <c r="T105">
        <v>2440</v>
      </c>
    </row>
    <row r="106" spans="1:20">
      <c r="A106" s="11">
        <v>45740.5625</v>
      </c>
      <c r="B106" s="11">
        <v>45740.583333333336</v>
      </c>
      <c r="C106" s="10">
        <v>45740</v>
      </c>
      <c r="D106" s="7">
        <v>569.82569999999998</v>
      </c>
      <c r="E106" s="7">
        <v>1317241</v>
      </c>
      <c r="F106" s="7">
        <v>1317241</v>
      </c>
      <c r="G106" s="7">
        <v>18890226</v>
      </c>
      <c r="H106" s="7">
        <v>569.52750000000003</v>
      </c>
      <c r="I106" s="7">
        <v>560.76260000000002</v>
      </c>
      <c r="J106" s="7">
        <v>7</v>
      </c>
      <c r="K106" s="7"/>
      <c r="L106" s="7"/>
      <c r="M106" s="7"/>
      <c r="N106" s="7">
        <v>569.95292558339997</v>
      </c>
      <c r="O106" s="7"/>
      <c r="P106" s="7"/>
      <c r="Q106">
        <v>0</v>
      </c>
      <c r="R106">
        <v>0</v>
      </c>
      <c r="S106" s="11">
        <v>45740.666666666664</v>
      </c>
      <c r="T106">
        <v>2439</v>
      </c>
    </row>
    <row r="107" spans="1:20">
      <c r="A107" s="11">
        <v>45740.583333333336</v>
      </c>
      <c r="B107" s="11">
        <v>45740.604166666664</v>
      </c>
      <c r="C107" s="10">
        <v>45740</v>
      </c>
      <c r="D107" s="7">
        <v>569.13980000000004</v>
      </c>
      <c r="E107" s="7">
        <v>1492882</v>
      </c>
      <c r="F107" s="7">
        <v>1492882</v>
      </c>
      <c r="G107" s="7">
        <v>20383108</v>
      </c>
      <c r="H107" s="7">
        <v>569.52750000000003</v>
      </c>
      <c r="I107" s="7">
        <v>560.76260000000002</v>
      </c>
      <c r="J107" s="7">
        <v>7</v>
      </c>
      <c r="K107" s="7"/>
      <c r="L107" s="7"/>
      <c r="M107" s="7"/>
      <c r="N107" s="7">
        <v>569.89337134139998</v>
      </c>
      <c r="O107" s="7"/>
      <c r="P107" s="7"/>
      <c r="Q107">
        <v>0</v>
      </c>
      <c r="R107">
        <v>0</v>
      </c>
      <c r="S107" s="11">
        <v>45740.666666666664</v>
      </c>
      <c r="T107">
        <v>2438</v>
      </c>
    </row>
    <row r="108" spans="1:20">
      <c r="A108" s="11">
        <v>45740.604166666664</v>
      </c>
      <c r="B108" s="11">
        <v>45740.625</v>
      </c>
      <c r="C108" s="10">
        <v>45740</v>
      </c>
      <c r="D108" s="7">
        <v>570.36770000000001</v>
      </c>
      <c r="E108" s="7">
        <v>2978839</v>
      </c>
      <c r="F108" s="7">
        <v>2978839</v>
      </c>
      <c r="G108" s="7">
        <v>23361947</v>
      </c>
      <c r="H108" s="7">
        <v>569.52750000000003</v>
      </c>
      <c r="I108" s="7">
        <v>560.76260000000002</v>
      </c>
      <c r="J108" s="7">
        <v>7</v>
      </c>
      <c r="K108" s="7"/>
      <c r="L108" s="7"/>
      <c r="M108" s="7"/>
      <c r="N108" s="7">
        <v>569.95385211840005</v>
      </c>
      <c r="O108" s="7"/>
      <c r="P108" s="7"/>
      <c r="Q108">
        <v>0</v>
      </c>
      <c r="R108">
        <v>0</v>
      </c>
      <c r="S108" s="11">
        <v>45740.666666666664</v>
      </c>
      <c r="T108">
        <v>2437</v>
      </c>
    </row>
    <row r="109" spans="1:20">
      <c r="A109" s="11">
        <v>45740.625</v>
      </c>
      <c r="B109" s="11">
        <v>45740.645833333336</v>
      </c>
      <c r="C109" s="10">
        <v>45740</v>
      </c>
      <c r="D109" s="7">
        <v>570.71569999999997</v>
      </c>
      <c r="E109" s="7">
        <v>2099052</v>
      </c>
      <c r="F109" s="7">
        <v>2099052</v>
      </c>
      <c r="G109" s="7">
        <v>25460999</v>
      </c>
      <c r="H109" s="7">
        <v>569.52750000000003</v>
      </c>
      <c r="I109" s="7">
        <v>560.76260000000002</v>
      </c>
      <c r="J109" s="7">
        <v>7</v>
      </c>
      <c r="K109" s="7"/>
      <c r="L109" s="7"/>
      <c r="M109" s="7"/>
      <c r="N109" s="7">
        <v>570.0166602713</v>
      </c>
      <c r="O109" s="7"/>
      <c r="P109" s="7"/>
      <c r="Q109">
        <v>0</v>
      </c>
      <c r="R109">
        <v>0</v>
      </c>
      <c r="S109" s="11">
        <v>45740.666666666664</v>
      </c>
      <c r="T109">
        <v>2436</v>
      </c>
    </row>
    <row r="110" spans="1:20">
      <c r="A110" s="11">
        <v>45740.645833333336</v>
      </c>
      <c r="B110" s="11">
        <v>45740.666666666664</v>
      </c>
      <c r="C110" s="10">
        <v>45740</v>
      </c>
      <c r="D110" s="7">
        <v>570.80520000000001</v>
      </c>
      <c r="E110" s="7">
        <v>9868734</v>
      </c>
      <c r="F110" s="7">
        <v>9868734</v>
      </c>
      <c r="G110" s="7">
        <v>35329733</v>
      </c>
      <c r="H110" s="7">
        <v>569.52750000000003</v>
      </c>
      <c r="I110" s="7">
        <v>560.76260000000002</v>
      </c>
      <c r="J110" s="7">
        <v>7</v>
      </c>
      <c r="K110" s="7"/>
      <c r="L110" s="7"/>
      <c r="M110" s="7"/>
      <c r="N110" s="7">
        <v>570.23692485219999</v>
      </c>
      <c r="O110" s="7"/>
      <c r="P110" s="7"/>
      <c r="Q110">
        <v>0</v>
      </c>
      <c r="R110">
        <v>1</v>
      </c>
      <c r="S110" s="11">
        <v>45740.666666666664</v>
      </c>
      <c r="T110">
        <v>2435</v>
      </c>
    </row>
    <row r="111" spans="1:20">
      <c r="A111" s="11">
        <v>45741.395833333336</v>
      </c>
      <c r="B111" s="11">
        <v>45741.416666666664</v>
      </c>
      <c r="C111" s="10">
        <v>45741</v>
      </c>
      <c r="D111" s="7">
        <v>571.42660000000001</v>
      </c>
      <c r="E111" s="7">
        <v>3050320</v>
      </c>
      <c r="F111" s="7">
        <v>3050320</v>
      </c>
      <c r="G111" s="7">
        <v>3050320</v>
      </c>
      <c r="H111" s="7">
        <v>571.42660000000001</v>
      </c>
      <c r="I111" s="7">
        <v>570.80489999999998</v>
      </c>
      <c r="J111" s="7">
        <v>8</v>
      </c>
      <c r="K111" s="7"/>
      <c r="L111" s="7"/>
      <c r="M111" s="7"/>
      <c r="N111" s="7">
        <v>571.42660000000001</v>
      </c>
      <c r="O111" s="7"/>
      <c r="P111" s="7"/>
      <c r="Q111">
        <v>0</v>
      </c>
      <c r="R111">
        <v>0</v>
      </c>
      <c r="S111" s="11">
        <v>45741.666666666664</v>
      </c>
      <c r="T111">
        <v>2433</v>
      </c>
    </row>
    <row r="112" spans="1:20">
      <c r="A112" s="11">
        <v>45741.416666666664</v>
      </c>
      <c r="B112" s="11">
        <v>45741.4375</v>
      </c>
      <c r="C112" s="10">
        <v>45741</v>
      </c>
      <c r="D112" s="7">
        <v>572.52530000000002</v>
      </c>
      <c r="E112" s="7">
        <v>2432328</v>
      </c>
      <c r="F112" s="7">
        <v>2432328</v>
      </c>
      <c r="G112" s="7">
        <v>5482648</v>
      </c>
      <c r="H112" s="7">
        <v>571.42660000000001</v>
      </c>
      <c r="I112" s="7">
        <v>570.80489999999998</v>
      </c>
      <c r="J112" s="7">
        <v>8</v>
      </c>
      <c r="K112" s="7"/>
      <c r="L112" s="7"/>
      <c r="M112" s="7"/>
      <c r="N112" s="7">
        <v>571.91402847860002</v>
      </c>
      <c r="O112" s="7"/>
      <c r="P112" s="7"/>
      <c r="Q112">
        <v>0</v>
      </c>
      <c r="R112">
        <v>0</v>
      </c>
      <c r="S112" s="11">
        <v>45741.666666666664</v>
      </c>
      <c r="T112">
        <v>2432</v>
      </c>
    </row>
    <row r="113" spans="1:20">
      <c r="A113" s="11">
        <v>45741.4375</v>
      </c>
      <c r="B113" s="11">
        <v>45741.458333333336</v>
      </c>
      <c r="C113" s="10">
        <v>45741</v>
      </c>
      <c r="D113" s="7">
        <v>572.6943</v>
      </c>
      <c r="E113" s="7">
        <v>1943192</v>
      </c>
      <c r="F113" s="7">
        <v>1943192</v>
      </c>
      <c r="G113" s="7">
        <v>7425840</v>
      </c>
      <c r="H113" s="7">
        <v>571.42660000000001</v>
      </c>
      <c r="I113" s="7">
        <v>570.80489999999998</v>
      </c>
      <c r="J113" s="7">
        <v>8</v>
      </c>
      <c r="K113" s="7"/>
      <c r="L113" s="7"/>
      <c r="M113" s="7"/>
      <c r="N113" s="7">
        <v>572.11820974</v>
      </c>
      <c r="O113" s="7"/>
      <c r="P113" s="7"/>
      <c r="Q113">
        <v>0</v>
      </c>
      <c r="R113">
        <v>0</v>
      </c>
      <c r="S113" s="11">
        <v>45741.666666666664</v>
      </c>
      <c r="T113">
        <v>2431</v>
      </c>
    </row>
    <row r="114" spans="1:20">
      <c r="A114" s="11">
        <v>45741.458333333336</v>
      </c>
      <c r="B114" s="11">
        <v>45741.479166666664</v>
      </c>
      <c r="C114" s="10">
        <v>45741</v>
      </c>
      <c r="D114" s="7">
        <v>572.41600000000005</v>
      </c>
      <c r="E114" s="7">
        <v>1097131</v>
      </c>
      <c r="F114" s="7">
        <v>1097131</v>
      </c>
      <c r="G114" s="7">
        <v>8522971</v>
      </c>
      <c r="H114" s="7">
        <v>571.42660000000001</v>
      </c>
      <c r="I114" s="7">
        <v>570.80489999999998</v>
      </c>
      <c r="J114" s="7">
        <v>8</v>
      </c>
      <c r="K114" s="7"/>
      <c r="L114" s="7"/>
      <c r="M114" s="7"/>
      <c r="N114" s="7">
        <v>572.15654319509997</v>
      </c>
      <c r="O114" s="7"/>
      <c r="P114" s="7"/>
      <c r="Q114">
        <v>0</v>
      </c>
      <c r="R114">
        <v>0</v>
      </c>
      <c r="S114" s="11">
        <v>45741.666666666664</v>
      </c>
      <c r="T114">
        <v>2430</v>
      </c>
    </row>
    <row r="115" spans="1:20">
      <c r="A115" s="11">
        <v>45741.479166666664</v>
      </c>
      <c r="B115" s="11">
        <v>45741.5</v>
      </c>
      <c r="C115" s="10">
        <v>45741</v>
      </c>
      <c r="D115" s="7">
        <v>571.49130000000002</v>
      </c>
      <c r="E115" s="7">
        <v>1231484</v>
      </c>
      <c r="F115" s="7">
        <v>1231484</v>
      </c>
      <c r="G115" s="7">
        <v>9754455</v>
      </c>
      <c r="H115" s="7">
        <v>571.42660000000001</v>
      </c>
      <c r="I115" s="7">
        <v>570.80489999999998</v>
      </c>
      <c r="J115" s="7">
        <v>8</v>
      </c>
      <c r="K115" s="7"/>
      <c r="L115" s="7"/>
      <c r="M115" s="7"/>
      <c r="N115" s="7">
        <v>572.07255732910005</v>
      </c>
      <c r="O115" s="7"/>
      <c r="P115" s="7"/>
      <c r="Q115">
        <v>0</v>
      </c>
      <c r="R115">
        <v>0</v>
      </c>
      <c r="S115" s="11">
        <v>45741.666666666664</v>
      </c>
      <c r="T115">
        <v>2429</v>
      </c>
    </row>
    <row r="116" spans="1:20">
      <c r="A116" s="11">
        <v>45741.5</v>
      </c>
      <c r="B116" s="11">
        <v>45741.520833333336</v>
      </c>
      <c r="C116" s="10">
        <v>45741</v>
      </c>
      <c r="D116" s="7">
        <v>571.25260000000003</v>
      </c>
      <c r="E116" s="7">
        <v>995777</v>
      </c>
      <c r="F116" s="7">
        <v>995777</v>
      </c>
      <c r="G116" s="7">
        <v>10750232</v>
      </c>
      <c r="H116" s="7">
        <v>571.42660000000001</v>
      </c>
      <c r="I116" s="7">
        <v>570.80489999999998</v>
      </c>
      <c r="J116" s="7">
        <v>8</v>
      </c>
      <c r="K116" s="7"/>
      <c r="L116" s="7"/>
      <c r="M116" s="7"/>
      <c r="N116" s="7">
        <v>571.99660597759998</v>
      </c>
      <c r="O116" s="7"/>
      <c r="P116" s="7"/>
      <c r="Q116">
        <v>0</v>
      </c>
      <c r="R116">
        <v>0</v>
      </c>
      <c r="S116" s="11">
        <v>45741.666666666664</v>
      </c>
      <c r="T116">
        <v>2428</v>
      </c>
    </row>
    <row r="117" spans="1:20">
      <c r="A117" s="11">
        <v>45741.520833333336</v>
      </c>
      <c r="B117" s="11">
        <v>45741.541666666664</v>
      </c>
      <c r="C117" s="10">
        <v>45741</v>
      </c>
      <c r="D117" s="7">
        <v>571.68020000000001</v>
      </c>
      <c r="E117" s="7">
        <v>945336</v>
      </c>
      <c r="F117" s="7">
        <v>945336</v>
      </c>
      <c r="G117" s="7">
        <v>11695568</v>
      </c>
      <c r="H117" s="7">
        <v>571.42660000000001</v>
      </c>
      <c r="I117" s="7">
        <v>570.80489999999998</v>
      </c>
      <c r="J117" s="7">
        <v>8</v>
      </c>
      <c r="K117" s="7"/>
      <c r="L117" s="7"/>
      <c r="M117" s="7"/>
      <c r="N117" s="7">
        <v>571.97103133589997</v>
      </c>
      <c r="O117" s="7"/>
      <c r="P117" s="7"/>
      <c r="Q117">
        <v>0</v>
      </c>
      <c r="R117">
        <v>0</v>
      </c>
      <c r="S117" s="11">
        <v>45741.666666666664</v>
      </c>
      <c r="T117">
        <v>2427</v>
      </c>
    </row>
    <row r="118" spans="1:20">
      <c r="A118" s="11">
        <v>45741.541666666664</v>
      </c>
      <c r="B118" s="11">
        <v>45741.5625</v>
      </c>
      <c r="C118" s="10">
        <v>45741</v>
      </c>
      <c r="D118" s="7">
        <v>570.92449999999997</v>
      </c>
      <c r="E118" s="7">
        <v>1247621</v>
      </c>
      <c r="F118" s="7">
        <v>1247621</v>
      </c>
      <c r="G118" s="7">
        <v>12943189</v>
      </c>
      <c r="H118" s="7">
        <v>571.42660000000001</v>
      </c>
      <c r="I118" s="7">
        <v>570.80489999999998</v>
      </c>
      <c r="J118" s="7">
        <v>8</v>
      </c>
      <c r="K118" s="7"/>
      <c r="L118" s="7"/>
      <c r="M118" s="7"/>
      <c r="N118" s="7">
        <v>571.87015399630002</v>
      </c>
      <c r="O118" s="7"/>
      <c r="P118" s="7"/>
      <c r="Q118">
        <v>0</v>
      </c>
      <c r="R118">
        <v>0</v>
      </c>
      <c r="S118" s="11">
        <v>45741.666666666664</v>
      </c>
      <c r="T118">
        <v>2426</v>
      </c>
    </row>
    <row r="119" spans="1:20">
      <c r="A119" s="11">
        <v>45741.5625</v>
      </c>
      <c r="B119" s="11">
        <v>45741.583333333336</v>
      </c>
      <c r="C119" s="10">
        <v>45741</v>
      </c>
      <c r="D119" s="7">
        <v>570.81510000000003</v>
      </c>
      <c r="E119" s="7">
        <v>1093473</v>
      </c>
      <c r="F119" s="7">
        <v>1093473</v>
      </c>
      <c r="G119" s="7">
        <v>14036662</v>
      </c>
      <c r="H119" s="7">
        <v>571.42660000000001</v>
      </c>
      <c r="I119" s="7">
        <v>570.80489999999998</v>
      </c>
      <c r="J119" s="7">
        <v>8</v>
      </c>
      <c r="K119" s="7"/>
      <c r="L119" s="7"/>
      <c r="M119" s="7"/>
      <c r="N119" s="7">
        <v>571.78796400989995</v>
      </c>
      <c r="O119" s="7"/>
      <c r="P119" s="7"/>
      <c r="Q119">
        <v>0</v>
      </c>
      <c r="R119">
        <v>0</v>
      </c>
      <c r="S119" s="11">
        <v>45741.666666666664</v>
      </c>
      <c r="T119">
        <v>2425</v>
      </c>
    </row>
    <row r="120" spans="1:20">
      <c r="A120" s="11">
        <v>45741.583333333336</v>
      </c>
      <c r="B120" s="11">
        <v>45741.604166666664</v>
      </c>
      <c r="C120" s="10">
        <v>45741</v>
      </c>
      <c r="D120" s="7">
        <v>571.18799999999999</v>
      </c>
      <c r="E120" s="7">
        <v>1446623</v>
      </c>
      <c r="F120" s="7">
        <v>1446623</v>
      </c>
      <c r="G120" s="7">
        <v>15483285</v>
      </c>
      <c r="H120" s="7">
        <v>571.42660000000001</v>
      </c>
      <c r="I120" s="7">
        <v>570.80489999999998</v>
      </c>
      <c r="J120" s="7">
        <v>8</v>
      </c>
      <c r="K120" s="7"/>
      <c r="L120" s="7"/>
      <c r="M120" s="7"/>
      <c r="N120" s="7">
        <v>571.73190860980003</v>
      </c>
      <c r="O120" s="7"/>
      <c r="P120" s="7"/>
      <c r="Q120">
        <v>0</v>
      </c>
      <c r="R120">
        <v>0</v>
      </c>
      <c r="S120" s="11">
        <v>45741.666666666664</v>
      </c>
      <c r="T120">
        <v>2424</v>
      </c>
    </row>
    <row r="121" spans="1:20">
      <c r="A121" s="11">
        <v>45741.604166666664</v>
      </c>
      <c r="B121" s="11">
        <v>45741.625</v>
      </c>
      <c r="C121" s="10">
        <v>45741</v>
      </c>
      <c r="D121" s="7">
        <v>570.65599999999995</v>
      </c>
      <c r="E121" s="7">
        <v>1438377</v>
      </c>
      <c r="F121" s="7">
        <v>1438377</v>
      </c>
      <c r="G121" s="7">
        <v>16921662</v>
      </c>
      <c r="H121" s="7">
        <v>571.42660000000001</v>
      </c>
      <c r="I121" s="7">
        <v>570.80489999999998</v>
      </c>
      <c r="J121" s="7">
        <v>8</v>
      </c>
      <c r="K121" s="7"/>
      <c r="L121" s="7"/>
      <c r="M121" s="7"/>
      <c r="N121" s="7">
        <v>571.64045410619997</v>
      </c>
      <c r="O121" s="7"/>
      <c r="P121" s="7"/>
      <c r="Q121">
        <v>0</v>
      </c>
      <c r="R121">
        <v>0</v>
      </c>
      <c r="S121" s="11">
        <v>45741.666666666664</v>
      </c>
      <c r="T121">
        <v>2423</v>
      </c>
    </row>
    <row r="122" spans="1:20">
      <c r="A122" s="11">
        <v>45741.625</v>
      </c>
      <c r="B122" s="11">
        <v>45741.645833333336</v>
      </c>
      <c r="C122" s="10">
        <v>45741</v>
      </c>
      <c r="D122" s="7">
        <v>570.91459999999995</v>
      </c>
      <c r="E122" s="7">
        <v>1685503</v>
      </c>
      <c r="F122" s="7">
        <v>1685503</v>
      </c>
      <c r="G122" s="7">
        <v>18607165</v>
      </c>
      <c r="H122" s="7">
        <v>571.42660000000001</v>
      </c>
      <c r="I122" s="7">
        <v>570.80489999999998</v>
      </c>
      <c r="J122" s="7">
        <v>8</v>
      </c>
      <c r="K122" s="7"/>
      <c r="L122" s="7"/>
      <c r="M122" s="7"/>
      <c r="N122" s="7">
        <v>571.57470366689995</v>
      </c>
      <c r="O122" s="7"/>
      <c r="P122" s="7"/>
      <c r="Q122">
        <v>0</v>
      </c>
      <c r="R122">
        <v>0</v>
      </c>
      <c r="S122" s="11">
        <v>45741.666666666664</v>
      </c>
      <c r="T122">
        <v>2422</v>
      </c>
    </row>
    <row r="123" spans="1:20">
      <c r="A123" s="11">
        <v>45741.645833333336</v>
      </c>
      <c r="B123" s="11">
        <v>45741.666666666664</v>
      </c>
      <c r="C123" s="10">
        <v>45741</v>
      </c>
      <c r="D123" s="7">
        <v>572.17729999999995</v>
      </c>
      <c r="E123" s="7">
        <v>6677132</v>
      </c>
      <c r="F123" s="7">
        <v>6677132</v>
      </c>
      <c r="G123" s="7">
        <v>25284297</v>
      </c>
      <c r="H123" s="7">
        <v>571.42660000000001</v>
      </c>
      <c r="I123" s="7">
        <v>570.80489999999998</v>
      </c>
      <c r="J123" s="7">
        <v>8</v>
      </c>
      <c r="K123" s="7"/>
      <c r="L123" s="7"/>
      <c r="M123" s="7"/>
      <c r="N123" s="7">
        <v>571.73383861369996</v>
      </c>
      <c r="O123" s="7"/>
      <c r="P123" s="7"/>
      <c r="Q123">
        <v>0</v>
      </c>
      <c r="R123">
        <v>1</v>
      </c>
      <c r="S123" s="11">
        <v>45741.666666666664</v>
      </c>
      <c r="T123">
        <v>2421</v>
      </c>
    </row>
    <row r="124" spans="1:20">
      <c r="A124" s="11">
        <v>45742.395833333336</v>
      </c>
      <c r="B124" s="11">
        <v>45742.416666666664</v>
      </c>
      <c r="C124" s="10">
        <v>45742</v>
      </c>
      <c r="D124" s="7">
        <v>570.25130000000001</v>
      </c>
      <c r="E124" s="7">
        <v>3175994</v>
      </c>
      <c r="F124" s="7">
        <v>3175994</v>
      </c>
      <c r="G124" s="7">
        <v>3175994</v>
      </c>
      <c r="H124" s="7">
        <v>570.25130000000001</v>
      </c>
      <c r="I124" s="7">
        <v>572.1771</v>
      </c>
      <c r="J124" s="7">
        <v>9</v>
      </c>
      <c r="K124" s="7"/>
      <c r="L124" s="7"/>
      <c r="M124" s="7"/>
      <c r="N124" s="7">
        <v>570.25130000000001</v>
      </c>
      <c r="O124" s="7"/>
      <c r="P124" s="7"/>
      <c r="Q124">
        <v>0</v>
      </c>
      <c r="R124">
        <v>0</v>
      </c>
      <c r="S124" s="11">
        <v>45742.666666666664</v>
      </c>
      <c r="T124">
        <v>2419</v>
      </c>
    </row>
    <row r="125" spans="1:20">
      <c r="A125" s="11">
        <v>45742.416666666664</v>
      </c>
      <c r="B125" s="11">
        <v>45742.4375</v>
      </c>
      <c r="C125" s="10">
        <v>45742</v>
      </c>
      <c r="D125" s="7">
        <v>570.05449999999996</v>
      </c>
      <c r="E125" s="7">
        <v>2753762</v>
      </c>
      <c r="F125" s="7">
        <v>2753762</v>
      </c>
      <c r="G125" s="7">
        <v>5929756</v>
      </c>
      <c r="H125" s="7">
        <v>570.25130000000001</v>
      </c>
      <c r="I125" s="7">
        <v>572.1771</v>
      </c>
      <c r="J125" s="7">
        <v>9</v>
      </c>
      <c r="K125" s="7"/>
      <c r="L125" s="7"/>
      <c r="M125" s="7"/>
      <c r="N125" s="7">
        <v>570.15990663380001</v>
      </c>
      <c r="O125" s="7"/>
      <c r="P125" s="7"/>
      <c r="Q125">
        <v>0</v>
      </c>
      <c r="R125">
        <v>0</v>
      </c>
      <c r="S125" s="11">
        <v>45742.666666666664</v>
      </c>
      <c r="T125">
        <v>2418</v>
      </c>
    </row>
    <row r="126" spans="1:20">
      <c r="A126" s="11">
        <v>45742.4375</v>
      </c>
      <c r="B126" s="11">
        <v>45742.458333333336</v>
      </c>
      <c r="C126" s="10">
        <v>45742</v>
      </c>
      <c r="D126" s="7">
        <v>570.16340000000002</v>
      </c>
      <c r="E126" s="7">
        <v>1944320</v>
      </c>
      <c r="F126" s="7">
        <v>1944320</v>
      </c>
      <c r="G126" s="7">
        <v>7874076</v>
      </c>
      <c r="H126" s="7">
        <v>570.25130000000001</v>
      </c>
      <c r="I126" s="7">
        <v>572.1771</v>
      </c>
      <c r="J126" s="7">
        <v>9</v>
      </c>
      <c r="K126" s="7"/>
      <c r="L126" s="7"/>
      <c r="M126" s="7"/>
      <c r="N126" s="7">
        <v>570.1607692394</v>
      </c>
      <c r="O126" s="7"/>
      <c r="P126" s="7"/>
      <c r="Q126">
        <v>0</v>
      </c>
      <c r="R126">
        <v>0</v>
      </c>
      <c r="S126" s="11">
        <v>45742.666666666664</v>
      </c>
      <c r="T126">
        <v>2417</v>
      </c>
    </row>
    <row r="127" spans="1:20">
      <c r="A127" s="11">
        <v>45742.458333333336</v>
      </c>
      <c r="B127" s="11">
        <v>45742.479166666664</v>
      </c>
      <c r="C127" s="10">
        <v>45742</v>
      </c>
      <c r="D127" s="7">
        <v>569.0453</v>
      </c>
      <c r="E127" s="7">
        <v>1202195</v>
      </c>
      <c r="F127" s="7">
        <v>1202195</v>
      </c>
      <c r="G127" s="7">
        <v>9076271</v>
      </c>
      <c r="H127" s="7">
        <v>570.25130000000001</v>
      </c>
      <c r="I127" s="7">
        <v>572.1771</v>
      </c>
      <c r="J127" s="7">
        <v>9</v>
      </c>
      <c r="K127" s="7"/>
      <c r="L127" s="7"/>
      <c r="M127" s="7"/>
      <c r="N127" s="7">
        <v>570.01302006549997</v>
      </c>
      <c r="O127" s="7"/>
      <c r="P127" s="7"/>
      <c r="Q127">
        <v>0</v>
      </c>
      <c r="R127">
        <v>0</v>
      </c>
      <c r="S127" s="11">
        <v>45742.666666666664</v>
      </c>
      <c r="T127">
        <v>2416</v>
      </c>
    </row>
    <row r="128" spans="1:20">
      <c r="A128" s="11">
        <v>45742.479166666664</v>
      </c>
      <c r="B128" s="11">
        <v>45742.5</v>
      </c>
      <c r="C128" s="10">
        <v>45742</v>
      </c>
      <c r="D128" s="7">
        <v>567.34500000000003</v>
      </c>
      <c r="E128" s="7">
        <v>2110224</v>
      </c>
      <c r="F128" s="7">
        <v>2110224</v>
      </c>
      <c r="G128" s="7">
        <v>11186495</v>
      </c>
      <c r="H128" s="7">
        <v>570.25130000000001</v>
      </c>
      <c r="I128" s="7">
        <v>572.1771</v>
      </c>
      <c r="J128" s="7">
        <v>9</v>
      </c>
      <c r="K128" s="7"/>
      <c r="L128" s="7"/>
      <c r="M128" s="7"/>
      <c r="N128" s="7">
        <v>569.50972390569996</v>
      </c>
      <c r="O128" s="7"/>
      <c r="P128" s="7"/>
      <c r="Q128">
        <v>0</v>
      </c>
      <c r="R128">
        <v>0</v>
      </c>
      <c r="S128" s="11">
        <v>45742.666666666664</v>
      </c>
      <c r="T128">
        <v>2415</v>
      </c>
    </row>
    <row r="129" spans="1:20">
      <c r="A129" s="11">
        <v>45742.5</v>
      </c>
      <c r="B129" s="11">
        <v>45742.520833333336</v>
      </c>
      <c r="C129" s="10">
        <v>45742</v>
      </c>
      <c r="D129" s="7">
        <v>567.80240000000003</v>
      </c>
      <c r="E129" s="7">
        <v>1837764</v>
      </c>
      <c r="F129" s="7">
        <v>1837764</v>
      </c>
      <c r="G129" s="7">
        <v>13024259</v>
      </c>
      <c r="H129" s="7">
        <v>570.25130000000001</v>
      </c>
      <c r="I129" s="7">
        <v>572.1771</v>
      </c>
      <c r="J129" s="7">
        <v>9</v>
      </c>
      <c r="K129" s="7"/>
      <c r="L129" s="7"/>
      <c r="M129" s="7"/>
      <c r="N129" s="7">
        <v>569.26881512080001</v>
      </c>
      <c r="O129" s="7"/>
      <c r="P129" s="7"/>
      <c r="Q129">
        <v>0</v>
      </c>
      <c r="R129">
        <v>0</v>
      </c>
      <c r="S129" s="11">
        <v>45742.666666666664</v>
      </c>
      <c r="T129">
        <v>2414</v>
      </c>
    </row>
    <row r="130" spans="1:20">
      <c r="A130" s="11">
        <v>45742.520833333336</v>
      </c>
      <c r="B130" s="11">
        <v>45742.541666666664</v>
      </c>
      <c r="C130" s="10">
        <v>45742</v>
      </c>
      <c r="D130" s="7">
        <v>566.14200000000005</v>
      </c>
      <c r="E130" s="7">
        <v>1632177</v>
      </c>
      <c r="F130" s="7">
        <v>1632177</v>
      </c>
      <c r="G130" s="7">
        <v>14656436</v>
      </c>
      <c r="H130" s="7">
        <v>570.25130000000001</v>
      </c>
      <c r="I130" s="7">
        <v>572.1771</v>
      </c>
      <c r="J130" s="7">
        <v>9</v>
      </c>
      <c r="K130" s="7"/>
      <c r="L130" s="7"/>
      <c r="M130" s="7"/>
      <c r="N130" s="7">
        <v>568.92060524739998</v>
      </c>
      <c r="O130" s="7"/>
      <c r="P130" s="7"/>
      <c r="Q130">
        <v>0</v>
      </c>
      <c r="R130">
        <v>0</v>
      </c>
      <c r="S130" s="11">
        <v>45742.666666666664</v>
      </c>
      <c r="T130">
        <v>2413</v>
      </c>
    </row>
    <row r="131" spans="1:20">
      <c r="A131" s="11">
        <v>45742.541666666664</v>
      </c>
      <c r="B131" s="11">
        <v>45742.5625</v>
      </c>
      <c r="C131" s="10">
        <v>45742</v>
      </c>
      <c r="D131" s="7">
        <v>565.65970000000004</v>
      </c>
      <c r="E131" s="7">
        <v>1690551</v>
      </c>
      <c r="F131" s="7">
        <v>1690551</v>
      </c>
      <c r="G131" s="7">
        <v>16346987</v>
      </c>
      <c r="H131" s="7">
        <v>570.25130000000001</v>
      </c>
      <c r="I131" s="7">
        <v>572.1771</v>
      </c>
      <c r="J131" s="7">
        <v>9</v>
      </c>
      <c r="K131" s="7"/>
      <c r="L131" s="7"/>
      <c r="M131" s="7"/>
      <c r="N131" s="7">
        <v>568.5833732776</v>
      </c>
      <c r="O131" s="7"/>
      <c r="P131" s="7"/>
      <c r="Q131">
        <v>0</v>
      </c>
      <c r="R131">
        <v>0</v>
      </c>
      <c r="S131" s="11">
        <v>45742.666666666664</v>
      </c>
      <c r="T131">
        <v>2412</v>
      </c>
    </row>
    <row r="132" spans="1:20">
      <c r="A132" s="11">
        <v>45742.5625</v>
      </c>
      <c r="B132" s="11">
        <v>45742.583333333336</v>
      </c>
      <c r="C132" s="10">
        <v>45742</v>
      </c>
      <c r="D132" s="7">
        <v>564.82899999999995</v>
      </c>
      <c r="E132" s="7">
        <v>1893300</v>
      </c>
      <c r="F132" s="7">
        <v>1893300</v>
      </c>
      <c r="G132" s="7">
        <v>18240287</v>
      </c>
      <c r="H132" s="7">
        <v>570.25130000000001</v>
      </c>
      <c r="I132" s="7">
        <v>572.1771</v>
      </c>
      <c r="J132" s="7">
        <v>9</v>
      </c>
      <c r="K132" s="7"/>
      <c r="L132" s="7"/>
      <c r="M132" s="7"/>
      <c r="N132" s="7">
        <v>568.19367793310005</v>
      </c>
      <c r="O132" s="7"/>
      <c r="P132" s="7"/>
      <c r="Q132">
        <v>0</v>
      </c>
      <c r="R132">
        <v>0</v>
      </c>
      <c r="S132" s="11">
        <v>45742.666666666664</v>
      </c>
      <c r="T132">
        <v>2411</v>
      </c>
    </row>
    <row r="133" spans="1:20">
      <c r="A133" s="11">
        <v>45742.583333333336</v>
      </c>
      <c r="B133" s="11">
        <v>45742.604166666664</v>
      </c>
      <c r="C133" s="10">
        <v>45742</v>
      </c>
      <c r="D133" s="7">
        <v>565.91319999999996</v>
      </c>
      <c r="E133" s="7">
        <v>1623070</v>
      </c>
      <c r="F133" s="7">
        <v>1623070</v>
      </c>
      <c r="G133" s="7">
        <v>19863357</v>
      </c>
      <c r="H133" s="7">
        <v>570.25130000000001</v>
      </c>
      <c r="I133" s="7">
        <v>572.1771</v>
      </c>
      <c r="J133" s="7">
        <v>9</v>
      </c>
      <c r="K133" s="7"/>
      <c r="L133" s="7"/>
      <c r="M133" s="7"/>
      <c r="N133" s="7">
        <v>568.00733605150003</v>
      </c>
      <c r="O133" s="7"/>
      <c r="P133" s="7"/>
      <c r="Q133">
        <v>0</v>
      </c>
      <c r="R133">
        <v>0</v>
      </c>
      <c r="S133" s="11">
        <v>45742.666666666664</v>
      </c>
      <c r="T133">
        <v>2410</v>
      </c>
    </row>
    <row r="134" spans="1:20">
      <c r="A134" s="11">
        <v>45742.604166666664</v>
      </c>
      <c r="B134" s="11">
        <v>45742.625</v>
      </c>
      <c r="C134" s="10">
        <v>45742</v>
      </c>
      <c r="D134" s="7">
        <v>564.19309999999996</v>
      </c>
      <c r="E134" s="7">
        <v>1632013</v>
      </c>
      <c r="F134" s="7">
        <v>1632013</v>
      </c>
      <c r="G134" s="7">
        <v>21495370</v>
      </c>
      <c r="H134" s="7">
        <v>570.25130000000001</v>
      </c>
      <c r="I134" s="7">
        <v>572.1771</v>
      </c>
      <c r="J134" s="7">
        <v>9</v>
      </c>
      <c r="K134" s="7"/>
      <c r="L134" s="7"/>
      <c r="M134" s="7"/>
      <c r="N134" s="7">
        <v>567.71774425470005</v>
      </c>
      <c r="O134" s="7"/>
      <c r="P134" s="7"/>
      <c r="Q134">
        <v>0</v>
      </c>
      <c r="R134">
        <v>0</v>
      </c>
      <c r="S134" s="11">
        <v>45742.666666666664</v>
      </c>
      <c r="T134">
        <v>2409</v>
      </c>
    </row>
    <row r="135" spans="1:20">
      <c r="A135" s="11">
        <v>45742.625</v>
      </c>
      <c r="B135" s="11">
        <v>45742.645833333336</v>
      </c>
      <c r="C135" s="10">
        <v>45742</v>
      </c>
      <c r="D135" s="7">
        <v>564.51130000000001</v>
      </c>
      <c r="E135" s="7">
        <v>2421332</v>
      </c>
      <c r="F135" s="7">
        <v>2421332</v>
      </c>
      <c r="G135" s="7">
        <v>23916702</v>
      </c>
      <c r="H135" s="7">
        <v>570.25130000000001</v>
      </c>
      <c r="I135" s="7">
        <v>572.1771</v>
      </c>
      <c r="J135" s="7">
        <v>9</v>
      </c>
      <c r="K135" s="7"/>
      <c r="L135" s="7"/>
      <c r="M135" s="7"/>
      <c r="N135" s="7">
        <v>567.393123156</v>
      </c>
      <c r="O135" s="7"/>
      <c r="P135" s="7"/>
      <c r="Q135">
        <v>0</v>
      </c>
      <c r="R135">
        <v>0</v>
      </c>
      <c r="S135" s="11">
        <v>45742.666666666664</v>
      </c>
      <c r="T135">
        <v>2408</v>
      </c>
    </row>
    <row r="136" spans="1:20">
      <c r="A136" s="11">
        <v>45742.645833333336</v>
      </c>
      <c r="B136" s="11">
        <v>45742.666666666664</v>
      </c>
      <c r="C136" s="10">
        <v>45742</v>
      </c>
      <c r="D136" s="7">
        <v>565.34649999999999</v>
      </c>
      <c r="E136" s="7">
        <v>8668332</v>
      </c>
      <c r="F136" s="7">
        <v>8668332</v>
      </c>
      <c r="G136" s="7">
        <v>32585034</v>
      </c>
      <c r="H136" s="7">
        <v>570.25130000000001</v>
      </c>
      <c r="I136" s="7">
        <v>572.1771</v>
      </c>
      <c r="J136" s="7">
        <v>9</v>
      </c>
      <c r="K136" s="7"/>
      <c r="L136" s="7"/>
      <c r="M136" s="7"/>
      <c r="N136" s="7">
        <v>566.8486766167</v>
      </c>
      <c r="O136" s="7"/>
      <c r="P136" s="7"/>
      <c r="Q136">
        <v>0</v>
      </c>
      <c r="R136">
        <v>1</v>
      </c>
      <c r="S136" s="11">
        <v>45742.666666666664</v>
      </c>
      <c r="T136">
        <v>2407</v>
      </c>
    </row>
    <row r="137" spans="1:20">
      <c r="A137" s="11">
        <v>45743.395833333336</v>
      </c>
      <c r="B137" s="11">
        <v>45743.416666666664</v>
      </c>
      <c r="C137" s="10">
        <v>45743</v>
      </c>
      <c r="D137" s="7">
        <v>565.09299999999996</v>
      </c>
      <c r="E137" s="7">
        <v>4721107</v>
      </c>
      <c r="F137" s="7">
        <v>4721107</v>
      </c>
      <c r="G137" s="7">
        <v>4721107</v>
      </c>
      <c r="H137" s="7">
        <v>565.09299999999996</v>
      </c>
      <c r="I137" s="7">
        <v>565.34630000000004</v>
      </c>
      <c r="J137" s="7">
        <v>10</v>
      </c>
      <c r="K137" s="7"/>
      <c r="L137" s="7"/>
      <c r="M137" s="7"/>
      <c r="N137" s="7">
        <v>565.09299999999996</v>
      </c>
      <c r="O137" s="7"/>
      <c r="P137" s="7"/>
      <c r="Q137">
        <v>0</v>
      </c>
      <c r="R137">
        <v>0</v>
      </c>
      <c r="S137" s="11">
        <v>45743.666666666664</v>
      </c>
      <c r="T137">
        <v>2405</v>
      </c>
    </row>
    <row r="138" spans="1:20">
      <c r="A138" s="11">
        <v>45743.416666666664</v>
      </c>
      <c r="B138" s="11">
        <v>45743.4375</v>
      </c>
      <c r="C138" s="10">
        <v>45743</v>
      </c>
      <c r="D138" s="7">
        <v>566.35069999999996</v>
      </c>
      <c r="E138" s="7">
        <v>2405957</v>
      </c>
      <c r="F138" s="7">
        <v>2405957</v>
      </c>
      <c r="G138" s="7">
        <v>7127064</v>
      </c>
      <c r="H138" s="7">
        <v>565.09299999999996</v>
      </c>
      <c r="I138" s="7">
        <v>565.34630000000004</v>
      </c>
      <c r="J138" s="7">
        <v>10</v>
      </c>
      <c r="K138" s="7"/>
      <c r="L138" s="7"/>
      <c r="M138" s="7"/>
      <c r="N138" s="7">
        <v>565.51757484860002</v>
      </c>
      <c r="O138" s="7"/>
      <c r="P138" s="7"/>
      <c r="Q138">
        <v>0</v>
      </c>
      <c r="R138">
        <v>0</v>
      </c>
      <c r="S138" s="11">
        <v>45743.666666666664</v>
      </c>
      <c r="T138">
        <v>2404</v>
      </c>
    </row>
    <row r="139" spans="1:20">
      <c r="A139" s="11">
        <v>45743.4375</v>
      </c>
      <c r="B139" s="11">
        <v>45743.458333333336</v>
      </c>
      <c r="C139" s="10">
        <v>45743</v>
      </c>
      <c r="D139" s="7">
        <v>567.59360000000004</v>
      </c>
      <c r="E139" s="7">
        <v>2373150</v>
      </c>
      <c r="F139" s="7">
        <v>2373150</v>
      </c>
      <c r="G139" s="7">
        <v>9500214</v>
      </c>
      <c r="H139" s="7">
        <v>565.09299999999996</v>
      </c>
      <c r="I139" s="7">
        <v>565.34630000000004</v>
      </c>
      <c r="J139" s="7">
        <v>10</v>
      </c>
      <c r="K139" s="7"/>
      <c r="L139" s="7"/>
      <c r="M139" s="7"/>
      <c r="N139" s="7">
        <v>566.03616517600005</v>
      </c>
      <c r="O139" s="7"/>
      <c r="P139" s="7"/>
      <c r="Q139">
        <v>0</v>
      </c>
      <c r="R139">
        <v>0</v>
      </c>
      <c r="S139" s="11">
        <v>45743.666666666664</v>
      </c>
      <c r="T139">
        <v>2403</v>
      </c>
    </row>
    <row r="140" spans="1:20">
      <c r="A140" s="11">
        <v>45743.458333333336</v>
      </c>
      <c r="B140" s="11">
        <v>45743.479166666664</v>
      </c>
      <c r="C140" s="10">
        <v>45743</v>
      </c>
      <c r="D140" s="7">
        <v>566.61919999999998</v>
      </c>
      <c r="E140" s="7">
        <v>1344228</v>
      </c>
      <c r="F140" s="7">
        <v>1344228</v>
      </c>
      <c r="G140" s="7">
        <v>10844442</v>
      </c>
      <c r="H140" s="7">
        <v>565.09299999999996</v>
      </c>
      <c r="I140" s="7">
        <v>565.34630000000004</v>
      </c>
      <c r="J140" s="7">
        <v>10</v>
      </c>
      <c r="K140" s="7"/>
      <c r="L140" s="7"/>
      <c r="M140" s="7"/>
      <c r="N140" s="7">
        <v>566.10843553669997</v>
      </c>
      <c r="O140" s="7"/>
      <c r="P140" s="7"/>
      <c r="Q140">
        <v>0</v>
      </c>
      <c r="R140">
        <v>0</v>
      </c>
      <c r="S140" s="11">
        <v>45743.666666666664</v>
      </c>
      <c r="T140">
        <v>2402</v>
      </c>
    </row>
    <row r="141" spans="1:20">
      <c r="A141" s="11">
        <v>45743.479166666664</v>
      </c>
      <c r="B141" s="11">
        <v>45743.5</v>
      </c>
      <c r="C141" s="10">
        <v>45743</v>
      </c>
      <c r="D141" s="7">
        <v>564.74</v>
      </c>
      <c r="E141" s="7">
        <v>1933868</v>
      </c>
      <c r="F141" s="7">
        <v>1933868</v>
      </c>
      <c r="G141" s="7">
        <v>12778310</v>
      </c>
      <c r="H141" s="7">
        <v>565.09299999999996</v>
      </c>
      <c r="I141" s="7">
        <v>565.34630000000004</v>
      </c>
      <c r="J141" s="7">
        <v>10</v>
      </c>
      <c r="K141" s="7"/>
      <c r="L141" s="7"/>
      <c r="M141" s="7"/>
      <c r="N141" s="7">
        <v>565.90133665630003</v>
      </c>
      <c r="O141" s="7"/>
      <c r="P141" s="7"/>
      <c r="Q141">
        <v>0</v>
      </c>
      <c r="R141">
        <v>0</v>
      </c>
      <c r="S141" s="11">
        <v>45743.666666666664</v>
      </c>
      <c r="T141">
        <v>2401</v>
      </c>
    </row>
    <row r="142" spans="1:20">
      <c r="A142" s="11">
        <v>45743.5</v>
      </c>
      <c r="B142" s="11">
        <v>45743.520833333336</v>
      </c>
      <c r="C142" s="10">
        <v>45743</v>
      </c>
      <c r="D142" s="7">
        <v>565.44590000000005</v>
      </c>
      <c r="E142" s="7">
        <v>1310934</v>
      </c>
      <c r="F142" s="7">
        <v>1310934</v>
      </c>
      <c r="G142" s="7">
        <v>14089244</v>
      </c>
      <c r="H142" s="7">
        <v>565.09299999999996</v>
      </c>
      <c r="I142" s="7">
        <v>565.34630000000004</v>
      </c>
      <c r="J142" s="7">
        <v>10</v>
      </c>
      <c r="K142" s="7"/>
      <c r="L142" s="7"/>
      <c r="M142" s="7"/>
      <c r="N142" s="7">
        <v>565.85896054320006</v>
      </c>
      <c r="O142" s="7"/>
      <c r="P142" s="7"/>
      <c r="Q142">
        <v>0</v>
      </c>
      <c r="R142">
        <v>0</v>
      </c>
      <c r="S142" s="11">
        <v>45743.666666666664</v>
      </c>
      <c r="T142">
        <v>2400</v>
      </c>
    </row>
    <row r="143" spans="1:20">
      <c r="A143" s="11">
        <v>45743.520833333336</v>
      </c>
      <c r="B143" s="11">
        <v>45743.541666666664</v>
      </c>
      <c r="C143" s="10">
        <v>45743</v>
      </c>
      <c r="D143" s="7">
        <v>563.54690000000005</v>
      </c>
      <c r="E143" s="7">
        <v>1339971</v>
      </c>
      <c r="F143" s="7">
        <v>1339971</v>
      </c>
      <c r="G143" s="7">
        <v>15429215</v>
      </c>
      <c r="H143" s="7">
        <v>565.09299999999996</v>
      </c>
      <c r="I143" s="7">
        <v>565.34630000000004</v>
      </c>
      <c r="J143" s="7">
        <v>10</v>
      </c>
      <c r="K143" s="7"/>
      <c r="L143" s="7"/>
      <c r="M143" s="7"/>
      <c r="N143" s="7">
        <v>565.65816652490003</v>
      </c>
      <c r="O143" s="7"/>
      <c r="P143" s="7"/>
      <c r="Q143">
        <v>0</v>
      </c>
      <c r="R143">
        <v>0</v>
      </c>
      <c r="S143" s="11">
        <v>45743.666666666664</v>
      </c>
      <c r="T143">
        <v>2399</v>
      </c>
    </row>
    <row r="144" spans="1:20">
      <c r="A144" s="11">
        <v>45743.541666666664</v>
      </c>
      <c r="B144" s="11">
        <v>45743.5625</v>
      </c>
      <c r="C144" s="10">
        <v>45743</v>
      </c>
      <c r="D144" s="7">
        <v>563.50699999999995</v>
      </c>
      <c r="E144" s="7">
        <v>1592813</v>
      </c>
      <c r="F144" s="7">
        <v>1592813</v>
      </c>
      <c r="G144" s="7">
        <v>17022028</v>
      </c>
      <c r="H144" s="7">
        <v>565.09299999999996</v>
      </c>
      <c r="I144" s="7">
        <v>565.34630000000004</v>
      </c>
      <c r="J144" s="7">
        <v>10</v>
      </c>
      <c r="K144" s="7"/>
      <c r="L144" s="7"/>
      <c r="M144" s="7"/>
      <c r="N144" s="7">
        <v>565.45687405809997</v>
      </c>
      <c r="O144" s="7"/>
      <c r="P144" s="7"/>
      <c r="Q144">
        <v>0</v>
      </c>
      <c r="R144">
        <v>0</v>
      </c>
      <c r="S144" s="11">
        <v>45743.666666666664</v>
      </c>
      <c r="T144">
        <v>2398</v>
      </c>
    </row>
    <row r="145" spans="1:20">
      <c r="A145" s="11">
        <v>45743.5625</v>
      </c>
      <c r="B145" s="11">
        <v>45743.583333333336</v>
      </c>
      <c r="C145" s="10">
        <v>45743</v>
      </c>
      <c r="D145" s="7">
        <v>563.35789999999997</v>
      </c>
      <c r="E145" s="7">
        <v>1146229</v>
      </c>
      <c r="F145" s="7">
        <v>1146229</v>
      </c>
      <c r="G145" s="7">
        <v>18168257</v>
      </c>
      <c r="H145" s="7">
        <v>565.09299999999996</v>
      </c>
      <c r="I145" s="7">
        <v>565.34630000000004</v>
      </c>
      <c r="J145" s="7">
        <v>10</v>
      </c>
      <c r="K145" s="7"/>
      <c r="L145" s="7"/>
      <c r="M145" s="7"/>
      <c r="N145" s="7">
        <v>565.3244505166</v>
      </c>
      <c r="O145" s="7"/>
      <c r="P145" s="7"/>
      <c r="Q145">
        <v>0</v>
      </c>
      <c r="R145">
        <v>0</v>
      </c>
      <c r="S145" s="11">
        <v>45743.666666666664</v>
      </c>
      <c r="T145">
        <v>2397</v>
      </c>
    </row>
    <row r="146" spans="1:20">
      <c r="A146" s="11">
        <v>45743.583333333336</v>
      </c>
      <c r="B146" s="11">
        <v>45743.604166666664</v>
      </c>
      <c r="C146" s="10">
        <v>45743</v>
      </c>
      <c r="D146" s="7">
        <v>564.66049999999996</v>
      </c>
      <c r="E146" s="7">
        <v>1381948</v>
      </c>
      <c r="F146" s="7">
        <v>1381948</v>
      </c>
      <c r="G146" s="7">
        <v>19550205</v>
      </c>
      <c r="H146" s="7">
        <v>565.09299999999996</v>
      </c>
      <c r="I146" s="7">
        <v>565.34630000000004</v>
      </c>
      <c r="J146" s="7">
        <v>10</v>
      </c>
      <c r="K146" s="7"/>
      <c r="L146" s="7"/>
      <c r="M146" s="7"/>
      <c r="N146" s="7">
        <v>565.2775177561</v>
      </c>
      <c r="O146" s="7"/>
      <c r="P146" s="7"/>
      <c r="Q146">
        <v>0</v>
      </c>
      <c r="R146">
        <v>0</v>
      </c>
      <c r="S146" s="11">
        <v>45743.666666666664</v>
      </c>
      <c r="T146">
        <v>2396</v>
      </c>
    </row>
    <row r="147" spans="1:20">
      <c r="A147" s="11">
        <v>45743.604166666664</v>
      </c>
      <c r="B147" s="11">
        <v>45743.625</v>
      </c>
      <c r="C147" s="10">
        <v>45743</v>
      </c>
      <c r="D147" s="7">
        <v>564.30740000000003</v>
      </c>
      <c r="E147" s="7">
        <v>1303029</v>
      </c>
      <c r="F147" s="7">
        <v>1303029</v>
      </c>
      <c r="G147" s="7">
        <v>20853234</v>
      </c>
      <c r="H147" s="7">
        <v>565.09299999999996</v>
      </c>
      <c r="I147" s="7">
        <v>565.34630000000004</v>
      </c>
      <c r="J147" s="7">
        <v>10</v>
      </c>
      <c r="K147" s="7"/>
      <c r="L147" s="7"/>
      <c r="M147" s="7"/>
      <c r="N147" s="7">
        <v>565.21689926550005</v>
      </c>
      <c r="O147" s="7"/>
      <c r="P147" s="7"/>
      <c r="Q147">
        <v>0</v>
      </c>
      <c r="R147">
        <v>0</v>
      </c>
      <c r="S147" s="11">
        <v>45743.666666666664</v>
      </c>
      <c r="T147">
        <v>2395</v>
      </c>
    </row>
    <row r="148" spans="1:20">
      <c r="A148" s="11">
        <v>45743.625</v>
      </c>
      <c r="B148" s="11">
        <v>45743.645833333336</v>
      </c>
      <c r="C148" s="10">
        <v>45743</v>
      </c>
      <c r="D148" s="7">
        <v>566.50980000000004</v>
      </c>
      <c r="E148" s="7">
        <v>2361421</v>
      </c>
      <c r="F148" s="7">
        <v>2361421</v>
      </c>
      <c r="G148" s="7">
        <v>23214655</v>
      </c>
      <c r="H148" s="7">
        <v>565.09299999999996</v>
      </c>
      <c r="I148" s="7">
        <v>565.34630000000004</v>
      </c>
      <c r="J148" s="7">
        <v>10</v>
      </c>
      <c r="K148" s="7"/>
      <c r="L148" s="7"/>
      <c r="M148" s="7"/>
      <c r="N148" s="7">
        <v>565.34841459259997</v>
      </c>
      <c r="O148" s="7"/>
      <c r="P148" s="7"/>
      <c r="Q148">
        <v>0</v>
      </c>
      <c r="R148">
        <v>0</v>
      </c>
      <c r="S148" s="11">
        <v>45743.666666666664</v>
      </c>
      <c r="T148">
        <v>2394</v>
      </c>
    </row>
    <row r="149" spans="1:20">
      <c r="A149" s="11">
        <v>45743.645833333336</v>
      </c>
      <c r="B149" s="11">
        <v>45743.666666666664</v>
      </c>
      <c r="C149" s="10">
        <v>45743</v>
      </c>
      <c r="D149" s="7">
        <v>563.84519999999998</v>
      </c>
      <c r="E149" s="7">
        <v>7342168</v>
      </c>
      <c r="F149" s="7">
        <v>7342168</v>
      </c>
      <c r="G149" s="7">
        <v>30556823</v>
      </c>
      <c r="H149" s="7">
        <v>565.09299999999996</v>
      </c>
      <c r="I149" s="7">
        <v>565.34630000000004</v>
      </c>
      <c r="J149" s="7">
        <v>10</v>
      </c>
      <c r="K149" s="7"/>
      <c r="L149" s="7"/>
      <c r="M149" s="7"/>
      <c r="N149" s="7">
        <v>564.98722344129999</v>
      </c>
      <c r="O149" s="7"/>
      <c r="P149" s="7"/>
      <c r="Q149">
        <v>0</v>
      </c>
      <c r="R149">
        <v>1</v>
      </c>
      <c r="S149" s="11">
        <v>45743.666666666664</v>
      </c>
      <c r="T149">
        <v>2393</v>
      </c>
    </row>
    <row r="150" spans="1:20">
      <c r="A150" s="11">
        <v>45744.395833333336</v>
      </c>
      <c r="B150" s="11">
        <v>45744.416666666664</v>
      </c>
      <c r="C150" s="10">
        <v>45744</v>
      </c>
      <c r="D150" s="7">
        <v>559.87789999999995</v>
      </c>
      <c r="E150" s="7">
        <v>3437031</v>
      </c>
      <c r="F150" s="7">
        <v>3437031</v>
      </c>
      <c r="G150" s="7">
        <v>3437031</v>
      </c>
      <c r="H150" s="7">
        <v>559.87789999999995</v>
      </c>
      <c r="I150" s="7">
        <v>563.84490000000005</v>
      </c>
      <c r="J150" s="7">
        <v>11</v>
      </c>
      <c r="K150" s="7"/>
      <c r="L150" s="7"/>
      <c r="M150" s="7"/>
      <c r="N150" s="7">
        <v>559.87789999999995</v>
      </c>
      <c r="O150" s="7"/>
      <c r="P150" s="7"/>
      <c r="Q150">
        <v>0</v>
      </c>
      <c r="R150">
        <v>0</v>
      </c>
      <c r="S150" s="11">
        <v>45744.666666666664</v>
      </c>
      <c r="T150">
        <v>2391</v>
      </c>
    </row>
    <row r="151" spans="1:20">
      <c r="A151" s="11">
        <v>45744.416666666664</v>
      </c>
      <c r="B151" s="11">
        <v>45744.4375</v>
      </c>
      <c r="C151" s="10">
        <v>45744</v>
      </c>
      <c r="D151" s="7">
        <v>556.42269999999996</v>
      </c>
      <c r="E151" s="7">
        <v>5595531</v>
      </c>
      <c r="F151" s="7">
        <v>5595531</v>
      </c>
      <c r="G151" s="7">
        <v>9032562</v>
      </c>
      <c r="H151" s="7">
        <v>559.87789999999995</v>
      </c>
      <c r="I151" s="7">
        <v>563.84490000000005</v>
      </c>
      <c r="J151" s="7">
        <v>11</v>
      </c>
      <c r="K151" s="7"/>
      <c r="L151" s="7"/>
      <c r="M151" s="7"/>
      <c r="N151" s="7">
        <v>557.73745759710005</v>
      </c>
      <c r="O151" s="7"/>
      <c r="P151" s="7"/>
      <c r="Q151">
        <v>0</v>
      </c>
      <c r="R151">
        <v>0</v>
      </c>
      <c r="S151" s="11">
        <v>45744.666666666664</v>
      </c>
      <c r="T151">
        <v>2390</v>
      </c>
    </row>
    <row r="152" spans="1:20">
      <c r="A152" s="11">
        <v>45744.4375</v>
      </c>
      <c r="B152" s="11">
        <v>45744.458333333336</v>
      </c>
      <c r="C152" s="10">
        <v>45744</v>
      </c>
      <c r="D152" s="7">
        <v>555.59249999999997</v>
      </c>
      <c r="E152" s="7">
        <v>4237760</v>
      </c>
      <c r="F152" s="7">
        <v>4237760</v>
      </c>
      <c r="G152" s="7">
        <v>13270322</v>
      </c>
      <c r="H152" s="7">
        <v>559.87789999999995</v>
      </c>
      <c r="I152" s="7">
        <v>563.84490000000005</v>
      </c>
      <c r="J152" s="7">
        <v>11</v>
      </c>
      <c r="K152" s="7"/>
      <c r="L152" s="7"/>
      <c r="M152" s="7"/>
      <c r="N152" s="7">
        <v>557.05248435329997</v>
      </c>
      <c r="O152" s="7"/>
      <c r="P152" s="7"/>
      <c r="Q152">
        <v>0</v>
      </c>
      <c r="R152">
        <v>0</v>
      </c>
      <c r="S152" s="11">
        <v>45744.666666666664</v>
      </c>
      <c r="T152">
        <v>2389</v>
      </c>
    </row>
    <row r="153" spans="1:20">
      <c r="A153" s="11">
        <v>45744.458333333336</v>
      </c>
      <c r="B153" s="11">
        <v>45744.479166666664</v>
      </c>
      <c r="C153" s="10">
        <v>45744</v>
      </c>
      <c r="D153" s="7">
        <v>555.70180000000005</v>
      </c>
      <c r="E153" s="7">
        <v>3549337</v>
      </c>
      <c r="F153" s="7">
        <v>3549337</v>
      </c>
      <c r="G153" s="7">
        <v>16819659</v>
      </c>
      <c r="H153" s="7">
        <v>559.87789999999995</v>
      </c>
      <c r="I153" s="7">
        <v>563.84490000000005</v>
      </c>
      <c r="J153" s="7">
        <v>11</v>
      </c>
      <c r="K153" s="7"/>
      <c r="L153" s="7"/>
      <c r="M153" s="7"/>
      <c r="N153" s="7">
        <v>556.76745872050003</v>
      </c>
      <c r="O153" s="7"/>
      <c r="P153" s="7"/>
      <c r="Q153">
        <v>0</v>
      </c>
      <c r="R153">
        <v>0</v>
      </c>
      <c r="S153" s="11">
        <v>45744.666666666664</v>
      </c>
      <c r="T153">
        <v>2388</v>
      </c>
    </row>
    <row r="154" spans="1:20">
      <c r="A154" s="11">
        <v>45744.479166666664</v>
      </c>
      <c r="B154" s="11">
        <v>45744.5</v>
      </c>
      <c r="C154" s="10">
        <v>45744</v>
      </c>
      <c r="D154" s="7">
        <v>554.75729999999999</v>
      </c>
      <c r="E154" s="7">
        <v>2184875</v>
      </c>
      <c r="F154" s="7">
        <v>2184875</v>
      </c>
      <c r="G154" s="7">
        <v>19004534</v>
      </c>
      <c r="H154" s="7">
        <v>559.87789999999995</v>
      </c>
      <c r="I154" s="7">
        <v>563.84490000000005</v>
      </c>
      <c r="J154" s="7">
        <v>11</v>
      </c>
      <c r="K154" s="7"/>
      <c r="L154" s="7"/>
      <c r="M154" s="7"/>
      <c r="N154" s="7">
        <v>556.53635884009998</v>
      </c>
      <c r="O154" s="7"/>
      <c r="P154" s="7"/>
      <c r="Q154">
        <v>0</v>
      </c>
      <c r="R154">
        <v>0</v>
      </c>
      <c r="S154" s="11">
        <v>45744.666666666664</v>
      </c>
      <c r="T154">
        <v>2387</v>
      </c>
    </row>
    <row r="155" spans="1:20">
      <c r="A155" s="11">
        <v>45744.5</v>
      </c>
      <c r="B155" s="11">
        <v>45744.520833333336</v>
      </c>
      <c r="C155" s="10">
        <v>45744</v>
      </c>
      <c r="D155" s="7">
        <v>553.67349999999999</v>
      </c>
      <c r="E155" s="7">
        <v>2094324</v>
      </c>
      <c r="F155" s="7">
        <v>2094324</v>
      </c>
      <c r="G155" s="7">
        <v>21098858</v>
      </c>
      <c r="H155" s="7">
        <v>559.87789999999995</v>
      </c>
      <c r="I155" s="7">
        <v>563.84490000000005</v>
      </c>
      <c r="J155" s="7">
        <v>11</v>
      </c>
      <c r="K155" s="7"/>
      <c r="L155" s="7"/>
      <c r="M155" s="7"/>
      <c r="N155" s="7">
        <v>556.25218450340003</v>
      </c>
      <c r="O155" s="7"/>
      <c r="P155" s="7"/>
      <c r="Q155">
        <v>0</v>
      </c>
      <c r="R155">
        <v>0</v>
      </c>
      <c r="S155" s="11">
        <v>45744.666666666664</v>
      </c>
      <c r="T155">
        <v>2386</v>
      </c>
    </row>
    <row r="156" spans="1:20">
      <c r="A156" s="11">
        <v>45744.520833333336</v>
      </c>
      <c r="B156" s="11">
        <v>45744.541666666664</v>
      </c>
      <c r="C156" s="10">
        <v>45744</v>
      </c>
      <c r="D156" s="7">
        <v>553.34540000000004</v>
      </c>
      <c r="E156" s="7">
        <v>2025112</v>
      </c>
      <c r="F156" s="7">
        <v>2025112</v>
      </c>
      <c r="G156" s="7">
        <v>23123970</v>
      </c>
      <c r="H156" s="7">
        <v>559.87789999999995</v>
      </c>
      <c r="I156" s="7">
        <v>563.84490000000005</v>
      </c>
      <c r="J156" s="7">
        <v>11</v>
      </c>
      <c r="K156" s="7"/>
      <c r="L156" s="7"/>
      <c r="M156" s="7"/>
      <c r="N156" s="7">
        <v>555.99761903820001</v>
      </c>
      <c r="O156" s="7"/>
      <c r="P156" s="7"/>
      <c r="Q156">
        <v>0</v>
      </c>
      <c r="R156">
        <v>0</v>
      </c>
      <c r="S156" s="11">
        <v>45744.666666666664</v>
      </c>
      <c r="T156">
        <v>2385</v>
      </c>
    </row>
    <row r="157" spans="1:20">
      <c r="A157" s="11">
        <v>45744.541666666664</v>
      </c>
      <c r="B157" s="11">
        <v>45744.5625</v>
      </c>
      <c r="C157" s="10">
        <v>45744</v>
      </c>
      <c r="D157" s="7">
        <v>552.23180000000002</v>
      </c>
      <c r="E157" s="7">
        <v>2553641</v>
      </c>
      <c r="F157" s="7">
        <v>2553641</v>
      </c>
      <c r="G157" s="7">
        <v>25677611</v>
      </c>
      <c r="H157" s="7">
        <v>559.87789999999995</v>
      </c>
      <c r="I157" s="7">
        <v>563.84490000000005</v>
      </c>
      <c r="J157" s="7">
        <v>11</v>
      </c>
      <c r="K157" s="7"/>
      <c r="L157" s="7"/>
      <c r="M157" s="7"/>
      <c r="N157" s="7">
        <v>555.62310795559995</v>
      </c>
      <c r="O157" s="7"/>
      <c r="P157" s="7"/>
      <c r="Q157">
        <v>0</v>
      </c>
      <c r="R157">
        <v>0</v>
      </c>
      <c r="S157" s="11">
        <v>45744.666666666664</v>
      </c>
      <c r="T157">
        <v>2384</v>
      </c>
    </row>
    <row r="158" spans="1:20">
      <c r="A158" s="11">
        <v>45744.5625</v>
      </c>
      <c r="B158" s="11">
        <v>45744.583333333336</v>
      </c>
      <c r="C158" s="10">
        <v>45744</v>
      </c>
      <c r="D158" s="7">
        <v>553.20619999999997</v>
      </c>
      <c r="E158" s="7">
        <v>2004751</v>
      </c>
      <c r="F158" s="7">
        <v>2004751</v>
      </c>
      <c r="G158" s="7">
        <v>27682362</v>
      </c>
      <c r="H158" s="7">
        <v>559.87789999999995</v>
      </c>
      <c r="I158" s="7">
        <v>563.84490000000005</v>
      </c>
      <c r="J158" s="7">
        <v>11</v>
      </c>
      <c r="K158" s="7"/>
      <c r="L158" s="7"/>
      <c r="M158" s="7"/>
      <c r="N158" s="7">
        <v>555.44807597529996</v>
      </c>
      <c r="O158" s="7"/>
      <c r="P158" s="7"/>
      <c r="Q158">
        <v>0</v>
      </c>
      <c r="R158">
        <v>0</v>
      </c>
      <c r="S158" s="11">
        <v>45744.666666666664</v>
      </c>
      <c r="T158">
        <v>2383</v>
      </c>
    </row>
    <row r="159" spans="1:20">
      <c r="A159" s="11">
        <v>45744.583333333336</v>
      </c>
      <c r="B159" s="11">
        <v>45744.604166666664</v>
      </c>
      <c r="C159" s="10">
        <v>45744</v>
      </c>
      <c r="D159" s="7">
        <v>552.78859999999997</v>
      </c>
      <c r="E159" s="7">
        <v>2085411</v>
      </c>
      <c r="F159" s="7">
        <v>2085411</v>
      </c>
      <c r="G159" s="7">
        <v>29767773</v>
      </c>
      <c r="H159" s="7">
        <v>559.87789999999995</v>
      </c>
      <c r="I159" s="7">
        <v>563.84490000000005</v>
      </c>
      <c r="J159" s="7">
        <v>11</v>
      </c>
      <c r="K159" s="7"/>
      <c r="L159" s="7"/>
      <c r="M159" s="7"/>
      <c r="N159" s="7">
        <v>555.26176373579995</v>
      </c>
      <c r="O159" s="7"/>
      <c r="P159" s="7"/>
      <c r="Q159">
        <v>0</v>
      </c>
      <c r="R159">
        <v>0</v>
      </c>
      <c r="S159" s="11">
        <v>45744.666666666664</v>
      </c>
      <c r="T159">
        <v>2382</v>
      </c>
    </row>
    <row r="160" spans="1:20">
      <c r="A160" s="11">
        <v>45744.604166666664</v>
      </c>
      <c r="B160" s="11">
        <v>45744.625</v>
      </c>
      <c r="C160" s="10">
        <v>45744</v>
      </c>
      <c r="D160" s="7">
        <v>552.96749999999997</v>
      </c>
      <c r="E160" s="7">
        <v>1794238</v>
      </c>
      <c r="F160" s="7">
        <v>1794238</v>
      </c>
      <c r="G160" s="7">
        <v>31562011</v>
      </c>
      <c r="H160" s="7">
        <v>559.87789999999995</v>
      </c>
      <c r="I160" s="7">
        <v>563.84490000000005</v>
      </c>
      <c r="J160" s="7">
        <v>11</v>
      </c>
      <c r="K160" s="7"/>
      <c r="L160" s="7"/>
      <c r="M160" s="7"/>
      <c r="N160" s="7">
        <v>555.13133937290002</v>
      </c>
      <c r="O160" s="7"/>
      <c r="P160" s="7"/>
      <c r="Q160">
        <v>0</v>
      </c>
      <c r="R160">
        <v>0</v>
      </c>
      <c r="S160" s="11">
        <v>45744.666666666664</v>
      </c>
      <c r="T160">
        <v>2381</v>
      </c>
    </row>
    <row r="161" spans="1:20">
      <c r="A161" s="11">
        <v>45744.625</v>
      </c>
      <c r="B161" s="11">
        <v>45744.645833333336</v>
      </c>
      <c r="C161" s="10">
        <v>45744</v>
      </c>
      <c r="D161" s="7">
        <v>552.62950000000001</v>
      </c>
      <c r="E161" s="7">
        <v>2291837</v>
      </c>
      <c r="F161" s="7">
        <v>2291837</v>
      </c>
      <c r="G161" s="7">
        <v>33853848</v>
      </c>
      <c r="H161" s="7">
        <v>559.87789999999995</v>
      </c>
      <c r="I161" s="7">
        <v>563.84490000000005</v>
      </c>
      <c r="J161" s="7">
        <v>11</v>
      </c>
      <c r="K161" s="7"/>
      <c r="L161" s="7"/>
      <c r="M161" s="7"/>
      <c r="N161" s="7">
        <v>554.96196991030001</v>
      </c>
      <c r="O161" s="7"/>
      <c r="P161" s="7"/>
      <c r="Q161">
        <v>0</v>
      </c>
      <c r="R161">
        <v>0</v>
      </c>
      <c r="S161" s="11">
        <v>45744.666666666664</v>
      </c>
      <c r="T161">
        <v>2380</v>
      </c>
    </row>
    <row r="162" spans="1:20">
      <c r="A162" s="11">
        <v>45744.645833333336</v>
      </c>
      <c r="B162" s="11">
        <v>45744.666666666664</v>
      </c>
      <c r="C162" s="10">
        <v>45744</v>
      </c>
      <c r="D162" s="7">
        <v>552.49019999999996</v>
      </c>
      <c r="E162" s="7">
        <v>13214142</v>
      </c>
      <c r="F162" s="7">
        <v>13214142</v>
      </c>
      <c r="G162" s="7">
        <v>47067990</v>
      </c>
      <c r="H162" s="7">
        <v>559.87789999999995</v>
      </c>
      <c r="I162" s="7">
        <v>563.84490000000005</v>
      </c>
      <c r="J162" s="7">
        <v>11</v>
      </c>
      <c r="K162" s="7"/>
      <c r="L162" s="7"/>
      <c r="M162" s="7"/>
      <c r="N162" s="7">
        <v>554.28757072090002</v>
      </c>
      <c r="O162" s="7"/>
      <c r="P162" s="7"/>
      <c r="Q162">
        <v>0</v>
      </c>
      <c r="R162">
        <v>1</v>
      </c>
      <c r="S162" s="11">
        <v>45744.666666666664</v>
      </c>
      <c r="T162">
        <v>2379</v>
      </c>
    </row>
    <row r="163" spans="1:20">
      <c r="A163" s="11">
        <v>45747.395833333336</v>
      </c>
      <c r="B163" s="11">
        <v>45747.416666666664</v>
      </c>
      <c r="C163" s="10">
        <v>45747</v>
      </c>
      <c r="D163" s="7">
        <v>546.58910000000003</v>
      </c>
      <c r="E163" s="7">
        <v>6773807</v>
      </c>
      <c r="F163" s="7">
        <v>6773807</v>
      </c>
      <c r="G163" s="7">
        <v>6773807</v>
      </c>
      <c r="H163" s="7">
        <v>546.58910000000003</v>
      </c>
      <c r="I163" s="7">
        <v>552.49009999999998</v>
      </c>
      <c r="J163" s="7">
        <v>12</v>
      </c>
      <c r="K163" s="7"/>
      <c r="L163" s="7"/>
      <c r="M163" s="7"/>
      <c r="N163" s="7">
        <v>546.58910000000003</v>
      </c>
      <c r="O163" s="7"/>
      <c r="P163" s="7"/>
      <c r="Q163">
        <v>0</v>
      </c>
      <c r="R163">
        <v>0</v>
      </c>
      <c r="S163" s="11">
        <v>45747.666666666664</v>
      </c>
      <c r="T163">
        <v>2377</v>
      </c>
    </row>
    <row r="164" spans="1:20">
      <c r="A164" s="11">
        <v>45747.416666666664</v>
      </c>
      <c r="B164" s="11">
        <v>45747.4375</v>
      </c>
      <c r="C164" s="10">
        <v>45747</v>
      </c>
      <c r="D164" s="7">
        <v>546.37540000000001</v>
      </c>
      <c r="E164" s="7">
        <v>3216641</v>
      </c>
      <c r="F164" s="7">
        <v>3216641</v>
      </c>
      <c r="G164" s="7">
        <v>9990448</v>
      </c>
      <c r="H164" s="7">
        <v>546.58910000000003</v>
      </c>
      <c r="I164" s="7">
        <v>552.49009999999998</v>
      </c>
      <c r="J164" s="7">
        <v>12</v>
      </c>
      <c r="K164" s="7"/>
      <c r="L164" s="7"/>
      <c r="M164" s="7"/>
      <c r="N164" s="7">
        <v>546.520294659</v>
      </c>
      <c r="O164" s="7"/>
      <c r="P164" s="7"/>
      <c r="Q164">
        <v>0</v>
      </c>
      <c r="R164">
        <v>0</v>
      </c>
      <c r="S164" s="11">
        <v>45747.666666666664</v>
      </c>
      <c r="T164">
        <v>2376</v>
      </c>
    </row>
    <row r="165" spans="1:20">
      <c r="A165" s="11">
        <v>45747.4375</v>
      </c>
      <c r="B165" s="11">
        <v>45747.458333333336</v>
      </c>
      <c r="C165" s="10">
        <v>45747</v>
      </c>
      <c r="D165" s="7">
        <v>548.56280000000004</v>
      </c>
      <c r="E165" s="7">
        <v>2483318</v>
      </c>
      <c r="F165" s="7">
        <v>2483318</v>
      </c>
      <c r="G165" s="7">
        <v>12473766</v>
      </c>
      <c r="H165" s="7">
        <v>546.58910000000003</v>
      </c>
      <c r="I165" s="7">
        <v>552.49009999999998</v>
      </c>
      <c r="J165" s="7">
        <v>12</v>
      </c>
      <c r="K165" s="7"/>
      <c r="L165" s="7"/>
      <c r="M165" s="7"/>
      <c r="N165" s="7">
        <v>546.92692328090004</v>
      </c>
      <c r="O165" s="7"/>
      <c r="P165" s="7"/>
      <c r="Q165">
        <v>0</v>
      </c>
      <c r="R165">
        <v>0</v>
      </c>
      <c r="S165" s="11">
        <v>45747.666666666664</v>
      </c>
      <c r="T165">
        <v>2375</v>
      </c>
    </row>
    <row r="166" spans="1:20">
      <c r="A166" s="11">
        <v>45747.458333333336</v>
      </c>
      <c r="B166" s="11">
        <v>45747.479166666664</v>
      </c>
      <c r="C166" s="10">
        <v>45747</v>
      </c>
      <c r="D166" s="7">
        <v>549.3184</v>
      </c>
      <c r="E166" s="7">
        <v>2426899</v>
      </c>
      <c r="F166" s="7">
        <v>2426899</v>
      </c>
      <c r="G166" s="7">
        <v>14900665</v>
      </c>
      <c r="H166" s="7">
        <v>546.58910000000003</v>
      </c>
      <c r="I166" s="7">
        <v>552.49009999999998</v>
      </c>
      <c r="J166" s="7">
        <v>12</v>
      </c>
      <c r="K166" s="7"/>
      <c r="L166" s="7"/>
      <c r="M166" s="7"/>
      <c r="N166" s="7">
        <v>547.31642753840003</v>
      </c>
      <c r="O166" s="7"/>
      <c r="P166" s="7"/>
      <c r="Q166">
        <v>0</v>
      </c>
      <c r="R166">
        <v>0</v>
      </c>
      <c r="S166" s="11">
        <v>45747.666666666664</v>
      </c>
      <c r="T166">
        <v>2374</v>
      </c>
    </row>
    <row r="167" spans="1:20">
      <c r="A167" s="11">
        <v>45747.479166666664</v>
      </c>
      <c r="B167" s="11">
        <v>45747.5</v>
      </c>
      <c r="C167" s="10">
        <v>45747</v>
      </c>
      <c r="D167" s="7">
        <v>550.18349999999998</v>
      </c>
      <c r="E167" s="7">
        <v>1803877</v>
      </c>
      <c r="F167" s="7">
        <v>1803877</v>
      </c>
      <c r="G167" s="7">
        <v>16704542</v>
      </c>
      <c r="H167" s="7">
        <v>546.58910000000003</v>
      </c>
      <c r="I167" s="7">
        <v>552.49009999999998</v>
      </c>
      <c r="J167" s="7">
        <v>12</v>
      </c>
      <c r="K167" s="7"/>
      <c r="L167" s="7"/>
      <c r="M167" s="7"/>
      <c r="N167" s="7">
        <v>547.62603471420005</v>
      </c>
      <c r="O167" s="7"/>
      <c r="P167" s="7"/>
      <c r="Q167">
        <v>0</v>
      </c>
      <c r="R167">
        <v>0</v>
      </c>
      <c r="S167" s="11">
        <v>45747.666666666664</v>
      </c>
      <c r="T167">
        <v>2373</v>
      </c>
    </row>
    <row r="168" spans="1:20">
      <c r="A168" s="11">
        <v>45747.5</v>
      </c>
      <c r="B168" s="11">
        <v>45747.520833333336</v>
      </c>
      <c r="C168" s="10">
        <v>45747</v>
      </c>
      <c r="D168" s="7">
        <v>551.25869999999998</v>
      </c>
      <c r="E168" s="7">
        <v>1450728</v>
      </c>
      <c r="F168" s="7">
        <v>1450728</v>
      </c>
      <c r="G168" s="7">
        <v>18155270</v>
      </c>
      <c r="H168" s="7">
        <v>546.58910000000003</v>
      </c>
      <c r="I168" s="7">
        <v>552.49009999999998</v>
      </c>
      <c r="J168" s="7">
        <v>12</v>
      </c>
      <c r="K168" s="7"/>
      <c r="L168" s="7"/>
      <c r="M168" s="7"/>
      <c r="N168" s="7">
        <v>547.91630906670002</v>
      </c>
      <c r="O168" s="7"/>
      <c r="P168" s="7"/>
      <c r="Q168">
        <v>0</v>
      </c>
      <c r="R168">
        <v>0</v>
      </c>
      <c r="S168" s="11">
        <v>45747.666666666664</v>
      </c>
      <c r="T168">
        <v>2372</v>
      </c>
    </row>
    <row r="169" spans="1:20">
      <c r="A169" s="11">
        <v>45747.520833333336</v>
      </c>
      <c r="B169" s="11">
        <v>45747.541666666664</v>
      </c>
      <c r="C169" s="10">
        <v>45747</v>
      </c>
      <c r="D169" s="7">
        <v>550.10389999999995</v>
      </c>
      <c r="E169" s="7">
        <v>1294049</v>
      </c>
      <c r="F169" s="7">
        <v>1294049</v>
      </c>
      <c r="G169" s="7">
        <v>19449319</v>
      </c>
      <c r="H169" s="7">
        <v>546.58910000000003</v>
      </c>
      <c r="I169" s="7">
        <v>552.49009999999998</v>
      </c>
      <c r="J169" s="7">
        <v>12</v>
      </c>
      <c r="K169" s="7"/>
      <c r="L169" s="7"/>
      <c r="M169" s="7"/>
      <c r="N169" s="7">
        <v>548.06185914280002</v>
      </c>
      <c r="O169" s="7"/>
      <c r="P169" s="7"/>
      <c r="Q169">
        <v>0</v>
      </c>
      <c r="R169">
        <v>0</v>
      </c>
      <c r="S169" s="11">
        <v>45747.666666666664</v>
      </c>
      <c r="T169">
        <v>2371</v>
      </c>
    </row>
    <row r="170" spans="1:20">
      <c r="A170" s="11">
        <v>45747.541666666664</v>
      </c>
      <c r="B170" s="11">
        <v>45747.5625</v>
      </c>
      <c r="C170" s="10">
        <v>45747</v>
      </c>
      <c r="D170" s="7">
        <v>550.50049999999999</v>
      </c>
      <c r="E170" s="7">
        <v>2001312</v>
      </c>
      <c r="F170" s="7">
        <v>2001312</v>
      </c>
      <c r="G170" s="7">
        <v>21450631</v>
      </c>
      <c r="H170" s="7">
        <v>546.58910000000003</v>
      </c>
      <c r="I170" s="7">
        <v>552.49009999999998</v>
      </c>
      <c r="J170" s="7">
        <v>12</v>
      </c>
      <c r="K170" s="7"/>
      <c r="L170" s="7"/>
      <c r="M170" s="7"/>
      <c r="N170" s="7">
        <v>548.28938071130005</v>
      </c>
      <c r="O170" s="7"/>
      <c r="P170" s="7"/>
      <c r="Q170">
        <v>0</v>
      </c>
      <c r="R170">
        <v>0</v>
      </c>
      <c r="S170" s="11">
        <v>45747.666666666664</v>
      </c>
      <c r="T170">
        <v>2370</v>
      </c>
    </row>
    <row r="171" spans="1:20">
      <c r="A171" s="11">
        <v>45747.5625</v>
      </c>
      <c r="B171" s="11">
        <v>45747.583333333336</v>
      </c>
      <c r="C171" s="10">
        <v>45747</v>
      </c>
      <c r="D171" s="7">
        <v>549.94479999999999</v>
      </c>
      <c r="E171" s="7">
        <v>1216959</v>
      </c>
      <c r="F171" s="7">
        <v>1216959</v>
      </c>
      <c r="G171" s="7">
        <v>22667590</v>
      </c>
      <c r="H171" s="7">
        <v>546.58910000000003</v>
      </c>
      <c r="I171" s="7">
        <v>552.49009999999998</v>
      </c>
      <c r="J171" s="7">
        <v>12</v>
      </c>
      <c r="K171" s="7"/>
      <c r="L171" s="7"/>
      <c r="M171" s="7"/>
      <c r="N171" s="7">
        <v>548.37825550579998</v>
      </c>
      <c r="O171" s="7"/>
      <c r="P171" s="7"/>
      <c r="Q171">
        <v>0</v>
      </c>
      <c r="R171">
        <v>0</v>
      </c>
      <c r="S171" s="11">
        <v>45747.666666666664</v>
      </c>
      <c r="T171">
        <v>2369</v>
      </c>
    </row>
    <row r="172" spans="1:20">
      <c r="A172" s="11">
        <v>45747.583333333336</v>
      </c>
      <c r="B172" s="11">
        <v>45747.604166666664</v>
      </c>
      <c r="C172" s="10">
        <v>45747</v>
      </c>
      <c r="D172" s="7">
        <v>553.6934</v>
      </c>
      <c r="E172" s="7">
        <v>4823685</v>
      </c>
      <c r="F172" s="7">
        <v>4823685</v>
      </c>
      <c r="G172" s="7">
        <v>27491275</v>
      </c>
      <c r="H172" s="7">
        <v>546.58910000000003</v>
      </c>
      <c r="I172" s="7">
        <v>552.49009999999998</v>
      </c>
      <c r="J172" s="7">
        <v>12</v>
      </c>
      <c r="K172" s="7"/>
      <c r="L172" s="7"/>
      <c r="M172" s="7"/>
      <c r="N172" s="7">
        <v>549.31086349760005</v>
      </c>
      <c r="O172" s="7"/>
      <c r="P172" s="7"/>
      <c r="Q172">
        <v>0</v>
      </c>
      <c r="R172">
        <v>0</v>
      </c>
      <c r="S172" s="11">
        <v>45747.666666666664</v>
      </c>
      <c r="T172">
        <v>2368</v>
      </c>
    </row>
    <row r="173" spans="1:20">
      <c r="A173" s="11">
        <v>45747.604166666664</v>
      </c>
      <c r="B173" s="11">
        <v>45747.625</v>
      </c>
      <c r="C173" s="10">
        <v>45747</v>
      </c>
      <c r="D173" s="7">
        <v>553.19870000000003</v>
      </c>
      <c r="E173" s="7">
        <v>3856728</v>
      </c>
      <c r="F173" s="7">
        <v>3856728</v>
      </c>
      <c r="G173" s="7">
        <v>31348003</v>
      </c>
      <c r="H173" s="7">
        <v>546.58910000000003</v>
      </c>
      <c r="I173" s="7">
        <v>552.49009999999998</v>
      </c>
      <c r="J173" s="7">
        <v>12</v>
      </c>
      <c r="K173" s="7"/>
      <c r="L173" s="7"/>
      <c r="M173" s="7"/>
      <c r="N173" s="7">
        <v>549.78918193779998</v>
      </c>
      <c r="O173" s="7"/>
      <c r="P173" s="7"/>
      <c r="Q173">
        <v>0</v>
      </c>
      <c r="R173">
        <v>0</v>
      </c>
      <c r="S173" s="11">
        <v>45747.666666666664</v>
      </c>
      <c r="T173">
        <v>2367</v>
      </c>
    </row>
    <row r="174" spans="1:20">
      <c r="A174" s="11">
        <v>45747.625</v>
      </c>
      <c r="B174" s="11">
        <v>45747.645833333336</v>
      </c>
      <c r="C174" s="10">
        <v>45747</v>
      </c>
      <c r="D174" s="7">
        <v>554.21040000000005</v>
      </c>
      <c r="E174" s="7">
        <v>5582626</v>
      </c>
      <c r="F174" s="7">
        <v>5582626</v>
      </c>
      <c r="G174" s="7">
        <v>36930629</v>
      </c>
      <c r="H174" s="7">
        <v>546.58910000000003</v>
      </c>
      <c r="I174" s="7">
        <v>552.49009999999998</v>
      </c>
      <c r="J174" s="7">
        <v>12</v>
      </c>
      <c r="K174" s="7"/>
      <c r="L174" s="7"/>
      <c r="M174" s="7"/>
      <c r="N174" s="7">
        <v>550.45751626009996</v>
      </c>
      <c r="O174" s="7"/>
      <c r="P174" s="7"/>
      <c r="Q174">
        <v>0</v>
      </c>
      <c r="R174">
        <v>0</v>
      </c>
      <c r="S174" s="11">
        <v>45747.666666666664</v>
      </c>
      <c r="T174">
        <v>2366</v>
      </c>
    </row>
    <row r="175" spans="1:20">
      <c r="A175" s="11">
        <v>45747.645833333336</v>
      </c>
      <c r="B175" s="11">
        <v>45747.666666666664</v>
      </c>
      <c r="C175" s="10">
        <v>45747</v>
      </c>
      <c r="D175" s="7">
        <v>556.19899999999996</v>
      </c>
      <c r="E175" s="7">
        <v>17733212</v>
      </c>
      <c r="F175" s="7">
        <v>17733212</v>
      </c>
      <c r="G175" s="7">
        <v>54663841</v>
      </c>
      <c r="H175" s="7">
        <v>546.58910000000003</v>
      </c>
      <c r="I175" s="7">
        <v>552.49009999999998</v>
      </c>
      <c r="J175" s="7">
        <v>12</v>
      </c>
      <c r="K175" s="7"/>
      <c r="L175" s="7"/>
      <c r="M175" s="7"/>
      <c r="N175" s="7">
        <v>552.3200811017</v>
      </c>
      <c r="O175" s="7"/>
      <c r="P175" s="7"/>
      <c r="Q175">
        <v>0</v>
      </c>
      <c r="R175">
        <v>1</v>
      </c>
      <c r="S175" s="11">
        <v>45747.666666666664</v>
      </c>
      <c r="T175">
        <v>2365</v>
      </c>
    </row>
    <row r="176" spans="1:20">
      <c r="A176" s="11">
        <v>45748.395833333336</v>
      </c>
      <c r="B176" s="11">
        <v>45748.416666666664</v>
      </c>
      <c r="C176" s="10">
        <v>45748</v>
      </c>
      <c r="D176" s="7">
        <v>554.02149999999995</v>
      </c>
      <c r="E176" s="7">
        <v>3494382</v>
      </c>
      <c r="F176" s="7">
        <v>3494382</v>
      </c>
      <c r="G176" s="7">
        <v>3494382</v>
      </c>
      <c r="H176" s="7">
        <v>554.02149999999995</v>
      </c>
      <c r="I176" s="7">
        <v>556.19880000000001</v>
      </c>
      <c r="J176" s="7">
        <v>13</v>
      </c>
      <c r="K176" s="7"/>
      <c r="L176" s="7"/>
      <c r="M176" s="7"/>
      <c r="N176" s="7">
        <v>554.02149999999995</v>
      </c>
      <c r="O176" s="7"/>
      <c r="P176" s="7"/>
      <c r="Q176">
        <v>0</v>
      </c>
      <c r="R176">
        <v>0</v>
      </c>
      <c r="S176" s="11">
        <v>45748.666666666664</v>
      </c>
      <c r="T176">
        <v>2363</v>
      </c>
    </row>
    <row r="177" spans="1:20">
      <c r="A177" s="11">
        <v>45748.416666666664</v>
      </c>
      <c r="B177" s="11">
        <v>45748.4375</v>
      </c>
      <c r="C177" s="10">
        <v>45748</v>
      </c>
      <c r="D177" s="7">
        <v>551.91359999999997</v>
      </c>
      <c r="E177" s="7">
        <v>3666455</v>
      </c>
      <c r="F177" s="7">
        <v>3666455</v>
      </c>
      <c r="G177" s="7">
        <v>7160837</v>
      </c>
      <c r="H177" s="7">
        <v>554.02149999999995</v>
      </c>
      <c r="I177" s="7">
        <v>556.19880000000001</v>
      </c>
      <c r="J177" s="7">
        <v>13</v>
      </c>
      <c r="K177" s="7"/>
      <c r="L177" s="7"/>
      <c r="M177" s="7"/>
      <c r="N177" s="7">
        <v>552.94222386310003</v>
      </c>
      <c r="O177" s="7"/>
      <c r="P177" s="7"/>
      <c r="Q177">
        <v>0</v>
      </c>
      <c r="R177">
        <v>0</v>
      </c>
      <c r="S177" s="11">
        <v>45748.666666666664</v>
      </c>
      <c r="T177">
        <v>2362</v>
      </c>
    </row>
    <row r="178" spans="1:20">
      <c r="A178" s="11">
        <v>45748.4375</v>
      </c>
      <c r="B178" s="11">
        <v>45748.458333333336</v>
      </c>
      <c r="C178" s="10">
        <v>45748</v>
      </c>
      <c r="D178" s="7">
        <v>556.42269999999996</v>
      </c>
      <c r="E178" s="7">
        <v>3140408</v>
      </c>
      <c r="F178" s="7">
        <v>3140408</v>
      </c>
      <c r="G178" s="7">
        <v>10301245</v>
      </c>
      <c r="H178" s="7">
        <v>554.02149999999995</v>
      </c>
      <c r="I178" s="7">
        <v>556.19880000000001</v>
      </c>
      <c r="J178" s="7">
        <v>13</v>
      </c>
      <c r="K178" s="7"/>
      <c r="L178" s="7"/>
      <c r="M178" s="7"/>
      <c r="N178" s="7">
        <v>554.00327183390004</v>
      </c>
      <c r="O178" s="7"/>
      <c r="P178" s="7"/>
      <c r="Q178">
        <v>0</v>
      </c>
      <c r="R178">
        <v>0</v>
      </c>
      <c r="S178" s="11">
        <v>45748.666666666664</v>
      </c>
      <c r="T178">
        <v>2361</v>
      </c>
    </row>
    <row r="179" spans="1:20">
      <c r="A179" s="11">
        <v>45748.458333333336</v>
      </c>
      <c r="B179" s="11">
        <v>45748.479166666664</v>
      </c>
      <c r="C179" s="10">
        <v>45748</v>
      </c>
      <c r="D179" s="7">
        <v>557.58109999999999</v>
      </c>
      <c r="E179" s="7">
        <v>3572675</v>
      </c>
      <c r="F179" s="7">
        <v>3572675</v>
      </c>
      <c r="G179" s="7">
        <v>13873920</v>
      </c>
      <c r="H179" s="7">
        <v>554.02149999999995</v>
      </c>
      <c r="I179" s="7">
        <v>556.19880000000001</v>
      </c>
      <c r="J179" s="7">
        <v>13</v>
      </c>
      <c r="K179" s="7"/>
      <c r="L179" s="7"/>
      <c r="M179" s="7"/>
      <c r="N179" s="7">
        <v>554.92459884480002</v>
      </c>
      <c r="O179" s="7"/>
      <c r="P179" s="7"/>
      <c r="Q179">
        <v>0</v>
      </c>
      <c r="R179">
        <v>0</v>
      </c>
      <c r="S179" s="11">
        <v>45748.666666666664</v>
      </c>
      <c r="T179">
        <v>2360</v>
      </c>
    </row>
    <row r="180" spans="1:20">
      <c r="A180" s="11">
        <v>45748.479166666664</v>
      </c>
      <c r="B180" s="11">
        <v>45748.5</v>
      </c>
      <c r="C180" s="10">
        <v>45748</v>
      </c>
      <c r="D180" s="7">
        <v>558.39639999999997</v>
      </c>
      <c r="E180" s="7">
        <v>1840208</v>
      </c>
      <c r="F180" s="7">
        <v>1840208</v>
      </c>
      <c r="G180" s="7">
        <v>15714128</v>
      </c>
      <c r="H180" s="7">
        <v>554.02149999999995</v>
      </c>
      <c r="I180" s="7">
        <v>556.19880000000001</v>
      </c>
      <c r="J180" s="7">
        <v>13</v>
      </c>
      <c r="K180" s="7"/>
      <c r="L180" s="7"/>
      <c r="M180" s="7"/>
      <c r="N180" s="7">
        <v>555.33116523269996</v>
      </c>
      <c r="O180" s="7"/>
      <c r="P180" s="7"/>
      <c r="Q180">
        <v>0</v>
      </c>
      <c r="R180">
        <v>0</v>
      </c>
      <c r="S180" s="11">
        <v>45748.666666666664</v>
      </c>
      <c r="T180">
        <v>2359</v>
      </c>
    </row>
    <row r="181" spans="1:20">
      <c r="A181" s="11">
        <v>45748.5</v>
      </c>
      <c r="B181" s="11">
        <v>45748.520833333336</v>
      </c>
      <c r="C181" s="10">
        <v>45748</v>
      </c>
      <c r="D181" s="7">
        <v>557.58109999999999</v>
      </c>
      <c r="E181" s="7">
        <v>1910367</v>
      </c>
      <c r="F181" s="7">
        <v>1910367</v>
      </c>
      <c r="G181" s="7">
        <v>17624495</v>
      </c>
      <c r="H181" s="7">
        <v>554.02149999999995</v>
      </c>
      <c r="I181" s="7">
        <v>556.19880000000001</v>
      </c>
      <c r="J181" s="7">
        <v>13</v>
      </c>
      <c r="K181" s="7"/>
      <c r="L181" s="7"/>
      <c r="M181" s="7"/>
      <c r="N181" s="7">
        <v>555.57504178809995</v>
      </c>
      <c r="O181" s="7"/>
      <c r="P181" s="7"/>
      <c r="Q181">
        <v>0</v>
      </c>
      <c r="R181">
        <v>0</v>
      </c>
      <c r="S181" s="11">
        <v>45748.666666666664</v>
      </c>
      <c r="T181">
        <v>2358</v>
      </c>
    </row>
    <row r="182" spans="1:20">
      <c r="A182" s="11">
        <v>45748.520833333336</v>
      </c>
      <c r="B182" s="11">
        <v>45748.541666666664</v>
      </c>
      <c r="C182" s="10">
        <v>45748</v>
      </c>
      <c r="D182" s="7">
        <v>557.42190000000005</v>
      </c>
      <c r="E182" s="7">
        <v>2545334</v>
      </c>
      <c r="F182" s="7">
        <v>2545334</v>
      </c>
      <c r="G182" s="7">
        <v>20169829</v>
      </c>
      <c r="H182" s="7">
        <v>554.02149999999995</v>
      </c>
      <c r="I182" s="7">
        <v>556.19880000000001</v>
      </c>
      <c r="J182" s="7">
        <v>13</v>
      </c>
      <c r="K182" s="7"/>
      <c r="L182" s="7"/>
      <c r="M182" s="7"/>
      <c r="N182" s="7">
        <v>555.80810628259997</v>
      </c>
      <c r="O182" s="7"/>
      <c r="P182" s="7"/>
      <c r="Q182">
        <v>0</v>
      </c>
      <c r="R182">
        <v>0</v>
      </c>
      <c r="S182" s="11">
        <v>45748.666666666664</v>
      </c>
      <c r="T182">
        <v>2357</v>
      </c>
    </row>
    <row r="183" spans="1:20">
      <c r="A183" s="11">
        <v>45748.541666666664</v>
      </c>
      <c r="B183" s="11">
        <v>45748.5625</v>
      </c>
      <c r="C183" s="10">
        <v>45748</v>
      </c>
      <c r="D183" s="7">
        <v>556.17899999999997</v>
      </c>
      <c r="E183" s="7">
        <v>1294773</v>
      </c>
      <c r="F183" s="7">
        <v>1294773</v>
      </c>
      <c r="G183" s="7">
        <v>21464602</v>
      </c>
      <c r="H183" s="7">
        <v>554.02149999999995</v>
      </c>
      <c r="I183" s="7">
        <v>556.19880000000001</v>
      </c>
      <c r="J183" s="7">
        <v>13</v>
      </c>
      <c r="K183" s="7"/>
      <c r="L183" s="7"/>
      <c r="M183" s="7"/>
      <c r="N183" s="7">
        <v>555.83047907909997</v>
      </c>
      <c r="O183" s="7"/>
      <c r="P183" s="7"/>
      <c r="Q183">
        <v>0</v>
      </c>
      <c r="R183">
        <v>0</v>
      </c>
      <c r="S183" s="11">
        <v>45748.666666666664</v>
      </c>
      <c r="T183">
        <v>2356</v>
      </c>
    </row>
    <row r="184" spans="1:20">
      <c r="A184" s="11">
        <v>45748.5625</v>
      </c>
      <c r="B184" s="11">
        <v>45748.583333333336</v>
      </c>
      <c r="C184" s="10">
        <v>45748</v>
      </c>
      <c r="D184" s="7">
        <v>555.8809</v>
      </c>
      <c r="E184" s="7">
        <v>1503802</v>
      </c>
      <c r="F184" s="7">
        <v>1503802</v>
      </c>
      <c r="G184" s="7">
        <v>22968404</v>
      </c>
      <c r="H184" s="7">
        <v>554.02149999999995</v>
      </c>
      <c r="I184" s="7">
        <v>556.19880000000001</v>
      </c>
      <c r="J184" s="7">
        <v>13</v>
      </c>
      <c r="K184" s="7"/>
      <c r="L184" s="7"/>
      <c r="M184" s="7"/>
      <c r="N184" s="7">
        <v>555.83378026979995</v>
      </c>
      <c r="O184" s="7"/>
      <c r="P184" s="7"/>
      <c r="Q184">
        <v>0</v>
      </c>
      <c r="R184">
        <v>0</v>
      </c>
      <c r="S184" s="11">
        <v>45748.666666666664</v>
      </c>
      <c r="T184">
        <v>2355</v>
      </c>
    </row>
    <row r="185" spans="1:20">
      <c r="A185" s="11">
        <v>45748.583333333336</v>
      </c>
      <c r="B185" s="11">
        <v>45748.604166666664</v>
      </c>
      <c r="C185" s="10">
        <v>45748</v>
      </c>
      <c r="D185" s="7">
        <v>553.54420000000005</v>
      </c>
      <c r="E185" s="7">
        <v>2622219</v>
      </c>
      <c r="F185" s="7">
        <v>2622219</v>
      </c>
      <c r="G185" s="7">
        <v>25590623</v>
      </c>
      <c r="H185" s="7">
        <v>554.02149999999995</v>
      </c>
      <c r="I185" s="7">
        <v>556.19880000000001</v>
      </c>
      <c r="J185" s="7">
        <v>13</v>
      </c>
      <c r="K185" s="7"/>
      <c r="L185" s="7"/>
      <c r="M185" s="7"/>
      <c r="N185" s="7">
        <v>555.59917164440003</v>
      </c>
      <c r="O185" s="7"/>
      <c r="P185" s="7"/>
      <c r="Q185">
        <v>0</v>
      </c>
      <c r="R185">
        <v>0</v>
      </c>
      <c r="S185" s="11">
        <v>45748.666666666664</v>
      </c>
      <c r="T185">
        <v>2354</v>
      </c>
    </row>
    <row r="186" spans="1:20">
      <c r="A186" s="11">
        <v>45748.604166666664</v>
      </c>
      <c r="B186" s="11">
        <v>45748.625</v>
      </c>
      <c r="C186" s="10">
        <v>45748</v>
      </c>
      <c r="D186" s="7">
        <v>554.29989999999998</v>
      </c>
      <c r="E186" s="7">
        <v>1772352</v>
      </c>
      <c r="F186" s="7">
        <v>1772352</v>
      </c>
      <c r="G186" s="7">
        <v>27362975</v>
      </c>
      <c r="H186" s="7">
        <v>554.02149999999995</v>
      </c>
      <c r="I186" s="7">
        <v>556.19880000000001</v>
      </c>
      <c r="J186" s="7">
        <v>13</v>
      </c>
      <c r="K186" s="7"/>
      <c r="L186" s="7"/>
      <c r="M186" s="7"/>
      <c r="N186" s="7">
        <v>555.51501534570002</v>
      </c>
      <c r="O186" s="7"/>
      <c r="P186" s="7"/>
      <c r="Q186">
        <v>0</v>
      </c>
      <c r="R186">
        <v>0</v>
      </c>
      <c r="S186" s="11">
        <v>45748.666666666664</v>
      </c>
      <c r="T186">
        <v>2353</v>
      </c>
    </row>
    <row r="187" spans="1:20">
      <c r="A187" s="11">
        <v>45748.625</v>
      </c>
      <c r="B187" s="11">
        <v>45748.645833333336</v>
      </c>
      <c r="C187" s="10">
        <v>45748</v>
      </c>
      <c r="D187" s="7">
        <v>555.1848</v>
      </c>
      <c r="E187" s="7">
        <v>2110627</v>
      </c>
      <c r="F187" s="7">
        <v>2110627</v>
      </c>
      <c r="G187" s="7">
        <v>29473602</v>
      </c>
      <c r="H187" s="7">
        <v>554.02149999999995</v>
      </c>
      <c r="I187" s="7">
        <v>556.19880000000001</v>
      </c>
      <c r="J187" s="7">
        <v>13</v>
      </c>
      <c r="K187" s="7"/>
      <c r="L187" s="7"/>
      <c r="M187" s="7"/>
      <c r="N187" s="7">
        <v>555.49136837419996</v>
      </c>
      <c r="O187" s="7"/>
      <c r="P187" s="7"/>
      <c r="Q187">
        <v>0</v>
      </c>
      <c r="R187">
        <v>0</v>
      </c>
      <c r="S187" s="11">
        <v>45748.666666666664</v>
      </c>
      <c r="T187">
        <v>2352</v>
      </c>
    </row>
    <row r="188" spans="1:20">
      <c r="A188" s="11">
        <v>45748.645833333336</v>
      </c>
      <c r="B188" s="11">
        <v>45748.666666666664</v>
      </c>
      <c r="C188" s="10">
        <v>45748</v>
      </c>
      <c r="D188" s="7">
        <v>557.77</v>
      </c>
      <c r="E188" s="7">
        <v>6894220</v>
      </c>
      <c r="F188" s="7">
        <v>6894220</v>
      </c>
      <c r="G188" s="7">
        <v>36367822</v>
      </c>
      <c r="H188" s="7">
        <v>554.02149999999995</v>
      </c>
      <c r="I188" s="7">
        <v>556.19880000000001</v>
      </c>
      <c r="J188" s="7">
        <v>13</v>
      </c>
      <c r="K188" s="7"/>
      <c r="L188" s="7"/>
      <c r="M188" s="7"/>
      <c r="N188" s="7">
        <v>555.92332681619996</v>
      </c>
      <c r="O188" s="7"/>
      <c r="P188" s="7"/>
      <c r="Q188">
        <v>0</v>
      </c>
      <c r="R188">
        <v>1</v>
      </c>
      <c r="S188" s="11">
        <v>45748.666666666664</v>
      </c>
      <c r="T188">
        <v>2351</v>
      </c>
    </row>
    <row r="189" spans="1:20">
      <c r="A189" s="11">
        <v>45749.395833333336</v>
      </c>
      <c r="B189" s="11">
        <v>45749.416666666664</v>
      </c>
      <c r="C189" s="10">
        <v>45749</v>
      </c>
      <c r="D189" s="7">
        <v>555.38369999999998</v>
      </c>
      <c r="E189" s="7">
        <v>4255808</v>
      </c>
      <c r="F189" s="7">
        <v>4255808</v>
      </c>
      <c r="G189" s="7">
        <v>4255808</v>
      </c>
      <c r="H189" s="7">
        <v>555.38369999999998</v>
      </c>
      <c r="I189" s="7">
        <v>557.76980000000003</v>
      </c>
      <c r="J189" s="7">
        <v>14</v>
      </c>
      <c r="K189" s="7">
        <v>0</v>
      </c>
      <c r="L189" s="7">
        <v>557.76980000000003</v>
      </c>
      <c r="M189" s="7">
        <v>555.38369999999998</v>
      </c>
      <c r="N189" s="7">
        <v>555.38369999999998</v>
      </c>
      <c r="O189" s="7">
        <v>557.76980000000003</v>
      </c>
      <c r="P189" s="7">
        <v>555.38369999999998</v>
      </c>
      <c r="Q189">
        <v>1</v>
      </c>
      <c r="R189">
        <v>0</v>
      </c>
      <c r="S189" s="11">
        <v>45749.666666666664</v>
      </c>
      <c r="T189">
        <v>2349</v>
      </c>
    </row>
    <row r="190" spans="1:20">
      <c r="A190" s="11">
        <v>45749.416666666664</v>
      </c>
      <c r="B190" s="11">
        <v>45749.4375</v>
      </c>
      <c r="C190" s="10">
        <v>45749</v>
      </c>
      <c r="D190" s="7">
        <v>557.64070000000004</v>
      </c>
      <c r="E190" s="7">
        <v>2212118</v>
      </c>
      <c r="F190" s="7">
        <v>2212118</v>
      </c>
      <c r="G190" s="7">
        <v>6467926</v>
      </c>
      <c r="H190" s="7">
        <v>555.38369999999998</v>
      </c>
      <c r="I190" s="7">
        <v>557.76980000000003</v>
      </c>
      <c r="J190" s="7">
        <v>14</v>
      </c>
      <c r="K190" s="7">
        <v>2.0205714999999998E-3</v>
      </c>
      <c r="L190" s="7">
        <v>558.89681374429995</v>
      </c>
      <c r="M190" s="7">
        <v>554.26150754130003</v>
      </c>
      <c r="N190" s="7">
        <v>556.15562446640001</v>
      </c>
      <c r="O190" s="7">
        <v>558.89681374429995</v>
      </c>
      <c r="P190" s="7">
        <v>554.26150754130003</v>
      </c>
      <c r="Q190">
        <v>1</v>
      </c>
      <c r="R190">
        <v>0</v>
      </c>
      <c r="S190" s="11">
        <v>45749.666666666664</v>
      </c>
      <c r="T190">
        <v>2348</v>
      </c>
    </row>
    <row r="191" spans="1:20">
      <c r="A191" s="11">
        <v>45749.4375</v>
      </c>
      <c r="B191" s="11">
        <v>45749.458333333336</v>
      </c>
      <c r="C191" s="10">
        <v>45749</v>
      </c>
      <c r="D191" s="7">
        <v>558.83389999999997</v>
      </c>
      <c r="E191" s="7">
        <v>1872016</v>
      </c>
      <c r="F191" s="7">
        <v>1872016</v>
      </c>
      <c r="G191" s="7">
        <v>8339942</v>
      </c>
      <c r="H191" s="7">
        <v>555.38369999999998</v>
      </c>
      <c r="I191" s="7">
        <v>557.76980000000003</v>
      </c>
      <c r="J191" s="7">
        <v>14</v>
      </c>
      <c r="K191" s="7">
        <v>3.1677259E-3</v>
      </c>
      <c r="L191" s="7">
        <v>559.53666185409998</v>
      </c>
      <c r="M191" s="7">
        <v>553.62439665670001</v>
      </c>
      <c r="N191" s="7">
        <v>556.75680066780001</v>
      </c>
      <c r="O191" s="7">
        <v>559.53666185409998</v>
      </c>
      <c r="P191" s="7">
        <v>553.62439665670001</v>
      </c>
      <c r="Q191">
        <v>1</v>
      </c>
      <c r="R191">
        <v>0</v>
      </c>
      <c r="S191" s="11">
        <v>45749.666666666664</v>
      </c>
      <c r="T191">
        <v>2347</v>
      </c>
    </row>
    <row r="192" spans="1:20">
      <c r="A192" s="11">
        <v>45749.458333333336</v>
      </c>
      <c r="B192" s="11">
        <v>45749.479166666664</v>
      </c>
      <c r="C192" s="10">
        <v>45749</v>
      </c>
      <c r="D192" s="7">
        <v>560.08669999999995</v>
      </c>
      <c r="E192" s="7">
        <v>2113683</v>
      </c>
      <c r="F192" s="7">
        <v>2113683</v>
      </c>
      <c r="G192" s="7">
        <v>10453625</v>
      </c>
      <c r="H192" s="7">
        <v>555.38369999999998</v>
      </c>
      <c r="I192" s="7">
        <v>557.76980000000003</v>
      </c>
      <c r="J192" s="7">
        <v>14</v>
      </c>
      <c r="K192" s="7">
        <v>3.1892078000000002E-3</v>
      </c>
      <c r="L192" s="7">
        <v>559.54864381289997</v>
      </c>
      <c r="M192" s="7">
        <v>553.61246595590001</v>
      </c>
      <c r="N192" s="7">
        <v>557.4300935791</v>
      </c>
      <c r="O192" s="7">
        <v>559.54864381289997</v>
      </c>
      <c r="P192" s="7">
        <v>553.61246595590001</v>
      </c>
      <c r="Q192">
        <v>1</v>
      </c>
      <c r="R192">
        <v>0</v>
      </c>
      <c r="S192" s="11">
        <v>45749.666666666664</v>
      </c>
      <c r="T192">
        <v>2346</v>
      </c>
    </row>
    <row r="193" spans="1:20">
      <c r="A193" s="11">
        <v>45749.479166666664</v>
      </c>
      <c r="B193" s="11">
        <v>45749.5</v>
      </c>
      <c r="C193" s="10">
        <v>45749</v>
      </c>
      <c r="D193" s="7">
        <v>559.13220000000001</v>
      </c>
      <c r="E193" s="7">
        <v>2235742</v>
      </c>
      <c r="F193" s="7">
        <v>2235742</v>
      </c>
      <c r="G193" s="7">
        <v>12689367</v>
      </c>
      <c r="H193" s="7">
        <v>555.38369999999998</v>
      </c>
      <c r="I193" s="7">
        <v>557.76980000000003</v>
      </c>
      <c r="J193" s="7">
        <v>14</v>
      </c>
      <c r="K193" s="7">
        <v>4.0052144000000001E-3</v>
      </c>
      <c r="L193" s="7">
        <v>560.00378763000003</v>
      </c>
      <c r="M193" s="7">
        <v>553.15926921200003</v>
      </c>
      <c r="N193" s="7">
        <v>557.72998803509995</v>
      </c>
      <c r="O193" s="7">
        <v>560.00378763000003</v>
      </c>
      <c r="P193" s="7">
        <v>553.15926921200003</v>
      </c>
      <c r="Q193">
        <v>1</v>
      </c>
      <c r="R193">
        <v>0</v>
      </c>
      <c r="S193" s="11">
        <v>45749.666666666664</v>
      </c>
      <c r="T193">
        <v>2345</v>
      </c>
    </row>
    <row r="194" spans="1:20">
      <c r="A194" s="11">
        <v>45749.5</v>
      </c>
      <c r="B194" s="11">
        <v>45749.520833333336</v>
      </c>
      <c r="C194" s="10">
        <v>45749</v>
      </c>
      <c r="D194" s="7">
        <v>561.10090000000002</v>
      </c>
      <c r="E194" s="7">
        <v>1594847</v>
      </c>
      <c r="F194" s="7">
        <v>1594847</v>
      </c>
      <c r="G194" s="7">
        <v>14284214</v>
      </c>
      <c r="H194" s="7">
        <v>555.38369999999998</v>
      </c>
      <c r="I194" s="7">
        <v>557.76980000000003</v>
      </c>
      <c r="J194" s="7">
        <v>14</v>
      </c>
      <c r="K194" s="7">
        <v>3.8691254999999999E-3</v>
      </c>
      <c r="L194" s="7">
        <v>559.92788137599996</v>
      </c>
      <c r="M194" s="7">
        <v>553.23485074439998</v>
      </c>
      <c r="N194" s="7">
        <v>558.10635377949995</v>
      </c>
      <c r="O194" s="7">
        <v>559.92788137599996</v>
      </c>
      <c r="P194" s="7">
        <v>553.23485074439998</v>
      </c>
      <c r="Q194">
        <v>1</v>
      </c>
      <c r="R194">
        <v>0</v>
      </c>
      <c r="S194" s="11">
        <v>45749.666666666664</v>
      </c>
      <c r="T194">
        <v>2344</v>
      </c>
    </row>
    <row r="195" spans="1:20">
      <c r="A195" s="11">
        <v>45749.520833333336</v>
      </c>
      <c r="B195" s="11">
        <v>45749.541666666664</v>
      </c>
      <c r="C195" s="10">
        <v>45749</v>
      </c>
      <c r="D195" s="7">
        <v>562.45809999999994</v>
      </c>
      <c r="E195" s="7">
        <v>2547514</v>
      </c>
      <c r="F195" s="7">
        <v>2547514</v>
      </c>
      <c r="G195" s="7">
        <v>16831728</v>
      </c>
      <c r="H195" s="7">
        <v>555.38369999999998</v>
      </c>
      <c r="I195" s="7">
        <v>557.76980000000003</v>
      </c>
      <c r="J195" s="7">
        <v>14</v>
      </c>
      <c r="K195" s="7">
        <v>4.2296214000000004E-3</v>
      </c>
      <c r="L195" s="7">
        <v>560.12895510800001</v>
      </c>
      <c r="M195" s="7">
        <v>553.03463719180002</v>
      </c>
      <c r="N195" s="7">
        <v>558.76499883489998</v>
      </c>
      <c r="O195" s="7">
        <v>560.12895510800001</v>
      </c>
      <c r="P195" s="7">
        <v>553.03463719180002</v>
      </c>
      <c r="Q195">
        <v>1</v>
      </c>
      <c r="R195">
        <v>0</v>
      </c>
      <c r="S195" s="11">
        <v>45749.666666666664</v>
      </c>
      <c r="T195">
        <v>2343</v>
      </c>
    </row>
    <row r="196" spans="1:20">
      <c r="A196" s="11">
        <v>45749.541666666664</v>
      </c>
      <c r="B196" s="11">
        <v>45749.5625</v>
      </c>
      <c r="C196" s="10">
        <v>45749</v>
      </c>
      <c r="D196" s="7">
        <v>562.7912</v>
      </c>
      <c r="E196" s="7">
        <v>2593586</v>
      </c>
      <c r="F196" s="7">
        <v>2593586</v>
      </c>
      <c r="G196" s="7">
        <v>19425314</v>
      </c>
      <c r="H196" s="7">
        <v>555.38369999999998</v>
      </c>
      <c r="I196" s="7">
        <v>557.76980000000003</v>
      </c>
      <c r="J196" s="7">
        <v>14</v>
      </c>
      <c r="K196" s="7">
        <v>4.3798118999999998E-3</v>
      </c>
      <c r="L196" s="7">
        <v>560.21272680890002</v>
      </c>
      <c r="M196" s="7">
        <v>552.95122386030005</v>
      </c>
      <c r="N196" s="7">
        <v>559.30256023410004</v>
      </c>
      <c r="O196" s="7">
        <v>560.21272680890002</v>
      </c>
      <c r="P196" s="7">
        <v>552.95122386030005</v>
      </c>
      <c r="Q196">
        <v>1</v>
      </c>
      <c r="R196">
        <v>0</v>
      </c>
      <c r="S196" s="11">
        <v>45749.666666666664</v>
      </c>
      <c r="T196">
        <v>2342</v>
      </c>
    </row>
    <row r="197" spans="1:20">
      <c r="A197" s="11">
        <v>45749.5625</v>
      </c>
      <c r="B197" s="11">
        <v>45749.583333333336</v>
      </c>
      <c r="C197" s="10">
        <v>45749</v>
      </c>
      <c r="D197" s="7">
        <v>560.64350000000002</v>
      </c>
      <c r="E197" s="7">
        <v>2667686</v>
      </c>
      <c r="F197" s="7">
        <v>2667686</v>
      </c>
      <c r="G197" s="7">
        <v>22093000</v>
      </c>
      <c r="H197" s="7">
        <v>555.38369999999998</v>
      </c>
      <c r="I197" s="7">
        <v>557.76980000000003</v>
      </c>
      <c r="J197" s="7">
        <v>14</v>
      </c>
      <c r="K197" s="7">
        <v>4.5881756000000001E-3</v>
      </c>
      <c r="L197" s="7">
        <v>560.32894579280003</v>
      </c>
      <c r="M197" s="7">
        <v>552.83550205300003</v>
      </c>
      <c r="N197" s="7">
        <v>559.46447605540004</v>
      </c>
      <c r="O197" s="7">
        <v>560.32894579280003</v>
      </c>
      <c r="P197" s="7">
        <v>552.83550205300003</v>
      </c>
      <c r="Q197">
        <v>1</v>
      </c>
      <c r="R197">
        <v>0</v>
      </c>
      <c r="S197" s="11">
        <v>45749.666666666664</v>
      </c>
      <c r="T197">
        <v>2341</v>
      </c>
    </row>
    <row r="198" spans="1:20">
      <c r="A198" s="11">
        <v>45749.583333333336</v>
      </c>
      <c r="B198" s="11">
        <v>45749.604166666664</v>
      </c>
      <c r="C198" s="10">
        <v>45749</v>
      </c>
      <c r="D198" s="7">
        <v>557.7998</v>
      </c>
      <c r="E198" s="7">
        <v>2223449</v>
      </c>
      <c r="F198" s="7">
        <v>2223449</v>
      </c>
      <c r="G198" s="7">
        <v>24316449</v>
      </c>
      <c r="H198" s="7">
        <v>555.38369999999998</v>
      </c>
      <c r="I198" s="7">
        <v>557.76980000000003</v>
      </c>
      <c r="J198" s="7">
        <v>14</v>
      </c>
      <c r="K198" s="7">
        <v>4.3827008000000001E-3</v>
      </c>
      <c r="L198" s="7">
        <v>560.21433813930003</v>
      </c>
      <c r="M198" s="7">
        <v>552.94961942309999</v>
      </c>
      <c r="N198" s="7">
        <v>559.31226130109997</v>
      </c>
      <c r="O198" s="7">
        <v>560.21433813930003</v>
      </c>
      <c r="P198" s="7">
        <v>552.94961942309999</v>
      </c>
      <c r="Q198">
        <v>1</v>
      </c>
      <c r="R198">
        <v>0</v>
      </c>
      <c r="S198" s="11">
        <v>45749.666666666664</v>
      </c>
      <c r="T198">
        <v>2340</v>
      </c>
    </row>
    <row r="199" spans="1:20">
      <c r="A199" s="11">
        <v>45749.604166666664</v>
      </c>
      <c r="B199" s="11">
        <v>45749.625</v>
      </c>
      <c r="C199" s="10">
        <v>45749</v>
      </c>
      <c r="D199" s="7">
        <v>558.11800000000005</v>
      </c>
      <c r="E199" s="7">
        <v>2388119</v>
      </c>
      <c r="F199" s="7">
        <v>2388119</v>
      </c>
      <c r="G199" s="7">
        <v>26704568</v>
      </c>
      <c r="H199" s="7">
        <v>555.38369999999998</v>
      </c>
      <c r="I199" s="7">
        <v>557.76980000000003</v>
      </c>
      <c r="J199" s="7">
        <v>14</v>
      </c>
      <c r="K199" s="7">
        <v>5.2780674999999997E-3</v>
      </c>
      <c r="L199" s="7">
        <v>560.71374666940005</v>
      </c>
      <c r="M199" s="7">
        <v>552.45234732760002</v>
      </c>
      <c r="N199" s="7">
        <v>559.20546166650001</v>
      </c>
      <c r="O199" s="7">
        <v>560.71374666940005</v>
      </c>
      <c r="P199" s="7">
        <v>552.45234732760002</v>
      </c>
      <c r="Q199">
        <v>1</v>
      </c>
      <c r="R199">
        <v>0</v>
      </c>
      <c r="S199" s="11">
        <v>45749.666666666664</v>
      </c>
      <c r="T199">
        <v>2339</v>
      </c>
    </row>
    <row r="200" spans="1:20">
      <c r="A200" s="11">
        <v>45749.625</v>
      </c>
      <c r="B200" s="11">
        <v>45749.645833333336</v>
      </c>
      <c r="C200" s="10">
        <v>45749</v>
      </c>
      <c r="D200" s="7">
        <v>559.68899999999996</v>
      </c>
      <c r="E200" s="7">
        <v>1869869</v>
      </c>
      <c r="F200" s="7">
        <v>1869869</v>
      </c>
      <c r="G200" s="7">
        <v>28574437</v>
      </c>
      <c r="H200" s="7">
        <v>555.38369999999998</v>
      </c>
      <c r="I200" s="7">
        <v>557.76980000000003</v>
      </c>
      <c r="J200" s="7">
        <v>14</v>
      </c>
      <c r="K200" s="7">
        <v>5.6137156000000002E-3</v>
      </c>
      <c r="L200" s="7">
        <v>560.90096100610003</v>
      </c>
      <c r="M200" s="7">
        <v>552.26593388059996</v>
      </c>
      <c r="N200" s="7">
        <v>559.23710370169999</v>
      </c>
      <c r="O200" s="7">
        <v>560.90096100610003</v>
      </c>
      <c r="P200" s="7">
        <v>552.26593388059996</v>
      </c>
      <c r="Q200">
        <v>1</v>
      </c>
      <c r="R200">
        <v>0</v>
      </c>
      <c r="S200" s="11">
        <v>45749.666666666664</v>
      </c>
      <c r="T200">
        <v>2338</v>
      </c>
    </row>
    <row r="201" spans="1:20">
      <c r="A201" s="11">
        <v>45749.645833333336</v>
      </c>
      <c r="B201" s="11">
        <v>45749.666666666664</v>
      </c>
      <c r="C201" s="10">
        <v>45749</v>
      </c>
      <c r="D201" s="7">
        <v>561.29970000000003</v>
      </c>
      <c r="E201" s="7">
        <v>8235863</v>
      </c>
      <c r="F201" s="7">
        <v>8235863</v>
      </c>
      <c r="G201" s="7">
        <v>36810300</v>
      </c>
      <c r="H201" s="7">
        <v>555.38369999999998</v>
      </c>
      <c r="I201" s="7">
        <v>557.76980000000003</v>
      </c>
      <c r="J201" s="7">
        <v>14</v>
      </c>
      <c r="K201" s="7">
        <v>6.1883457000000003E-3</v>
      </c>
      <c r="L201" s="7">
        <v>561.22147236019998</v>
      </c>
      <c r="M201" s="7">
        <v>551.94679365160005</v>
      </c>
      <c r="N201" s="7">
        <v>559.69858487780004</v>
      </c>
      <c r="O201" s="7">
        <v>561.22147236019998</v>
      </c>
      <c r="P201" s="7">
        <v>551.94679365160005</v>
      </c>
      <c r="Q201">
        <v>1</v>
      </c>
      <c r="R201">
        <v>1</v>
      </c>
      <c r="S201" s="11">
        <v>45749.666666666664</v>
      </c>
      <c r="T201">
        <v>2337</v>
      </c>
    </row>
    <row r="202" spans="1:20">
      <c r="A202" s="11">
        <v>45750.395833333336</v>
      </c>
      <c r="B202" s="11">
        <v>45750.416666666664</v>
      </c>
      <c r="C202" s="10">
        <v>45750</v>
      </c>
      <c r="D202" s="7">
        <v>541.04100000000005</v>
      </c>
      <c r="E202" s="7">
        <v>11704102</v>
      </c>
      <c r="F202" s="7">
        <v>11704102</v>
      </c>
      <c r="G202" s="7">
        <v>11704102</v>
      </c>
      <c r="H202" s="7">
        <v>541.04100000000005</v>
      </c>
      <c r="I202" s="7">
        <v>561.29949999999997</v>
      </c>
      <c r="J202" s="7">
        <v>14</v>
      </c>
      <c r="K202" s="7">
        <v>0</v>
      </c>
      <c r="L202" s="7">
        <v>561.29949999999997</v>
      </c>
      <c r="M202" s="7">
        <v>541.04100000000005</v>
      </c>
      <c r="N202" s="7">
        <v>541.04100000000005</v>
      </c>
      <c r="O202" s="7">
        <v>561.29949999999997</v>
      </c>
      <c r="P202" s="7">
        <v>541.04100000000005</v>
      </c>
      <c r="Q202">
        <v>1</v>
      </c>
      <c r="R202">
        <v>0</v>
      </c>
      <c r="S202" s="11">
        <v>45750.666666666664</v>
      </c>
      <c r="T202">
        <v>2335</v>
      </c>
    </row>
    <row r="203" spans="1:20">
      <c r="A203" s="11">
        <v>45750.416666666664</v>
      </c>
      <c r="B203" s="11">
        <v>45750.4375</v>
      </c>
      <c r="C203" s="10">
        <v>45750</v>
      </c>
      <c r="D203" s="7">
        <v>539.87260000000003</v>
      </c>
      <c r="E203" s="7">
        <v>7856231</v>
      </c>
      <c r="F203" s="7">
        <v>7856231</v>
      </c>
      <c r="G203" s="7">
        <v>19560333</v>
      </c>
      <c r="H203" s="7">
        <v>541.04100000000005</v>
      </c>
      <c r="I203" s="7">
        <v>561.29949999999997</v>
      </c>
      <c r="J203" s="7">
        <v>14</v>
      </c>
      <c r="K203" s="7">
        <v>2.0023357999999999E-3</v>
      </c>
      <c r="L203" s="7">
        <v>562.42341006940001</v>
      </c>
      <c r="M203" s="7">
        <v>539.95765424989997</v>
      </c>
      <c r="N203" s="7">
        <v>540.57172269780006</v>
      </c>
      <c r="O203" s="7">
        <v>562.42341006940001</v>
      </c>
      <c r="P203" s="7">
        <v>539.95765424989997</v>
      </c>
      <c r="Q203">
        <v>1</v>
      </c>
      <c r="R203">
        <v>0</v>
      </c>
      <c r="S203" s="11">
        <v>45750.666666666664</v>
      </c>
      <c r="T203">
        <v>2334</v>
      </c>
    </row>
    <row r="204" spans="1:20">
      <c r="A204" s="11">
        <v>45750.4375</v>
      </c>
      <c r="B204" s="11">
        <v>45750.458333333336</v>
      </c>
      <c r="C204" s="10">
        <v>45750</v>
      </c>
      <c r="D204" s="7">
        <v>537.05880000000002</v>
      </c>
      <c r="E204" s="7">
        <v>5619232</v>
      </c>
      <c r="F204" s="7">
        <v>5619232</v>
      </c>
      <c r="G204" s="7">
        <v>25179565</v>
      </c>
      <c r="H204" s="7">
        <v>541.04100000000005</v>
      </c>
      <c r="I204" s="7">
        <v>561.29949999999997</v>
      </c>
      <c r="J204" s="7">
        <v>14</v>
      </c>
      <c r="K204" s="7">
        <v>3.4419888999999999E-3</v>
      </c>
      <c r="L204" s="7">
        <v>563.23148666530005</v>
      </c>
      <c r="M204" s="7">
        <v>539.17874286749998</v>
      </c>
      <c r="N204" s="7">
        <v>539.78775650789999</v>
      </c>
      <c r="O204" s="7">
        <v>563.23148666530005</v>
      </c>
      <c r="P204" s="7">
        <v>539.17874286749998</v>
      </c>
      <c r="Q204">
        <v>1</v>
      </c>
      <c r="R204">
        <v>0</v>
      </c>
      <c r="S204" s="11">
        <v>45750.666666666664</v>
      </c>
      <c r="T204">
        <v>2333</v>
      </c>
    </row>
    <row r="205" spans="1:20">
      <c r="A205" s="11">
        <v>45750.458333333336</v>
      </c>
      <c r="B205" s="11">
        <v>45750.479166666664</v>
      </c>
      <c r="C205" s="10">
        <v>45750</v>
      </c>
      <c r="D205" s="7">
        <v>538.57010000000002</v>
      </c>
      <c r="E205" s="7">
        <v>5312381</v>
      </c>
      <c r="F205" s="7">
        <v>5312381</v>
      </c>
      <c r="G205" s="7">
        <v>30491946</v>
      </c>
      <c r="H205" s="7">
        <v>541.04100000000005</v>
      </c>
      <c r="I205" s="7">
        <v>561.29949999999997</v>
      </c>
      <c r="J205" s="7">
        <v>14</v>
      </c>
      <c r="K205" s="7">
        <v>3.7266051000000001E-3</v>
      </c>
      <c r="L205" s="7">
        <v>563.39124158469997</v>
      </c>
      <c r="M205" s="7">
        <v>539.02475384490003</v>
      </c>
      <c r="N205" s="7">
        <v>539.57561342930001</v>
      </c>
      <c r="O205" s="7">
        <v>563.39124158469997</v>
      </c>
      <c r="P205" s="7">
        <v>539.02475384490003</v>
      </c>
      <c r="Q205">
        <v>1</v>
      </c>
      <c r="R205">
        <v>0</v>
      </c>
      <c r="S205" s="11">
        <v>45750.666666666664</v>
      </c>
      <c r="T205">
        <v>2332</v>
      </c>
    </row>
    <row r="206" spans="1:20">
      <c r="A206" s="11">
        <v>45750.479166666664</v>
      </c>
      <c r="B206" s="11">
        <v>45750.5</v>
      </c>
      <c r="C206" s="10">
        <v>45750</v>
      </c>
      <c r="D206" s="7">
        <v>540.49900000000002</v>
      </c>
      <c r="E206" s="7">
        <v>4488301</v>
      </c>
      <c r="F206" s="7">
        <v>4488301</v>
      </c>
      <c r="G206" s="7">
        <v>34980247</v>
      </c>
      <c r="H206" s="7">
        <v>541.04100000000005</v>
      </c>
      <c r="I206" s="7">
        <v>561.29949999999997</v>
      </c>
      <c r="J206" s="7">
        <v>14</v>
      </c>
      <c r="K206" s="7">
        <v>4.2035579999999996E-3</v>
      </c>
      <c r="L206" s="7">
        <v>563.65895502069998</v>
      </c>
      <c r="M206" s="7">
        <v>538.76670275970002</v>
      </c>
      <c r="N206" s="7">
        <v>539.69409277759996</v>
      </c>
      <c r="O206" s="7">
        <v>563.65895502069998</v>
      </c>
      <c r="P206" s="7">
        <v>538.76670275970002</v>
      </c>
      <c r="Q206">
        <v>1</v>
      </c>
      <c r="R206">
        <v>0</v>
      </c>
      <c r="S206" s="11">
        <v>45750.666666666664</v>
      </c>
      <c r="T206">
        <v>2331</v>
      </c>
    </row>
    <row r="207" spans="1:20">
      <c r="A207" s="11">
        <v>45750.5</v>
      </c>
      <c r="B207" s="11">
        <v>45750.520833333336</v>
      </c>
      <c r="C207" s="10">
        <v>45750</v>
      </c>
      <c r="D207" s="7">
        <v>542.84559999999999</v>
      </c>
      <c r="E207" s="7">
        <v>3770479</v>
      </c>
      <c r="F207" s="7">
        <v>3770479</v>
      </c>
      <c r="G207" s="7">
        <v>38750726</v>
      </c>
      <c r="H207" s="7">
        <v>541.04100000000005</v>
      </c>
      <c r="I207" s="7">
        <v>561.29949999999997</v>
      </c>
      <c r="J207" s="7">
        <v>14</v>
      </c>
      <c r="K207" s="7">
        <v>4.3180813999999998E-3</v>
      </c>
      <c r="L207" s="7">
        <v>563.72323692910004</v>
      </c>
      <c r="M207" s="7">
        <v>538.70474092289999</v>
      </c>
      <c r="N207" s="7">
        <v>540.00073714339999</v>
      </c>
      <c r="O207" s="7">
        <v>563.72323692910004</v>
      </c>
      <c r="P207" s="7">
        <v>538.70474092289999</v>
      </c>
      <c r="Q207">
        <v>1</v>
      </c>
      <c r="R207">
        <v>0</v>
      </c>
      <c r="S207" s="11">
        <v>45750.666666666664</v>
      </c>
      <c r="T207">
        <v>2330</v>
      </c>
    </row>
    <row r="208" spans="1:20">
      <c r="A208" s="11">
        <v>45750.520833333336</v>
      </c>
      <c r="B208" s="11">
        <v>45750.541666666664</v>
      </c>
      <c r="C208" s="10">
        <v>45750</v>
      </c>
      <c r="D208" s="7">
        <v>540.33000000000004</v>
      </c>
      <c r="E208" s="7">
        <v>3213746</v>
      </c>
      <c r="F208" s="7">
        <v>3213746</v>
      </c>
      <c r="G208" s="7">
        <v>41964472</v>
      </c>
      <c r="H208" s="7">
        <v>541.04100000000005</v>
      </c>
      <c r="I208" s="7">
        <v>561.29949999999997</v>
      </c>
      <c r="J208" s="7">
        <v>14</v>
      </c>
      <c r="K208" s="7">
        <v>4.8595705999999999E-3</v>
      </c>
      <c r="L208" s="7">
        <v>564.02717457339998</v>
      </c>
      <c r="M208" s="7">
        <v>538.41177303849997</v>
      </c>
      <c r="N208" s="7">
        <v>540.02595293050001</v>
      </c>
      <c r="O208" s="7">
        <v>564.02717457339998</v>
      </c>
      <c r="P208" s="7">
        <v>538.41177303849997</v>
      </c>
      <c r="Q208">
        <v>1</v>
      </c>
      <c r="R208">
        <v>0</v>
      </c>
      <c r="S208" s="11">
        <v>45750.666666666664</v>
      </c>
      <c r="T208">
        <v>2329</v>
      </c>
    </row>
    <row r="209" spans="1:20">
      <c r="A209" s="11">
        <v>45750.541666666664</v>
      </c>
      <c r="B209" s="11">
        <v>45750.5625</v>
      </c>
      <c r="C209" s="10">
        <v>45750</v>
      </c>
      <c r="D209" s="7">
        <v>539.02250000000004</v>
      </c>
      <c r="E209" s="7">
        <v>2425787</v>
      </c>
      <c r="F209" s="7">
        <v>2425787</v>
      </c>
      <c r="G209" s="7">
        <v>44390259</v>
      </c>
      <c r="H209" s="7">
        <v>541.04100000000005</v>
      </c>
      <c r="I209" s="7">
        <v>561.29949999999997</v>
      </c>
      <c r="J209" s="7">
        <v>14</v>
      </c>
      <c r="K209" s="7">
        <v>4.8491786999999998E-3</v>
      </c>
      <c r="L209" s="7">
        <v>564.02134156190004</v>
      </c>
      <c r="M209" s="7">
        <v>538.41739552410002</v>
      </c>
      <c r="N209" s="7">
        <v>539.97111740729997</v>
      </c>
      <c r="O209" s="7">
        <v>564.02134156190004</v>
      </c>
      <c r="P209" s="7">
        <v>538.41739552410002</v>
      </c>
      <c r="Q209">
        <v>1</v>
      </c>
      <c r="R209">
        <v>0</v>
      </c>
      <c r="S209" s="11">
        <v>45750.666666666664</v>
      </c>
      <c r="T209">
        <v>2328</v>
      </c>
    </row>
    <row r="210" spans="1:20">
      <c r="A210" s="11">
        <v>45750.5625</v>
      </c>
      <c r="B210" s="11">
        <v>45750.583333333336</v>
      </c>
      <c r="C210" s="10">
        <v>45750</v>
      </c>
      <c r="D210" s="7">
        <v>538.78890000000001</v>
      </c>
      <c r="E210" s="7">
        <v>2470112</v>
      </c>
      <c r="F210" s="7">
        <v>2470112</v>
      </c>
      <c r="G210" s="7">
        <v>46860371</v>
      </c>
      <c r="H210" s="7">
        <v>541.04100000000005</v>
      </c>
      <c r="I210" s="7">
        <v>561.29949999999997</v>
      </c>
      <c r="J210" s="7">
        <v>14</v>
      </c>
      <c r="K210" s="7">
        <v>4.6512721999999998E-3</v>
      </c>
      <c r="L210" s="7">
        <v>563.91025674829996</v>
      </c>
      <c r="M210" s="7">
        <v>538.52447104910004</v>
      </c>
      <c r="N210" s="7">
        <v>539.90880015840003</v>
      </c>
      <c r="O210" s="7">
        <v>563.91025674829996</v>
      </c>
      <c r="P210" s="7">
        <v>538.52447104910004</v>
      </c>
      <c r="Q210">
        <v>1</v>
      </c>
      <c r="R210">
        <v>0</v>
      </c>
      <c r="S210" s="11">
        <v>45750.666666666664</v>
      </c>
      <c r="T210">
        <v>2327</v>
      </c>
    </row>
    <row r="211" spans="1:20">
      <c r="A211" s="11">
        <v>45750.583333333336</v>
      </c>
      <c r="B211" s="11">
        <v>45750.604166666664</v>
      </c>
      <c r="C211" s="10">
        <v>45750</v>
      </c>
      <c r="D211" s="7">
        <v>537.66030000000001</v>
      </c>
      <c r="E211" s="7">
        <v>2999358</v>
      </c>
      <c r="F211" s="7">
        <v>2999358</v>
      </c>
      <c r="G211" s="7">
        <v>49859729</v>
      </c>
      <c r="H211" s="7">
        <v>541.04100000000005</v>
      </c>
      <c r="I211" s="7">
        <v>561.29949999999997</v>
      </c>
      <c r="J211" s="7">
        <v>14</v>
      </c>
      <c r="K211" s="7">
        <v>4.4778843999999998E-3</v>
      </c>
      <c r="L211" s="7">
        <v>563.81293429159996</v>
      </c>
      <c r="M211" s="7">
        <v>538.61828093019994</v>
      </c>
      <c r="N211" s="7">
        <v>539.7735395569</v>
      </c>
      <c r="O211" s="7">
        <v>563.81293429159996</v>
      </c>
      <c r="P211" s="7">
        <v>538.61828093019994</v>
      </c>
      <c r="Q211">
        <v>1</v>
      </c>
      <c r="R211">
        <v>0</v>
      </c>
      <c r="S211" s="11">
        <v>45750.666666666664</v>
      </c>
      <c r="T211">
        <v>2326</v>
      </c>
    </row>
    <row r="212" spans="1:20">
      <c r="A212" s="11">
        <v>45750.604166666664</v>
      </c>
      <c r="B212" s="11">
        <v>45750.625</v>
      </c>
      <c r="C212" s="10">
        <v>45750</v>
      </c>
      <c r="D212" s="7">
        <v>538.70929999999998</v>
      </c>
      <c r="E212" s="7">
        <v>3826061</v>
      </c>
      <c r="F212" s="7">
        <v>3826061</v>
      </c>
      <c r="G212" s="7">
        <v>53685790</v>
      </c>
      <c r="H212" s="7">
        <v>541.04100000000005</v>
      </c>
      <c r="I212" s="7">
        <v>561.29949999999997</v>
      </c>
      <c r="J212" s="7">
        <v>14</v>
      </c>
      <c r="K212" s="7">
        <v>5.5056259E-3</v>
      </c>
      <c r="L212" s="7">
        <v>564.38980507400004</v>
      </c>
      <c r="M212" s="7">
        <v>538.06223064870005</v>
      </c>
      <c r="N212" s="7">
        <v>539.69769368660002</v>
      </c>
      <c r="O212" s="7">
        <v>564.38980507400004</v>
      </c>
      <c r="P212" s="7">
        <v>538.06223064870005</v>
      </c>
      <c r="Q212">
        <v>1</v>
      </c>
      <c r="R212">
        <v>0</v>
      </c>
      <c r="S212" s="11">
        <v>45750.666666666664</v>
      </c>
      <c r="T212">
        <v>2325</v>
      </c>
    </row>
    <row r="213" spans="1:20">
      <c r="A213" s="11">
        <v>45750.625</v>
      </c>
      <c r="B213" s="11">
        <v>45750.645833333336</v>
      </c>
      <c r="C213" s="10">
        <v>45750</v>
      </c>
      <c r="D213" s="7">
        <v>536.11419999999998</v>
      </c>
      <c r="E213" s="7">
        <v>5313539</v>
      </c>
      <c r="F213" s="7">
        <v>5313539</v>
      </c>
      <c r="G213" s="7">
        <v>58999329</v>
      </c>
      <c r="H213" s="7">
        <v>541.04100000000005</v>
      </c>
      <c r="I213" s="7">
        <v>561.29949999999997</v>
      </c>
      <c r="J213" s="7">
        <v>14</v>
      </c>
      <c r="K213" s="7">
        <v>5.7446041E-3</v>
      </c>
      <c r="L213" s="7">
        <v>564.52394343449998</v>
      </c>
      <c r="M213" s="7">
        <v>537.93293362860004</v>
      </c>
      <c r="N213" s="7">
        <v>539.37496063549997</v>
      </c>
      <c r="O213" s="7">
        <v>564.52394343449998</v>
      </c>
      <c r="P213" s="7">
        <v>537.93293362860004</v>
      </c>
      <c r="Q213">
        <v>1</v>
      </c>
      <c r="R213">
        <v>0</v>
      </c>
      <c r="S213" s="11">
        <v>45750.666666666664</v>
      </c>
      <c r="T213">
        <v>2324</v>
      </c>
    </row>
    <row r="214" spans="1:20">
      <c r="A214" s="11">
        <v>45750.645833333336</v>
      </c>
      <c r="B214" s="11">
        <v>45750.666666666664</v>
      </c>
      <c r="C214" s="10">
        <v>45750</v>
      </c>
      <c r="D214" s="7">
        <v>533.63840000000005</v>
      </c>
      <c r="E214" s="7">
        <v>21022868</v>
      </c>
      <c r="F214" s="7">
        <v>21022868</v>
      </c>
      <c r="G214" s="7">
        <v>80022197</v>
      </c>
      <c r="H214" s="7">
        <v>541.04100000000005</v>
      </c>
      <c r="I214" s="7">
        <v>561.29949999999997</v>
      </c>
      <c r="J214" s="7">
        <v>14</v>
      </c>
      <c r="K214" s="7">
        <v>6.5186732999999997E-3</v>
      </c>
      <c r="L214" s="7">
        <v>564.95842808750001</v>
      </c>
      <c r="M214" s="7">
        <v>537.51413045640004</v>
      </c>
      <c r="N214" s="7">
        <v>537.86789182790005</v>
      </c>
      <c r="O214" s="7">
        <v>564.95842808750001</v>
      </c>
      <c r="P214" s="7">
        <v>537.51413045640004</v>
      </c>
      <c r="Q214">
        <v>1</v>
      </c>
      <c r="R214">
        <v>1</v>
      </c>
      <c r="S214" s="11">
        <v>45750.666666666664</v>
      </c>
      <c r="T214">
        <v>2323</v>
      </c>
    </row>
    <row r="215" spans="1:20">
      <c r="A215" s="11">
        <v>45751.395833333336</v>
      </c>
      <c r="B215" s="11">
        <v>45751.416666666664</v>
      </c>
      <c r="C215" s="10">
        <v>45751</v>
      </c>
      <c r="D215" s="7">
        <v>519.97680000000003</v>
      </c>
      <c r="E215" s="7">
        <v>14691585</v>
      </c>
      <c r="F215" s="7">
        <v>14691585</v>
      </c>
      <c r="G215" s="7">
        <v>14691585</v>
      </c>
      <c r="H215" s="7">
        <v>519.97680000000003</v>
      </c>
      <c r="I215" s="7">
        <v>533.63819999999998</v>
      </c>
      <c r="J215" s="7">
        <v>14</v>
      </c>
      <c r="K215" s="7">
        <v>0</v>
      </c>
      <c r="L215" s="7">
        <v>533.63819999999998</v>
      </c>
      <c r="M215" s="7">
        <v>519.97680000000003</v>
      </c>
      <c r="N215" s="7">
        <v>519.97680000000003</v>
      </c>
      <c r="O215" s="7">
        <v>533.63819999999998</v>
      </c>
      <c r="P215" s="7">
        <v>519.97680000000003</v>
      </c>
      <c r="Q215">
        <v>1</v>
      </c>
      <c r="R215">
        <v>0</v>
      </c>
      <c r="S215" s="11">
        <v>45751.666666666664</v>
      </c>
      <c r="T215">
        <v>2321</v>
      </c>
    </row>
    <row r="216" spans="1:20">
      <c r="A216" s="11">
        <v>45751.416666666664</v>
      </c>
      <c r="B216" s="11">
        <v>45751.4375</v>
      </c>
      <c r="C216" s="10">
        <v>45751</v>
      </c>
      <c r="D216" s="7">
        <v>513.20069999999998</v>
      </c>
      <c r="E216" s="7">
        <v>8416104</v>
      </c>
      <c r="F216" s="7">
        <v>8416104</v>
      </c>
      <c r="G216" s="7">
        <v>23107689</v>
      </c>
      <c r="H216" s="7">
        <v>519.97680000000003</v>
      </c>
      <c r="I216" s="7">
        <v>533.63819999999998</v>
      </c>
      <c r="J216" s="7">
        <v>14</v>
      </c>
      <c r="K216" s="7">
        <v>2.1557865E-3</v>
      </c>
      <c r="L216" s="7">
        <v>534.78861002890005</v>
      </c>
      <c r="M216" s="7">
        <v>518.8558410329</v>
      </c>
      <c r="N216" s="7">
        <v>517.50886119769996</v>
      </c>
      <c r="O216" s="7">
        <v>534.78861002890005</v>
      </c>
      <c r="P216" s="7">
        <v>517.50886119769996</v>
      </c>
      <c r="Q216">
        <v>1</v>
      </c>
      <c r="R216">
        <v>0</v>
      </c>
      <c r="S216" s="11">
        <v>45751.666666666664</v>
      </c>
      <c r="T216">
        <v>2320</v>
      </c>
    </row>
    <row r="217" spans="1:20">
      <c r="A217" s="11">
        <v>45751.4375</v>
      </c>
      <c r="B217" s="11">
        <v>45751.458333333336</v>
      </c>
      <c r="C217" s="10">
        <v>45751</v>
      </c>
      <c r="D217" s="7">
        <v>512.28089999999997</v>
      </c>
      <c r="E217" s="7">
        <v>12505804</v>
      </c>
      <c r="F217" s="7">
        <v>12505804</v>
      </c>
      <c r="G217" s="7">
        <v>35613493</v>
      </c>
      <c r="H217" s="7">
        <v>519.97680000000003</v>
      </c>
      <c r="I217" s="7">
        <v>533.63819999999998</v>
      </c>
      <c r="J217" s="7">
        <v>14</v>
      </c>
      <c r="K217" s="7">
        <v>3.5213775999999998E-3</v>
      </c>
      <c r="L217" s="7">
        <v>535.51734162540004</v>
      </c>
      <c r="M217" s="7">
        <v>518.14576532310002</v>
      </c>
      <c r="N217" s="7">
        <v>515.67304413650004</v>
      </c>
      <c r="O217" s="7">
        <v>535.51734162540004</v>
      </c>
      <c r="P217" s="7">
        <v>515.67304413650004</v>
      </c>
      <c r="Q217">
        <v>1</v>
      </c>
      <c r="R217">
        <v>0</v>
      </c>
      <c r="S217" s="11">
        <v>45751.666666666664</v>
      </c>
      <c r="T217">
        <v>2319</v>
      </c>
    </row>
    <row r="218" spans="1:20">
      <c r="A218" s="11">
        <v>45751.458333333336</v>
      </c>
      <c r="B218" s="11">
        <v>45751.479166666664</v>
      </c>
      <c r="C218" s="10">
        <v>45751</v>
      </c>
      <c r="D218" s="7">
        <v>513.39459999999997</v>
      </c>
      <c r="E218" s="7">
        <v>15026664</v>
      </c>
      <c r="F218" s="7">
        <v>15026664</v>
      </c>
      <c r="G218" s="7">
        <v>50640157</v>
      </c>
      <c r="H218" s="7">
        <v>519.97680000000003</v>
      </c>
      <c r="I218" s="7">
        <v>533.63819999999998</v>
      </c>
      <c r="J218" s="7">
        <v>14</v>
      </c>
      <c r="K218" s="7">
        <v>3.5179475000000002E-3</v>
      </c>
      <c r="L218" s="7">
        <v>535.51551118559996</v>
      </c>
      <c r="M218" s="7">
        <v>518.14754890270001</v>
      </c>
      <c r="N218" s="7">
        <v>514.99695194979995</v>
      </c>
      <c r="O218" s="7">
        <v>535.51551118559996</v>
      </c>
      <c r="P218" s="7">
        <v>514.99695194979995</v>
      </c>
      <c r="Q218">
        <v>1</v>
      </c>
      <c r="R218">
        <v>0</v>
      </c>
      <c r="S218" s="11">
        <v>45751.666666666664</v>
      </c>
      <c r="T218">
        <v>2318</v>
      </c>
    </row>
    <row r="219" spans="1:20">
      <c r="A219" s="11">
        <v>45751.479166666664</v>
      </c>
      <c r="B219" s="11">
        <v>45751.5</v>
      </c>
      <c r="C219" s="10">
        <v>45751</v>
      </c>
      <c r="D219" s="7">
        <v>512.15170000000001</v>
      </c>
      <c r="E219" s="7">
        <v>7120579</v>
      </c>
      <c r="F219" s="7">
        <v>7120579</v>
      </c>
      <c r="G219" s="7">
        <v>57760736</v>
      </c>
      <c r="H219" s="7">
        <v>519.97680000000003</v>
      </c>
      <c r="I219" s="7">
        <v>533.63819999999998</v>
      </c>
      <c r="J219" s="7">
        <v>14</v>
      </c>
      <c r="K219" s="7">
        <v>3.6081721999999998E-3</v>
      </c>
      <c r="L219" s="7">
        <v>535.56365850899999</v>
      </c>
      <c r="M219" s="7">
        <v>518.10063417440006</v>
      </c>
      <c r="N219" s="7">
        <v>514.64619739420004</v>
      </c>
      <c r="O219" s="7">
        <v>535.56365850899999</v>
      </c>
      <c r="P219" s="7">
        <v>514.64619739420004</v>
      </c>
      <c r="Q219">
        <v>1</v>
      </c>
      <c r="R219">
        <v>0</v>
      </c>
      <c r="S219" s="11">
        <v>45751.666666666664</v>
      </c>
      <c r="T219">
        <v>2317</v>
      </c>
    </row>
    <row r="220" spans="1:20">
      <c r="A220" s="11">
        <v>45751.5</v>
      </c>
      <c r="B220" s="11">
        <v>45751.520833333336</v>
      </c>
      <c r="C220" s="10">
        <v>45751</v>
      </c>
      <c r="D220" s="7">
        <v>509.36750000000001</v>
      </c>
      <c r="E220" s="7">
        <v>4790347</v>
      </c>
      <c r="F220" s="7">
        <v>4790347</v>
      </c>
      <c r="G220" s="7">
        <v>62551083</v>
      </c>
      <c r="H220" s="7">
        <v>519.97680000000003</v>
      </c>
      <c r="I220" s="7">
        <v>533.63819999999998</v>
      </c>
      <c r="J220" s="7">
        <v>14</v>
      </c>
      <c r="K220" s="7">
        <v>4.1349916000000004E-3</v>
      </c>
      <c r="L220" s="7">
        <v>535.84478949269999</v>
      </c>
      <c r="M220" s="7">
        <v>517.82670028200005</v>
      </c>
      <c r="N220" s="7">
        <v>514.24193913019997</v>
      </c>
      <c r="O220" s="7">
        <v>535.84478949269999</v>
      </c>
      <c r="P220" s="7">
        <v>514.24193913019997</v>
      </c>
      <c r="Q220">
        <v>1</v>
      </c>
      <c r="R220">
        <v>0</v>
      </c>
      <c r="S220" s="11">
        <v>45751.666666666664</v>
      </c>
      <c r="T220">
        <v>2316</v>
      </c>
    </row>
    <row r="221" spans="1:20">
      <c r="A221" s="11">
        <v>45751.520833333336</v>
      </c>
      <c r="B221" s="11">
        <v>45751.541666666664</v>
      </c>
      <c r="C221" s="10">
        <v>45751</v>
      </c>
      <c r="D221" s="7">
        <v>509.04950000000002</v>
      </c>
      <c r="E221" s="7">
        <v>5555196</v>
      </c>
      <c r="F221" s="7">
        <v>5555196</v>
      </c>
      <c r="G221" s="7">
        <v>68106279</v>
      </c>
      <c r="H221" s="7">
        <v>519.97680000000003</v>
      </c>
      <c r="I221" s="7">
        <v>533.63819999999998</v>
      </c>
      <c r="J221" s="7">
        <v>14</v>
      </c>
      <c r="K221" s="7">
        <v>4.3095781000000001E-3</v>
      </c>
      <c r="L221" s="7">
        <v>535.93795551369999</v>
      </c>
      <c r="M221" s="7">
        <v>517.73591935690001</v>
      </c>
      <c r="N221" s="7">
        <v>513.81840964790001</v>
      </c>
      <c r="O221" s="7">
        <v>535.93795551369999</v>
      </c>
      <c r="P221" s="7">
        <v>513.81840964790001</v>
      </c>
      <c r="Q221">
        <v>1</v>
      </c>
      <c r="R221">
        <v>0</v>
      </c>
      <c r="S221" s="11">
        <v>45751.666666666664</v>
      </c>
      <c r="T221">
        <v>2315</v>
      </c>
    </row>
    <row r="222" spans="1:20">
      <c r="A222" s="11">
        <v>45751.541666666664</v>
      </c>
      <c r="B222" s="11">
        <v>45751.5625</v>
      </c>
      <c r="C222" s="10">
        <v>45751</v>
      </c>
      <c r="D222" s="7">
        <v>507.9658</v>
      </c>
      <c r="E222" s="7">
        <v>6989887</v>
      </c>
      <c r="F222" s="7">
        <v>6989887</v>
      </c>
      <c r="G222" s="7">
        <v>75096166</v>
      </c>
      <c r="H222" s="7">
        <v>519.97680000000003</v>
      </c>
      <c r="I222" s="7">
        <v>533.63819999999998</v>
      </c>
      <c r="J222" s="7">
        <v>14</v>
      </c>
      <c r="K222" s="7">
        <v>4.5359509999999999E-3</v>
      </c>
      <c r="L222" s="7">
        <v>536.05875671180002</v>
      </c>
      <c r="M222" s="7">
        <v>517.61821072889995</v>
      </c>
      <c r="N222" s="7">
        <v>513.27365373999999</v>
      </c>
      <c r="O222" s="7">
        <v>536.05875671180002</v>
      </c>
      <c r="P222" s="7">
        <v>513.27365373999999</v>
      </c>
      <c r="Q222">
        <v>1</v>
      </c>
      <c r="R222">
        <v>0</v>
      </c>
      <c r="S222" s="11">
        <v>45751.666666666664</v>
      </c>
      <c r="T222">
        <v>2314</v>
      </c>
    </row>
    <row r="223" spans="1:20">
      <c r="A223" s="11">
        <v>45751.5625</v>
      </c>
      <c r="B223" s="11">
        <v>45751.583333333336</v>
      </c>
      <c r="C223" s="10">
        <v>45751</v>
      </c>
      <c r="D223" s="7">
        <v>511.81360000000001</v>
      </c>
      <c r="E223" s="7">
        <v>6382187</v>
      </c>
      <c r="F223" s="7">
        <v>6382187</v>
      </c>
      <c r="G223" s="7">
        <v>81478353</v>
      </c>
      <c r="H223" s="7">
        <v>519.97680000000003</v>
      </c>
      <c r="I223" s="7">
        <v>533.63819999999998</v>
      </c>
      <c r="J223" s="7">
        <v>14</v>
      </c>
      <c r="K223" s="7">
        <v>4.4663484000000003E-3</v>
      </c>
      <c r="L223" s="7">
        <v>536.02161409639996</v>
      </c>
      <c r="M223" s="7">
        <v>517.65440247499998</v>
      </c>
      <c r="N223" s="7">
        <v>513.15928795249999</v>
      </c>
      <c r="O223" s="7">
        <v>536.02161409639996</v>
      </c>
      <c r="P223" s="7">
        <v>513.15928795249999</v>
      </c>
      <c r="Q223">
        <v>1</v>
      </c>
      <c r="R223">
        <v>0</v>
      </c>
      <c r="S223" s="11">
        <v>45751.666666666664</v>
      </c>
      <c r="T223">
        <v>2313</v>
      </c>
    </row>
    <row r="224" spans="1:20">
      <c r="A224" s="11">
        <v>45751.583333333336</v>
      </c>
      <c r="B224" s="11">
        <v>45751.604166666664</v>
      </c>
      <c r="C224" s="10">
        <v>45751</v>
      </c>
      <c r="D224" s="7">
        <v>505.97210000000001</v>
      </c>
      <c r="E224" s="7">
        <v>6995307</v>
      </c>
      <c r="F224" s="7">
        <v>6995307</v>
      </c>
      <c r="G224" s="7">
        <v>88473660</v>
      </c>
      <c r="H224" s="7">
        <v>519.97680000000003</v>
      </c>
      <c r="I224" s="7">
        <v>533.63819999999998</v>
      </c>
      <c r="J224" s="7">
        <v>14</v>
      </c>
      <c r="K224" s="7">
        <v>4.4368226000000002E-3</v>
      </c>
      <c r="L224" s="7">
        <v>536.00585802479998</v>
      </c>
      <c r="M224" s="7">
        <v>517.6697551835</v>
      </c>
      <c r="N224" s="7">
        <v>512.591021802</v>
      </c>
      <c r="O224" s="7">
        <v>536.00585802479998</v>
      </c>
      <c r="P224" s="7">
        <v>512.591021802</v>
      </c>
      <c r="Q224">
        <v>1</v>
      </c>
      <c r="R224">
        <v>0</v>
      </c>
      <c r="S224" s="11">
        <v>45751.666666666664</v>
      </c>
      <c r="T224">
        <v>2312</v>
      </c>
    </row>
    <row r="225" spans="1:20">
      <c r="A225" s="11">
        <v>45751.604166666664</v>
      </c>
      <c r="B225" s="11">
        <v>45751.625</v>
      </c>
      <c r="C225" s="10">
        <v>45751</v>
      </c>
      <c r="D225" s="7">
        <v>505.09219999999999</v>
      </c>
      <c r="E225" s="7">
        <v>7951279</v>
      </c>
      <c r="F225" s="7">
        <v>7951279</v>
      </c>
      <c r="G225" s="7">
        <v>96424939</v>
      </c>
      <c r="H225" s="7">
        <v>519.97680000000003</v>
      </c>
      <c r="I225" s="7">
        <v>533.63819999999998</v>
      </c>
      <c r="J225" s="7">
        <v>14</v>
      </c>
      <c r="K225" s="7">
        <v>5.1945958999999996E-3</v>
      </c>
      <c r="L225" s="7">
        <v>536.41023482089997</v>
      </c>
      <c r="M225" s="7">
        <v>517.27573063190005</v>
      </c>
      <c r="N225" s="7">
        <v>511.97266284900002</v>
      </c>
      <c r="O225" s="7">
        <v>536.41023482089997</v>
      </c>
      <c r="P225" s="7">
        <v>511.97266284900002</v>
      </c>
      <c r="Q225">
        <v>1</v>
      </c>
      <c r="R225">
        <v>0</v>
      </c>
      <c r="S225" s="11">
        <v>45751.666666666664</v>
      </c>
      <c r="T225">
        <v>2311</v>
      </c>
    </row>
    <row r="226" spans="1:20">
      <c r="A226" s="11">
        <v>45751.625</v>
      </c>
      <c r="B226" s="11">
        <v>45751.645833333336</v>
      </c>
      <c r="C226" s="10">
        <v>45751</v>
      </c>
      <c r="D226" s="7">
        <v>507.33929999999998</v>
      </c>
      <c r="E226" s="7">
        <v>8938571</v>
      </c>
      <c r="F226" s="7">
        <v>8938571</v>
      </c>
      <c r="G226" s="7">
        <v>105363510</v>
      </c>
      <c r="H226" s="7">
        <v>519.97680000000003</v>
      </c>
      <c r="I226" s="7">
        <v>533.63819999999998</v>
      </c>
      <c r="J226" s="7">
        <v>14</v>
      </c>
      <c r="K226" s="7">
        <v>5.7640060000000003E-3</v>
      </c>
      <c r="L226" s="7">
        <v>536.7140937803</v>
      </c>
      <c r="M226" s="7">
        <v>516.97965061110006</v>
      </c>
      <c r="N226" s="7">
        <v>511.57958897750001</v>
      </c>
      <c r="O226" s="7">
        <v>536.7140937803</v>
      </c>
      <c r="P226" s="7">
        <v>511.57958897750001</v>
      </c>
      <c r="Q226">
        <v>1</v>
      </c>
      <c r="R226">
        <v>0</v>
      </c>
      <c r="S226" s="11">
        <v>45751.666666666664</v>
      </c>
      <c r="T226">
        <v>2310</v>
      </c>
    </row>
    <row r="227" spans="1:20">
      <c r="A227" s="11">
        <v>45751.645833333336</v>
      </c>
      <c r="B227" s="11">
        <v>45751.666666666664</v>
      </c>
      <c r="C227" s="10">
        <v>45751</v>
      </c>
      <c r="D227" s="7">
        <v>502.39760000000001</v>
      </c>
      <c r="E227" s="7">
        <v>30925352</v>
      </c>
      <c r="F227" s="7">
        <v>30925352</v>
      </c>
      <c r="G227" s="7">
        <v>136288862</v>
      </c>
      <c r="H227" s="7">
        <v>519.97680000000003</v>
      </c>
      <c r="I227" s="7">
        <v>533.63819999999998</v>
      </c>
      <c r="J227" s="7">
        <v>14</v>
      </c>
      <c r="K227" s="7">
        <v>6.7392366999999998E-3</v>
      </c>
      <c r="L227" s="7">
        <v>537.2345141577</v>
      </c>
      <c r="M227" s="7">
        <v>516.47255325089998</v>
      </c>
      <c r="N227" s="7">
        <v>509.55477975159999</v>
      </c>
      <c r="O227" s="7">
        <v>537.2345141577</v>
      </c>
      <c r="P227" s="7">
        <v>509.55477975159999</v>
      </c>
      <c r="Q227">
        <v>1</v>
      </c>
      <c r="R227">
        <v>1</v>
      </c>
      <c r="S227" s="11">
        <v>45751.666666666664</v>
      </c>
      <c r="T227">
        <v>2309</v>
      </c>
    </row>
    <row r="228" spans="1:20">
      <c r="A228" s="11">
        <v>45754.395833333336</v>
      </c>
      <c r="B228" s="11">
        <v>45754.416666666664</v>
      </c>
      <c r="C228" s="10">
        <v>45754</v>
      </c>
      <c r="D228" s="7">
        <v>492.61880000000002</v>
      </c>
      <c r="E228" s="7">
        <v>22966950</v>
      </c>
      <c r="F228" s="7">
        <v>22966950</v>
      </c>
      <c r="G228" s="7">
        <v>22966950</v>
      </c>
      <c r="H228" s="7">
        <v>492.61880000000002</v>
      </c>
      <c r="I228" s="7">
        <v>502.39749999999998</v>
      </c>
      <c r="J228" s="7">
        <v>14</v>
      </c>
      <c r="K228" s="7">
        <v>0</v>
      </c>
      <c r="L228" s="7">
        <v>502.39749999999998</v>
      </c>
      <c r="M228" s="7">
        <v>492.61880000000002</v>
      </c>
      <c r="N228" s="7">
        <v>492.61880000000002</v>
      </c>
      <c r="O228" s="7">
        <v>502.39749999999998</v>
      </c>
      <c r="P228" s="7">
        <v>492.61880000000002</v>
      </c>
      <c r="Q228">
        <v>1</v>
      </c>
      <c r="R228">
        <v>0</v>
      </c>
      <c r="S228" s="11">
        <v>45754.666666666664</v>
      </c>
      <c r="T228">
        <v>2307</v>
      </c>
    </row>
    <row r="229" spans="1:20">
      <c r="A229" s="11">
        <v>45754.416666666664</v>
      </c>
      <c r="B229" s="11">
        <v>45754.4375</v>
      </c>
      <c r="C229" s="10">
        <v>45754</v>
      </c>
      <c r="D229" s="7">
        <v>495.71600000000001</v>
      </c>
      <c r="E229" s="7">
        <v>41942540</v>
      </c>
      <c r="F229" s="7">
        <v>41942540</v>
      </c>
      <c r="G229" s="7">
        <v>64909490</v>
      </c>
      <c r="H229" s="7">
        <v>492.61880000000002</v>
      </c>
      <c r="I229" s="7">
        <v>502.39749999999998</v>
      </c>
      <c r="J229" s="7">
        <v>14</v>
      </c>
      <c r="K229" s="7">
        <v>2.9684901999999999E-3</v>
      </c>
      <c r="L229" s="7">
        <v>503.88886207809998</v>
      </c>
      <c r="M229" s="7">
        <v>491.15646589739998</v>
      </c>
      <c r="N229" s="7">
        <v>494.62011652379999</v>
      </c>
      <c r="O229" s="7">
        <v>503.88886207809998</v>
      </c>
      <c r="P229" s="7">
        <v>491.15646589739998</v>
      </c>
      <c r="Q229">
        <v>1</v>
      </c>
      <c r="R229">
        <v>0</v>
      </c>
      <c r="S229" s="11">
        <v>45754.666666666664</v>
      </c>
      <c r="T229">
        <v>2306</v>
      </c>
    </row>
    <row r="230" spans="1:20">
      <c r="A230" s="11">
        <v>45754.4375</v>
      </c>
      <c r="B230" s="11">
        <v>45754.458333333336</v>
      </c>
      <c r="C230" s="10">
        <v>45754</v>
      </c>
      <c r="D230" s="7">
        <v>502.72570000000002</v>
      </c>
      <c r="E230" s="7">
        <v>20345046</v>
      </c>
      <c r="F230" s="7">
        <v>20345046</v>
      </c>
      <c r="G230" s="7">
        <v>85254536</v>
      </c>
      <c r="H230" s="7">
        <v>492.61880000000002</v>
      </c>
      <c r="I230" s="7">
        <v>502.39749999999998</v>
      </c>
      <c r="J230" s="7">
        <v>14</v>
      </c>
      <c r="K230" s="7">
        <v>4.4035966000000003E-3</v>
      </c>
      <c r="L230" s="7">
        <v>504.60985590360002</v>
      </c>
      <c r="M230" s="7">
        <v>490.4495055461</v>
      </c>
      <c r="N230" s="7">
        <v>496.55442379260001</v>
      </c>
      <c r="O230" s="7">
        <v>504.60985590360002</v>
      </c>
      <c r="P230" s="7">
        <v>490.4495055461</v>
      </c>
      <c r="Q230">
        <v>1</v>
      </c>
      <c r="R230">
        <v>0</v>
      </c>
      <c r="S230" s="11">
        <v>45754.666666666664</v>
      </c>
      <c r="T230">
        <v>2305</v>
      </c>
    </row>
    <row r="231" spans="1:20">
      <c r="A231" s="11">
        <v>45754.458333333336</v>
      </c>
      <c r="B231" s="11">
        <v>45754.479166666664</v>
      </c>
      <c r="C231" s="10">
        <v>45754</v>
      </c>
      <c r="D231" s="7">
        <v>491.15219999999999</v>
      </c>
      <c r="E231" s="7">
        <v>20204668</v>
      </c>
      <c r="F231" s="7">
        <v>20204668</v>
      </c>
      <c r="G231" s="7">
        <v>105459204</v>
      </c>
      <c r="H231" s="7">
        <v>492.61880000000002</v>
      </c>
      <c r="I231" s="7">
        <v>502.39749999999998</v>
      </c>
      <c r="J231" s="7">
        <v>14</v>
      </c>
      <c r="K231" s="7">
        <v>4.2503393000000002E-3</v>
      </c>
      <c r="L231" s="7">
        <v>504.53285982569997</v>
      </c>
      <c r="M231" s="7">
        <v>490.52500296689999</v>
      </c>
      <c r="N231" s="7">
        <v>495.51942510060002</v>
      </c>
      <c r="O231" s="7">
        <v>504.53285982569997</v>
      </c>
      <c r="P231" s="7">
        <v>490.52500296689999</v>
      </c>
      <c r="Q231">
        <v>1</v>
      </c>
      <c r="R231">
        <v>0</v>
      </c>
      <c r="S231" s="11">
        <v>45754.666666666664</v>
      </c>
      <c r="T231">
        <v>2304</v>
      </c>
    </row>
    <row r="232" spans="1:20">
      <c r="A232" s="11">
        <v>45754.479166666664</v>
      </c>
      <c r="B232" s="11">
        <v>45754.5</v>
      </c>
      <c r="C232" s="10">
        <v>45754</v>
      </c>
      <c r="D232" s="7">
        <v>496.66059999999999</v>
      </c>
      <c r="E232" s="7">
        <v>9974981</v>
      </c>
      <c r="F232" s="7">
        <v>9974981</v>
      </c>
      <c r="G232" s="7">
        <v>115434185</v>
      </c>
      <c r="H232" s="7">
        <v>492.61880000000002</v>
      </c>
      <c r="I232" s="7">
        <v>502.39749999999998</v>
      </c>
      <c r="J232" s="7">
        <v>14</v>
      </c>
      <c r="K232" s="7">
        <v>4.4790836999999998E-3</v>
      </c>
      <c r="L232" s="7">
        <v>504.64778043379999</v>
      </c>
      <c r="M232" s="7">
        <v>490.41231918160003</v>
      </c>
      <c r="N232" s="7">
        <v>495.61803711869999</v>
      </c>
      <c r="O232" s="7">
        <v>504.64778043379999</v>
      </c>
      <c r="P232" s="7">
        <v>490.41231918160003</v>
      </c>
      <c r="Q232">
        <v>1</v>
      </c>
      <c r="R232">
        <v>0</v>
      </c>
      <c r="S232" s="11">
        <v>45754.666666666664</v>
      </c>
      <c r="T232">
        <v>2303</v>
      </c>
    </row>
    <row r="233" spans="1:20">
      <c r="A233" s="11">
        <v>45754.5</v>
      </c>
      <c r="B233" s="11">
        <v>45754.520833333336</v>
      </c>
      <c r="C233" s="10">
        <v>45754</v>
      </c>
      <c r="D233" s="7">
        <v>496.39210000000003</v>
      </c>
      <c r="E233" s="7">
        <v>5707112</v>
      </c>
      <c r="F233" s="7">
        <v>5707112</v>
      </c>
      <c r="G233" s="7">
        <v>121141297</v>
      </c>
      <c r="H233" s="7">
        <v>492.61880000000002</v>
      </c>
      <c r="I233" s="7">
        <v>502.39749999999998</v>
      </c>
      <c r="J233" s="7">
        <v>14</v>
      </c>
      <c r="K233" s="7">
        <v>5.3972092999999997E-3</v>
      </c>
      <c r="L233" s="7">
        <v>505.10904446630002</v>
      </c>
      <c r="M233" s="7">
        <v>489.96003322439998</v>
      </c>
      <c r="N233" s="7">
        <v>495.65450415079999</v>
      </c>
      <c r="O233" s="7">
        <v>505.10904446630002</v>
      </c>
      <c r="P233" s="7">
        <v>489.96003322439998</v>
      </c>
      <c r="Q233">
        <v>1</v>
      </c>
      <c r="R233">
        <v>0</v>
      </c>
      <c r="S233" s="11">
        <v>45754.666666666664</v>
      </c>
      <c r="T233">
        <v>2302</v>
      </c>
    </row>
    <row r="234" spans="1:20">
      <c r="A234" s="11">
        <v>45754.520833333336</v>
      </c>
      <c r="B234" s="11">
        <v>45754.541666666664</v>
      </c>
      <c r="C234" s="10">
        <v>45754</v>
      </c>
      <c r="D234" s="7">
        <v>493.03140000000002</v>
      </c>
      <c r="E234" s="7">
        <v>5234767</v>
      </c>
      <c r="F234" s="7">
        <v>5234767</v>
      </c>
      <c r="G234" s="7">
        <v>126376064</v>
      </c>
      <c r="H234" s="7">
        <v>492.61880000000002</v>
      </c>
      <c r="I234" s="7">
        <v>502.39749999999998</v>
      </c>
      <c r="J234" s="7">
        <v>14</v>
      </c>
      <c r="K234" s="7">
        <v>5.6988478999999998E-3</v>
      </c>
      <c r="L234" s="7">
        <v>505.26058695469999</v>
      </c>
      <c r="M234" s="7">
        <v>489.81144036960001</v>
      </c>
      <c r="N234" s="7">
        <v>495.54584956370002</v>
      </c>
      <c r="O234" s="7">
        <v>505.26058695469999</v>
      </c>
      <c r="P234" s="7">
        <v>489.81144036960001</v>
      </c>
      <c r="Q234">
        <v>1</v>
      </c>
      <c r="R234">
        <v>0</v>
      </c>
      <c r="S234" s="11">
        <v>45754.666666666664</v>
      </c>
      <c r="T234">
        <v>2301</v>
      </c>
    </row>
    <row r="235" spans="1:20">
      <c r="A235" s="11">
        <v>45754.541666666664</v>
      </c>
      <c r="B235" s="11">
        <v>45754.5625</v>
      </c>
      <c r="C235" s="10">
        <v>45754</v>
      </c>
      <c r="D235" s="7">
        <v>502.7457</v>
      </c>
      <c r="E235" s="7">
        <v>8980496</v>
      </c>
      <c r="F235" s="7">
        <v>8980496</v>
      </c>
      <c r="G235" s="7">
        <v>135356560</v>
      </c>
      <c r="H235" s="7">
        <v>492.61880000000002</v>
      </c>
      <c r="I235" s="7">
        <v>502.39749999999998</v>
      </c>
      <c r="J235" s="7">
        <v>14</v>
      </c>
      <c r="K235" s="7">
        <v>6.1322238000000003E-3</v>
      </c>
      <c r="L235" s="7">
        <v>505.47831389359999</v>
      </c>
      <c r="M235" s="7">
        <v>489.59795128299999</v>
      </c>
      <c r="N235" s="7">
        <v>496.02353773819999</v>
      </c>
      <c r="O235" s="7">
        <v>505.47831389359999</v>
      </c>
      <c r="P235" s="7">
        <v>489.59795128299999</v>
      </c>
      <c r="Q235">
        <v>1</v>
      </c>
      <c r="R235">
        <v>0</v>
      </c>
      <c r="S235" s="11">
        <v>45754.666666666664</v>
      </c>
      <c r="T235">
        <v>2300</v>
      </c>
    </row>
    <row r="236" spans="1:20">
      <c r="A236" s="11">
        <v>45754.5625</v>
      </c>
      <c r="B236" s="11">
        <v>45754.583333333336</v>
      </c>
      <c r="C236" s="10">
        <v>45754</v>
      </c>
      <c r="D236" s="7">
        <v>506.30520000000001</v>
      </c>
      <c r="E236" s="7">
        <v>7969450</v>
      </c>
      <c r="F236" s="7">
        <v>7969450</v>
      </c>
      <c r="G236" s="7">
        <v>143326010</v>
      </c>
      <c r="H236" s="7">
        <v>492.61880000000002</v>
      </c>
      <c r="I236" s="7">
        <v>502.39749999999998</v>
      </c>
      <c r="J236" s="7">
        <v>14</v>
      </c>
      <c r="K236" s="7">
        <v>5.3735857999999996E-3</v>
      </c>
      <c r="L236" s="7">
        <v>505.09717605510002</v>
      </c>
      <c r="M236" s="7">
        <v>489.97167062810001</v>
      </c>
      <c r="N236" s="7">
        <v>496.59523573849998</v>
      </c>
      <c r="O236" s="7">
        <v>505.09717605510002</v>
      </c>
      <c r="P236" s="7">
        <v>489.97167062810001</v>
      </c>
      <c r="Q236">
        <v>1</v>
      </c>
      <c r="R236">
        <v>0</v>
      </c>
      <c r="S236" s="11">
        <v>45754.666666666664</v>
      </c>
      <c r="T236">
        <v>2299</v>
      </c>
    </row>
    <row r="237" spans="1:20">
      <c r="A237" s="11">
        <v>45754.583333333336</v>
      </c>
      <c r="B237" s="11">
        <v>45754.604166666664</v>
      </c>
      <c r="C237" s="10">
        <v>45754</v>
      </c>
      <c r="D237" s="7">
        <v>502.28829999999999</v>
      </c>
      <c r="E237" s="7">
        <v>6676304</v>
      </c>
      <c r="F237" s="7">
        <v>6676304</v>
      </c>
      <c r="G237" s="7">
        <v>150002314</v>
      </c>
      <c r="H237" s="7">
        <v>492.61880000000002</v>
      </c>
      <c r="I237" s="7">
        <v>502.39749999999998</v>
      </c>
      <c r="J237" s="7">
        <v>14</v>
      </c>
      <c r="K237" s="7">
        <v>5.9544786000000002E-3</v>
      </c>
      <c r="L237" s="7">
        <v>505.38901514439999</v>
      </c>
      <c r="M237" s="7">
        <v>489.68551191509999</v>
      </c>
      <c r="N237" s="7">
        <v>496.84862268090001</v>
      </c>
      <c r="O237" s="7">
        <v>505.38901514439999</v>
      </c>
      <c r="P237" s="7">
        <v>489.68551191509999</v>
      </c>
      <c r="Q237">
        <v>1</v>
      </c>
      <c r="R237">
        <v>0</v>
      </c>
      <c r="S237" s="11">
        <v>45754.666666666664</v>
      </c>
      <c r="T237">
        <v>2298</v>
      </c>
    </row>
    <row r="238" spans="1:20">
      <c r="A238" s="11">
        <v>45754.604166666664</v>
      </c>
      <c r="B238" s="11">
        <v>45754.625</v>
      </c>
      <c r="C238" s="10">
        <v>45754</v>
      </c>
      <c r="D238" s="7">
        <v>500.23009999999999</v>
      </c>
      <c r="E238" s="7">
        <v>5329304</v>
      </c>
      <c r="F238" s="7">
        <v>5329304</v>
      </c>
      <c r="G238" s="7">
        <v>155331618</v>
      </c>
      <c r="H238" s="7">
        <v>492.61880000000002</v>
      </c>
      <c r="I238" s="7">
        <v>502.39749999999998</v>
      </c>
      <c r="J238" s="7">
        <v>14</v>
      </c>
      <c r="K238" s="7">
        <v>6.7605603999999998E-3</v>
      </c>
      <c r="L238" s="7">
        <v>505.7939886506</v>
      </c>
      <c r="M238" s="7">
        <v>489.2884208415</v>
      </c>
      <c r="N238" s="7">
        <v>496.9646384724</v>
      </c>
      <c r="O238" s="7">
        <v>505.7939886506</v>
      </c>
      <c r="P238" s="7">
        <v>489.2884208415</v>
      </c>
      <c r="Q238">
        <v>1</v>
      </c>
      <c r="R238">
        <v>0</v>
      </c>
      <c r="S238" s="11">
        <v>45754.666666666664</v>
      </c>
      <c r="T238">
        <v>2297</v>
      </c>
    </row>
    <row r="239" spans="1:20">
      <c r="A239" s="11">
        <v>45754.625</v>
      </c>
      <c r="B239" s="11">
        <v>45754.645833333336</v>
      </c>
      <c r="C239" s="10">
        <v>45754</v>
      </c>
      <c r="D239" s="7">
        <v>497.78910000000002</v>
      </c>
      <c r="E239" s="7">
        <v>8374469</v>
      </c>
      <c r="F239" s="7">
        <v>8374469</v>
      </c>
      <c r="G239" s="7">
        <v>163706087</v>
      </c>
      <c r="H239" s="7">
        <v>492.61880000000002</v>
      </c>
      <c r="I239" s="7">
        <v>502.39749999999998</v>
      </c>
      <c r="J239" s="7">
        <v>14</v>
      </c>
      <c r="K239" s="7">
        <v>7.0597367000000003E-3</v>
      </c>
      <c r="L239" s="7">
        <v>505.94429405189999</v>
      </c>
      <c r="M239" s="7">
        <v>489.14104099500003</v>
      </c>
      <c r="N239" s="7">
        <v>497.00681422550002</v>
      </c>
      <c r="O239" s="7">
        <v>505.94429405189999</v>
      </c>
      <c r="P239" s="7">
        <v>489.14104099500003</v>
      </c>
      <c r="Q239">
        <v>1</v>
      </c>
      <c r="R239">
        <v>0</v>
      </c>
      <c r="S239" s="11">
        <v>45754.666666666664</v>
      </c>
      <c r="T239">
        <v>2296</v>
      </c>
    </row>
    <row r="240" spans="1:20">
      <c r="A240" s="11">
        <v>45754.645833333336</v>
      </c>
      <c r="B240" s="11">
        <v>45754.666666666664</v>
      </c>
      <c r="C240" s="10">
        <v>45754</v>
      </c>
      <c r="D240" s="7">
        <v>501.50279999999998</v>
      </c>
      <c r="E240" s="7">
        <v>17837078</v>
      </c>
      <c r="F240" s="7">
        <v>17837078</v>
      </c>
      <c r="G240" s="7">
        <v>181543165</v>
      </c>
      <c r="H240" s="7">
        <v>492.61880000000002</v>
      </c>
      <c r="I240" s="7">
        <v>502.39749999999998</v>
      </c>
      <c r="J240" s="7">
        <v>14</v>
      </c>
      <c r="K240" s="7">
        <v>8.9348792000000007E-3</v>
      </c>
      <c r="L240" s="7">
        <v>506.88636098299997</v>
      </c>
      <c r="M240" s="7">
        <v>488.21731052040002</v>
      </c>
      <c r="N240" s="7">
        <v>497.44855627039999</v>
      </c>
      <c r="O240" s="7">
        <v>506.88636098299997</v>
      </c>
      <c r="P240" s="7">
        <v>488.21731052040002</v>
      </c>
      <c r="Q240">
        <v>1</v>
      </c>
      <c r="R240">
        <v>1</v>
      </c>
      <c r="S240" s="11">
        <v>45754.666666666664</v>
      </c>
      <c r="T240">
        <v>2295</v>
      </c>
    </row>
    <row r="241" spans="1:20">
      <c r="A241" s="11">
        <v>45755.395833333336</v>
      </c>
      <c r="B241" s="11">
        <v>45755.416666666664</v>
      </c>
      <c r="C241" s="10">
        <v>45755</v>
      </c>
      <c r="D241" s="7">
        <v>520.05629999999996</v>
      </c>
      <c r="E241" s="7">
        <v>13085183</v>
      </c>
      <c r="F241" s="7">
        <v>13085183</v>
      </c>
      <c r="G241" s="7">
        <v>13085183</v>
      </c>
      <c r="H241" s="7">
        <v>520.05629999999996</v>
      </c>
      <c r="I241" s="7">
        <v>501.50259999999997</v>
      </c>
      <c r="J241" s="7">
        <v>14</v>
      </c>
      <c r="K241" s="7">
        <v>0</v>
      </c>
      <c r="L241" s="7">
        <v>520.05629999999996</v>
      </c>
      <c r="M241" s="7">
        <v>501.50259999999997</v>
      </c>
      <c r="N241" s="7">
        <v>520.05629999999996</v>
      </c>
      <c r="O241" s="7">
        <v>520.05629999999996</v>
      </c>
      <c r="P241" s="7">
        <v>501.50259999999997</v>
      </c>
      <c r="Q241">
        <v>1</v>
      </c>
      <c r="R241">
        <v>0</v>
      </c>
      <c r="S241" s="11">
        <v>45755.666666666664</v>
      </c>
      <c r="T241">
        <v>2293</v>
      </c>
    </row>
    <row r="242" spans="1:20">
      <c r="A242" s="11">
        <v>45755.416666666664</v>
      </c>
      <c r="B242" s="11">
        <v>45755.4375</v>
      </c>
      <c r="C242" s="10">
        <v>45755</v>
      </c>
      <c r="D242" s="7">
        <v>520.30489999999998</v>
      </c>
      <c r="E242" s="7">
        <v>6961406</v>
      </c>
      <c r="F242" s="7">
        <v>6961406</v>
      </c>
      <c r="G242" s="7">
        <v>20046589</v>
      </c>
      <c r="H242" s="7">
        <v>520.05629999999996</v>
      </c>
      <c r="I242" s="7">
        <v>501.50259999999997</v>
      </c>
      <c r="J242" s="7">
        <v>14</v>
      </c>
      <c r="K242" s="7">
        <v>3.3620026E-3</v>
      </c>
      <c r="L242" s="7">
        <v>521.80473063750003</v>
      </c>
      <c r="M242" s="7">
        <v>499.81654695029999</v>
      </c>
      <c r="N242" s="7">
        <v>520.14262917710005</v>
      </c>
      <c r="O242" s="7">
        <v>521.80473063750003</v>
      </c>
      <c r="P242" s="7">
        <v>499.81654695029999</v>
      </c>
      <c r="Q242">
        <v>1</v>
      </c>
      <c r="R242">
        <v>0</v>
      </c>
      <c r="S242" s="11">
        <v>45755.666666666664</v>
      </c>
      <c r="T242">
        <v>2292</v>
      </c>
    </row>
    <row r="243" spans="1:20">
      <c r="A243" s="11">
        <v>45755.4375</v>
      </c>
      <c r="B243" s="11">
        <v>45755.458333333336</v>
      </c>
      <c r="C243" s="10">
        <v>45755</v>
      </c>
      <c r="D243" s="7">
        <v>514.83619999999996</v>
      </c>
      <c r="E243" s="7">
        <v>5521821</v>
      </c>
      <c r="F243" s="7">
        <v>5521821</v>
      </c>
      <c r="G243" s="7">
        <v>25568410</v>
      </c>
      <c r="H243" s="7">
        <v>520.05629999999996</v>
      </c>
      <c r="I243" s="7">
        <v>501.50259999999997</v>
      </c>
      <c r="J243" s="7">
        <v>14</v>
      </c>
      <c r="K243" s="7">
        <v>5.8568020000000004E-3</v>
      </c>
      <c r="L243" s="7">
        <v>523.10216679730001</v>
      </c>
      <c r="M243" s="7">
        <v>498.56539855059998</v>
      </c>
      <c r="N243" s="7">
        <v>518.99663879030004</v>
      </c>
      <c r="O243" s="7">
        <v>523.10216679730001</v>
      </c>
      <c r="P243" s="7">
        <v>498.56539855059998</v>
      </c>
      <c r="Q243">
        <v>1</v>
      </c>
      <c r="R243">
        <v>0</v>
      </c>
      <c r="S243" s="11">
        <v>45755.666666666664</v>
      </c>
      <c r="T243">
        <v>2291</v>
      </c>
    </row>
    <row r="244" spans="1:20">
      <c r="A244" s="11">
        <v>45755.458333333336</v>
      </c>
      <c r="B244" s="11">
        <v>45755.479166666664</v>
      </c>
      <c r="C244" s="10">
        <v>45755</v>
      </c>
      <c r="D244" s="7">
        <v>511.2817</v>
      </c>
      <c r="E244" s="7">
        <v>6763821</v>
      </c>
      <c r="F244" s="7">
        <v>6763821</v>
      </c>
      <c r="G244" s="7">
        <v>32332231</v>
      </c>
      <c r="H244" s="7">
        <v>520.05629999999996</v>
      </c>
      <c r="I244" s="7">
        <v>501.50259999999997</v>
      </c>
      <c r="J244" s="7">
        <v>14</v>
      </c>
      <c r="K244" s="7">
        <v>4.3491585000000003E-3</v>
      </c>
      <c r="L244" s="7">
        <v>522.31810728970004</v>
      </c>
      <c r="M244" s="7">
        <v>499.32148569280002</v>
      </c>
      <c r="N244" s="7">
        <v>517.3826930962</v>
      </c>
      <c r="O244" s="7">
        <v>522.31810728970004</v>
      </c>
      <c r="P244" s="7">
        <v>499.32148569280002</v>
      </c>
      <c r="Q244">
        <v>1</v>
      </c>
      <c r="R244">
        <v>0</v>
      </c>
      <c r="S244" s="11">
        <v>45755.666666666664</v>
      </c>
      <c r="T244">
        <v>2290</v>
      </c>
    </row>
    <row r="245" spans="1:20">
      <c r="A245" s="11">
        <v>45755.479166666664</v>
      </c>
      <c r="B245" s="11">
        <v>45755.5</v>
      </c>
      <c r="C245" s="10">
        <v>45755</v>
      </c>
      <c r="D245" s="7">
        <v>513.40449999999998</v>
      </c>
      <c r="E245" s="7">
        <v>5205488</v>
      </c>
      <c r="F245" s="7">
        <v>5205488</v>
      </c>
      <c r="G245" s="7">
        <v>37537719</v>
      </c>
      <c r="H245" s="7">
        <v>520.05629999999996</v>
      </c>
      <c r="I245" s="7">
        <v>501.50259999999997</v>
      </c>
      <c r="J245" s="7">
        <v>14</v>
      </c>
      <c r="K245" s="7">
        <v>4.9245608999999996E-3</v>
      </c>
      <c r="L245" s="7">
        <v>522.61734893400001</v>
      </c>
      <c r="M245" s="7">
        <v>499.03291989209998</v>
      </c>
      <c r="N245" s="7">
        <v>516.83102301669999</v>
      </c>
      <c r="O245" s="7">
        <v>522.61734893400001</v>
      </c>
      <c r="P245" s="7">
        <v>499.03291989209998</v>
      </c>
      <c r="Q245">
        <v>1</v>
      </c>
      <c r="R245">
        <v>0</v>
      </c>
      <c r="S245" s="11">
        <v>45755.666666666664</v>
      </c>
      <c r="T245">
        <v>2289</v>
      </c>
    </row>
    <row r="246" spans="1:20">
      <c r="A246" s="11">
        <v>45755.5</v>
      </c>
      <c r="B246" s="11">
        <v>45755.520833333336</v>
      </c>
      <c r="C246" s="10">
        <v>45755</v>
      </c>
      <c r="D246" s="7">
        <v>510.98829999999998</v>
      </c>
      <c r="E246" s="7">
        <v>4228981</v>
      </c>
      <c r="F246" s="7">
        <v>4228981</v>
      </c>
      <c r="G246" s="7">
        <v>41766700</v>
      </c>
      <c r="H246" s="7">
        <v>520.05629999999996</v>
      </c>
      <c r="I246" s="7">
        <v>501.50259999999997</v>
      </c>
      <c r="J246" s="7">
        <v>14</v>
      </c>
      <c r="K246" s="7">
        <v>5.8237871999999996E-3</v>
      </c>
      <c r="L246" s="7">
        <v>523.08499721390001</v>
      </c>
      <c r="M246" s="7">
        <v>498.58195558630001</v>
      </c>
      <c r="N246" s="7">
        <v>516.23943295510003</v>
      </c>
      <c r="O246" s="7">
        <v>523.08499721390001</v>
      </c>
      <c r="P246" s="7">
        <v>498.58195558630001</v>
      </c>
      <c r="Q246">
        <v>1</v>
      </c>
      <c r="R246">
        <v>0</v>
      </c>
      <c r="S246" s="11">
        <v>45755.666666666664</v>
      </c>
      <c r="T246">
        <v>2288</v>
      </c>
    </row>
    <row r="247" spans="1:20">
      <c r="A247" s="11">
        <v>45755.520833333336</v>
      </c>
      <c r="B247" s="11">
        <v>45755.541666666664</v>
      </c>
      <c r="C247" s="10">
        <v>45755</v>
      </c>
      <c r="D247" s="7">
        <v>504.3365</v>
      </c>
      <c r="E247" s="7">
        <v>11585117</v>
      </c>
      <c r="F247" s="7">
        <v>11585117</v>
      </c>
      <c r="G247" s="7">
        <v>53351817</v>
      </c>
      <c r="H247" s="7">
        <v>520.05629999999996</v>
      </c>
      <c r="I247" s="7">
        <v>501.50259999999997</v>
      </c>
      <c r="J247" s="7">
        <v>14</v>
      </c>
      <c r="K247" s="7">
        <v>5.7483172000000003E-3</v>
      </c>
      <c r="L247" s="7">
        <v>523.04574858230001</v>
      </c>
      <c r="M247" s="7">
        <v>498.61980397079998</v>
      </c>
      <c r="N247" s="7">
        <v>513.65476239129998</v>
      </c>
      <c r="O247" s="7">
        <v>523.04574858230001</v>
      </c>
      <c r="P247" s="7">
        <v>498.61980397079998</v>
      </c>
      <c r="Q247">
        <v>1</v>
      </c>
      <c r="R247">
        <v>0</v>
      </c>
      <c r="S247" s="11">
        <v>45755.666666666664</v>
      </c>
      <c r="T247">
        <v>2287</v>
      </c>
    </row>
    <row r="248" spans="1:20">
      <c r="A248" s="11">
        <v>45755.541666666664</v>
      </c>
      <c r="B248" s="11">
        <v>45755.5625</v>
      </c>
      <c r="C248" s="10">
        <v>45755</v>
      </c>
      <c r="D248" s="7">
        <v>499.4744</v>
      </c>
      <c r="E248" s="7">
        <v>9797536</v>
      </c>
      <c r="F248" s="7">
        <v>9797536</v>
      </c>
      <c r="G248" s="7">
        <v>63149353</v>
      </c>
      <c r="H248" s="7">
        <v>520.05629999999996</v>
      </c>
      <c r="I248" s="7">
        <v>501.50259999999997</v>
      </c>
      <c r="J248" s="7">
        <v>14</v>
      </c>
      <c r="K248" s="7">
        <v>7.5759293999999996E-3</v>
      </c>
      <c r="L248" s="7">
        <v>523.99620979760005</v>
      </c>
      <c r="M248" s="7">
        <v>497.70325172309998</v>
      </c>
      <c r="N248" s="7">
        <v>511.45469850429998</v>
      </c>
      <c r="O248" s="7">
        <v>523.99620979760005</v>
      </c>
      <c r="P248" s="7">
        <v>497.70325172309998</v>
      </c>
      <c r="Q248">
        <v>1</v>
      </c>
      <c r="R248">
        <v>0</v>
      </c>
      <c r="S248" s="11">
        <v>45755.666666666664</v>
      </c>
      <c r="T248">
        <v>2286</v>
      </c>
    </row>
    <row r="249" spans="1:20">
      <c r="A249" s="11">
        <v>45755.5625</v>
      </c>
      <c r="B249" s="11">
        <v>45755.583333333336</v>
      </c>
      <c r="C249" s="10">
        <v>45755</v>
      </c>
      <c r="D249" s="7">
        <v>503.65050000000002</v>
      </c>
      <c r="E249" s="7">
        <v>7615935</v>
      </c>
      <c r="F249" s="7">
        <v>7615935</v>
      </c>
      <c r="G249" s="7">
        <v>70765288</v>
      </c>
      <c r="H249" s="7">
        <v>520.05629999999996</v>
      </c>
      <c r="I249" s="7">
        <v>501.50259999999997</v>
      </c>
      <c r="J249" s="7">
        <v>14</v>
      </c>
      <c r="K249" s="7">
        <v>7.3496267000000004E-3</v>
      </c>
      <c r="L249" s="7">
        <v>523.87851965439995</v>
      </c>
      <c r="M249" s="7">
        <v>497.81674311400002</v>
      </c>
      <c r="N249" s="7">
        <v>510.61479139419998</v>
      </c>
      <c r="O249" s="7">
        <v>523.87851965439995</v>
      </c>
      <c r="P249" s="7">
        <v>497.81674311400002</v>
      </c>
      <c r="Q249">
        <v>1</v>
      </c>
      <c r="R249">
        <v>0</v>
      </c>
      <c r="S249" s="11">
        <v>45755.666666666664</v>
      </c>
      <c r="T249">
        <v>2285</v>
      </c>
    </row>
    <row r="250" spans="1:20">
      <c r="A250" s="11">
        <v>45755.583333333336</v>
      </c>
      <c r="B250" s="11">
        <v>45755.604166666664</v>
      </c>
      <c r="C250" s="10">
        <v>45755</v>
      </c>
      <c r="D250" s="7">
        <v>499.70310000000001</v>
      </c>
      <c r="E250" s="7">
        <v>4555373</v>
      </c>
      <c r="F250" s="7">
        <v>4555373</v>
      </c>
      <c r="G250" s="7">
        <v>75320661</v>
      </c>
      <c r="H250" s="7">
        <v>520.05629999999996</v>
      </c>
      <c r="I250" s="7">
        <v>501.50259999999997</v>
      </c>
      <c r="J250" s="7">
        <v>14</v>
      </c>
      <c r="K250" s="7">
        <v>7.3254888000000001E-3</v>
      </c>
      <c r="L250" s="7">
        <v>523.86596662570003</v>
      </c>
      <c r="M250" s="7">
        <v>497.8288482968</v>
      </c>
      <c r="N250" s="7">
        <v>509.95485527969998</v>
      </c>
      <c r="O250" s="7">
        <v>523.86596662570003</v>
      </c>
      <c r="P250" s="7">
        <v>497.8288482968</v>
      </c>
      <c r="Q250">
        <v>1</v>
      </c>
      <c r="R250">
        <v>0</v>
      </c>
      <c r="S250" s="11">
        <v>45755.666666666664</v>
      </c>
      <c r="T250">
        <v>2284</v>
      </c>
    </row>
    <row r="251" spans="1:20">
      <c r="A251" s="11">
        <v>45755.604166666664</v>
      </c>
      <c r="B251" s="11">
        <v>45755.625</v>
      </c>
      <c r="C251" s="10">
        <v>45755</v>
      </c>
      <c r="D251" s="7">
        <v>499.04689999999999</v>
      </c>
      <c r="E251" s="7">
        <v>6872751</v>
      </c>
      <c r="F251" s="7">
        <v>6872751</v>
      </c>
      <c r="G251" s="7">
        <v>82193412</v>
      </c>
      <c r="H251" s="7">
        <v>520.05629999999996</v>
      </c>
      <c r="I251" s="7">
        <v>501.50259999999997</v>
      </c>
      <c r="J251" s="7">
        <v>14</v>
      </c>
      <c r="K251" s="7">
        <v>7.7870965E-3</v>
      </c>
      <c r="L251" s="7">
        <v>524.10602860530003</v>
      </c>
      <c r="M251" s="7">
        <v>497.59735084750002</v>
      </c>
      <c r="N251" s="7">
        <v>509.04276684429999</v>
      </c>
      <c r="O251" s="7">
        <v>524.10602860530003</v>
      </c>
      <c r="P251" s="7">
        <v>497.59735084750002</v>
      </c>
      <c r="Q251">
        <v>1</v>
      </c>
      <c r="R251">
        <v>0</v>
      </c>
      <c r="S251" s="11">
        <v>45755.666666666664</v>
      </c>
      <c r="T251">
        <v>2283</v>
      </c>
    </row>
    <row r="252" spans="1:20">
      <c r="A252" s="11">
        <v>45755.625</v>
      </c>
      <c r="B252" s="11">
        <v>45755.645833333336</v>
      </c>
      <c r="C252" s="10">
        <v>45755</v>
      </c>
      <c r="D252" s="7">
        <v>494.4271</v>
      </c>
      <c r="E252" s="7">
        <v>10425768</v>
      </c>
      <c r="F252" s="7">
        <v>10425768</v>
      </c>
      <c r="G252" s="7">
        <v>92619180</v>
      </c>
      <c r="H252" s="7">
        <v>520.05629999999996</v>
      </c>
      <c r="I252" s="7">
        <v>501.50259999999997</v>
      </c>
      <c r="J252" s="7">
        <v>14</v>
      </c>
      <c r="K252" s="7">
        <v>7.7423689999999998E-3</v>
      </c>
      <c r="L252" s="7">
        <v>524.08276777959998</v>
      </c>
      <c r="M252" s="7">
        <v>497.6197818123</v>
      </c>
      <c r="N252" s="7">
        <v>507.39754010310003</v>
      </c>
      <c r="O252" s="7">
        <v>524.08276777959998</v>
      </c>
      <c r="P252" s="7">
        <v>497.6197818123</v>
      </c>
      <c r="Q252">
        <v>1</v>
      </c>
      <c r="R252">
        <v>0</v>
      </c>
      <c r="S252" s="11">
        <v>45755.666666666664</v>
      </c>
      <c r="T252">
        <v>2282</v>
      </c>
    </row>
    <row r="253" spans="1:20">
      <c r="A253" s="11">
        <v>45755.645833333336</v>
      </c>
      <c r="B253" s="11">
        <v>45755.666666666664</v>
      </c>
      <c r="C253" s="10">
        <v>45755</v>
      </c>
      <c r="D253" s="7">
        <v>493.64789999999999</v>
      </c>
      <c r="E253" s="7">
        <v>27205038</v>
      </c>
      <c r="F253" s="7">
        <v>27205038</v>
      </c>
      <c r="G253" s="7">
        <v>119824218</v>
      </c>
      <c r="H253" s="7">
        <v>520.05629999999996</v>
      </c>
      <c r="I253" s="7">
        <v>501.50259999999997</v>
      </c>
      <c r="J253" s="7">
        <v>14</v>
      </c>
      <c r="K253" s="7">
        <v>1.0189102699999999E-2</v>
      </c>
      <c r="L253" s="7">
        <v>525.35520704630005</v>
      </c>
      <c r="M253" s="7">
        <v>496.3927385083</v>
      </c>
      <c r="N253" s="7">
        <v>504.27580488349997</v>
      </c>
      <c r="O253" s="7">
        <v>525.35520704630005</v>
      </c>
      <c r="P253" s="7">
        <v>496.3927385083</v>
      </c>
      <c r="Q253">
        <v>1</v>
      </c>
      <c r="R253">
        <v>1</v>
      </c>
      <c r="S253" s="11">
        <v>45755.666666666664</v>
      </c>
      <c r="T253">
        <v>2281</v>
      </c>
    </row>
    <row r="254" spans="1:20">
      <c r="A254" s="11">
        <v>45756.395833333336</v>
      </c>
      <c r="B254" s="11">
        <v>45756.416666666664</v>
      </c>
      <c r="C254" s="10">
        <v>45756</v>
      </c>
      <c r="D254" s="7">
        <v>497.34660000000002</v>
      </c>
      <c r="E254" s="7">
        <v>12697187</v>
      </c>
      <c r="F254" s="7">
        <v>12697187</v>
      </c>
      <c r="G254" s="7">
        <v>12697187</v>
      </c>
      <c r="H254" s="7">
        <v>497.34660000000002</v>
      </c>
      <c r="I254" s="7">
        <v>493.64760000000001</v>
      </c>
      <c r="J254" s="7">
        <v>14</v>
      </c>
      <c r="K254" s="7">
        <v>0</v>
      </c>
      <c r="L254" s="7">
        <v>497.34660000000002</v>
      </c>
      <c r="M254" s="7">
        <v>493.64760000000001</v>
      </c>
      <c r="N254" s="7">
        <v>497.34660000000002</v>
      </c>
      <c r="O254" s="7">
        <v>497.34660000000002</v>
      </c>
      <c r="P254" s="7">
        <v>493.64760000000001</v>
      </c>
      <c r="Q254">
        <v>1</v>
      </c>
      <c r="R254">
        <v>0</v>
      </c>
      <c r="S254" s="11">
        <v>45756.666666666664</v>
      </c>
      <c r="T254">
        <v>2279</v>
      </c>
    </row>
    <row r="255" spans="1:20">
      <c r="A255" s="11">
        <v>45756.416666666664</v>
      </c>
      <c r="B255" s="11">
        <v>45756.4375</v>
      </c>
      <c r="C255" s="10">
        <v>45756</v>
      </c>
      <c r="D255" s="7">
        <v>496.15350000000001</v>
      </c>
      <c r="E255" s="7">
        <v>7413897</v>
      </c>
      <c r="F255" s="7">
        <v>7413897</v>
      </c>
      <c r="G255" s="7">
        <v>20111084</v>
      </c>
      <c r="H255" s="7">
        <v>497.34660000000002</v>
      </c>
      <c r="I255" s="7">
        <v>493.64760000000001</v>
      </c>
      <c r="J255" s="7">
        <v>14</v>
      </c>
      <c r="K255" s="7">
        <v>3.3453229999999999E-3</v>
      </c>
      <c r="L255" s="7">
        <v>499.01038504069999</v>
      </c>
      <c r="M255" s="7">
        <v>491.99618930920002</v>
      </c>
      <c r="N255" s="7">
        <v>496.90676689550003</v>
      </c>
      <c r="O255" s="7">
        <v>499.01038504069999</v>
      </c>
      <c r="P255" s="7">
        <v>491.99618930920002</v>
      </c>
      <c r="Q255">
        <v>1</v>
      </c>
      <c r="R255">
        <v>0</v>
      </c>
      <c r="S255" s="11">
        <v>45756.666666666664</v>
      </c>
      <c r="T255">
        <v>2278</v>
      </c>
    </row>
    <row r="256" spans="1:20">
      <c r="A256" s="11">
        <v>45756.4375</v>
      </c>
      <c r="B256" s="11">
        <v>45756.458333333336</v>
      </c>
      <c r="C256" s="10">
        <v>45756</v>
      </c>
      <c r="D256" s="7">
        <v>490.31700000000001</v>
      </c>
      <c r="E256" s="7">
        <v>6447077</v>
      </c>
      <c r="F256" s="7">
        <v>6447077</v>
      </c>
      <c r="G256" s="7">
        <v>26558161</v>
      </c>
      <c r="H256" s="7">
        <v>497.34660000000002</v>
      </c>
      <c r="I256" s="7">
        <v>493.64760000000001</v>
      </c>
      <c r="J256" s="7">
        <v>14</v>
      </c>
      <c r="K256" s="7">
        <v>6.4775257000000003E-3</v>
      </c>
      <c r="L256" s="7">
        <v>500.56817538220002</v>
      </c>
      <c r="M256" s="7">
        <v>490.44998498529998</v>
      </c>
      <c r="N256" s="7">
        <v>495.30708028359999</v>
      </c>
      <c r="O256" s="7">
        <v>500.56817538220002</v>
      </c>
      <c r="P256" s="7">
        <v>490.44998498529998</v>
      </c>
      <c r="Q256">
        <v>1</v>
      </c>
      <c r="R256">
        <v>0</v>
      </c>
      <c r="S256" s="11">
        <v>45756.666666666664</v>
      </c>
      <c r="T256">
        <v>2277</v>
      </c>
    </row>
    <row r="257" spans="1:20">
      <c r="A257" s="11">
        <v>45756.458333333336</v>
      </c>
      <c r="B257" s="11">
        <v>45756.479166666664</v>
      </c>
      <c r="C257" s="10">
        <v>45756</v>
      </c>
      <c r="D257" s="7">
        <v>495.35809999999998</v>
      </c>
      <c r="E257" s="7">
        <v>4574340</v>
      </c>
      <c r="F257" s="7">
        <v>4574340</v>
      </c>
      <c r="G257" s="7">
        <v>31132501</v>
      </c>
      <c r="H257" s="7">
        <v>497.34660000000002</v>
      </c>
      <c r="I257" s="7">
        <v>493.64760000000001</v>
      </c>
      <c r="J257" s="7">
        <v>14</v>
      </c>
      <c r="K257" s="7">
        <v>5.4922911999999999E-3</v>
      </c>
      <c r="L257" s="7">
        <v>500.07817236509999</v>
      </c>
      <c r="M257" s="7">
        <v>490.93634362009999</v>
      </c>
      <c r="N257" s="7">
        <v>495.31457667879999</v>
      </c>
      <c r="O257" s="7">
        <v>500.07817236509999</v>
      </c>
      <c r="P257" s="7">
        <v>490.93634362009999</v>
      </c>
      <c r="Q257">
        <v>1</v>
      </c>
      <c r="R257">
        <v>0</v>
      </c>
      <c r="S257" s="11">
        <v>45756.666666666664</v>
      </c>
      <c r="T257">
        <v>2276</v>
      </c>
    </row>
    <row r="258" spans="1:20">
      <c r="A258" s="11">
        <v>45756.479166666664</v>
      </c>
      <c r="B258" s="11">
        <v>45756.5</v>
      </c>
      <c r="C258" s="10">
        <v>45756</v>
      </c>
      <c r="D258" s="7">
        <v>493.08109999999999</v>
      </c>
      <c r="E258" s="7">
        <v>3925598</v>
      </c>
      <c r="F258" s="7">
        <v>3925598</v>
      </c>
      <c r="G258" s="7">
        <v>35058099</v>
      </c>
      <c r="H258" s="7">
        <v>497.34660000000002</v>
      </c>
      <c r="I258" s="7">
        <v>493.64760000000001</v>
      </c>
      <c r="J258" s="7">
        <v>14</v>
      </c>
      <c r="K258" s="7">
        <v>5.6292536999999997E-3</v>
      </c>
      <c r="L258" s="7">
        <v>500.1462902088</v>
      </c>
      <c r="M258" s="7">
        <v>490.86873240080001</v>
      </c>
      <c r="N258" s="7">
        <v>495.06448520679999</v>
      </c>
      <c r="O258" s="7">
        <v>500.1462902088</v>
      </c>
      <c r="P258" s="7">
        <v>490.86873240080001</v>
      </c>
      <c r="Q258">
        <v>1</v>
      </c>
      <c r="R258">
        <v>0</v>
      </c>
      <c r="S258" s="11">
        <v>45756.666666666664</v>
      </c>
      <c r="T258">
        <v>2275</v>
      </c>
    </row>
    <row r="259" spans="1:20">
      <c r="A259" s="11">
        <v>45756.5</v>
      </c>
      <c r="B259" s="11">
        <v>45756.520833333336</v>
      </c>
      <c r="C259" s="10">
        <v>45756</v>
      </c>
      <c r="D259" s="7">
        <v>496.233</v>
      </c>
      <c r="E259" s="7">
        <v>2753400</v>
      </c>
      <c r="F259" s="7">
        <v>2753400</v>
      </c>
      <c r="G259" s="7">
        <v>37811499</v>
      </c>
      <c r="H259" s="7">
        <v>497.34660000000002</v>
      </c>
      <c r="I259" s="7">
        <v>493.64760000000001</v>
      </c>
      <c r="J259" s="7">
        <v>14</v>
      </c>
      <c r="K259" s="7">
        <v>6.8881851000000003E-3</v>
      </c>
      <c r="L259" s="7">
        <v>500.7724154206</v>
      </c>
      <c r="M259" s="7">
        <v>490.24726397590001</v>
      </c>
      <c r="N259" s="7">
        <v>495.14957542320002</v>
      </c>
      <c r="O259" s="7">
        <v>500.7724154206</v>
      </c>
      <c r="P259" s="7">
        <v>490.24726397590001</v>
      </c>
      <c r="Q259">
        <v>1</v>
      </c>
      <c r="R259">
        <v>0</v>
      </c>
      <c r="S259" s="11">
        <v>45756.666666666664</v>
      </c>
      <c r="T259">
        <v>2274</v>
      </c>
    </row>
    <row r="260" spans="1:20">
      <c r="A260" s="11">
        <v>45756.520833333336</v>
      </c>
      <c r="B260" s="11">
        <v>45756.541666666664</v>
      </c>
      <c r="C260" s="10">
        <v>45756</v>
      </c>
      <c r="D260" s="7">
        <v>498.48009999999999</v>
      </c>
      <c r="E260" s="7">
        <v>3251422</v>
      </c>
      <c r="F260" s="7">
        <v>3251422</v>
      </c>
      <c r="G260" s="7">
        <v>41062921</v>
      </c>
      <c r="H260" s="7">
        <v>497.34660000000002</v>
      </c>
      <c r="I260" s="7">
        <v>493.64760000000001</v>
      </c>
      <c r="J260" s="7">
        <v>14</v>
      </c>
      <c r="K260" s="7">
        <v>7.8098995000000001E-3</v>
      </c>
      <c r="L260" s="7">
        <v>501.23082694179999</v>
      </c>
      <c r="M260" s="7">
        <v>489.79226187630002</v>
      </c>
      <c r="N260" s="7">
        <v>495.4132912188</v>
      </c>
      <c r="O260" s="7">
        <v>501.23082694179999</v>
      </c>
      <c r="P260" s="7">
        <v>489.79226187630002</v>
      </c>
      <c r="Q260">
        <v>1</v>
      </c>
      <c r="R260">
        <v>0</v>
      </c>
      <c r="S260" s="11">
        <v>45756.666666666664</v>
      </c>
      <c r="T260">
        <v>2273</v>
      </c>
    </row>
    <row r="261" spans="1:20">
      <c r="A261" s="11">
        <v>45756.541666666664</v>
      </c>
      <c r="B261" s="11">
        <v>45756.5625</v>
      </c>
      <c r="C261" s="10">
        <v>45756</v>
      </c>
      <c r="D261" s="7">
        <v>521.77650000000006</v>
      </c>
      <c r="E261" s="7">
        <v>29704354</v>
      </c>
      <c r="F261" s="7">
        <v>29704354</v>
      </c>
      <c r="G261" s="7">
        <v>70767275</v>
      </c>
      <c r="H261" s="7">
        <v>497.34660000000002</v>
      </c>
      <c r="I261" s="7">
        <v>493.64760000000001</v>
      </c>
      <c r="J261" s="7">
        <v>14</v>
      </c>
      <c r="K261" s="7">
        <v>1.03105344E-2</v>
      </c>
      <c r="L261" s="7">
        <v>502.47450922519999</v>
      </c>
      <c r="M261" s="7">
        <v>488.55782944150002</v>
      </c>
      <c r="N261" s="7">
        <v>506.47916999130001</v>
      </c>
      <c r="O261" s="7">
        <v>506.47916999130001</v>
      </c>
      <c r="P261" s="7">
        <v>488.55782944150002</v>
      </c>
      <c r="Q261">
        <v>1</v>
      </c>
      <c r="R261">
        <v>0</v>
      </c>
      <c r="S261" s="11">
        <v>45756.666666666664</v>
      </c>
      <c r="T261">
        <v>2272</v>
      </c>
    </row>
    <row r="262" spans="1:20">
      <c r="A262" s="11">
        <v>45756.5625</v>
      </c>
      <c r="B262" s="11">
        <v>45756.583333333336</v>
      </c>
      <c r="C262" s="10">
        <v>45756</v>
      </c>
      <c r="D262" s="7">
        <v>532.51980000000003</v>
      </c>
      <c r="E262" s="7">
        <v>22355174</v>
      </c>
      <c r="F262" s="7">
        <v>22355174</v>
      </c>
      <c r="G262" s="7">
        <v>93122449</v>
      </c>
      <c r="H262" s="7">
        <v>497.34660000000002</v>
      </c>
      <c r="I262" s="7">
        <v>493.64760000000001</v>
      </c>
      <c r="J262" s="7">
        <v>14</v>
      </c>
      <c r="K262" s="7">
        <v>9.4319841000000005E-3</v>
      </c>
      <c r="L262" s="7">
        <v>502.03756521179997</v>
      </c>
      <c r="M262" s="7">
        <v>488.99152369730001</v>
      </c>
      <c r="N262" s="7">
        <v>512.73053924939995</v>
      </c>
      <c r="O262" s="7">
        <v>512.73053924939995</v>
      </c>
      <c r="P262" s="7">
        <v>488.99152369730001</v>
      </c>
      <c r="Q262">
        <v>1</v>
      </c>
      <c r="R262">
        <v>0</v>
      </c>
      <c r="S262" s="11">
        <v>45756.666666666664</v>
      </c>
      <c r="T262">
        <v>2271</v>
      </c>
    </row>
    <row r="263" spans="1:20">
      <c r="A263" s="11">
        <v>45756.583333333336</v>
      </c>
      <c r="B263" s="11">
        <v>45756.604166666664</v>
      </c>
      <c r="C263" s="10">
        <v>45756</v>
      </c>
      <c r="D263" s="7">
        <v>535.23929999999996</v>
      </c>
      <c r="E263" s="7">
        <v>13580804</v>
      </c>
      <c r="F263" s="7">
        <v>13580804</v>
      </c>
      <c r="G263" s="7">
        <v>106703253</v>
      </c>
      <c r="H263" s="7">
        <v>497.34660000000002</v>
      </c>
      <c r="I263" s="7">
        <v>493.64760000000001</v>
      </c>
      <c r="J263" s="7">
        <v>14</v>
      </c>
      <c r="K263" s="7">
        <v>1.0041187300000001E-2</v>
      </c>
      <c r="L263" s="7">
        <v>502.34055037140001</v>
      </c>
      <c r="M263" s="7">
        <v>488.69079198050002</v>
      </c>
      <c r="N263" s="7">
        <v>515.59537288319996</v>
      </c>
      <c r="O263" s="7">
        <v>515.59537288319996</v>
      </c>
      <c r="P263" s="7">
        <v>488.69079198050002</v>
      </c>
      <c r="Q263">
        <v>1</v>
      </c>
      <c r="R263">
        <v>0</v>
      </c>
      <c r="S263" s="11">
        <v>45756.666666666664</v>
      </c>
      <c r="T263">
        <v>2270</v>
      </c>
    </row>
    <row r="264" spans="1:20">
      <c r="A264" s="11">
        <v>45756.604166666664</v>
      </c>
      <c r="B264" s="11">
        <v>45756.625</v>
      </c>
      <c r="C264" s="10">
        <v>45756</v>
      </c>
      <c r="D264" s="7">
        <v>528.14</v>
      </c>
      <c r="E264" s="7">
        <v>10491229</v>
      </c>
      <c r="F264" s="7">
        <v>10491229</v>
      </c>
      <c r="G264" s="7">
        <v>117194482</v>
      </c>
      <c r="H264" s="7">
        <v>497.34660000000002</v>
      </c>
      <c r="I264" s="7">
        <v>493.64760000000001</v>
      </c>
      <c r="J264" s="7">
        <v>14</v>
      </c>
      <c r="K264" s="7">
        <v>1.01497466E-2</v>
      </c>
      <c r="L264" s="7">
        <v>502.3945419712</v>
      </c>
      <c r="M264" s="7">
        <v>488.6372019415</v>
      </c>
      <c r="N264" s="7">
        <v>516.71836565180001</v>
      </c>
      <c r="O264" s="7">
        <v>516.71836565180001</v>
      </c>
      <c r="P264" s="7">
        <v>488.6372019415</v>
      </c>
      <c r="Q264">
        <v>1</v>
      </c>
      <c r="R264">
        <v>0</v>
      </c>
      <c r="S264" s="11">
        <v>45756.666666666664</v>
      </c>
      <c r="T264">
        <v>2269</v>
      </c>
    </row>
    <row r="265" spans="1:20">
      <c r="A265" s="11">
        <v>45756.625</v>
      </c>
      <c r="B265" s="11">
        <v>45756.645833333336</v>
      </c>
      <c r="C265" s="10">
        <v>45756</v>
      </c>
      <c r="D265" s="7">
        <v>537.55600000000004</v>
      </c>
      <c r="E265" s="7">
        <v>11191133</v>
      </c>
      <c r="F265" s="7">
        <v>11191133</v>
      </c>
      <c r="G265" s="7">
        <v>128385615</v>
      </c>
      <c r="H265" s="7">
        <v>497.34660000000002</v>
      </c>
      <c r="I265" s="7">
        <v>493.64760000000001</v>
      </c>
      <c r="J265" s="7">
        <v>14</v>
      </c>
      <c r="K265" s="7">
        <v>1.0885790500000001E-2</v>
      </c>
      <c r="L265" s="7">
        <v>502.76061088180001</v>
      </c>
      <c r="M265" s="7">
        <v>488.27385565719999</v>
      </c>
      <c r="N265" s="7">
        <v>518.53474311280002</v>
      </c>
      <c r="O265" s="7">
        <v>518.53474311280002</v>
      </c>
      <c r="P265" s="7">
        <v>488.27385565719999</v>
      </c>
      <c r="Q265">
        <v>1</v>
      </c>
      <c r="R265">
        <v>0</v>
      </c>
      <c r="S265" s="11">
        <v>45756.666666666664</v>
      </c>
      <c r="T265">
        <v>2268</v>
      </c>
    </row>
    <row r="266" spans="1:20">
      <c r="A266" s="11">
        <v>45756.645833333336</v>
      </c>
      <c r="B266" s="11">
        <v>45756.666666666664</v>
      </c>
      <c r="C266" s="10">
        <v>45756</v>
      </c>
      <c r="D266" s="7">
        <v>545.49040000000002</v>
      </c>
      <c r="E266" s="7">
        <v>31766790</v>
      </c>
      <c r="F266" s="7">
        <v>31766790</v>
      </c>
      <c r="G266" s="7">
        <v>160152405</v>
      </c>
      <c r="H266" s="7">
        <v>497.34660000000002</v>
      </c>
      <c r="I266" s="7">
        <v>493.64760000000001</v>
      </c>
      <c r="J266" s="7">
        <v>14</v>
      </c>
      <c r="K266" s="7">
        <v>1.3433848700000001E-2</v>
      </c>
      <c r="L266" s="7">
        <v>504.02787899139997</v>
      </c>
      <c r="M266" s="7">
        <v>487.0160128151</v>
      </c>
      <c r="N266" s="7">
        <v>523.88149199019995</v>
      </c>
      <c r="O266" s="7">
        <v>523.88149199019995</v>
      </c>
      <c r="P266" s="7">
        <v>487.0160128151</v>
      </c>
      <c r="Q266">
        <v>1</v>
      </c>
      <c r="R266">
        <v>1</v>
      </c>
      <c r="S266" s="11">
        <v>45756.666666666664</v>
      </c>
      <c r="T266">
        <v>2267</v>
      </c>
    </row>
    <row r="267" spans="1:20">
      <c r="A267" s="11">
        <v>45757.395833333336</v>
      </c>
      <c r="B267" s="11">
        <v>45757.416666666664</v>
      </c>
      <c r="C267" s="10">
        <v>45757</v>
      </c>
      <c r="D267" s="7">
        <v>525.88639999999998</v>
      </c>
      <c r="E267" s="7">
        <v>10572992</v>
      </c>
      <c r="F267" s="7">
        <v>10572992</v>
      </c>
      <c r="G267" s="7">
        <v>10572992</v>
      </c>
      <c r="H267" s="7">
        <v>525.88639999999998</v>
      </c>
      <c r="I267" s="7">
        <v>545.49019999999996</v>
      </c>
      <c r="J267" s="7">
        <v>14</v>
      </c>
      <c r="K267" s="7">
        <v>0</v>
      </c>
      <c r="L267" s="7">
        <v>545.49019999999996</v>
      </c>
      <c r="M267" s="7">
        <v>525.88639999999998</v>
      </c>
      <c r="N267" s="7">
        <v>525.88639999999998</v>
      </c>
      <c r="O267" s="7">
        <v>545.49019999999996</v>
      </c>
      <c r="P267" s="7">
        <v>525.88639999999998</v>
      </c>
      <c r="Q267">
        <v>1</v>
      </c>
      <c r="R267">
        <v>0</v>
      </c>
      <c r="S267" s="11">
        <v>45757.666666666664</v>
      </c>
      <c r="T267">
        <v>2265</v>
      </c>
    </row>
    <row r="268" spans="1:20">
      <c r="A268" s="11">
        <v>45757.416666666664</v>
      </c>
      <c r="B268" s="11">
        <v>45757.4375</v>
      </c>
      <c r="C268" s="10">
        <v>45757</v>
      </c>
      <c r="D268" s="7">
        <v>525.26649999999995</v>
      </c>
      <c r="E268" s="7">
        <v>6133817</v>
      </c>
      <c r="F268" s="7">
        <v>6133817</v>
      </c>
      <c r="G268" s="7">
        <v>16706809</v>
      </c>
      <c r="H268" s="7">
        <v>525.88639999999998</v>
      </c>
      <c r="I268" s="7">
        <v>545.49019999999996</v>
      </c>
      <c r="J268" s="7">
        <v>14</v>
      </c>
      <c r="K268" s="7">
        <v>3.1536118E-3</v>
      </c>
      <c r="L268" s="7">
        <v>547.21046431440004</v>
      </c>
      <c r="M268" s="7">
        <v>524.22795845999997</v>
      </c>
      <c r="N268" s="7">
        <v>525.65880697739999</v>
      </c>
      <c r="O268" s="7">
        <v>547.21046431440004</v>
      </c>
      <c r="P268" s="7">
        <v>524.22795845999997</v>
      </c>
      <c r="Q268">
        <v>1</v>
      </c>
      <c r="R268">
        <v>0</v>
      </c>
      <c r="S268" s="11">
        <v>45757.666666666664</v>
      </c>
      <c r="T268">
        <v>2264</v>
      </c>
    </row>
    <row r="269" spans="1:20">
      <c r="A269" s="11">
        <v>45757.4375</v>
      </c>
      <c r="B269" s="11">
        <v>45757.458333333336</v>
      </c>
      <c r="C269" s="10">
        <v>45757</v>
      </c>
      <c r="D269" s="7">
        <v>523.37729999999999</v>
      </c>
      <c r="E269" s="7">
        <v>5254570</v>
      </c>
      <c r="F269" s="7">
        <v>5254570</v>
      </c>
      <c r="G269" s="7">
        <v>21961379</v>
      </c>
      <c r="H269" s="7">
        <v>525.88639999999998</v>
      </c>
      <c r="I269" s="7">
        <v>545.49019999999996</v>
      </c>
      <c r="J269" s="7">
        <v>14</v>
      </c>
      <c r="K269" s="7">
        <v>7.1227768000000002E-3</v>
      </c>
      <c r="L269" s="7">
        <v>549.37560494310003</v>
      </c>
      <c r="M269" s="7">
        <v>522.14062854880001</v>
      </c>
      <c r="N269" s="7">
        <v>525.11292422029999</v>
      </c>
      <c r="O269" s="7">
        <v>549.37560494310003</v>
      </c>
      <c r="P269" s="7">
        <v>522.14062854880001</v>
      </c>
      <c r="Q269">
        <v>1</v>
      </c>
      <c r="R269">
        <v>0</v>
      </c>
      <c r="S269" s="11">
        <v>45757.666666666664</v>
      </c>
      <c r="T269">
        <v>2263</v>
      </c>
    </row>
    <row r="270" spans="1:20">
      <c r="A270" s="11">
        <v>45757.458333333336</v>
      </c>
      <c r="B270" s="11">
        <v>45757.479166666664</v>
      </c>
      <c r="C270" s="10">
        <v>45757</v>
      </c>
      <c r="D270" s="7">
        <v>520.81200000000001</v>
      </c>
      <c r="E270" s="7">
        <v>4955679</v>
      </c>
      <c r="F270" s="7">
        <v>4955679</v>
      </c>
      <c r="G270" s="7">
        <v>26917058</v>
      </c>
      <c r="H270" s="7">
        <v>525.88639999999998</v>
      </c>
      <c r="I270" s="7">
        <v>545.49019999999996</v>
      </c>
      <c r="J270" s="7">
        <v>14</v>
      </c>
      <c r="K270" s="7">
        <v>5.4879233999999997E-3</v>
      </c>
      <c r="L270" s="7">
        <v>548.48380842580002</v>
      </c>
      <c r="M270" s="7">
        <v>523.00037572669999</v>
      </c>
      <c r="N270" s="7">
        <v>524.32108434539998</v>
      </c>
      <c r="O270" s="7">
        <v>548.48380842580002</v>
      </c>
      <c r="P270" s="7">
        <v>523.00037572669999</v>
      </c>
      <c r="Q270">
        <v>1</v>
      </c>
      <c r="R270">
        <v>0</v>
      </c>
      <c r="S270" s="11">
        <v>45757.666666666664</v>
      </c>
      <c r="T270">
        <v>2262</v>
      </c>
    </row>
    <row r="271" spans="1:20">
      <c r="A271" s="11">
        <v>45757.479166666664</v>
      </c>
      <c r="B271" s="11">
        <v>45757.5</v>
      </c>
      <c r="C271" s="10">
        <v>45757</v>
      </c>
      <c r="D271" s="7">
        <v>515.36329999999998</v>
      </c>
      <c r="E271" s="7">
        <v>7010063</v>
      </c>
      <c r="F271" s="7">
        <v>7010063</v>
      </c>
      <c r="G271" s="7">
        <v>33927121</v>
      </c>
      <c r="H271" s="7">
        <v>525.88639999999998</v>
      </c>
      <c r="I271" s="7">
        <v>545.49019999999996</v>
      </c>
      <c r="J271" s="7">
        <v>14</v>
      </c>
      <c r="K271" s="7">
        <v>6.0615636999999997E-3</v>
      </c>
      <c r="L271" s="7">
        <v>548.79672357740003</v>
      </c>
      <c r="M271" s="7">
        <v>522.69870610450005</v>
      </c>
      <c r="N271" s="7">
        <v>522.4702160503</v>
      </c>
      <c r="O271" s="7">
        <v>548.79672357740003</v>
      </c>
      <c r="P271" s="7">
        <v>522.4702160503</v>
      </c>
      <c r="Q271">
        <v>1</v>
      </c>
      <c r="R271">
        <v>0</v>
      </c>
      <c r="S271" s="11">
        <v>45757.666666666664</v>
      </c>
      <c r="T271">
        <v>2261</v>
      </c>
    </row>
    <row r="272" spans="1:20">
      <c r="A272" s="11">
        <v>45757.5</v>
      </c>
      <c r="B272" s="11">
        <v>45757.520833333336</v>
      </c>
      <c r="C272" s="10">
        <v>45757</v>
      </c>
      <c r="D272" s="7">
        <v>508.75619999999998</v>
      </c>
      <c r="E272" s="7">
        <v>12791618</v>
      </c>
      <c r="F272" s="7">
        <v>12791618</v>
      </c>
      <c r="G272" s="7">
        <v>46718739</v>
      </c>
      <c r="H272" s="7">
        <v>525.88639999999998</v>
      </c>
      <c r="I272" s="7">
        <v>545.49019999999996</v>
      </c>
      <c r="J272" s="7">
        <v>14</v>
      </c>
      <c r="K272" s="7">
        <v>6.9913900999999997E-3</v>
      </c>
      <c r="L272" s="7">
        <v>549.3039347596</v>
      </c>
      <c r="M272" s="7">
        <v>522.20972305270004</v>
      </c>
      <c r="N272" s="7">
        <v>518.7153104532</v>
      </c>
      <c r="O272" s="7">
        <v>549.3039347596</v>
      </c>
      <c r="P272" s="7">
        <v>518.7153104532</v>
      </c>
      <c r="Q272">
        <v>1</v>
      </c>
      <c r="R272">
        <v>0</v>
      </c>
      <c r="S272" s="11">
        <v>45757.666666666664</v>
      </c>
      <c r="T272">
        <v>2260</v>
      </c>
    </row>
    <row r="273" spans="1:20">
      <c r="A273" s="11">
        <v>45757.520833333336</v>
      </c>
      <c r="B273" s="11">
        <v>45757.541666666664</v>
      </c>
      <c r="C273" s="10">
        <v>45757</v>
      </c>
      <c r="D273" s="7">
        <v>516.72550000000001</v>
      </c>
      <c r="E273" s="7">
        <v>10169717</v>
      </c>
      <c r="F273" s="7">
        <v>10169717</v>
      </c>
      <c r="G273" s="7">
        <v>56888456</v>
      </c>
      <c r="H273" s="7">
        <v>525.88639999999998</v>
      </c>
      <c r="I273" s="7">
        <v>545.49019999999996</v>
      </c>
      <c r="J273" s="7">
        <v>14</v>
      </c>
      <c r="K273" s="7">
        <v>7.8731197000000003E-3</v>
      </c>
      <c r="L273" s="7">
        <v>549.78490964829996</v>
      </c>
      <c r="M273" s="7">
        <v>521.74603341600005</v>
      </c>
      <c r="N273" s="7">
        <v>518.35960016299998</v>
      </c>
      <c r="O273" s="7">
        <v>549.78490964829996</v>
      </c>
      <c r="P273" s="7">
        <v>518.35960016299998</v>
      </c>
      <c r="Q273">
        <v>1</v>
      </c>
      <c r="R273">
        <v>0</v>
      </c>
      <c r="S273" s="11">
        <v>45757.666666666664</v>
      </c>
      <c r="T273">
        <v>2259</v>
      </c>
    </row>
    <row r="274" spans="1:20">
      <c r="A274" s="11">
        <v>45757.541666666664</v>
      </c>
      <c r="B274" s="11">
        <v>45757.5625</v>
      </c>
      <c r="C274" s="10">
        <v>45757</v>
      </c>
      <c r="D274" s="7">
        <v>515.99959999999999</v>
      </c>
      <c r="E274" s="7">
        <v>8929851</v>
      </c>
      <c r="F274" s="7">
        <v>8929851</v>
      </c>
      <c r="G274" s="7">
        <v>65818307</v>
      </c>
      <c r="H274" s="7">
        <v>525.88639999999998</v>
      </c>
      <c r="I274" s="7">
        <v>545.49019999999996</v>
      </c>
      <c r="J274" s="7">
        <v>14</v>
      </c>
      <c r="K274" s="7">
        <v>1.35884067E-2</v>
      </c>
      <c r="L274" s="7">
        <v>552.90254269059994</v>
      </c>
      <c r="M274" s="7">
        <v>518.74044171670005</v>
      </c>
      <c r="N274" s="7">
        <v>518.03940885489999</v>
      </c>
      <c r="O274" s="7">
        <v>552.90254269059994</v>
      </c>
      <c r="P274" s="7">
        <v>518.03940885489999</v>
      </c>
      <c r="Q274">
        <v>1</v>
      </c>
      <c r="R274">
        <v>0</v>
      </c>
      <c r="S274" s="11">
        <v>45757.666666666664</v>
      </c>
      <c r="T274">
        <v>2258</v>
      </c>
    </row>
    <row r="275" spans="1:20">
      <c r="A275" s="11">
        <v>45757.5625</v>
      </c>
      <c r="B275" s="11">
        <v>45757.583333333336</v>
      </c>
      <c r="C275" s="10">
        <v>45757</v>
      </c>
      <c r="D275" s="7">
        <v>521.19979999999998</v>
      </c>
      <c r="E275" s="7">
        <v>6797502</v>
      </c>
      <c r="F275" s="7">
        <v>6797502</v>
      </c>
      <c r="G275" s="7">
        <v>72615809</v>
      </c>
      <c r="H275" s="7">
        <v>525.88639999999998</v>
      </c>
      <c r="I275" s="7">
        <v>545.49019999999996</v>
      </c>
      <c r="J275" s="7">
        <v>14</v>
      </c>
      <c r="K275" s="7">
        <v>1.43044317E-2</v>
      </c>
      <c r="L275" s="7">
        <v>553.29312729339995</v>
      </c>
      <c r="M275" s="7">
        <v>518.36389392420006</v>
      </c>
      <c r="N275" s="7">
        <v>518.3352502898</v>
      </c>
      <c r="O275" s="7">
        <v>553.29312729339995</v>
      </c>
      <c r="P275" s="7">
        <v>518.3352502898</v>
      </c>
      <c r="Q275">
        <v>1</v>
      </c>
      <c r="R275">
        <v>0</v>
      </c>
      <c r="S275" s="11">
        <v>45757.666666666664</v>
      </c>
      <c r="T275">
        <v>2257</v>
      </c>
    </row>
    <row r="276" spans="1:20">
      <c r="A276" s="11">
        <v>45757.583333333336</v>
      </c>
      <c r="B276" s="11">
        <v>45757.604166666664</v>
      </c>
      <c r="C276" s="10">
        <v>45757</v>
      </c>
      <c r="D276" s="7">
        <v>525.52499999999998</v>
      </c>
      <c r="E276" s="7">
        <v>7200949</v>
      </c>
      <c r="F276" s="7">
        <v>7200949</v>
      </c>
      <c r="G276" s="7">
        <v>79816758</v>
      </c>
      <c r="H276" s="7">
        <v>525.88639999999998</v>
      </c>
      <c r="I276" s="7">
        <v>545.49019999999996</v>
      </c>
      <c r="J276" s="7">
        <v>14</v>
      </c>
      <c r="K276" s="7">
        <v>1.5170681599999999E-2</v>
      </c>
      <c r="L276" s="7">
        <v>553.76565815909998</v>
      </c>
      <c r="M276" s="7">
        <v>517.90834484950005</v>
      </c>
      <c r="N276" s="7">
        <v>518.98389879770002</v>
      </c>
      <c r="O276" s="7">
        <v>553.76565815909998</v>
      </c>
      <c r="P276" s="7">
        <v>517.90834484950005</v>
      </c>
      <c r="Q276">
        <v>1</v>
      </c>
      <c r="R276">
        <v>0</v>
      </c>
      <c r="S276" s="11">
        <v>45757.666666666664</v>
      </c>
      <c r="T276">
        <v>2256</v>
      </c>
    </row>
    <row r="277" spans="1:20">
      <c r="A277" s="11">
        <v>45757.604166666664</v>
      </c>
      <c r="B277" s="11">
        <v>45757.625</v>
      </c>
      <c r="C277" s="10">
        <v>45757</v>
      </c>
      <c r="D277" s="7">
        <v>522.36310000000003</v>
      </c>
      <c r="E277" s="7">
        <v>5925166</v>
      </c>
      <c r="F277" s="7">
        <v>5925166</v>
      </c>
      <c r="G277" s="7">
        <v>85741924</v>
      </c>
      <c r="H277" s="7">
        <v>525.88639999999998</v>
      </c>
      <c r="I277" s="7">
        <v>545.49019999999996</v>
      </c>
      <c r="J277" s="7">
        <v>14</v>
      </c>
      <c r="K277" s="7">
        <v>1.42911566E-2</v>
      </c>
      <c r="L277" s="7">
        <v>553.28588584800002</v>
      </c>
      <c r="M277" s="7">
        <v>518.37087512690005</v>
      </c>
      <c r="N277" s="7">
        <v>519.21741732800001</v>
      </c>
      <c r="O277" s="7">
        <v>553.28588584800002</v>
      </c>
      <c r="P277" s="7">
        <v>518.37087512690005</v>
      </c>
      <c r="Q277">
        <v>1</v>
      </c>
      <c r="R277">
        <v>0</v>
      </c>
      <c r="S277" s="11">
        <v>45757.666666666664</v>
      </c>
      <c r="T277">
        <v>2255</v>
      </c>
    </row>
    <row r="278" spans="1:20">
      <c r="A278" s="11">
        <v>45757.625</v>
      </c>
      <c r="B278" s="11">
        <v>45757.645833333336</v>
      </c>
      <c r="C278" s="10">
        <v>45757</v>
      </c>
      <c r="D278" s="7">
        <v>519.40009999999995</v>
      </c>
      <c r="E278" s="7">
        <v>6084434</v>
      </c>
      <c r="F278" s="7">
        <v>6084434</v>
      </c>
      <c r="G278" s="7">
        <v>91826358</v>
      </c>
      <c r="H278" s="7">
        <v>525.88639999999998</v>
      </c>
      <c r="I278" s="7">
        <v>545.49019999999996</v>
      </c>
      <c r="J278" s="7">
        <v>14</v>
      </c>
      <c r="K278" s="7">
        <v>1.6433095500000001E-2</v>
      </c>
      <c r="L278" s="7">
        <v>554.45429253170005</v>
      </c>
      <c r="M278" s="7">
        <v>517.24445858520005</v>
      </c>
      <c r="N278" s="7">
        <v>519.22952192059995</v>
      </c>
      <c r="O278" s="7">
        <v>554.45429253170005</v>
      </c>
      <c r="P278" s="7">
        <v>517.24445858520005</v>
      </c>
      <c r="Q278">
        <v>1</v>
      </c>
      <c r="R278">
        <v>0</v>
      </c>
      <c r="S278" s="11">
        <v>45757.666666666664</v>
      </c>
      <c r="T278">
        <v>2254</v>
      </c>
    </row>
    <row r="279" spans="1:20">
      <c r="A279" s="11">
        <v>45757.645833333336</v>
      </c>
      <c r="B279" s="11">
        <v>45757.666666666664</v>
      </c>
      <c r="C279" s="10">
        <v>45757</v>
      </c>
      <c r="D279" s="7">
        <v>521.58759999999995</v>
      </c>
      <c r="E279" s="7">
        <v>20063544</v>
      </c>
      <c r="F279" s="7">
        <v>20063544</v>
      </c>
      <c r="G279" s="7">
        <v>111889902</v>
      </c>
      <c r="H279" s="7">
        <v>525.88639999999998</v>
      </c>
      <c r="I279" s="7">
        <v>545.49019999999996</v>
      </c>
      <c r="J279" s="7">
        <v>14</v>
      </c>
      <c r="K279" s="7">
        <v>2.0207033499999999E-2</v>
      </c>
      <c r="L279" s="7">
        <v>556.51293874500004</v>
      </c>
      <c r="M279" s="7">
        <v>515.25979589839994</v>
      </c>
      <c r="N279" s="7">
        <v>519.65236082260003</v>
      </c>
      <c r="O279" s="7">
        <v>556.51293874500004</v>
      </c>
      <c r="P279" s="7">
        <v>515.25979589839994</v>
      </c>
      <c r="Q279">
        <v>1</v>
      </c>
      <c r="R279">
        <v>1</v>
      </c>
      <c r="S279" s="11">
        <v>45757.666666666664</v>
      </c>
      <c r="T279">
        <v>2253</v>
      </c>
    </row>
    <row r="280" spans="1:20">
      <c r="A280" s="11">
        <v>45758.395833333336</v>
      </c>
      <c r="B280" s="11">
        <v>45758.416666666664</v>
      </c>
      <c r="C280" s="10">
        <v>45758</v>
      </c>
      <c r="D280" s="7">
        <v>522.14639999999997</v>
      </c>
      <c r="E280" s="7">
        <v>7841349</v>
      </c>
      <c r="F280" s="7">
        <v>7841349</v>
      </c>
      <c r="G280" s="7">
        <v>7841349</v>
      </c>
      <c r="H280" s="7">
        <v>522.14639999999997</v>
      </c>
      <c r="I280" s="7">
        <v>521.58730000000003</v>
      </c>
      <c r="J280" s="7">
        <v>14</v>
      </c>
      <c r="K280" s="7">
        <v>0</v>
      </c>
      <c r="L280" s="7">
        <v>522.14639999999997</v>
      </c>
      <c r="M280" s="7">
        <v>521.58730000000003</v>
      </c>
      <c r="N280" s="7">
        <v>522.14639999999997</v>
      </c>
      <c r="O280" s="7">
        <v>522.14639999999997</v>
      </c>
      <c r="P280" s="7">
        <v>521.58730000000003</v>
      </c>
      <c r="Q280">
        <v>1</v>
      </c>
      <c r="R280">
        <v>0</v>
      </c>
      <c r="S280" s="11">
        <v>45758.666666666664</v>
      </c>
      <c r="T280">
        <v>2251</v>
      </c>
    </row>
    <row r="281" spans="1:20">
      <c r="A281" s="11">
        <v>45758.416666666664</v>
      </c>
      <c r="B281" s="11">
        <v>45758.4375</v>
      </c>
      <c r="C281" s="10">
        <v>45758</v>
      </c>
      <c r="D281" s="7">
        <v>517.5607</v>
      </c>
      <c r="E281" s="7">
        <v>6930889</v>
      </c>
      <c r="F281" s="7">
        <v>6930889</v>
      </c>
      <c r="G281" s="7">
        <v>14772238</v>
      </c>
      <c r="H281" s="7">
        <v>522.14639999999997</v>
      </c>
      <c r="I281" s="7">
        <v>521.58730000000003</v>
      </c>
      <c r="J281" s="7">
        <v>14</v>
      </c>
      <c r="K281" s="7">
        <v>3.2198736E-3</v>
      </c>
      <c r="L281" s="7">
        <v>523.82764540220001</v>
      </c>
      <c r="M281" s="7">
        <v>519.90785482909996</v>
      </c>
      <c r="N281" s="7">
        <v>519.99486563619996</v>
      </c>
      <c r="O281" s="7">
        <v>523.82764540220001</v>
      </c>
      <c r="P281" s="7">
        <v>519.90785482909996</v>
      </c>
      <c r="Q281">
        <v>1</v>
      </c>
      <c r="R281">
        <v>0</v>
      </c>
      <c r="S281" s="11">
        <v>45758.666666666664</v>
      </c>
      <c r="T281">
        <v>2250</v>
      </c>
    </row>
    <row r="282" spans="1:20">
      <c r="A282" s="11">
        <v>45758.4375</v>
      </c>
      <c r="B282" s="11">
        <v>45758.458333333336</v>
      </c>
      <c r="C282" s="10">
        <v>45758</v>
      </c>
      <c r="D282" s="7">
        <v>519.93700000000001</v>
      </c>
      <c r="E282" s="7">
        <v>4213418</v>
      </c>
      <c r="F282" s="7">
        <v>4213418</v>
      </c>
      <c r="G282" s="7">
        <v>18985656</v>
      </c>
      <c r="H282" s="7">
        <v>522.14639999999997</v>
      </c>
      <c r="I282" s="7">
        <v>521.58730000000003</v>
      </c>
      <c r="J282" s="7">
        <v>14</v>
      </c>
      <c r="K282" s="7">
        <v>7.2584002999999996E-3</v>
      </c>
      <c r="L282" s="7">
        <v>525.93634756949996</v>
      </c>
      <c r="M282" s="7">
        <v>517.80141060209996</v>
      </c>
      <c r="N282" s="7">
        <v>519.98202372469996</v>
      </c>
      <c r="O282" s="7">
        <v>525.93634756949996</v>
      </c>
      <c r="P282" s="7">
        <v>517.80141060209996</v>
      </c>
      <c r="Q282">
        <v>1</v>
      </c>
      <c r="R282">
        <v>0</v>
      </c>
      <c r="S282" s="11">
        <v>45758.666666666664</v>
      </c>
      <c r="T282">
        <v>2249</v>
      </c>
    </row>
    <row r="283" spans="1:20">
      <c r="A283" s="11">
        <v>45758.458333333336</v>
      </c>
      <c r="B283" s="11">
        <v>45758.479166666664</v>
      </c>
      <c r="C283" s="10">
        <v>45758</v>
      </c>
      <c r="D283" s="7">
        <v>519.97680000000003</v>
      </c>
      <c r="E283" s="7">
        <v>4104761</v>
      </c>
      <c r="F283" s="7">
        <v>4104761</v>
      </c>
      <c r="G283" s="7">
        <v>23090417</v>
      </c>
      <c r="H283" s="7">
        <v>522.14639999999997</v>
      </c>
      <c r="I283" s="7">
        <v>521.58730000000003</v>
      </c>
      <c r="J283" s="7">
        <v>14</v>
      </c>
      <c r="K283" s="7">
        <v>6.1617712E-3</v>
      </c>
      <c r="L283" s="7">
        <v>525.36374667350003</v>
      </c>
      <c r="M283" s="7">
        <v>518.37339837280001</v>
      </c>
      <c r="N283" s="7">
        <v>519.9810951083</v>
      </c>
      <c r="O283" s="7">
        <v>525.36374667350003</v>
      </c>
      <c r="P283" s="7">
        <v>518.37339837280001</v>
      </c>
      <c r="Q283">
        <v>1</v>
      </c>
      <c r="R283">
        <v>0</v>
      </c>
      <c r="S283" s="11">
        <v>45758.666666666664</v>
      </c>
      <c r="T283">
        <v>2248</v>
      </c>
    </row>
    <row r="284" spans="1:20">
      <c r="A284" s="11">
        <v>45758.479166666664</v>
      </c>
      <c r="B284" s="11">
        <v>45758.5</v>
      </c>
      <c r="C284" s="10">
        <v>45758</v>
      </c>
      <c r="D284" s="7">
        <v>523.94399999999996</v>
      </c>
      <c r="E284" s="7">
        <v>2512790</v>
      </c>
      <c r="F284" s="7">
        <v>2512790</v>
      </c>
      <c r="G284" s="7">
        <v>25603207</v>
      </c>
      <c r="H284" s="7">
        <v>522.14639999999997</v>
      </c>
      <c r="I284" s="7">
        <v>521.58730000000003</v>
      </c>
      <c r="J284" s="7">
        <v>14</v>
      </c>
      <c r="K284" s="7">
        <v>7.4129746000000003E-3</v>
      </c>
      <c r="L284" s="7">
        <v>526.01705800349998</v>
      </c>
      <c r="M284" s="7">
        <v>517.72078659060003</v>
      </c>
      <c r="N284" s="7">
        <v>520.37002872050004</v>
      </c>
      <c r="O284" s="7">
        <v>526.01705800349998</v>
      </c>
      <c r="P284" s="7">
        <v>517.72078659060003</v>
      </c>
      <c r="Q284">
        <v>1</v>
      </c>
      <c r="R284">
        <v>0</v>
      </c>
      <c r="S284" s="11">
        <v>45758.666666666664</v>
      </c>
      <c r="T284">
        <v>2247</v>
      </c>
    </row>
    <row r="285" spans="1:20">
      <c r="A285" s="11">
        <v>45758.5</v>
      </c>
      <c r="B285" s="11">
        <v>45758.520833333336</v>
      </c>
      <c r="C285" s="10">
        <v>45758</v>
      </c>
      <c r="D285" s="7">
        <v>524.5009</v>
      </c>
      <c r="E285" s="7">
        <v>2573402</v>
      </c>
      <c r="F285" s="7">
        <v>2573402</v>
      </c>
      <c r="G285" s="7">
        <v>28176609</v>
      </c>
      <c r="H285" s="7">
        <v>522.14639999999997</v>
      </c>
      <c r="I285" s="7">
        <v>521.58730000000003</v>
      </c>
      <c r="J285" s="7">
        <v>14</v>
      </c>
      <c r="K285" s="7">
        <v>9.0081955999999994E-3</v>
      </c>
      <c r="L285" s="7">
        <v>526.84999691190001</v>
      </c>
      <c r="M285" s="7">
        <v>516.88873957019996</v>
      </c>
      <c r="N285" s="7">
        <v>520.74730592979995</v>
      </c>
      <c r="O285" s="7">
        <v>526.84999691190001</v>
      </c>
      <c r="P285" s="7">
        <v>516.88873957019996</v>
      </c>
      <c r="Q285">
        <v>1</v>
      </c>
      <c r="R285">
        <v>0</v>
      </c>
      <c r="S285" s="11">
        <v>45758.666666666664</v>
      </c>
      <c r="T285">
        <v>2246</v>
      </c>
    </row>
    <row r="286" spans="1:20">
      <c r="A286" s="11">
        <v>45758.520833333336</v>
      </c>
      <c r="B286" s="11">
        <v>45758.541666666664</v>
      </c>
      <c r="C286" s="10">
        <v>45758</v>
      </c>
      <c r="D286" s="7">
        <v>528.78629999999998</v>
      </c>
      <c r="E286" s="7">
        <v>4200206</v>
      </c>
      <c r="F286" s="7">
        <v>4200206</v>
      </c>
      <c r="G286" s="7">
        <v>32376815</v>
      </c>
      <c r="H286" s="7">
        <v>522.14639999999997</v>
      </c>
      <c r="I286" s="7">
        <v>521.58730000000003</v>
      </c>
      <c r="J286" s="7">
        <v>14</v>
      </c>
      <c r="K286" s="7">
        <v>8.6467617E-3</v>
      </c>
      <c r="L286" s="7">
        <v>526.66127550019996</v>
      </c>
      <c r="M286" s="7">
        <v>517.07725890430004</v>
      </c>
      <c r="N286" s="7">
        <v>521.79019514319998</v>
      </c>
      <c r="O286" s="7">
        <v>526.66127550019996</v>
      </c>
      <c r="P286" s="7">
        <v>517.07725890430004</v>
      </c>
      <c r="Q286">
        <v>1</v>
      </c>
      <c r="R286">
        <v>0</v>
      </c>
      <c r="S286" s="11">
        <v>45758.666666666664</v>
      </c>
      <c r="T286">
        <v>2245</v>
      </c>
    </row>
    <row r="287" spans="1:20">
      <c r="A287" s="11">
        <v>45758.541666666664</v>
      </c>
      <c r="B287" s="11">
        <v>45758.5625</v>
      </c>
      <c r="C287" s="10">
        <v>45758</v>
      </c>
      <c r="D287" s="7">
        <v>526.80269999999996</v>
      </c>
      <c r="E287" s="7">
        <v>2913093</v>
      </c>
      <c r="F287" s="7">
        <v>2913093</v>
      </c>
      <c r="G287" s="7">
        <v>35289908</v>
      </c>
      <c r="H287" s="7">
        <v>522.14639999999997</v>
      </c>
      <c r="I287" s="7">
        <v>521.58730000000003</v>
      </c>
      <c r="J287" s="7">
        <v>14</v>
      </c>
      <c r="K287" s="7">
        <v>1.4654542E-2</v>
      </c>
      <c r="L287" s="7">
        <v>529.79821633380004</v>
      </c>
      <c r="M287" s="7">
        <v>513.94367702060003</v>
      </c>
      <c r="N287" s="7">
        <v>522.20396479119995</v>
      </c>
      <c r="O287" s="7">
        <v>529.79821633380004</v>
      </c>
      <c r="P287" s="7">
        <v>513.94367702060003</v>
      </c>
      <c r="Q287">
        <v>1</v>
      </c>
      <c r="R287">
        <v>0</v>
      </c>
      <c r="S287" s="11">
        <v>45758.666666666664</v>
      </c>
      <c r="T287">
        <v>2244</v>
      </c>
    </row>
    <row r="288" spans="1:20">
      <c r="A288" s="11">
        <v>45758.5625</v>
      </c>
      <c r="B288" s="11">
        <v>45758.583333333336</v>
      </c>
      <c r="C288" s="10">
        <v>45758</v>
      </c>
      <c r="D288" s="7">
        <v>531.66970000000003</v>
      </c>
      <c r="E288" s="7">
        <v>5344262</v>
      </c>
      <c r="F288" s="7">
        <v>5344262</v>
      </c>
      <c r="G288" s="7">
        <v>40634170</v>
      </c>
      <c r="H288" s="7">
        <v>522.14639999999997</v>
      </c>
      <c r="I288" s="7">
        <v>521.58730000000003</v>
      </c>
      <c r="J288" s="7">
        <v>14</v>
      </c>
      <c r="K288" s="7">
        <v>1.4562829100000001E-2</v>
      </c>
      <c r="L288" s="7">
        <v>529.75032881039999</v>
      </c>
      <c r="M288" s="7">
        <v>513.99151326740002</v>
      </c>
      <c r="N288" s="7">
        <v>523.4489113221</v>
      </c>
      <c r="O288" s="7">
        <v>529.75032881039999</v>
      </c>
      <c r="P288" s="7">
        <v>513.99151326740002</v>
      </c>
      <c r="Q288">
        <v>1</v>
      </c>
      <c r="R288">
        <v>0</v>
      </c>
      <c r="S288" s="11">
        <v>45758.666666666664</v>
      </c>
      <c r="T288">
        <v>2243</v>
      </c>
    </row>
    <row r="289" spans="1:20">
      <c r="A289" s="11">
        <v>45758.583333333336</v>
      </c>
      <c r="B289" s="11">
        <v>45758.604166666664</v>
      </c>
      <c r="C289" s="10">
        <v>45758</v>
      </c>
      <c r="D289" s="7">
        <v>530.15840000000003</v>
      </c>
      <c r="E289" s="7">
        <v>3221870</v>
      </c>
      <c r="F289" s="7">
        <v>3221870</v>
      </c>
      <c r="G289" s="7">
        <v>43856040</v>
      </c>
      <c r="H289" s="7">
        <v>522.14639999999997</v>
      </c>
      <c r="I289" s="7">
        <v>521.58730000000003</v>
      </c>
      <c r="J289" s="7">
        <v>14</v>
      </c>
      <c r="K289" s="7">
        <v>1.49404754E-2</v>
      </c>
      <c r="L289" s="7">
        <v>529.94751543200005</v>
      </c>
      <c r="M289" s="7">
        <v>513.79453778779998</v>
      </c>
      <c r="N289" s="7">
        <v>523.94182176929996</v>
      </c>
      <c r="O289" s="7">
        <v>529.94751543200005</v>
      </c>
      <c r="P289" s="7">
        <v>513.79453778779998</v>
      </c>
      <c r="Q289">
        <v>1</v>
      </c>
      <c r="R289">
        <v>0</v>
      </c>
      <c r="S289" s="11">
        <v>45758.666666666664</v>
      </c>
      <c r="T289">
        <v>2242</v>
      </c>
    </row>
    <row r="290" spans="1:20">
      <c r="A290" s="11">
        <v>45758.604166666664</v>
      </c>
      <c r="B290" s="11">
        <v>45758.625</v>
      </c>
      <c r="C290" s="10">
        <v>45758</v>
      </c>
      <c r="D290" s="7">
        <v>529.13419999999996</v>
      </c>
      <c r="E290" s="7">
        <v>2684767</v>
      </c>
      <c r="F290" s="7">
        <v>2684767</v>
      </c>
      <c r="G290" s="7">
        <v>46540807</v>
      </c>
      <c r="H290" s="7">
        <v>522.14639999999997</v>
      </c>
      <c r="I290" s="7">
        <v>521.58730000000003</v>
      </c>
      <c r="J290" s="7">
        <v>14</v>
      </c>
      <c r="K290" s="7">
        <v>1.4435567999999999E-2</v>
      </c>
      <c r="L290" s="7">
        <v>529.68387985089998</v>
      </c>
      <c r="M290" s="7">
        <v>514.05789107520002</v>
      </c>
      <c r="N290" s="7">
        <v>524.24135086269996</v>
      </c>
      <c r="O290" s="7">
        <v>529.68387985089998</v>
      </c>
      <c r="P290" s="7">
        <v>514.05789107520002</v>
      </c>
      <c r="Q290">
        <v>1</v>
      </c>
      <c r="R290">
        <v>0</v>
      </c>
      <c r="S290" s="11">
        <v>45758.666666666664</v>
      </c>
      <c r="T290">
        <v>2241</v>
      </c>
    </row>
    <row r="291" spans="1:20">
      <c r="A291" s="11">
        <v>45758.625</v>
      </c>
      <c r="B291" s="11">
        <v>45758.645833333336</v>
      </c>
      <c r="C291" s="10">
        <v>45758</v>
      </c>
      <c r="D291" s="7">
        <v>531.44100000000003</v>
      </c>
      <c r="E291" s="7">
        <v>3839271</v>
      </c>
      <c r="F291" s="7">
        <v>3839271</v>
      </c>
      <c r="G291" s="7">
        <v>50380078</v>
      </c>
      <c r="H291" s="7">
        <v>522.14639999999997</v>
      </c>
      <c r="I291" s="7">
        <v>521.58730000000003</v>
      </c>
      <c r="J291" s="7">
        <v>14</v>
      </c>
      <c r="K291" s="7">
        <v>1.7047557200000001E-2</v>
      </c>
      <c r="L291" s="7">
        <v>531.0477206393</v>
      </c>
      <c r="M291" s="7">
        <v>512.69551064990003</v>
      </c>
      <c r="N291" s="7">
        <v>524.79000829309996</v>
      </c>
      <c r="O291" s="7">
        <v>531.0477206393</v>
      </c>
      <c r="P291" s="7">
        <v>512.69551064990003</v>
      </c>
      <c r="Q291">
        <v>1</v>
      </c>
      <c r="R291">
        <v>0</v>
      </c>
      <c r="S291" s="11">
        <v>45758.666666666664</v>
      </c>
      <c r="T291">
        <v>2240</v>
      </c>
    </row>
    <row r="292" spans="1:20">
      <c r="A292" s="11">
        <v>45758.645833333336</v>
      </c>
      <c r="B292" s="11">
        <v>45758.666666666664</v>
      </c>
      <c r="C292" s="10">
        <v>45758</v>
      </c>
      <c r="D292" s="7">
        <v>530.89419999999996</v>
      </c>
      <c r="E292" s="7">
        <v>11429445</v>
      </c>
      <c r="F292" s="7">
        <v>11429445</v>
      </c>
      <c r="G292" s="7">
        <v>61809523</v>
      </c>
      <c r="H292" s="7">
        <v>522.14639999999997</v>
      </c>
      <c r="I292" s="7">
        <v>521.58730000000003</v>
      </c>
      <c r="J292" s="7">
        <v>14</v>
      </c>
      <c r="K292" s="7">
        <v>2.0274349399999999E-2</v>
      </c>
      <c r="L292" s="7">
        <v>532.7325785283</v>
      </c>
      <c r="M292" s="7">
        <v>511.01245686039999</v>
      </c>
      <c r="N292" s="7">
        <v>525.91875868620002</v>
      </c>
      <c r="O292" s="7">
        <v>532.7325785283</v>
      </c>
      <c r="P292" s="7">
        <v>511.01245686039999</v>
      </c>
      <c r="Q292">
        <v>1</v>
      </c>
      <c r="R292">
        <v>1</v>
      </c>
      <c r="S292" s="11">
        <v>45758.666666666664</v>
      </c>
      <c r="T292">
        <v>2239</v>
      </c>
    </row>
    <row r="293" spans="1:20">
      <c r="A293" s="11">
        <v>45761.395833333336</v>
      </c>
      <c r="B293" s="11">
        <v>45761.416666666664</v>
      </c>
      <c r="C293" s="10">
        <v>45761</v>
      </c>
      <c r="D293" s="7">
        <v>537.58579999999995</v>
      </c>
      <c r="E293" s="7">
        <v>6934459</v>
      </c>
      <c r="F293" s="7">
        <v>6934459</v>
      </c>
      <c r="G293" s="7">
        <v>6934459</v>
      </c>
      <c r="H293" s="7">
        <v>537.58579999999995</v>
      </c>
      <c r="I293" s="7">
        <v>530.89400000000001</v>
      </c>
      <c r="J293" s="7">
        <v>14</v>
      </c>
      <c r="K293" s="7">
        <v>0</v>
      </c>
      <c r="L293" s="7">
        <v>537.58579999999995</v>
      </c>
      <c r="M293" s="7">
        <v>530.89400000000001</v>
      </c>
      <c r="N293" s="7">
        <v>537.58579999999995</v>
      </c>
      <c r="O293" s="7">
        <v>537.58579999999995</v>
      </c>
      <c r="P293" s="7">
        <v>530.89400000000001</v>
      </c>
      <c r="Q293">
        <v>1</v>
      </c>
      <c r="R293">
        <v>0</v>
      </c>
      <c r="S293" s="11">
        <v>45761.666666666664</v>
      </c>
      <c r="T293">
        <v>2237</v>
      </c>
    </row>
    <row r="294" spans="1:20">
      <c r="A294" s="11">
        <v>45761.416666666664</v>
      </c>
      <c r="B294" s="11">
        <v>45761.4375</v>
      </c>
      <c r="C294" s="10">
        <v>45761</v>
      </c>
      <c r="D294" s="7">
        <v>539.08720000000005</v>
      </c>
      <c r="E294" s="7">
        <v>3682609</v>
      </c>
      <c r="F294" s="7">
        <v>3682609</v>
      </c>
      <c r="G294" s="7">
        <v>10617068</v>
      </c>
      <c r="H294" s="7">
        <v>537.58579999999995</v>
      </c>
      <c r="I294" s="7">
        <v>530.89400000000001</v>
      </c>
      <c r="J294" s="7">
        <v>14</v>
      </c>
      <c r="K294" s="7">
        <v>3.8029157999999999E-3</v>
      </c>
      <c r="L294" s="7">
        <v>539.63019352419997</v>
      </c>
      <c r="M294" s="7">
        <v>528.87505482769996</v>
      </c>
      <c r="N294" s="7">
        <v>538.10657175660003</v>
      </c>
      <c r="O294" s="7">
        <v>539.63019352419997</v>
      </c>
      <c r="P294" s="7">
        <v>528.87505482769996</v>
      </c>
      <c r="Q294">
        <v>1</v>
      </c>
      <c r="R294">
        <v>0</v>
      </c>
      <c r="S294" s="11">
        <v>45761.666666666664</v>
      </c>
      <c r="T294">
        <v>2236</v>
      </c>
    </row>
    <row r="295" spans="1:20">
      <c r="A295" s="11">
        <v>45761.4375</v>
      </c>
      <c r="B295" s="11">
        <v>45761.458333333336</v>
      </c>
      <c r="C295" s="10">
        <v>45761</v>
      </c>
      <c r="D295" s="7">
        <v>539.44510000000002</v>
      </c>
      <c r="E295" s="7">
        <v>2544799</v>
      </c>
      <c r="F295" s="7">
        <v>2544799</v>
      </c>
      <c r="G295" s="7">
        <v>13161867</v>
      </c>
      <c r="H295" s="7">
        <v>537.58579999999995</v>
      </c>
      <c r="I295" s="7">
        <v>530.89400000000001</v>
      </c>
      <c r="J295" s="7">
        <v>14</v>
      </c>
      <c r="K295" s="7">
        <v>7.4614994E-3</v>
      </c>
      <c r="L295" s="7">
        <v>541.59699611589997</v>
      </c>
      <c r="M295" s="7">
        <v>526.93273474559999</v>
      </c>
      <c r="N295" s="7">
        <v>538.36537131260002</v>
      </c>
      <c r="O295" s="7">
        <v>541.59699611589997</v>
      </c>
      <c r="P295" s="7">
        <v>526.93273474559999</v>
      </c>
      <c r="Q295">
        <v>1</v>
      </c>
      <c r="R295">
        <v>0</v>
      </c>
      <c r="S295" s="11">
        <v>45761.666666666664</v>
      </c>
      <c r="T295">
        <v>2235</v>
      </c>
    </row>
    <row r="296" spans="1:20">
      <c r="A296" s="11">
        <v>45761.458333333336</v>
      </c>
      <c r="B296" s="11">
        <v>45761.479166666664</v>
      </c>
      <c r="C296" s="10">
        <v>45761</v>
      </c>
      <c r="D296" s="7">
        <v>535.4778</v>
      </c>
      <c r="E296" s="7">
        <v>3232628</v>
      </c>
      <c r="F296" s="7">
        <v>3232628</v>
      </c>
      <c r="G296" s="7">
        <v>16394495</v>
      </c>
      <c r="H296" s="7">
        <v>537.58579999999995</v>
      </c>
      <c r="I296" s="7">
        <v>530.89400000000001</v>
      </c>
      <c r="J296" s="7">
        <v>14</v>
      </c>
      <c r="K296" s="7">
        <v>6.3407261000000001E-3</v>
      </c>
      <c r="L296" s="7">
        <v>540.99448430860002</v>
      </c>
      <c r="M296" s="7">
        <v>527.52774656229997</v>
      </c>
      <c r="N296" s="7">
        <v>537.79600678639997</v>
      </c>
      <c r="O296" s="7">
        <v>540.99448430860002</v>
      </c>
      <c r="P296" s="7">
        <v>527.52774656229997</v>
      </c>
      <c r="Q296">
        <v>1</v>
      </c>
      <c r="R296">
        <v>0</v>
      </c>
      <c r="S296" s="11">
        <v>45761.666666666664</v>
      </c>
      <c r="T296">
        <v>2234</v>
      </c>
    </row>
    <row r="297" spans="1:20">
      <c r="A297" s="11">
        <v>45761.479166666664</v>
      </c>
      <c r="B297" s="11">
        <v>45761.5</v>
      </c>
      <c r="C297" s="10">
        <v>45761</v>
      </c>
      <c r="D297" s="7">
        <v>532.60429999999997</v>
      </c>
      <c r="E297" s="7">
        <v>4418402</v>
      </c>
      <c r="F297" s="7">
        <v>4418402</v>
      </c>
      <c r="G297" s="7">
        <v>20812897</v>
      </c>
      <c r="H297" s="7">
        <v>537.58579999999995</v>
      </c>
      <c r="I297" s="7">
        <v>530.89400000000001</v>
      </c>
      <c r="J297" s="7">
        <v>14</v>
      </c>
      <c r="K297" s="7">
        <v>7.5198451000000003E-3</v>
      </c>
      <c r="L297" s="7">
        <v>541.62836193800001</v>
      </c>
      <c r="M297" s="7">
        <v>526.90175936130004</v>
      </c>
      <c r="N297" s="7">
        <v>536.69385134649997</v>
      </c>
      <c r="O297" s="7">
        <v>541.62836193800001</v>
      </c>
      <c r="P297" s="7">
        <v>526.90175936130004</v>
      </c>
      <c r="Q297">
        <v>1</v>
      </c>
      <c r="R297">
        <v>0</v>
      </c>
      <c r="S297" s="11">
        <v>45761.666666666664</v>
      </c>
      <c r="T297">
        <v>2233</v>
      </c>
    </row>
    <row r="298" spans="1:20">
      <c r="A298" s="11">
        <v>45761.5</v>
      </c>
      <c r="B298" s="11">
        <v>45761.520833333336</v>
      </c>
      <c r="C298" s="10">
        <v>45761</v>
      </c>
      <c r="D298" s="7">
        <v>532.82309999999995</v>
      </c>
      <c r="E298" s="7">
        <v>4600987</v>
      </c>
      <c r="F298" s="7">
        <v>4600987</v>
      </c>
      <c r="G298" s="7">
        <v>25413884</v>
      </c>
      <c r="H298" s="7">
        <v>537.58579999999995</v>
      </c>
      <c r="I298" s="7">
        <v>530.89400000000001</v>
      </c>
      <c r="J298" s="7">
        <v>14</v>
      </c>
      <c r="K298" s="7">
        <v>9.2660603000000001E-3</v>
      </c>
      <c r="L298" s="7">
        <v>542.5671024298</v>
      </c>
      <c r="M298" s="7">
        <v>525.97470419240005</v>
      </c>
      <c r="N298" s="7">
        <v>535.99308177410001</v>
      </c>
      <c r="O298" s="7">
        <v>542.5671024298</v>
      </c>
      <c r="P298" s="7">
        <v>525.97470419240005</v>
      </c>
      <c r="Q298">
        <v>1</v>
      </c>
      <c r="R298">
        <v>0</v>
      </c>
      <c r="S298" s="11">
        <v>45761.666666666664</v>
      </c>
      <c r="T298">
        <v>2232</v>
      </c>
    </row>
    <row r="299" spans="1:20">
      <c r="A299" s="11">
        <v>45761.520833333336</v>
      </c>
      <c r="B299" s="11">
        <v>45761.541666666664</v>
      </c>
      <c r="C299" s="10">
        <v>45761</v>
      </c>
      <c r="D299" s="7">
        <v>532.30709999999999</v>
      </c>
      <c r="E299" s="7">
        <v>2221936</v>
      </c>
      <c r="F299" s="7">
        <v>2221936</v>
      </c>
      <c r="G299" s="7">
        <v>27635820</v>
      </c>
      <c r="H299" s="7">
        <v>537.58579999999995</v>
      </c>
      <c r="I299" s="7">
        <v>530.89400000000001</v>
      </c>
      <c r="J299" s="7">
        <v>14</v>
      </c>
      <c r="K299" s="7">
        <v>9.5120685E-3</v>
      </c>
      <c r="L299" s="7">
        <v>542.69935294749996</v>
      </c>
      <c r="M299" s="7">
        <v>525.8440999124</v>
      </c>
      <c r="N299" s="7">
        <v>535.69672669579995</v>
      </c>
      <c r="O299" s="7">
        <v>542.69935294749996</v>
      </c>
      <c r="P299" s="7">
        <v>525.8440999124</v>
      </c>
      <c r="Q299">
        <v>1</v>
      </c>
      <c r="R299">
        <v>0</v>
      </c>
      <c r="S299" s="11">
        <v>45761.666666666664</v>
      </c>
      <c r="T299">
        <v>2231</v>
      </c>
    </row>
    <row r="300" spans="1:20">
      <c r="A300" s="11">
        <v>45761.541666666664</v>
      </c>
      <c r="B300" s="11">
        <v>45761.5625</v>
      </c>
      <c r="C300" s="10">
        <v>45761</v>
      </c>
      <c r="D300" s="7">
        <v>534.404</v>
      </c>
      <c r="E300" s="7">
        <v>2691405</v>
      </c>
      <c r="F300" s="7">
        <v>2691405</v>
      </c>
      <c r="G300" s="7">
        <v>30327225</v>
      </c>
      <c r="H300" s="7">
        <v>537.58579999999995</v>
      </c>
      <c r="I300" s="7">
        <v>530.89400000000001</v>
      </c>
      <c r="J300" s="7">
        <v>14</v>
      </c>
      <c r="K300" s="7">
        <v>1.52559711E-2</v>
      </c>
      <c r="L300" s="7">
        <v>545.78719345290006</v>
      </c>
      <c r="M300" s="7">
        <v>522.79469645480003</v>
      </c>
      <c r="N300" s="7">
        <v>535.58200300800002</v>
      </c>
      <c r="O300" s="7">
        <v>545.78719345290006</v>
      </c>
      <c r="P300" s="7">
        <v>522.79469645480003</v>
      </c>
      <c r="Q300">
        <v>1</v>
      </c>
      <c r="R300">
        <v>0</v>
      </c>
      <c r="S300" s="11">
        <v>45761.666666666664</v>
      </c>
      <c r="T300">
        <v>2230</v>
      </c>
    </row>
    <row r="301" spans="1:20">
      <c r="A301" s="11">
        <v>45761.5625</v>
      </c>
      <c r="B301" s="11">
        <v>45761.583333333336</v>
      </c>
      <c r="C301" s="10">
        <v>45761</v>
      </c>
      <c r="D301" s="7">
        <v>535.96500000000003</v>
      </c>
      <c r="E301" s="7">
        <v>1905763</v>
      </c>
      <c r="F301" s="7">
        <v>1905763</v>
      </c>
      <c r="G301" s="7">
        <v>32232988</v>
      </c>
      <c r="H301" s="7">
        <v>537.58579999999995</v>
      </c>
      <c r="I301" s="7">
        <v>530.89400000000001</v>
      </c>
      <c r="J301" s="7">
        <v>14</v>
      </c>
      <c r="K301" s="7">
        <v>1.58281979E-2</v>
      </c>
      <c r="L301" s="7">
        <v>546.09481442909998</v>
      </c>
      <c r="M301" s="7">
        <v>522.49090470559997</v>
      </c>
      <c r="N301" s="7">
        <v>535.60464755759995</v>
      </c>
      <c r="O301" s="7">
        <v>546.09481442909998</v>
      </c>
      <c r="P301" s="7">
        <v>522.49090470559997</v>
      </c>
      <c r="Q301">
        <v>1</v>
      </c>
      <c r="R301">
        <v>0</v>
      </c>
      <c r="S301" s="11">
        <v>45761.666666666664</v>
      </c>
      <c r="T301">
        <v>2229</v>
      </c>
    </row>
    <row r="302" spans="1:20">
      <c r="A302" s="11">
        <v>45761.583333333336</v>
      </c>
      <c r="B302" s="11">
        <v>45761.604166666664</v>
      </c>
      <c r="C302" s="10">
        <v>45761</v>
      </c>
      <c r="D302" s="7">
        <v>537.2577</v>
      </c>
      <c r="E302" s="7">
        <v>1975525</v>
      </c>
      <c r="F302" s="7">
        <v>1975525</v>
      </c>
      <c r="G302" s="7">
        <v>34208513</v>
      </c>
      <c r="H302" s="7">
        <v>537.58579999999995</v>
      </c>
      <c r="I302" s="7">
        <v>530.89400000000001</v>
      </c>
      <c r="J302" s="7">
        <v>14</v>
      </c>
      <c r="K302" s="7">
        <v>1.5987876500000001E-2</v>
      </c>
      <c r="L302" s="7">
        <v>546.18065538090002</v>
      </c>
      <c r="M302" s="7">
        <v>522.40613229109999</v>
      </c>
      <c r="N302" s="7">
        <v>535.70011053279995</v>
      </c>
      <c r="O302" s="7">
        <v>546.18065538090002</v>
      </c>
      <c r="P302" s="7">
        <v>522.40613229109999</v>
      </c>
      <c r="Q302">
        <v>1</v>
      </c>
      <c r="R302">
        <v>0</v>
      </c>
      <c r="S302" s="11">
        <v>45761.666666666664</v>
      </c>
      <c r="T302">
        <v>2228</v>
      </c>
    </row>
    <row r="303" spans="1:20">
      <c r="A303" s="11">
        <v>45761.604166666664</v>
      </c>
      <c r="B303" s="11">
        <v>45761.625</v>
      </c>
      <c r="C303" s="10">
        <v>45761</v>
      </c>
      <c r="D303" s="7">
        <v>537.67529999999999</v>
      </c>
      <c r="E303" s="7">
        <v>2253568</v>
      </c>
      <c r="F303" s="7">
        <v>2253568</v>
      </c>
      <c r="G303" s="7">
        <v>36462081</v>
      </c>
      <c r="H303" s="7">
        <v>537.58579999999995</v>
      </c>
      <c r="I303" s="7">
        <v>530.89400000000001</v>
      </c>
      <c r="J303" s="7">
        <v>14</v>
      </c>
      <c r="K303" s="7">
        <v>1.52861093E-2</v>
      </c>
      <c r="L303" s="7">
        <v>545.80339530319998</v>
      </c>
      <c r="M303" s="7">
        <v>522.77869628309998</v>
      </c>
      <c r="N303" s="7">
        <v>535.82218869329995</v>
      </c>
      <c r="O303" s="7">
        <v>545.80339530319998</v>
      </c>
      <c r="P303" s="7">
        <v>522.77869628309998</v>
      </c>
      <c r="Q303">
        <v>1</v>
      </c>
      <c r="R303">
        <v>0</v>
      </c>
      <c r="S303" s="11">
        <v>45761.666666666664</v>
      </c>
      <c r="T303">
        <v>2227</v>
      </c>
    </row>
    <row r="304" spans="1:20">
      <c r="A304" s="11">
        <v>45761.625</v>
      </c>
      <c r="B304" s="11">
        <v>45761.645833333336</v>
      </c>
      <c r="C304" s="10">
        <v>45761</v>
      </c>
      <c r="D304" s="7">
        <v>538.13760000000002</v>
      </c>
      <c r="E304" s="7">
        <v>3163589</v>
      </c>
      <c r="F304" s="7">
        <v>3163589</v>
      </c>
      <c r="G304" s="7">
        <v>39625670</v>
      </c>
      <c r="H304" s="7">
        <v>537.58579999999995</v>
      </c>
      <c r="I304" s="7">
        <v>530.89400000000001</v>
      </c>
      <c r="J304" s="7">
        <v>14</v>
      </c>
      <c r="K304" s="7">
        <v>1.8170018900000001E-2</v>
      </c>
      <c r="L304" s="7">
        <v>547.35374416939999</v>
      </c>
      <c r="M304" s="7">
        <v>521.24764596340003</v>
      </c>
      <c r="N304" s="7">
        <v>536.00704385760002</v>
      </c>
      <c r="O304" s="7">
        <v>547.35374416939999</v>
      </c>
      <c r="P304" s="7">
        <v>521.24764596340003</v>
      </c>
      <c r="Q304">
        <v>1</v>
      </c>
      <c r="R304">
        <v>0</v>
      </c>
      <c r="S304" s="11">
        <v>45761.666666666664</v>
      </c>
      <c r="T304">
        <v>2226</v>
      </c>
    </row>
    <row r="305" spans="1:20">
      <c r="A305" s="11">
        <v>45761.645833333336</v>
      </c>
      <c r="B305" s="11">
        <v>45761.666666666664</v>
      </c>
      <c r="C305" s="10">
        <v>45761</v>
      </c>
      <c r="D305" s="7">
        <v>536.04459999999995</v>
      </c>
      <c r="E305" s="7">
        <v>9025212</v>
      </c>
      <c r="F305" s="7">
        <v>9025212</v>
      </c>
      <c r="G305" s="7">
        <v>48650882</v>
      </c>
      <c r="H305" s="7">
        <v>537.58579999999995</v>
      </c>
      <c r="I305" s="7">
        <v>530.89400000000001</v>
      </c>
      <c r="J305" s="7">
        <v>14</v>
      </c>
      <c r="K305" s="7">
        <v>2.13107851E-2</v>
      </c>
      <c r="L305" s="7">
        <v>549.04217544860001</v>
      </c>
      <c r="M305" s="7">
        <v>519.58023206309997</v>
      </c>
      <c r="N305" s="7">
        <v>536.01401088750004</v>
      </c>
      <c r="O305" s="7">
        <v>549.04217544860001</v>
      </c>
      <c r="P305" s="7">
        <v>519.58023206309997</v>
      </c>
      <c r="Q305">
        <v>1</v>
      </c>
      <c r="R305">
        <v>1</v>
      </c>
      <c r="S305" s="11">
        <v>45761.666666666664</v>
      </c>
      <c r="T305">
        <v>2225</v>
      </c>
    </row>
    <row r="306" spans="1:20">
      <c r="A306" s="11">
        <v>45762.395833333336</v>
      </c>
      <c r="B306" s="11">
        <v>45762.416666666664</v>
      </c>
      <c r="C306" s="10">
        <v>45762</v>
      </c>
      <c r="D306" s="7">
        <v>538.34140000000002</v>
      </c>
      <c r="E306" s="7">
        <v>4276006</v>
      </c>
      <c r="F306" s="7">
        <v>4276006</v>
      </c>
      <c r="G306" s="7">
        <v>4276006</v>
      </c>
      <c r="H306" s="7">
        <v>538.34140000000002</v>
      </c>
      <c r="I306" s="7">
        <v>536.0444</v>
      </c>
      <c r="J306" s="7">
        <v>14</v>
      </c>
      <c r="K306" s="7">
        <v>0</v>
      </c>
      <c r="L306" s="7">
        <v>538.34140000000002</v>
      </c>
      <c r="M306" s="7">
        <v>536.0444</v>
      </c>
      <c r="N306" s="7">
        <v>538.34140000000002</v>
      </c>
      <c r="O306" s="7">
        <v>538.34140000000002</v>
      </c>
      <c r="P306" s="7">
        <v>536.0444</v>
      </c>
      <c r="Q306">
        <v>1</v>
      </c>
      <c r="R306">
        <v>0</v>
      </c>
      <c r="S306" s="11">
        <v>45762.666666666664</v>
      </c>
      <c r="T306">
        <v>2223</v>
      </c>
    </row>
    <row r="307" spans="1:20">
      <c r="A307" s="11">
        <v>45762.416666666664</v>
      </c>
      <c r="B307" s="11">
        <v>45762.4375</v>
      </c>
      <c r="C307" s="10">
        <v>45762</v>
      </c>
      <c r="D307" s="7">
        <v>536.42840000000001</v>
      </c>
      <c r="E307" s="7">
        <v>4812578</v>
      </c>
      <c r="F307" s="7">
        <v>4812578</v>
      </c>
      <c r="G307" s="7">
        <v>9088584</v>
      </c>
      <c r="H307" s="7">
        <v>538.34140000000002</v>
      </c>
      <c r="I307" s="7">
        <v>536.0444</v>
      </c>
      <c r="J307" s="7">
        <v>14</v>
      </c>
      <c r="K307" s="7">
        <v>3.8650676E-3</v>
      </c>
      <c r="L307" s="7">
        <v>540.4221258819</v>
      </c>
      <c r="M307" s="7">
        <v>533.97255217830002</v>
      </c>
      <c r="N307" s="7">
        <v>537.32843013429999</v>
      </c>
      <c r="O307" s="7">
        <v>540.4221258819</v>
      </c>
      <c r="P307" s="7">
        <v>533.97255217830002</v>
      </c>
      <c r="Q307">
        <v>1</v>
      </c>
      <c r="R307">
        <v>0</v>
      </c>
      <c r="S307" s="11">
        <v>45762.666666666664</v>
      </c>
      <c r="T307">
        <v>2222</v>
      </c>
    </row>
    <row r="308" spans="1:20">
      <c r="A308" s="11">
        <v>45762.4375</v>
      </c>
      <c r="B308" s="11">
        <v>45762.458333333336</v>
      </c>
      <c r="C308" s="10">
        <v>45762</v>
      </c>
      <c r="D308" s="7">
        <v>537.52110000000005</v>
      </c>
      <c r="E308" s="7">
        <v>2866489</v>
      </c>
      <c r="F308" s="7">
        <v>2866489</v>
      </c>
      <c r="G308" s="7">
        <v>11955073</v>
      </c>
      <c r="H308" s="7">
        <v>538.34140000000002</v>
      </c>
      <c r="I308" s="7">
        <v>536.0444</v>
      </c>
      <c r="J308" s="7">
        <v>14</v>
      </c>
      <c r="K308" s="7">
        <v>7.5500799999999998E-3</v>
      </c>
      <c r="L308" s="7">
        <v>542.40592061550001</v>
      </c>
      <c r="M308" s="7">
        <v>531.99722191820001</v>
      </c>
      <c r="N308" s="7">
        <v>537.37462692880001</v>
      </c>
      <c r="O308" s="7">
        <v>542.40592061550001</v>
      </c>
      <c r="P308" s="7">
        <v>531.99722191820001</v>
      </c>
      <c r="Q308">
        <v>1</v>
      </c>
      <c r="R308">
        <v>0</v>
      </c>
      <c r="S308" s="11">
        <v>45762.666666666664</v>
      </c>
      <c r="T308">
        <v>2221</v>
      </c>
    </row>
    <row r="309" spans="1:20">
      <c r="A309" s="11">
        <v>45762.458333333336</v>
      </c>
      <c r="B309" s="11">
        <v>45762.479166666664</v>
      </c>
      <c r="C309" s="10">
        <v>45762</v>
      </c>
      <c r="D309" s="7">
        <v>537.19799999999998</v>
      </c>
      <c r="E309" s="7">
        <v>1751112</v>
      </c>
      <c r="F309" s="7">
        <v>1751112</v>
      </c>
      <c r="G309" s="7">
        <v>13706185</v>
      </c>
      <c r="H309" s="7">
        <v>538.34140000000002</v>
      </c>
      <c r="I309" s="7">
        <v>536.0444</v>
      </c>
      <c r="J309" s="7">
        <v>14</v>
      </c>
      <c r="K309" s="7">
        <v>6.4971387999999998E-3</v>
      </c>
      <c r="L309" s="7">
        <v>541.83907882209996</v>
      </c>
      <c r="M309" s="7">
        <v>532.56164510589997</v>
      </c>
      <c r="N309" s="7">
        <v>537.35206094600005</v>
      </c>
      <c r="O309" s="7">
        <v>541.83907882209996</v>
      </c>
      <c r="P309" s="7">
        <v>532.56164510589997</v>
      </c>
      <c r="Q309">
        <v>1</v>
      </c>
      <c r="R309">
        <v>0</v>
      </c>
      <c r="S309" s="11">
        <v>45762.666666666664</v>
      </c>
      <c r="T309">
        <v>2220</v>
      </c>
    </row>
    <row r="310" spans="1:20">
      <c r="A310" s="11">
        <v>45762.479166666664</v>
      </c>
      <c r="B310" s="11">
        <v>45762.5</v>
      </c>
      <c r="C310" s="10">
        <v>45762</v>
      </c>
      <c r="D310" s="7">
        <v>537.91390000000001</v>
      </c>
      <c r="E310" s="7">
        <v>1840692</v>
      </c>
      <c r="F310" s="7">
        <v>1840692</v>
      </c>
      <c r="G310" s="7">
        <v>15546877</v>
      </c>
      <c r="H310" s="7">
        <v>538.34140000000002</v>
      </c>
      <c r="I310" s="7">
        <v>536.0444</v>
      </c>
      <c r="J310" s="7">
        <v>14</v>
      </c>
      <c r="K310" s="7">
        <v>8.1736453000000008E-3</v>
      </c>
      <c r="L310" s="7">
        <v>542.74161163279996</v>
      </c>
      <c r="M310" s="7">
        <v>531.66296323029997</v>
      </c>
      <c r="N310" s="7">
        <v>537.41858058540004</v>
      </c>
      <c r="O310" s="7">
        <v>542.74161163279996</v>
      </c>
      <c r="P310" s="7">
        <v>531.66296323029997</v>
      </c>
      <c r="Q310">
        <v>1</v>
      </c>
      <c r="R310">
        <v>0</v>
      </c>
      <c r="S310" s="11">
        <v>45762.666666666664</v>
      </c>
      <c r="T310">
        <v>2219</v>
      </c>
    </row>
    <row r="311" spans="1:20">
      <c r="A311" s="11">
        <v>45762.5</v>
      </c>
      <c r="B311" s="11">
        <v>45762.520833333336</v>
      </c>
      <c r="C311" s="10">
        <v>45762</v>
      </c>
      <c r="D311" s="7">
        <v>537.8741</v>
      </c>
      <c r="E311" s="7">
        <v>1054846</v>
      </c>
      <c r="F311" s="7">
        <v>1054846</v>
      </c>
      <c r="G311" s="7">
        <v>16601723</v>
      </c>
      <c r="H311" s="7">
        <v>538.34140000000002</v>
      </c>
      <c r="I311" s="7">
        <v>536.0444</v>
      </c>
      <c r="J311" s="7">
        <v>14</v>
      </c>
      <c r="K311" s="7">
        <v>9.8771260999999996E-3</v>
      </c>
      <c r="L311" s="7">
        <v>543.65866591190002</v>
      </c>
      <c r="M311" s="7">
        <v>530.74982184680005</v>
      </c>
      <c r="N311" s="7">
        <v>537.4475235351</v>
      </c>
      <c r="O311" s="7">
        <v>543.65866591190002</v>
      </c>
      <c r="P311" s="7">
        <v>530.74982184680005</v>
      </c>
      <c r="Q311">
        <v>1</v>
      </c>
      <c r="R311">
        <v>0</v>
      </c>
      <c r="S311" s="11">
        <v>45762.666666666664</v>
      </c>
      <c r="T311">
        <v>2218</v>
      </c>
    </row>
    <row r="312" spans="1:20">
      <c r="A312" s="11">
        <v>45762.520833333336</v>
      </c>
      <c r="B312" s="11">
        <v>45762.541666666664</v>
      </c>
      <c r="C312" s="10">
        <v>45762</v>
      </c>
      <c r="D312" s="7">
        <v>535.98490000000004</v>
      </c>
      <c r="E312" s="7">
        <v>1500432</v>
      </c>
      <c r="F312" s="7">
        <v>1500432</v>
      </c>
      <c r="G312" s="7">
        <v>18102155</v>
      </c>
      <c r="H312" s="7">
        <v>538.34140000000002</v>
      </c>
      <c r="I312" s="7">
        <v>536.0444</v>
      </c>
      <c r="J312" s="7">
        <v>14</v>
      </c>
      <c r="K312" s="7">
        <v>1.01817448E-2</v>
      </c>
      <c r="L312" s="7">
        <v>543.8226547452</v>
      </c>
      <c r="M312" s="7">
        <v>530.58653272260005</v>
      </c>
      <c r="N312" s="7">
        <v>537.3262911649</v>
      </c>
      <c r="O312" s="7">
        <v>543.8226547452</v>
      </c>
      <c r="P312" s="7">
        <v>530.58653272260005</v>
      </c>
      <c r="Q312">
        <v>1</v>
      </c>
      <c r="R312">
        <v>0</v>
      </c>
      <c r="S312" s="11">
        <v>45762.666666666664</v>
      </c>
      <c r="T312">
        <v>2217</v>
      </c>
    </row>
    <row r="313" spans="1:20">
      <c r="A313" s="11">
        <v>45762.541666666664</v>
      </c>
      <c r="B313" s="11">
        <v>45762.5625</v>
      </c>
      <c r="C313" s="10">
        <v>45762</v>
      </c>
      <c r="D313" s="7">
        <v>534.66250000000002</v>
      </c>
      <c r="E313" s="7">
        <v>1927565</v>
      </c>
      <c r="F313" s="7">
        <v>1927565</v>
      </c>
      <c r="G313" s="7">
        <v>20029720</v>
      </c>
      <c r="H313" s="7">
        <v>538.34140000000002</v>
      </c>
      <c r="I313" s="7">
        <v>536.0444</v>
      </c>
      <c r="J313" s="7">
        <v>14</v>
      </c>
      <c r="K313" s="7">
        <v>1.5615971500000001E-2</v>
      </c>
      <c r="L313" s="7">
        <v>546.74812396430002</v>
      </c>
      <c r="M313" s="7">
        <v>527.67354592219999</v>
      </c>
      <c r="N313" s="7">
        <v>537.06994057099996</v>
      </c>
      <c r="O313" s="7">
        <v>546.74812396430002</v>
      </c>
      <c r="P313" s="7">
        <v>527.67354592219999</v>
      </c>
      <c r="Q313">
        <v>1</v>
      </c>
      <c r="R313">
        <v>0</v>
      </c>
      <c r="S313" s="11">
        <v>45762.666666666664</v>
      </c>
      <c r="T313">
        <v>2216</v>
      </c>
    </row>
    <row r="314" spans="1:20">
      <c r="A314" s="11">
        <v>45762.5625</v>
      </c>
      <c r="B314" s="11">
        <v>45762.583333333336</v>
      </c>
      <c r="C314" s="10">
        <v>45762</v>
      </c>
      <c r="D314" s="7">
        <v>535.19150000000002</v>
      </c>
      <c r="E314" s="7">
        <v>2064324</v>
      </c>
      <c r="F314" s="7">
        <v>2064324</v>
      </c>
      <c r="G314" s="7">
        <v>22094044</v>
      </c>
      <c r="H314" s="7">
        <v>538.34140000000002</v>
      </c>
      <c r="I314" s="7">
        <v>536.0444</v>
      </c>
      <c r="J314" s="7">
        <v>14</v>
      </c>
      <c r="K314" s="7">
        <v>1.5967114500000001E-2</v>
      </c>
      <c r="L314" s="7">
        <v>546.93715875299995</v>
      </c>
      <c r="M314" s="7">
        <v>527.48531770889997</v>
      </c>
      <c r="N314" s="7">
        <v>536.89443128200003</v>
      </c>
      <c r="O314" s="7">
        <v>546.93715875299995</v>
      </c>
      <c r="P314" s="7">
        <v>527.48531770889997</v>
      </c>
      <c r="Q314">
        <v>1</v>
      </c>
      <c r="R314">
        <v>0</v>
      </c>
      <c r="S314" s="11">
        <v>45762.666666666664</v>
      </c>
      <c r="T314">
        <v>2215</v>
      </c>
    </row>
    <row r="315" spans="1:20">
      <c r="A315" s="11">
        <v>45762.583333333336</v>
      </c>
      <c r="B315" s="11">
        <v>45762.604166666664</v>
      </c>
      <c r="C315" s="10">
        <v>45762</v>
      </c>
      <c r="D315" s="7">
        <v>534.38419999999996</v>
      </c>
      <c r="E315" s="7">
        <v>1955925</v>
      </c>
      <c r="F315" s="7">
        <v>1955925</v>
      </c>
      <c r="G315" s="7">
        <v>24049969</v>
      </c>
      <c r="H315" s="7">
        <v>538.34140000000002</v>
      </c>
      <c r="I315" s="7">
        <v>536.0444</v>
      </c>
      <c r="J315" s="7">
        <v>14</v>
      </c>
      <c r="K315" s="7">
        <v>1.6001645799999999E-2</v>
      </c>
      <c r="L315" s="7">
        <v>546.95574838690004</v>
      </c>
      <c r="M315" s="7">
        <v>527.46680739340002</v>
      </c>
      <c r="N315" s="7">
        <v>536.6902803278</v>
      </c>
      <c r="O315" s="7">
        <v>546.95574838690004</v>
      </c>
      <c r="P315" s="7">
        <v>527.46680739340002</v>
      </c>
      <c r="Q315">
        <v>1</v>
      </c>
      <c r="R315">
        <v>0</v>
      </c>
      <c r="S315" s="11">
        <v>45762.666666666664</v>
      </c>
      <c r="T315">
        <v>2214</v>
      </c>
    </row>
    <row r="316" spans="1:20">
      <c r="A316" s="11">
        <v>45762.604166666664</v>
      </c>
      <c r="B316" s="11">
        <v>45762.625</v>
      </c>
      <c r="C316" s="10">
        <v>45762</v>
      </c>
      <c r="D316" s="7">
        <v>535.4778</v>
      </c>
      <c r="E316" s="7">
        <v>1945897</v>
      </c>
      <c r="F316" s="7">
        <v>1945897</v>
      </c>
      <c r="G316" s="7">
        <v>25995866</v>
      </c>
      <c r="H316" s="7">
        <v>538.34140000000002</v>
      </c>
      <c r="I316" s="7">
        <v>536.0444</v>
      </c>
      <c r="J316" s="7">
        <v>14</v>
      </c>
      <c r="K316" s="7">
        <v>1.52016758E-2</v>
      </c>
      <c r="L316" s="7">
        <v>546.52509141569999</v>
      </c>
      <c r="M316" s="7">
        <v>527.89562683350005</v>
      </c>
      <c r="N316" s="7">
        <v>536.5995212112</v>
      </c>
      <c r="O316" s="7">
        <v>546.52509141569999</v>
      </c>
      <c r="P316" s="7">
        <v>527.89562683350005</v>
      </c>
      <c r="Q316">
        <v>1</v>
      </c>
      <c r="R316">
        <v>0</v>
      </c>
      <c r="S316" s="11">
        <v>45762.666666666664</v>
      </c>
      <c r="T316">
        <v>2213</v>
      </c>
    </row>
    <row r="317" spans="1:20">
      <c r="A317" s="11">
        <v>45762.625</v>
      </c>
      <c r="B317" s="11">
        <v>45762.645833333336</v>
      </c>
      <c r="C317" s="10">
        <v>45762</v>
      </c>
      <c r="D317" s="7">
        <v>535.38840000000005</v>
      </c>
      <c r="E317" s="7">
        <v>2063626</v>
      </c>
      <c r="F317" s="7">
        <v>2063626</v>
      </c>
      <c r="G317" s="7">
        <v>28059492</v>
      </c>
      <c r="H317" s="7">
        <v>538.34140000000002</v>
      </c>
      <c r="I317" s="7">
        <v>536.0444</v>
      </c>
      <c r="J317" s="7">
        <v>14</v>
      </c>
      <c r="K317" s="7">
        <v>1.8179335899999999E-2</v>
      </c>
      <c r="L317" s="7">
        <v>548.12808915139999</v>
      </c>
      <c r="M317" s="7">
        <v>526.29946878320004</v>
      </c>
      <c r="N317" s="7">
        <v>536.5104497049</v>
      </c>
      <c r="O317" s="7">
        <v>548.12808915139999</v>
      </c>
      <c r="P317" s="7">
        <v>526.29946878320004</v>
      </c>
      <c r="Q317">
        <v>1</v>
      </c>
      <c r="R317">
        <v>0</v>
      </c>
      <c r="S317" s="11">
        <v>45762.666666666664</v>
      </c>
      <c r="T317">
        <v>2212</v>
      </c>
    </row>
    <row r="318" spans="1:20">
      <c r="A318" s="11">
        <v>45762.645833333336</v>
      </c>
      <c r="B318" s="11">
        <v>45762.666666666664</v>
      </c>
      <c r="C318" s="10">
        <v>45762</v>
      </c>
      <c r="D318" s="7">
        <v>534.54319999999996</v>
      </c>
      <c r="E318" s="7">
        <v>7215059</v>
      </c>
      <c r="F318" s="7">
        <v>7215059</v>
      </c>
      <c r="G318" s="7">
        <v>35274551</v>
      </c>
      <c r="H318" s="7">
        <v>538.34140000000002</v>
      </c>
      <c r="I318" s="7">
        <v>536.0444</v>
      </c>
      <c r="J318" s="7">
        <v>14</v>
      </c>
      <c r="K318" s="7">
        <v>2.1421725199999998E-2</v>
      </c>
      <c r="L318" s="7">
        <v>549.87360153689997</v>
      </c>
      <c r="M318" s="7">
        <v>524.56140416589994</v>
      </c>
      <c r="N318" s="7">
        <v>536.10806831980005</v>
      </c>
      <c r="O318" s="7">
        <v>549.87360153689997</v>
      </c>
      <c r="P318" s="7">
        <v>524.56140416589994</v>
      </c>
      <c r="Q318">
        <v>1</v>
      </c>
      <c r="R318">
        <v>1</v>
      </c>
      <c r="S318" s="11">
        <v>45762.666666666664</v>
      </c>
      <c r="T318">
        <v>2211</v>
      </c>
    </row>
    <row r="319" spans="1:20">
      <c r="A319" s="11">
        <v>45763.395833333336</v>
      </c>
      <c r="B319" s="11">
        <v>45763.416666666664</v>
      </c>
      <c r="C319" s="10">
        <v>45763</v>
      </c>
      <c r="D319" s="7">
        <v>526.68830000000003</v>
      </c>
      <c r="E319" s="7">
        <v>5287267</v>
      </c>
      <c r="F319" s="7">
        <v>5287267</v>
      </c>
      <c r="G319" s="7">
        <v>5287267</v>
      </c>
      <c r="H319" s="7">
        <v>526.68830000000003</v>
      </c>
      <c r="I319" s="7">
        <v>534.54300000000001</v>
      </c>
      <c r="J319" s="7">
        <v>14</v>
      </c>
      <c r="K319" s="7">
        <v>0</v>
      </c>
      <c r="L319" s="7">
        <v>534.54300000000001</v>
      </c>
      <c r="M319" s="7">
        <v>526.68830000000003</v>
      </c>
      <c r="N319" s="7">
        <v>526.68830000000003</v>
      </c>
      <c r="O319" s="7">
        <v>534.54300000000001</v>
      </c>
      <c r="P319" s="7">
        <v>526.68830000000003</v>
      </c>
      <c r="Q319">
        <v>1</v>
      </c>
      <c r="R319">
        <v>0</v>
      </c>
      <c r="S319" s="11">
        <v>45763.666666666664</v>
      </c>
      <c r="T319">
        <v>2209</v>
      </c>
    </row>
    <row r="320" spans="1:20">
      <c r="A320" s="11">
        <v>45763.416666666664</v>
      </c>
      <c r="B320" s="11">
        <v>45763.4375</v>
      </c>
      <c r="C320" s="10">
        <v>45763</v>
      </c>
      <c r="D320" s="7">
        <v>528.86580000000004</v>
      </c>
      <c r="E320" s="7">
        <v>2902240</v>
      </c>
      <c r="F320" s="7">
        <v>2902240</v>
      </c>
      <c r="G320" s="7">
        <v>8189507</v>
      </c>
      <c r="H320" s="7">
        <v>526.68830000000003</v>
      </c>
      <c r="I320" s="7">
        <v>534.54300000000001</v>
      </c>
      <c r="J320" s="7">
        <v>14</v>
      </c>
      <c r="K320" s="7">
        <v>4.0942386999999998E-3</v>
      </c>
      <c r="L320" s="7">
        <v>536.73154664389995</v>
      </c>
      <c r="M320" s="7">
        <v>524.53191237290002</v>
      </c>
      <c r="N320" s="7">
        <v>527.45997375280001</v>
      </c>
      <c r="O320" s="7">
        <v>536.73154664389995</v>
      </c>
      <c r="P320" s="7">
        <v>524.53191237290002</v>
      </c>
      <c r="Q320">
        <v>1</v>
      </c>
      <c r="R320">
        <v>0</v>
      </c>
      <c r="S320" s="11">
        <v>45763.666666666664</v>
      </c>
      <c r="T320">
        <v>2208</v>
      </c>
    </row>
    <row r="321" spans="1:20">
      <c r="A321" s="11">
        <v>45763.4375</v>
      </c>
      <c r="B321" s="11">
        <v>45763.458333333336</v>
      </c>
      <c r="C321" s="10">
        <v>45763</v>
      </c>
      <c r="D321" s="7">
        <v>529.31320000000005</v>
      </c>
      <c r="E321" s="7">
        <v>1747144</v>
      </c>
      <c r="F321" s="7">
        <v>1747144</v>
      </c>
      <c r="G321" s="7">
        <v>9936651</v>
      </c>
      <c r="H321" s="7">
        <v>526.68830000000003</v>
      </c>
      <c r="I321" s="7">
        <v>534.54300000000001</v>
      </c>
      <c r="J321" s="7">
        <v>14</v>
      </c>
      <c r="K321" s="7">
        <v>7.6479093999999997E-3</v>
      </c>
      <c r="L321" s="7">
        <v>538.63113641610005</v>
      </c>
      <c r="M321" s="7">
        <v>522.66023561760005</v>
      </c>
      <c r="N321" s="7">
        <v>527.78582328879997</v>
      </c>
      <c r="O321" s="7">
        <v>538.63113641610005</v>
      </c>
      <c r="P321" s="7">
        <v>522.66023561760005</v>
      </c>
      <c r="Q321">
        <v>1</v>
      </c>
      <c r="R321">
        <v>0</v>
      </c>
      <c r="S321" s="11">
        <v>45763.666666666664</v>
      </c>
      <c r="T321">
        <v>2207</v>
      </c>
    </row>
    <row r="322" spans="1:20">
      <c r="A322" s="11">
        <v>45763.458333333336</v>
      </c>
      <c r="B322" s="11">
        <v>45763.479166666664</v>
      </c>
      <c r="C322" s="10">
        <v>45763</v>
      </c>
      <c r="D322" s="7">
        <v>531.66970000000003</v>
      </c>
      <c r="E322" s="7">
        <v>2395136</v>
      </c>
      <c r="F322" s="7">
        <v>2395136</v>
      </c>
      <c r="G322" s="7">
        <v>12331787</v>
      </c>
      <c r="H322" s="7">
        <v>526.68830000000003</v>
      </c>
      <c r="I322" s="7">
        <v>534.54300000000001</v>
      </c>
      <c r="J322" s="7">
        <v>14</v>
      </c>
      <c r="K322" s="7">
        <v>6.4977869999999997E-3</v>
      </c>
      <c r="L322" s="7">
        <v>538.01634654780003</v>
      </c>
      <c r="M322" s="7">
        <v>523.26599161959996</v>
      </c>
      <c r="N322" s="7">
        <v>528.54016756440001</v>
      </c>
      <c r="O322" s="7">
        <v>538.01634654780003</v>
      </c>
      <c r="P322" s="7">
        <v>523.26599161959996</v>
      </c>
      <c r="Q322">
        <v>1</v>
      </c>
      <c r="R322">
        <v>0</v>
      </c>
      <c r="S322" s="11">
        <v>45763.666666666664</v>
      </c>
      <c r="T322">
        <v>2206</v>
      </c>
    </row>
    <row r="323" spans="1:20">
      <c r="A323" s="11">
        <v>45763.479166666664</v>
      </c>
      <c r="B323" s="11">
        <v>45763.5</v>
      </c>
      <c r="C323" s="10">
        <v>45763</v>
      </c>
      <c r="D323" s="7">
        <v>528.64700000000005</v>
      </c>
      <c r="E323" s="7">
        <v>1860020</v>
      </c>
      <c r="F323" s="7">
        <v>1860020</v>
      </c>
      <c r="G323" s="7">
        <v>14191807</v>
      </c>
      <c r="H323" s="7">
        <v>526.68830000000003</v>
      </c>
      <c r="I323" s="7">
        <v>534.54300000000001</v>
      </c>
      <c r="J323" s="7">
        <v>14</v>
      </c>
      <c r="K323" s="7">
        <v>7.8663295999999994E-3</v>
      </c>
      <c r="L323" s="7">
        <v>538.74789142379996</v>
      </c>
      <c r="M323" s="7">
        <v>522.54519623529995</v>
      </c>
      <c r="N323" s="7">
        <v>528.55416933790002</v>
      </c>
      <c r="O323" s="7">
        <v>538.74789142379996</v>
      </c>
      <c r="P323" s="7">
        <v>522.54519623529995</v>
      </c>
      <c r="Q323">
        <v>1</v>
      </c>
      <c r="R323">
        <v>0</v>
      </c>
      <c r="S323" s="11">
        <v>45763.666666666664</v>
      </c>
      <c r="T323">
        <v>2205</v>
      </c>
    </row>
    <row r="324" spans="1:20">
      <c r="A324" s="11">
        <v>45763.5</v>
      </c>
      <c r="B324" s="11">
        <v>45763.520833333336</v>
      </c>
      <c r="C324" s="10">
        <v>45763</v>
      </c>
      <c r="D324" s="7">
        <v>528.45809999999994</v>
      </c>
      <c r="E324" s="7">
        <v>1625145</v>
      </c>
      <c r="F324" s="7">
        <v>1625145</v>
      </c>
      <c r="G324" s="7">
        <v>15816952</v>
      </c>
      <c r="H324" s="7">
        <v>526.68830000000003</v>
      </c>
      <c r="I324" s="7">
        <v>534.54300000000001</v>
      </c>
      <c r="J324" s="7">
        <v>14</v>
      </c>
      <c r="K324" s="7">
        <v>9.6323842999999996E-3</v>
      </c>
      <c r="L324" s="7">
        <v>539.69192359140004</v>
      </c>
      <c r="M324" s="7">
        <v>521.61503589740005</v>
      </c>
      <c r="N324" s="7">
        <v>528.54429849780001</v>
      </c>
      <c r="O324" s="7">
        <v>539.69192359140004</v>
      </c>
      <c r="P324" s="7">
        <v>521.61503589740005</v>
      </c>
      <c r="Q324">
        <v>1</v>
      </c>
      <c r="R324">
        <v>0</v>
      </c>
      <c r="S324" s="11">
        <v>45763.666666666664</v>
      </c>
      <c r="T324">
        <v>2204</v>
      </c>
    </row>
    <row r="325" spans="1:20">
      <c r="A325" s="11">
        <v>45763.520833333336</v>
      </c>
      <c r="B325" s="11">
        <v>45763.541666666664</v>
      </c>
      <c r="C325" s="10">
        <v>45763</v>
      </c>
      <c r="D325" s="7">
        <v>527.73230000000001</v>
      </c>
      <c r="E325" s="7">
        <v>1576939</v>
      </c>
      <c r="F325" s="7">
        <v>1576939</v>
      </c>
      <c r="G325" s="7">
        <v>17393891</v>
      </c>
      <c r="H325" s="7">
        <v>526.68830000000003</v>
      </c>
      <c r="I325" s="7">
        <v>534.54300000000001</v>
      </c>
      <c r="J325" s="7">
        <v>14</v>
      </c>
      <c r="K325" s="7">
        <v>9.9796885000000002E-3</v>
      </c>
      <c r="L325" s="7">
        <v>539.87757265400001</v>
      </c>
      <c r="M325" s="7">
        <v>521.43211480570005</v>
      </c>
      <c r="N325" s="7">
        <v>528.47068230119999</v>
      </c>
      <c r="O325" s="7">
        <v>539.87757265400001</v>
      </c>
      <c r="P325" s="7">
        <v>521.43211480570005</v>
      </c>
      <c r="Q325">
        <v>1</v>
      </c>
      <c r="R325">
        <v>0</v>
      </c>
      <c r="S325" s="11">
        <v>45763.666666666664</v>
      </c>
      <c r="T325">
        <v>2203</v>
      </c>
    </row>
    <row r="326" spans="1:20">
      <c r="A326" s="11">
        <v>45763.541666666664</v>
      </c>
      <c r="B326" s="11">
        <v>45763.5625</v>
      </c>
      <c r="C326" s="10">
        <v>45763</v>
      </c>
      <c r="D326" s="7">
        <v>528.5874</v>
      </c>
      <c r="E326" s="7">
        <v>1510864</v>
      </c>
      <c r="F326" s="7">
        <v>1510864</v>
      </c>
      <c r="G326" s="7">
        <v>18904755</v>
      </c>
      <c r="H326" s="7">
        <v>526.68830000000003</v>
      </c>
      <c r="I326" s="7">
        <v>534.54300000000001</v>
      </c>
      <c r="J326" s="7">
        <v>14</v>
      </c>
      <c r="K326" s="7">
        <v>1.55289629E-2</v>
      </c>
      <c r="L326" s="7">
        <v>542.84389839209996</v>
      </c>
      <c r="M326" s="7">
        <v>518.50937695250002</v>
      </c>
      <c r="N326" s="7">
        <v>528.48001035480002</v>
      </c>
      <c r="O326" s="7">
        <v>542.84389839209996</v>
      </c>
      <c r="P326" s="7">
        <v>518.50937695250002</v>
      </c>
      <c r="Q326">
        <v>1</v>
      </c>
      <c r="R326">
        <v>0</v>
      </c>
      <c r="S326" s="11">
        <v>45763.666666666664</v>
      </c>
      <c r="T326">
        <v>2202</v>
      </c>
    </row>
    <row r="327" spans="1:20">
      <c r="A327" s="11">
        <v>45763.5625</v>
      </c>
      <c r="B327" s="11">
        <v>45763.583333333336</v>
      </c>
      <c r="C327" s="10">
        <v>45763</v>
      </c>
      <c r="D327" s="7">
        <v>521.15499999999997</v>
      </c>
      <c r="E327" s="7">
        <v>6616548</v>
      </c>
      <c r="F327" s="7">
        <v>6616548</v>
      </c>
      <c r="G327" s="7">
        <v>25521303</v>
      </c>
      <c r="H327" s="7">
        <v>526.68830000000003</v>
      </c>
      <c r="I327" s="7">
        <v>534.54300000000001</v>
      </c>
      <c r="J327" s="7">
        <v>14</v>
      </c>
      <c r="K327" s="7">
        <v>1.57058648E-2</v>
      </c>
      <c r="L327" s="7">
        <v>542.93846009260005</v>
      </c>
      <c r="M327" s="7">
        <v>518.41620476369997</v>
      </c>
      <c r="N327" s="7">
        <v>526.58095831139997</v>
      </c>
      <c r="O327" s="7">
        <v>542.93846009260005</v>
      </c>
      <c r="P327" s="7">
        <v>518.41620476369997</v>
      </c>
      <c r="Q327">
        <v>1</v>
      </c>
      <c r="R327">
        <v>0</v>
      </c>
      <c r="S327" s="11">
        <v>45763.666666666664</v>
      </c>
      <c r="T327">
        <v>2201</v>
      </c>
    </row>
    <row r="328" spans="1:20">
      <c r="A328" s="11">
        <v>45763.583333333336</v>
      </c>
      <c r="B328" s="11">
        <v>45763.604166666664</v>
      </c>
      <c r="C328" s="10">
        <v>45763</v>
      </c>
      <c r="D328" s="7">
        <v>522.91489999999999</v>
      </c>
      <c r="E328" s="7">
        <v>3954777</v>
      </c>
      <c r="F328" s="7">
        <v>3954777</v>
      </c>
      <c r="G328" s="7">
        <v>29476080</v>
      </c>
      <c r="H328" s="7">
        <v>526.68830000000003</v>
      </c>
      <c r="I328" s="7">
        <v>534.54300000000001</v>
      </c>
      <c r="J328" s="7">
        <v>14</v>
      </c>
      <c r="K328" s="7">
        <v>1.5983315599999999E-2</v>
      </c>
      <c r="L328" s="7">
        <v>543.08676948289997</v>
      </c>
      <c r="M328" s="7">
        <v>518.27007466630005</v>
      </c>
      <c r="N328" s="7">
        <v>526.08908683150003</v>
      </c>
      <c r="O328" s="7">
        <v>543.08676948289997</v>
      </c>
      <c r="P328" s="7">
        <v>518.27007466630005</v>
      </c>
      <c r="Q328">
        <v>1</v>
      </c>
      <c r="R328">
        <v>0</v>
      </c>
      <c r="S328" s="11">
        <v>45763.666666666664</v>
      </c>
      <c r="T328">
        <v>2200</v>
      </c>
    </row>
    <row r="329" spans="1:20">
      <c r="A329" s="11">
        <v>45763.604166666664</v>
      </c>
      <c r="B329" s="11">
        <v>45763.625</v>
      </c>
      <c r="C329" s="10">
        <v>45763</v>
      </c>
      <c r="D329" s="7">
        <v>519.9221</v>
      </c>
      <c r="E329" s="7">
        <v>3084358</v>
      </c>
      <c r="F329" s="7">
        <v>3084358</v>
      </c>
      <c r="G329" s="7">
        <v>32560438</v>
      </c>
      <c r="H329" s="7">
        <v>526.68830000000003</v>
      </c>
      <c r="I329" s="7">
        <v>534.54300000000001</v>
      </c>
      <c r="J329" s="7">
        <v>14</v>
      </c>
      <c r="K329" s="7">
        <v>1.48227875E-2</v>
      </c>
      <c r="L329" s="7">
        <v>542.46641728220004</v>
      </c>
      <c r="M329" s="7">
        <v>518.88131126650001</v>
      </c>
      <c r="N329" s="7">
        <v>525.50490564920005</v>
      </c>
      <c r="O329" s="7">
        <v>542.46641728220004</v>
      </c>
      <c r="P329" s="7">
        <v>518.88131126650001</v>
      </c>
      <c r="Q329">
        <v>1</v>
      </c>
      <c r="R329">
        <v>0</v>
      </c>
      <c r="S329" s="11">
        <v>45763.666666666664</v>
      </c>
      <c r="T329">
        <v>2199</v>
      </c>
    </row>
    <row r="330" spans="1:20">
      <c r="A330" s="11">
        <v>45763.625</v>
      </c>
      <c r="B330" s="11">
        <v>45763.645833333336</v>
      </c>
      <c r="C330" s="10">
        <v>45763</v>
      </c>
      <c r="D330" s="7">
        <v>517.90369999999996</v>
      </c>
      <c r="E330" s="7">
        <v>5143037</v>
      </c>
      <c r="F330" s="7">
        <v>5143037</v>
      </c>
      <c r="G330" s="7">
        <v>37703475</v>
      </c>
      <c r="H330" s="7">
        <v>526.68830000000003</v>
      </c>
      <c r="I330" s="7">
        <v>534.54300000000001</v>
      </c>
      <c r="J330" s="7">
        <v>14</v>
      </c>
      <c r="K330" s="7">
        <v>1.78521666E-2</v>
      </c>
      <c r="L330" s="7">
        <v>544.08575067360005</v>
      </c>
      <c r="M330" s="7">
        <v>517.28577273919996</v>
      </c>
      <c r="N330" s="7">
        <v>524.4680441424</v>
      </c>
      <c r="O330" s="7">
        <v>544.08575067360005</v>
      </c>
      <c r="P330" s="7">
        <v>517.28577273919996</v>
      </c>
      <c r="Q330">
        <v>1</v>
      </c>
      <c r="R330">
        <v>0</v>
      </c>
      <c r="S330" s="11">
        <v>45763.666666666664</v>
      </c>
      <c r="T330">
        <v>2198</v>
      </c>
    </row>
    <row r="331" spans="1:20">
      <c r="A331" s="11">
        <v>45763.645833333336</v>
      </c>
      <c r="B331" s="11">
        <v>45763.666666666664</v>
      </c>
      <c r="C331" s="10">
        <v>45763</v>
      </c>
      <c r="D331" s="7">
        <v>522.66139999999996</v>
      </c>
      <c r="E331" s="7">
        <v>12864682</v>
      </c>
      <c r="F331" s="7">
        <v>12864682</v>
      </c>
      <c r="G331" s="7">
        <v>50568157</v>
      </c>
      <c r="H331" s="7">
        <v>526.68830000000003</v>
      </c>
      <c r="I331" s="7">
        <v>534.54300000000001</v>
      </c>
      <c r="J331" s="7">
        <v>14</v>
      </c>
      <c r="K331" s="7">
        <v>2.1311314800000002E-2</v>
      </c>
      <c r="L331" s="7">
        <v>545.93481413079996</v>
      </c>
      <c r="M331" s="7">
        <v>515.4638798533</v>
      </c>
      <c r="N331" s="7">
        <v>524.00842876870001</v>
      </c>
      <c r="O331" s="7">
        <v>545.93481413079996</v>
      </c>
      <c r="P331" s="7">
        <v>515.4638798533</v>
      </c>
      <c r="Q331">
        <v>1</v>
      </c>
      <c r="R331">
        <v>1</v>
      </c>
      <c r="S331" s="11">
        <v>45763.666666666664</v>
      </c>
      <c r="T331">
        <v>2197</v>
      </c>
    </row>
    <row r="332" spans="1:20">
      <c r="A332" s="11">
        <v>45764.395833333336</v>
      </c>
      <c r="B332" s="11">
        <v>45764.416666666664</v>
      </c>
      <c r="C332" s="10">
        <v>45764</v>
      </c>
      <c r="D332" s="7">
        <v>525.64419999999996</v>
      </c>
      <c r="E332" s="7">
        <v>4346058</v>
      </c>
      <c r="F332" s="7">
        <v>4346058</v>
      </c>
      <c r="G332" s="7">
        <v>4346058</v>
      </c>
      <c r="H332" s="7">
        <v>525.64419999999996</v>
      </c>
      <c r="I332" s="7">
        <v>522.66120000000001</v>
      </c>
      <c r="J332" s="7">
        <v>14</v>
      </c>
      <c r="K332" s="7">
        <v>0</v>
      </c>
      <c r="L332" s="7">
        <v>525.64419999999996</v>
      </c>
      <c r="M332" s="7">
        <v>522.66120000000001</v>
      </c>
      <c r="N332" s="7">
        <v>525.64419999999996</v>
      </c>
      <c r="O332" s="7">
        <v>525.64419999999996</v>
      </c>
      <c r="P332" s="7">
        <v>522.66120000000001</v>
      </c>
      <c r="Q332">
        <v>1</v>
      </c>
      <c r="R332">
        <v>0</v>
      </c>
      <c r="S332" s="11">
        <v>45764.666666666664</v>
      </c>
      <c r="T332">
        <v>2195</v>
      </c>
    </row>
    <row r="333" spans="1:20">
      <c r="A333" s="11">
        <v>45764.416666666664</v>
      </c>
      <c r="B333" s="11">
        <v>45764.4375</v>
      </c>
      <c r="C333" s="10">
        <v>45764</v>
      </c>
      <c r="D333" s="7">
        <v>522.21400000000006</v>
      </c>
      <c r="E333" s="7">
        <v>2716056</v>
      </c>
      <c r="F333" s="7">
        <v>2716056</v>
      </c>
      <c r="G333" s="7">
        <v>7062114</v>
      </c>
      <c r="H333" s="7">
        <v>525.64419999999996</v>
      </c>
      <c r="I333" s="7">
        <v>522.66120000000001</v>
      </c>
      <c r="J333" s="7">
        <v>14</v>
      </c>
      <c r="K333" s="7">
        <v>4.2305724999999999E-3</v>
      </c>
      <c r="L333" s="7">
        <v>527.86797587729995</v>
      </c>
      <c r="M333" s="7">
        <v>520.4500439203</v>
      </c>
      <c r="N333" s="7">
        <v>524.32496113030004</v>
      </c>
      <c r="O333" s="7">
        <v>527.86797587729995</v>
      </c>
      <c r="P333" s="7">
        <v>520.4500439203</v>
      </c>
      <c r="Q333">
        <v>1</v>
      </c>
      <c r="R333">
        <v>0</v>
      </c>
      <c r="S333" s="11">
        <v>45764.666666666664</v>
      </c>
      <c r="T333">
        <v>2194</v>
      </c>
    </row>
    <row r="334" spans="1:20">
      <c r="A334" s="11">
        <v>45764.4375</v>
      </c>
      <c r="B334" s="11">
        <v>45764.458333333336</v>
      </c>
      <c r="C334" s="10">
        <v>45764</v>
      </c>
      <c r="D334" s="7">
        <v>522.05489999999998</v>
      </c>
      <c r="E334" s="7">
        <v>2733753</v>
      </c>
      <c r="F334" s="7">
        <v>2733753</v>
      </c>
      <c r="G334" s="7">
        <v>9795867</v>
      </c>
      <c r="H334" s="7">
        <v>525.64419999999996</v>
      </c>
      <c r="I334" s="7">
        <v>522.66120000000001</v>
      </c>
      <c r="J334" s="7">
        <v>14</v>
      </c>
      <c r="K334" s="7">
        <v>7.6878144000000004E-3</v>
      </c>
      <c r="L334" s="7">
        <v>529.68525504340005</v>
      </c>
      <c r="M334" s="7">
        <v>518.64307770690004</v>
      </c>
      <c r="N334" s="7">
        <v>523.69145044410004</v>
      </c>
      <c r="O334" s="7">
        <v>529.68525504340005</v>
      </c>
      <c r="P334" s="7">
        <v>518.64307770690004</v>
      </c>
      <c r="Q334">
        <v>1</v>
      </c>
      <c r="R334">
        <v>0</v>
      </c>
      <c r="S334" s="11">
        <v>45764.666666666664</v>
      </c>
      <c r="T334">
        <v>2193</v>
      </c>
    </row>
    <row r="335" spans="1:20">
      <c r="A335" s="11">
        <v>45764.458333333336</v>
      </c>
      <c r="B335" s="11">
        <v>45764.479166666664</v>
      </c>
      <c r="C335" s="10">
        <v>45764</v>
      </c>
      <c r="D335" s="7">
        <v>523.72389999999996</v>
      </c>
      <c r="E335" s="7">
        <v>2396662</v>
      </c>
      <c r="F335" s="7">
        <v>2396662</v>
      </c>
      <c r="G335" s="7">
        <v>12192529</v>
      </c>
      <c r="H335" s="7">
        <v>525.64419999999996</v>
      </c>
      <c r="I335" s="7">
        <v>522.66120000000001</v>
      </c>
      <c r="J335" s="7">
        <v>14</v>
      </c>
      <c r="K335" s="7">
        <v>6.9804421000000004E-3</v>
      </c>
      <c r="L335" s="7">
        <v>529.31342890070005</v>
      </c>
      <c r="M335" s="7">
        <v>519.01279375809997</v>
      </c>
      <c r="N335" s="7">
        <v>523.69782899090001</v>
      </c>
      <c r="O335" s="7">
        <v>529.31342890070005</v>
      </c>
      <c r="P335" s="7">
        <v>519.01279375809997</v>
      </c>
      <c r="Q335">
        <v>1</v>
      </c>
      <c r="R335">
        <v>0</v>
      </c>
      <c r="S335" s="11">
        <v>45764.666666666664</v>
      </c>
      <c r="T335">
        <v>2192</v>
      </c>
    </row>
    <row r="336" spans="1:20">
      <c r="A336" s="11">
        <v>45764.479166666664</v>
      </c>
      <c r="B336" s="11">
        <v>45764.5</v>
      </c>
      <c r="C336" s="10">
        <v>45764</v>
      </c>
      <c r="D336" s="7">
        <v>523.64580000000001</v>
      </c>
      <c r="E336" s="7">
        <v>1564613</v>
      </c>
      <c r="F336" s="7">
        <v>1564613</v>
      </c>
      <c r="G336" s="7">
        <v>13757142</v>
      </c>
      <c r="H336" s="7">
        <v>525.64419999999996</v>
      </c>
      <c r="I336" s="7">
        <v>522.66120000000001</v>
      </c>
      <c r="J336" s="7">
        <v>14</v>
      </c>
      <c r="K336" s="7">
        <v>8.0873455000000007E-3</v>
      </c>
      <c r="L336" s="7">
        <v>529.89526623100005</v>
      </c>
      <c r="M336" s="7">
        <v>518.43425832050002</v>
      </c>
      <c r="N336" s="7">
        <v>523.69191168370003</v>
      </c>
      <c r="O336" s="7">
        <v>529.89526623100005</v>
      </c>
      <c r="P336" s="7">
        <v>518.43425832050002</v>
      </c>
      <c r="Q336">
        <v>1</v>
      </c>
      <c r="R336">
        <v>0</v>
      </c>
      <c r="S336" s="11">
        <v>45764.666666666664</v>
      </c>
      <c r="T336">
        <v>2191</v>
      </c>
    </row>
    <row r="337" spans="1:20">
      <c r="A337" s="11">
        <v>45764.5</v>
      </c>
      <c r="B337" s="11">
        <v>45764.520833333336</v>
      </c>
      <c r="C337" s="10">
        <v>45764</v>
      </c>
      <c r="D337" s="7">
        <v>526.49940000000004</v>
      </c>
      <c r="E337" s="7">
        <v>5021580</v>
      </c>
      <c r="F337" s="7">
        <v>5021580</v>
      </c>
      <c r="G337" s="7">
        <v>18778722</v>
      </c>
      <c r="H337" s="7">
        <v>525.64419999999996</v>
      </c>
      <c r="I337" s="7">
        <v>522.66120000000001</v>
      </c>
      <c r="J337" s="7">
        <v>14</v>
      </c>
      <c r="K337" s="7">
        <v>9.8277945000000005E-3</v>
      </c>
      <c r="L337" s="7">
        <v>530.81012316639999</v>
      </c>
      <c r="M337" s="7">
        <v>517.52459314450005</v>
      </c>
      <c r="N337" s="7">
        <v>524.44265644580003</v>
      </c>
      <c r="O337" s="7">
        <v>530.81012316639999</v>
      </c>
      <c r="P337" s="7">
        <v>517.52459314450005</v>
      </c>
      <c r="Q337">
        <v>1</v>
      </c>
      <c r="R337">
        <v>0</v>
      </c>
      <c r="S337" s="11">
        <v>45764.666666666664</v>
      </c>
      <c r="T337">
        <v>2190</v>
      </c>
    </row>
    <row r="338" spans="1:20">
      <c r="A338" s="11">
        <v>45764.520833333336</v>
      </c>
      <c r="B338" s="11">
        <v>45764.541666666664</v>
      </c>
      <c r="C338" s="10">
        <v>45764</v>
      </c>
      <c r="D338" s="7">
        <v>527.00649999999996</v>
      </c>
      <c r="E338" s="7">
        <v>2421584</v>
      </c>
      <c r="F338" s="7">
        <v>2421584</v>
      </c>
      <c r="G338" s="7">
        <v>21200306</v>
      </c>
      <c r="H338" s="7">
        <v>525.64419999999996</v>
      </c>
      <c r="I338" s="7">
        <v>522.66120000000001</v>
      </c>
      <c r="J338" s="7">
        <v>14</v>
      </c>
      <c r="K338" s="7">
        <v>9.9258447999999999E-3</v>
      </c>
      <c r="L338" s="7">
        <v>530.86166273670005</v>
      </c>
      <c r="M338" s="7">
        <v>517.47334605829997</v>
      </c>
      <c r="N338" s="7">
        <v>524.73550894180005</v>
      </c>
      <c r="O338" s="7">
        <v>530.86166273670005</v>
      </c>
      <c r="P338" s="7">
        <v>517.47334605829997</v>
      </c>
      <c r="Q338">
        <v>1</v>
      </c>
      <c r="R338">
        <v>0</v>
      </c>
      <c r="S338" s="11">
        <v>45764.666666666664</v>
      </c>
      <c r="T338">
        <v>2189</v>
      </c>
    </row>
    <row r="339" spans="1:20">
      <c r="A339" s="11">
        <v>45764.541666666664</v>
      </c>
      <c r="B339" s="11">
        <v>45764.5625</v>
      </c>
      <c r="C339" s="10">
        <v>45764</v>
      </c>
      <c r="D339" s="7">
        <v>524.73450000000003</v>
      </c>
      <c r="E339" s="7">
        <v>1201429</v>
      </c>
      <c r="F339" s="7">
        <v>1201429</v>
      </c>
      <c r="G339" s="7">
        <v>22401735</v>
      </c>
      <c r="H339" s="7">
        <v>525.64419999999996</v>
      </c>
      <c r="I339" s="7">
        <v>522.66120000000001</v>
      </c>
      <c r="J339" s="7">
        <v>14</v>
      </c>
      <c r="K339" s="7">
        <v>1.5586042899999999E-2</v>
      </c>
      <c r="L339" s="7">
        <v>533.83691303939997</v>
      </c>
      <c r="M339" s="7">
        <v>514.51498012649995</v>
      </c>
      <c r="N339" s="7">
        <v>524.73545483119995</v>
      </c>
      <c r="O339" s="7">
        <v>533.83691303939997</v>
      </c>
      <c r="P339" s="7">
        <v>514.51498012649995</v>
      </c>
      <c r="Q339">
        <v>1</v>
      </c>
      <c r="R339">
        <v>0</v>
      </c>
      <c r="S339" s="11">
        <v>45764.666666666664</v>
      </c>
      <c r="T339">
        <v>2188</v>
      </c>
    </row>
    <row r="340" spans="1:20">
      <c r="A340" s="11">
        <v>45764.5625</v>
      </c>
      <c r="B340" s="11">
        <v>45764.583333333336</v>
      </c>
      <c r="C340" s="10">
        <v>45764</v>
      </c>
      <c r="D340" s="7">
        <v>526.55859999999996</v>
      </c>
      <c r="E340" s="7">
        <v>1524850</v>
      </c>
      <c r="F340" s="7">
        <v>1524850</v>
      </c>
      <c r="G340" s="7">
        <v>23926585</v>
      </c>
      <c r="H340" s="7">
        <v>525.64419999999996</v>
      </c>
      <c r="I340" s="7">
        <v>522.66120000000001</v>
      </c>
      <c r="J340" s="7">
        <v>14</v>
      </c>
      <c r="K340" s="7">
        <v>1.6236962399999999E-2</v>
      </c>
      <c r="L340" s="7">
        <v>534.17906510980004</v>
      </c>
      <c r="M340" s="7">
        <v>514.17476974900001</v>
      </c>
      <c r="N340" s="7">
        <v>524.8516445386</v>
      </c>
      <c r="O340" s="7">
        <v>534.17906510980004</v>
      </c>
      <c r="P340" s="7">
        <v>514.17476974900001</v>
      </c>
      <c r="Q340">
        <v>1</v>
      </c>
      <c r="R340">
        <v>0</v>
      </c>
      <c r="S340" s="11">
        <v>45764.666666666664</v>
      </c>
      <c r="T340">
        <v>2187</v>
      </c>
    </row>
    <row r="341" spans="1:20">
      <c r="A341" s="11">
        <v>45764.583333333336</v>
      </c>
      <c r="B341" s="11">
        <v>45764.604166666664</v>
      </c>
      <c r="C341" s="10">
        <v>45764</v>
      </c>
      <c r="D341" s="7">
        <v>527.10590000000002</v>
      </c>
      <c r="E341" s="7">
        <v>2163921</v>
      </c>
      <c r="F341" s="7">
        <v>2163921</v>
      </c>
      <c r="G341" s="7">
        <v>26090506</v>
      </c>
      <c r="H341" s="7">
        <v>525.64419999999996</v>
      </c>
      <c r="I341" s="7">
        <v>522.66120000000001</v>
      </c>
      <c r="J341" s="7">
        <v>14</v>
      </c>
      <c r="K341" s="7">
        <v>1.6440389100000001E-2</v>
      </c>
      <c r="L341" s="7">
        <v>534.28599516990005</v>
      </c>
      <c r="M341" s="7">
        <v>514.06844651079996</v>
      </c>
      <c r="N341" s="7">
        <v>525.03861027749997</v>
      </c>
      <c r="O341" s="7">
        <v>534.28599516990005</v>
      </c>
      <c r="P341" s="7">
        <v>514.06844651079996</v>
      </c>
      <c r="Q341">
        <v>1</v>
      </c>
      <c r="R341">
        <v>0</v>
      </c>
      <c r="S341" s="11">
        <v>45764.666666666664</v>
      </c>
      <c r="T341">
        <v>2186</v>
      </c>
    </row>
    <row r="342" spans="1:20">
      <c r="A342" s="11">
        <v>45764.604166666664</v>
      </c>
      <c r="B342" s="11">
        <v>45764.625</v>
      </c>
      <c r="C342" s="10">
        <v>45764</v>
      </c>
      <c r="D342" s="7">
        <v>525.52499999999998</v>
      </c>
      <c r="E342" s="7">
        <v>2565250</v>
      </c>
      <c r="F342" s="7">
        <v>2565250</v>
      </c>
      <c r="G342" s="7">
        <v>28655756</v>
      </c>
      <c r="H342" s="7">
        <v>525.64419999999996</v>
      </c>
      <c r="I342" s="7">
        <v>522.66120000000001</v>
      </c>
      <c r="J342" s="7">
        <v>14</v>
      </c>
      <c r="K342" s="7">
        <v>1.5641107000000001E-2</v>
      </c>
      <c r="L342" s="7">
        <v>533.86585719209995</v>
      </c>
      <c r="M342" s="7">
        <v>514.48620023019998</v>
      </c>
      <c r="N342" s="7">
        <v>525.08215166009995</v>
      </c>
      <c r="O342" s="7">
        <v>533.86585719209995</v>
      </c>
      <c r="P342" s="7">
        <v>514.48620023019998</v>
      </c>
      <c r="Q342">
        <v>1</v>
      </c>
      <c r="R342">
        <v>0</v>
      </c>
      <c r="S342" s="11">
        <v>45764.666666666664</v>
      </c>
      <c r="T342">
        <v>2185</v>
      </c>
    </row>
    <row r="343" spans="1:20">
      <c r="A343" s="11">
        <v>45764.625</v>
      </c>
      <c r="B343" s="11">
        <v>45764.645833333336</v>
      </c>
      <c r="C343" s="10">
        <v>45764</v>
      </c>
      <c r="D343" s="7">
        <v>524.19259999999997</v>
      </c>
      <c r="E343" s="7">
        <v>2981820</v>
      </c>
      <c r="F343" s="7">
        <v>2981820</v>
      </c>
      <c r="G343" s="7">
        <v>31637576</v>
      </c>
      <c r="H343" s="7">
        <v>525.64419999999996</v>
      </c>
      <c r="I343" s="7">
        <v>522.66120000000001</v>
      </c>
      <c r="J343" s="7">
        <v>14</v>
      </c>
      <c r="K343" s="7">
        <v>1.88644335E-2</v>
      </c>
      <c r="L343" s="7">
        <v>535.5601800618</v>
      </c>
      <c r="M343" s="7">
        <v>512.80149254330001</v>
      </c>
      <c r="N343" s="7">
        <v>524.99831202170003</v>
      </c>
      <c r="O343" s="7">
        <v>535.5601800618</v>
      </c>
      <c r="P343" s="7">
        <v>512.80149254330001</v>
      </c>
      <c r="Q343">
        <v>1</v>
      </c>
      <c r="R343">
        <v>0</v>
      </c>
      <c r="S343" s="11">
        <v>45764.666666666664</v>
      </c>
      <c r="T343">
        <v>2184</v>
      </c>
    </row>
    <row r="344" spans="1:20">
      <c r="A344" s="11">
        <v>45764.645833333336</v>
      </c>
      <c r="B344" s="11">
        <v>45764.666666666664</v>
      </c>
      <c r="C344" s="10">
        <v>45764</v>
      </c>
      <c r="D344" s="7">
        <v>523.40710000000001</v>
      </c>
      <c r="E344" s="7">
        <v>8399219</v>
      </c>
      <c r="F344" s="7">
        <v>8399219</v>
      </c>
      <c r="G344" s="7">
        <v>40036795</v>
      </c>
      <c r="H344" s="7">
        <v>525.64419999999996</v>
      </c>
      <c r="I344" s="7">
        <v>522.66120000000001</v>
      </c>
      <c r="J344" s="7">
        <v>14</v>
      </c>
      <c r="K344" s="7">
        <v>2.1699712400000001E-2</v>
      </c>
      <c r="L344" s="7">
        <v>537.05052795209997</v>
      </c>
      <c r="M344" s="7">
        <v>511.31960228999998</v>
      </c>
      <c r="N344" s="7">
        <v>524.66449563490005</v>
      </c>
      <c r="O344" s="7">
        <v>537.05052795209997</v>
      </c>
      <c r="P344" s="7">
        <v>511.31960228999998</v>
      </c>
      <c r="Q344">
        <v>1</v>
      </c>
      <c r="R344">
        <v>1</v>
      </c>
      <c r="S344" s="11">
        <v>45764.666666666664</v>
      </c>
      <c r="T344">
        <v>2183</v>
      </c>
    </row>
    <row r="345" spans="1:20">
      <c r="A345" s="11">
        <v>45768.395833333336</v>
      </c>
      <c r="B345" s="11">
        <v>45768.416666666664</v>
      </c>
      <c r="C345" s="10">
        <v>45768</v>
      </c>
      <c r="D345" s="7">
        <v>514.43859999999995</v>
      </c>
      <c r="E345" s="7">
        <v>3957939</v>
      </c>
      <c r="F345" s="7">
        <v>3957939</v>
      </c>
      <c r="G345" s="7">
        <v>3957939</v>
      </c>
      <c r="H345" s="7">
        <v>514.43859999999995</v>
      </c>
      <c r="I345" s="7">
        <v>523.40689999999995</v>
      </c>
      <c r="J345" s="7">
        <v>14</v>
      </c>
      <c r="K345" s="7">
        <v>0</v>
      </c>
      <c r="L345" s="7">
        <v>523.40689999999995</v>
      </c>
      <c r="M345" s="7">
        <v>514.43859999999995</v>
      </c>
      <c r="N345" s="7">
        <v>514.43859999999995</v>
      </c>
      <c r="O345" s="7">
        <v>523.40689999999995</v>
      </c>
      <c r="P345" s="7">
        <v>514.43859999999995</v>
      </c>
      <c r="Q345">
        <v>1</v>
      </c>
      <c r="R345">
        <v>0</v>
      </c>
      <c r="S345" s="11">
        <v>45768.666666666664</v>
      </c>
      <c r="T345">
        <v>2181</v>
      </c>
    </row>
    <row r="346" spans="1:20">
      <c r="A346" s="11">
        <v>45768.416666666664</v>
      </c>
      <c r="B346" s="11">
        <v>45768.4375</v>
      </c>
      <c r="C346" s="10">
        <v>45768</v>
      </c>
      <c r="D346" s="7">
        <v>512.61900000000003</v>
      </c>
      <c r="E346" s="7">
        <v>3346690</v>
      </c>
      <c r="F346" s="7">
        <v>3346690</v>
      </c>
      <c r="G346" s="7">
        <v>7304629</v>
      </c>
      <c r="H346" s="7">
        <v>514.43859999999995</v>
      </c>
      <c r="I346" s="7">
        <v>523.40689999999995</v>
      </c>
      <c r="J346" s="7">
        <v>14</v>
      </c>
      <c r="K346" s="7">
        <v>4.2558839999999997E-3</v>
      </c>
      <c r="L346" s="7">
        <v>525.63445904469995</v>
      </c>
      <c r="M346" s="7">
        <v>512.24920899970004</v>
      </c>
      <c r="N346" s="7">
        <v>513.60493177069998</v>
      </c>
      <c r="O346" s="7">
        <v>525.63445904469995</v>
      </c>
      <c r="P346" s="7">
        <v>512.24920899970004</v>
      </c>
      <c r="Q346">
        <v>1</v>
      </c>
      <c r="R346">
        <v>0</v>
      </c>
      <c r="S346" s="11">
        <v>45768.666666666664</v>
      </c>
      <c r="T346">
        <v>2180</v>
      </c>
    </row>
    <row r="347" spans="1:20">
      <c r="A347" s="11">
        <v>45768.4375</v>
      </c>
      <c r="B347" s="11">
        <v>45768.458333333336</v>
      </c>
      <c r="C347" s="10">
        <v>45768</v>
      </c>
      <c r="D347" s="7">
        <v>511.6943</v>
      </c>
      <c r="E347" s="7">
        <v>3327585</v>
      </c>
      <c r="F347" s="7">
        <v>3327585</v>
      </c>
      <c r="G347" s="7">
        <v>10632214</v>
      </c>
      <c r="H347" s="7">
        <v>514.43859999999995</v>
      </c>
      <c r="I347" s="7">
        <v>523.40689999999995</v>
      </c>
      <c r="J347" s="7">
        <v>14</v>
      </c>
      <c r="K347" s="7">
        <v>7.6288297E-3</v>
      </c>
      <c r="L347" s="7">
        <v>527.39988209989997</v>
      </c>
      <c r="M347" s="7">
        <v>510.51403553339998</v>
      </c>
      <c r="N347" s="7">
        <v>513.00695757450001</v>
      </c>
      <c r="O347" s="7">
        <v>527.39988209989997</v>
      </c>
      <c r="P347" s="7">
        <v>510.51403553339998</v>
      </c>
      <c r="Q347">
        <v>1</v>
      </c>
      <c r="R347">
        <v>0</v>
      </c>
      <c r="S347" s="11">
        <v>45768.666666666664</v>
      </c>
      <c r="T347">
        <v>2179</v>
      </c>
    </row>
    <row r="348" spans="1:20">
      <c r="A348" s="11">
        <v>45768.458333333336</v>
      </c>
      <c r="B348" s="11">
        <v>45768.479166666664</v>
      </c>
      <c r="C348" s="10">
        <v>45768</v>
      </c>
      <c r="D348" s="7">
        <v>510.14319999999998</v>
      </c>
      <c r="E348" s="7">
        <v>2620092</v>
      </c>
      <c r="F348" s="7">
        <v>2620092</v>
      </c>
      <c r="G348" s="7">
        <v>13252306</v>
      </c>
      <c r="H348" s="7">
        <v>514.43859999999995</v>
      </c>
      <c r="I348" s="7">
        <v>523.40689999999995</v>
      </c>
      <c r="J348" s="7">
        <v>14</v>
      </c>
      <c r="K348" s="7">
        <v>6.7086052000000004E-3</v>
      </c>
      <c r="L348" s="7">
        <v>526.91823026530005</v>
      </c>
      <c r="M348" s="7">
        <v>510.98743451889999</v>
      </c>
      <c r="N348" s="7">
        <v>512.440768693</v>
      </c>
      <c r="O348" s="7">
        <v>526.91823026530005</v>
      </c>
      <c r="P348" s="7">
        <v>510.98743451889999</v>
      </c>
      <c r="Q348">
        <v>1</v>
      </c>
      <c r="R348">
        <v>0</v>
      </c>
      <c r="S348" s="11">
        <v>45768.666666666664</v>
      </c>
      <c r="T348">
        <v>2178</v>
      </c>
    </row>
    <row r="349" spans="1:20">
      <c r="A349" s="11">
        <v>45768.479166666664</v>
      </c>
      <c r="B349" s="11">
        <v>45768.5</v>
      </c>
      <c r="C349" s="10">
        <v>45768</v>
      </c>
      <c r="D349" s="7">
        <v>508.1447</v>
      </c>
      <c r="E349" s="7">
        <v>3322889</v>
      </c>
      <c r="F349" s="7">
        <v>3322889</v>
      </c>
      <c r="G349" s="7">
        <v>16575195</v>
      </c>
      <c r="H349" s="7">
        <v>514.43859999999995</v>
      </c>
      <c r="I349" s="7">
        <v>523.40689999999995</v>
      </c>
      <c r="J349" s="7">
        <v>14</v>
      </c>
      <c r="K349" s="7">
        <v>7.7056232000000001E-3</v>
      </c>
      <c r="L349" s="7">
        <v>527.44007635269998</v>
      </c>
      <c r="M349" s="7">
        <v>510.47452998789998</v>
      </c>
      <c r="N349" s="7">
        <v>511.57952033949999</v>
      </c>
      <c r="O349" s="7">
        <v>527.44007635269998</v>
      </c>
      <c r="P349" s="7">
        <v>510.47452998789998</v>
      </c>
      <c r="Q349">
        <v>1</v>
      </c>
      <c r="R349">
        <v>0</v>
      </c>
      <c r="S349" s="11">
        <v>45768.666666666664</v>
      </c>
      <c r="T349">
        <v>2177</v>
      </c>
    </row>
    <row r="350" spans="1:20">
      <c r="A350" s="11">
        <v>45768.5</v>
      </c>
      <c r="B350" s="11">
        <v>45768.520833333336</v>
      </c>
      <c r="C350" s="10">
        <v>45768</v>
      </c>
      <c r="D350" s="7">
        <v>508.71140000000003</v>
      </c>
      <c r="E350" s="7">
        <v>2532048</v>
      </c>
      <c r="F350" s="7">
        <v>2532048</v>
      </c>
      <c r="G350" s="7">
        <v>19107243</v>
      </c>
      <c r="H350" s="7">
        <v>514.43859999999995</v>
      </c>
      <c r="I350" s="7">
        <v>523.40689999999995</v>
      </c>
      <c r="J350" s="7">
        <v>14</v>
      </c>
      <c r="K350" s="7">
        <v>9.1524555E-3</v>
      </c>
      <c r="L350" s="7">
        <v>528.19735835339998</v>
      </c>
      <c r="M350" s="7">
        <v>509.7302236132</v>
      </c>
      <c r="N350" s="7">
        <v>511.19944361310002</v>
      </c>
      <c r="O350" s="7">
        <v>528.19735835339998</v>
      </c>
      <c r="P350" s="7">
        <v>509.7302236132</v>
      </c>
      <c r="Q350">
        <v>1</v>
      </c>
      <c r="R350">
        <v>0</v>
      </c>
      <c r="S350" s="11">
        <v>45768.666666666664</v>
      </c>
      <c r="T350">
        <v>2176</v>
      </c>
    </row>
    <row r="351" spans="1:20">
      <c r="A351" s="11">
        <v>45768.520833333336</v>
      </c>
      <c r="B351" s="11">
        <v>45768.541666666664</v>
      </c>
      <c r="C351" s="10">
        <v>45768</v>
      </c>
      <c r="D351" s="7">
        <v>508.3236</v>
      </c>
      <c r="E351" s="7">
        <v>2830485</v>
      </c>
      <c r="F351" s="7">
        <v>2830485</v>
      </c>
      <c r="G351" s="7">
        <v>21937728</v>
      </c>
      <c r="H351" s="7">
        <v>514.43859999999995</v>
      </c>
      <c r="I351" s="7">
        <v>523.40689999999995</v>
      </c>
      <c r="J351" s="7">
        <v>14</v>
      </c>
      <c r="K351" s="7">
        <v>9.2775558000000001E-3</v>
      </c>
      <c r="L351" s="7">
        <v>528.26283672629995</v>
      </c>
      <c r="M351" s="7">
        <v>509.6658671774</v>
      </c>
      <c r="N351" s="7">
        <v>510.82839187019999</v>
      </c>
      <c r="O351" s="7">
        <v>528.26283672629995</v>
      </c>
      <c r="P351" s="7">
        <v>509.6658671774</v>
      </c>
      <c r="Q351">
        <v>1</v>
      </c>
      <c r="R351">
        <v>0</v>
      </c>
      <c r="S351" s="11">
        <v>45768.666666666664</v>
      </c>
      <c r="T351">
        <v>2175</v>
      </c>
    </row>
    <row r="352" spans="1:20">
      <c r="A352" s="11">
        <v>45768.541666666664</v>
      </c>
      <c r="B352" s="11">
        <v>45768.5625</v>
      </c>
      <c r="C352" s="10">
        <v>45768</v>
      </c>
      <c r="D352" s="7">
        <v>507.00130000000001</v>
      </c>
      <c r="E352" s="7">
        <v>3463712</v>
      </c>
      <c r="F352" s="7">
        <v>3463712</v>
      </c>
      <c r="G352" s="7">
        <v>25401440</v>
      </c>
      <c r="H352" s="7">
        <v>514.43859999999995</v>
      </c>
      <c r="I352" s="7">
        <v>523.40689999999995</v>
      </c>
      <c r="J352" s="7">
        <v>14</v>
      </c>
      <c r="K352" s="7">
        <v>1.47341794E-2</v>
      </c>
      <c r="L352" s="7">
        <v>531.11887113980004</v>
      </c>
      <c r="M352" s="7">
        <v>506.85876940089997</v>
      </c>
      <c r="N352" s="7">
        <v>510.30653389539998</v>
      </c>
      <c r="O352" s="7">
        <v>531.11887113980004</v>
      </c>
      <c r="P352" s="7">
        <v>506.85876940089997</v>
      </c>
      <c r="Q352">
        <v>1</v>
      </c>
      <c r="R352">
        <v>0</v>
      </c>
      <c r="S352" s="11">
        <v>45768.666666666664</v>
      </c>
      <c r="T352">
        <v>2174</v>
      </c>
    </row>
    <row r="353" spans="1:20">
      <c r="A353" s="11">
        <v>45768.5625</v>
      </c>
      <c r="B353" s="11">
        <v>45768.583333333336</v>
      </c>
      <c r="C353" s="10">
        <v>45768</v>
      </c>
      <c r="D353" s="7">
        <v>506.09350000000001</v>
      </c>
      <c r="E353" s="7">
        <v>1914948</v>
      </c>
      <c r="F353" s="7">
        <v>1914948</v>
      </c>
      <c r="G353" s="7">
        <v>27316388</v>
      </c>
      <c r="H353" s="7">
        <v>514.43859999999995</v>
      </c>
      <c r="I353" s="7">
        <v>523.40689999999995</v>
      </c>
      <c r="J353" s="7">
        <v>14</v>
      </c>
      <c r="K353" s="7">
        <v>1.5510050399999999E-2</v>
      </c>
      <c r="L353" s="7">
        <v>531.52496738050002</v>
      </c>
      <c r="M353" s="7">
        <v>506.45963140420002</v>
      </c>
      <c r="N353" s="7">
        <v>510.01118954639998</v>
      </c>
      <c r="O353" s="7">
        <v>531.52496738050002</v>
      </c>
      <c r="P353" s="7">
        <v>506.45963140420002</v>
      </c>
      <c r="Q353">
        <v>1</v>
      </c>
      <c r="R353">
        <v>0</v>
      </c>
      <c r="S353" s="11">
        <v>45768.666666666664</v>
      </c>
      <c r="T353">
        <v>2173</v>
      </c>
    </row>
    <row r="354" spans="1:20">
      <c r="A354" s="11">
        <v>45768.583333333336</v>
      </c>
      <c r="B354" s="11">
        <v>45768.604166666664</v>
      </c>
      <c r="C354" s="10">
        <v>45768</v>
      </c>
      <c r="D354" s="7">
        <v>507.03100000000001</v>
      </c>
      <c r="E354" s="7">
        <v>2706051</v>
      </c>
      <c r="F354" s="7">
        <v>2706051</v>
      </c>
      <c r="G354" s="7">
        <v>30022439</v>
      </c>
      <c r="H354" s="7">
        <v>514.43859999999995</v>
      </c>
      <c r="I354" s="7">
        <v>523.40689999999995</v>
      </c>
      <c r="J354" s="7">
        <v>14</v>
      </c>
      <c r="K354" s="7">
        <v>1.5734571499999999E-2</v>
      </c>
      <c r="L354" s="7">
        <v>531.64248327140001</v>
      </c>
      <c r="M354" s="7">
        <v>506.34412908590002</v>
      </c>
      <c r="N354" s="7">
        <v>509.74257229969999</v>
      </c>
      <c r="O354" s="7">
        <v>531.64248327140001</v>
      </c>
      <c r="P354" s="7">
        <v>506.34412908590002</v>
      </c>
      <c r="Q354">
        <v>1</v>
      </c>
      <c r="R354">
        <v>0</v>
      </c>
      <c r="S354" s="11">
        <v>45768.666666666664</v>
      </c>
      <c r="T354">
        <v>2172</v>
      </c>
    </row>
    <row r="355" spans="1:20">
      <c r="A355" s="11">
        <v>45768.604166666664</v>
      </c>
      <c r="B355" s="11">
        <v>45768.625</v>
      </c>
      <c r="C355" s="10">
        <v>45768</v>
      </c>
      <c r="D355" s="7">
        <v>505.86770000000001</v>
      </c>
      <c r="E355" s="7">
        <v>2733497</v>
      </c>
      <c r="F355" s="7">
        <v>2733497</v>
      </c>
      <c r="G355" s="7">
        <v>32755936</v>
      </c>
      <c r="H355" s="7">
        <v>514.43859999999995</v>
      </c>
      <c r="I355" s="7">
        <v>523.40689999999995</v>
      </c>
      <c r="J355" s="7">
        <v>14</v>
      </c>
      <c r="K355" s="7">
        <v>1.4775684000000001E-2</v>
      </c>
      <c r="L355" s="7">
        <v>531.14059498170002</v>
      </c>
      <c r="M355" s="7">
        <v>506.83741778550001</v>
      </c>
      <c r="N355" s="7">
        <v>509.4192125335</v>
      </c>
      <c r="O355" s="7">
        <v>531.14059498170002</v>
      </c>
      <c r="P355" s="7">
        <v>506.83741778550001</v>
      </c>
      <c r="Q355">
        <v>1</v>
      </c>
      <c r="R355">
        <v>0</v>
      </c>
      <c r="S355" s="11">
        <v>45768.666666666664</v>
      </c>
      <c r="T355">
        <v>2171</v>
      </c>
    </row>
    <row r="356" spans="1:20">
      <c r="A356" s="11">
        <v>45768.625</v>
      </c>
      <c r="B356" s="11">
        <v>45768.645833333336</v>
      </c>
      <c r="C356" s="10">
        <v>45768</v>
      </c>
      <c r="D356" s="7">
        <v>507.50830000000002</v>
      </c>
      <c r="E356" s="7">
        <v>3553041</v>
      </c>
      <c r="F356" s="7">
        <v>3553041</v>
      </c>
      <c r="G356" s="7">
        <v>36308977</v>
      </c>
      <c r="H356" s="7">
        <v>514.43859999999995</v>
      </c>
      <c r="I356" s="7">
        <v>523.40689999999995</v>
      </c>
      <c r="J356" s="7">
        <v>14</v>
      </c>
      <c r="K356" s="7">
        <v>1.8136945599999999E-2</v>
      </c>
      <c r="L356" s="7">
        <v>532.89990248590004</v>
      </c>
      <c r="M356" s="7">
        <v>505.1082550836</v>
      </c>
      <c r="N356" s="7">
        <v>509.23221881630002</v>
      </c>
      <c r="O356" s="7">
        <v>532.89990248590004</v>
      </c>
      <c r="P356" s="7">
        <v>505.1082550836</v>
      </c>
      <c r="Q356">
        <v>1</v>
      </c>
      <c r="R356">
        <v>0</v>
      </c>
      <c r="S356" s="11">
        <v>45768.666666666664</v>
      </c>
      <c r="T356">
        <v>2170</v>
      </c>
    </row>
    <row r="357" spans="1:20">
      <c r="A357" s="11">
        <v>45768.645833333336</v>
      </c>
      <c r="B357" s="11">
        <v>45768.666666666664</v>
      </c>
      <c r="C357" s="10">
        <v>45768</v>
      </c>
      <c r="D357" s="7">
        <v>510.9486</v>
      </c>
      <c r="E357" s="7">
        <v>12110765</v>
      </c>
      <c r="F357" s="7">
        <v>12110765</v>
      </c>
      <c r="G357" s="7">
        <v>48419742</v>
      </c>
      <c r="H357" s="7">
        <v>514.43859999999995</v>
      </c>
      <c r="I357" s="7">
        <v>523.40689999999995</v>
      </c>
      <c r="J357" s="7">
        <v>14</v>
      </c>
      <c r="K357" s="7">
        <v>2.1061192499999999E-2</v>
      </c>
      <c r="L357" s="7">
        <v>534.43047349350002</v>
      </c>
      <c r="M357" s="7">
        <v>503.60390959950001</v>
      </c>
      <c r="N357" s="7">
        <v>509.6615207561</v>
      </c>
      <c r="O357" s="7">
        <v>534.43047349350002</v>
      </c>
      <c r="P357" s="7">
        <v>503.60390959950001</v>
      </c>
      <c r="Q357">
        <v>1</v>
      </c>
      <c r="R357">
        <v>1</v>
      </c>
      <c r="S357" s="11">
        <v>45768.666666666664</v>
      </c>
      <c r="T357">
        <v>2169</v>
      </c>
    </row>
    <row r="358" spans="1:20">
      <c r="A358" s="11">
        <v>45769.395833333336</v>
      </c>
      <c r="B358" s="11">
        <v>45769.416666666664</v>
      </c>
      <c r="C358" s="10">
        <v>45769</v>
      </c>
      <c r="D358" s="7">
        <v>518.94269999999995</v>
      </c>
      <c r="E358" s="7">
        <v>4181443</v>
      </c>
      <c r="F358" s="7">
        <v>4181443</v>
      </c>
      <c r="G358" s="7">
        <v>4181443</v>
      </c>
      <c r="H358" s="7">
        <v>518.94269999999995</v>
      </c>
      <c r="I358" s="7">
        <v>510.94839999999999</v>
      </c>
      <c r="J358" s="7">
        <v>14</v>
      </c>
      <c r="K358" s="7">
        <v>0</v>
      </c>
      <c r="L358" s="7">
        <v>518.94269999999995</v>
      </c>
      <c r="M358" s="7">
        <v>510.94839999999999</v>
      </c>
      <c r="N358" s="7">
        <v>518.94269999999995</v>
      </c>
      <c r="O358" s="7">
        <v>518.94269999999995</v>
      </c>
      <c r="P358" s="7">
        <v>510.94839999999999</v>
      </c>
      <c r="Q358">
        <v>1</v>
      </c>
      <c r="R358">
        <v>0</v>
      </c>
      <c r="S358" s="11">
        <v>45769.666666666664</v>
      </c>
      <c r="T358">
        <v>2167</v>
      </c>
    </row>
    <row r="359" spans="1:20">
      <c r="A359" s="11">
        <v>45769.416666666664</v>
      </c>
      <c r="B359" s="11">
        <v>45769.4375</v>
      </c>
      <c r="C359" s="10">
        <v>45769</v>
      </c>
      <c r="D359" s="7">
        <v>520.07619999999997</v>
      </c>
      <c r="E359" s="7">
        <v>3165256</v>
      </c>
      <c r="F359" s="7">
        <v>3165256</v>
      </c>
      <c r="G359" s="7">
        <v>7346699</v>
      </c>
      <c r="H359" s="7">
        <v>518.94269999999995</v>
      </c>
      <c r="I359" s="7">
        <v>510.94839999999999</v>
      </c>
      <c r="J359" s="7">
        <v>14</v>
      </c>
      <c r="K359" s="7">
        <v>4.4806046999999998E-3</v>
      </c>
      <c r="L359" s="7">
        <v>521.26787708359996</v>
      </c>
      <c r="M359" s="7">
        <v>508.65904221429997</v>
      </c>
      <c r="N359" s="7">
        <v>519.43105778840004</v>
      </c>
      <c r="O359" s="7">
        <v>521.26787708359996</v>
      </c>
      <c r="P359" s="7">
        <v>508.65904221429997</v>
      </c>
      <c r="Q359">
        <v>1</v>
      </c>
      <c r="R359">
        <v>0</v>
      </c>
      <c r="S359" s="11">
        <v>45769.666666666664</v>
      </c>
      <c r="T359">
        <v>2166</v>
      </c>
    </row>
    <row r="360" spans="1:20">
      <c r="A360" s="11">
        <v>45769.4375</v>
      </c>
      <c r="B360" s="11">
        <v>45769.458333333336</v>
      </c>
      <c r="C360" s="10">
        <v>45769</v>
      </c>
      <c r="D360" s="7">
        <v>521.68700000000001</v>
      </c>
      <c r="E360" s="7">
        <v>2754368</v>
      </c>
      <c r="F360" s="7">
        <v>2754368</v>
      </c>
      <c r="G360" s="7">
        <v>10101067</v>
      </c>
      <c r="H360" s="7">
        <v>518.94269999999995</v>
      </c>
      <c r="I360" s="7">
        <v>510.94839999999999</v>
      </c>
      <c r="J360" s="7">
        <v>14</v>
      </c>
      <c r="K360" s="7">
        <v>7.7519449999999997E-3</v>
      </c>
      <c r="L360" s="7">
        <v>522.96551525200005</v>
      </c>
      <c r="M360" s="7">
        <v>506.98755612169998</v>
      </c>
      <c r="N360" s="7">
        <v>520.04621013200006</v>
      </c>
      <c r="O360" s="7">
        <v>522.96551525200005</v>
      </c>
      <c r="P360" s="7">
        <v>506.98755612169998</v>
      </c>
      <c r="Q360">
        <v>1</v>
      </c>
      <c r="R360">
        <v>0</v>
      </c>
      <c r="S360" s="11">
        <v>45769.666666666664</v>
      </c>
      <c r="T360">
        <v>2165</v>
      </c>
    </row>
    <row r="361" spans="1:20">
      <c r="A361" s="11">
        <v>45769.458333333336</v>
      </c>
      <c r="B361" s="11">
        <v>45769.479166666664</v>
      </c>
      <c r="C361" s="10">
        <v>45769</v>
      </c>
      <c r="D361" s="7">
        <v>521.95540000000005</v>
      </c>
      <c r="E361" s="7">
        <v>2969637</v>
      </c>
      <c r="F361" s="7">
        <v>2969637</v>
      </c>
      <c r="G361" s="7">
        <v>13070704</v>
      </c>
      <c r="H361" s="7">
        <v>518.94269999999995</v>
      </c>
      <c r="I361" s="7">
        <v>510.94839999999999</v>
      </c>
      <c r="J361" s="7">
        <v>14</v>
      </c>
      <c r="K361" s="7">
        <v>6.9483447999999998E-3</v>
      </c>
      <c r="L361" s="7">
        <v>522.5484928116</v>
      </c>
      <c r="M361" s="7">
        <v>507.39815434119998</v>
      </c>
      <c r="N361" s="7">
        <v>520.47997413370001</v>
      </c>
      <c r="O361" s="7">
        <v>522.5484928116</v>
      </c>
      <c r="P361" s="7">
        <v>507.39815434119998</v>
      </c>
      <c r="Q361">
        <v>1</v>
      </c>
      <c r="R361">
        <v>0</v>
      </c>
      <c r="S361" s="11">
        <v>45769.666666666664</v>
      </c>
      <c r="T361">
        <v>2164</v>
      </c>
    </row>
    <row r="362" spans="1:20">
      <c r="A362" s="11">
        <v>45769.479166666664</v>
      </c>
      <c r="B362" s="11">
        <v>45769.5</v>
      </c>
      <c r="C362" s="10">
        <v>45769</v>
      </c>
      <c r="D362" s="7">
        <v>523.20830000000001</v>
      </c>
      <c r="E362" s="7">
        <v>3393178</v>
      </c>
      <c r="F362" s="7">
        <v>3393178</v>
      </c>
      <c r="G362" s="7">
        <v>16463882</v>
      </c>
      <c r="H362" s="7">
        <v>518.94269999999995</v>
      </c>
      <c r="I362" s="7">
        <v>510.94839999999999</v>
      </c>
      <c r="J362" s="7">
        <v>14</v>
      </c>
      <c r="K362" s="7">
        <v>8.1097979999999997E-3</v>
      </c>
      <c r="L362" s="7">
        <v>523.1512204572</v>
      </c>
      <c r="M362" s="7">
        <v>506.80471170070001</v>
      </c>
      <c r="N362" s="7">
        <v>521.04227744139996</v>
      </c>
      <c r="O362" s="7">
        <v>523.1512204572</v>
      </c>
      <c r="P362" s="7">
        <v>506.80471170070001</v>
      </c>
      <c r="Q362">
        <v>1</v>
      </c>
      <c r="R362">
        <v>0</v>
      </c>
      <c r="S362" s="11">
        <v>45769.666666666664</v>
      </c>
      <c r="T362">
        <v>2163</v>
      </c>
    </row>
    <row r="363" spans="1:20">
      <c r="A363" s="11">
        <v>45769.5</v>
      </c>
      <c r="B363" s="11">
        <v>45769.520833333336</v>
      </c>
      <c r="C363" s="10">
        <v>45769</v>
      </c>
      <c r="D363" s="7">
        <v>525.84810000000004</v>
      </c>
      <c r="E363" s="7">
        <v>5537595</v>
      </c>
      <c r="F363" s="7">
        <v>5537595</v>
      </c>
      <c r="G363" s="7">
        <v>22001477</v>
      </c>
      <c r="H363" s="7">
        <v>518.94269999999995</v>
      </c>
      <c r="I363" s="7">
        <v>510.94839999999999</v>
      </c>
      <c r="J363" s="7">
        <v>14</v>
      </c>
      <c r="K363" s="7">
        <v>9.3374375999999999E-3</v>
      </c>
      <c r="L363" s="7">
        <v>523.78829506620002</v>
      </c>
      <c r="M363" s="7">
        <v>506.177451211</v>
      </c>
      <c r="N363" s="7">
        <v>522.25186436920001</v>
      </c>
      <c r="O363" s="7">
        <v>523.78829506620002</v>
      </c>
      <c r="P363" s="7">
        <v>506.177451211</v>
      </c>
      <c r="Q363">
        <v>1</v>
      </c>
      <c r="R363">
        <v>0</v>
      </c>
      <c r="S363" s="11">
        <v>45769.666666666664</v>
      </c>
      <c r="T363">
        <v>2162</v>
      </c>
    </row>
    <row r="364" spans="1:20">
      <c r="A364" s="11">
        <v>45769.520833333336</v>
      </c>
      <c r="B364" s="11">
        <v>45769.541666666664</v>
      </c>
      <c r="C364" s="10">
        <v>45769</v>
      </c>
      <c r="D364" s="7">
        <v>524.59029999999996</v>
      </c>
      <c r="E364" s="7">
        <v>2740017</v>
      </c>
      <c r="F364" s="7">
        <v>2740017</v>
      </c>
      <c r="G364" s="7">
        <v>24741494</v>
      </c>
      <c r="H364" s="7">
        <v>518.94269999999995</v>
      </c>
      <c r="I364" s="7">
        <v>510.94839999999999</v>
      </c>
      <c r="J364" s="7">
        <v>14</v>
      </c>
      <c r="K364" s="7">
        <v>9.6672929000000008E-3</v>
      </c>
      <c r="L364" s="7">
        <v>523.95947108849998</v>
      </c>
      <c r="M364" s="7">
        <v>506.00891215130002</v>
      </c>
      <c r="N364" s="7">
        <v>522.51083633680003</v>
      </c>
      <c r="O364" s="7">
        <v>523.95947108849998</v>
      </c>
      <c r="P364" s="7">
        <v>506.00891215130002</v>
      </c>
      <c r="Q364">
        <v>1</v>
      </c>
      <c r="R364">
        <v>0</v>
      </c>
      <c r="S364" s="11">
        <v>45769.666666666664</v>
      </c>
      <c r="T364">
        <v>2161</v>
      </c>
    </row>
    <row r="365" spans="1:20">
      <c r="A365" s="11">
        <v>45769.541666666664</v>
      </c>
      <c r="B365" s="11">
        <v>45769.5625</v>
      </c>
      <c r="C365" s="10">
        <v>45769</v>
      </c>
      <c r="D365" s="7">
        <v>519.60389999999995</v>
      </c>
      <c r="E365" s="7">
        <v>6457677</v>
      </c>
      <c r="F365" s="7">
        <v>6457677</v>
      </c>
      <c r="G365" s="7">
        <v>31199171</v>
      </c>
      <c r="H365" s="7">
        <v>518.94269999999995</v>
      </c>
      <c r="I365" s="7">
        <v>510.94839999999999</v>
      </c>
      <c r="J365" s="7">
        <v>14</v>
      </c>
      <c r="K365" s="7">
        <v>1.52556867E-2</v>
      </c>
      <c r="L365" s="7">
        <v>526.85952727150004</v>
      </c>
      <c r="M365" s="7">
        <v>503.15353126510001</v>
      </c>
      <c r="N365" s="7">
        <v>521.90915189069995</v>
      </c>
      <c r="O365" s="7">
        <v>526.85952727150004</v>
      </c>
      <c r="P365" s="7">
        <v>503.15353126510001</v>
      </c>
      <c r="Q365">
        <v>1</v>
      </c>
      <c r="R365">
        <v>0</v>
      </c>
      <c r="S365" s="11">
        <v>45769.666666666664</v>
      </c>
      <c r="T365">
        <v>2160</v>
      </c>
    </row>
    <row r="366" spans="1:20">
      <c r="A366" s="11">
        <v>45769.5625</v>
      </c>
      <c r="B366" s="11">
        <v>45769.583333333336</v>
      </c>
      <c r="C366" s="10">
        <v>45769</v>
      </c>
      <c r="D366" s="7">
        <v>518.85820000000001</v>
      </c>
      <c r="E366" s="7">
        <v>3165499</v>
      </c>
      <c r="F366" s="7">
        <v>3165499</v>
      </c>
      <c r="G366" s="7">
        <v>34364670</v>
      </c>
      <c r="H366" s="7">
        <v>518.94269999999995</v>
      </c>
      <c r="I366" s="7">
        <v>510.94839999999999</v>
      </c>
      <c r="J366" s="7">
        <v>14</v>
      </c>
      <c r="K366" s="7">
        <v>1.6230222799999999E-2</v>
      </c>
      <c r="L366" s="7">
        <v>527.3652556472</v>
      </c>
      <c r="M366" s="7">
        <v>502.65559362300002</v>
      </c>
      <c r="N366" s="7">
        <v>521.62811368600001</v>
      </c>
      <c r="O366" s="7">
        <v>527.3652556472</v>
      </c>
      <c r="P366" s="7">
        <v>502.65559362300002</v>
      </c>
      <c r="Q366">
        <v>1</v>
      </c>
      <c r="R366">
        <v>0</v>
      </c>
      <c r="S366" s="11">
        <v>45769.666666666664</v>
      </c>
      <c r="T366">
        <v>2159</v>
      </c>
    </row>
    <row r="367" spans="1:20">
      <c r="A367" s="11">
        <v>45769.583333333336</v>
      </c>
      <c r="B367" s="11">
        <v>45769.604166666664</v>
      </c>
      <c r="C367" s="10">
        <v>45769</v>
      </c>
      <c r="D367" s="7">
        <v>522.38300000000004</v>
      </c>
      <c r="E367" s="7">
        <v>2971042</v>
      </c>
      <c r="F367" s="7">
        <v>2971042</v>
      </c>
      <c r="G367" s="7">
        <v>37335712</v>
      </c>
      <c r="H367" s="7">
        <v>518.94269999999995</v>
      </c>
      <c r="I367" s="7">
        <v>510.94839999999999</v>
      </c>
      <c r="J367" s="7">
        <v>14</v>
      </c>
      <c r="K367" s="7">
        <v>1.5834705099999999E-2</v>
      </c>
      <c r="L367" s="7">
        <v>527.16000462399995</v>
      </c>
      <c r="M367" s="7">
        <v>502.857682759</v>
      </c>
      <c r="N367" s="7">
        <v>521.68818483040002</v>
      </c>
      <c r="O367" s="7">
        <v>527.16000462399995</v>
      </c>
      <c r="P367" s="7">
        <v>502.857682759</v>
      </c>
      <c r="Q367">
        <v>1</v>
      </c>
      <c r="R367">
        <v>0</v>
      </c>
      <c r="S367" s="11">
        <v>45769.666666666664</v>
      </c>
      <c r="T367">
        <v>2158</v>
      </c>
    </row>
    <row r="368" spans="1:20">
      <c r="A368" s="11">
        <v>45769.604166666664</v>
      </c>
      <c r="B368" s="11">
        <v>45769.625</v>
      </c>
      <c r="C368" s="10">
        <v>45769</v>
      </c>
      <c r="D368" s="7">
        <v>523.85209999999995</v>
      </c>
      <c r="E368" s="7">
        <v>2189571</v>
      </c>
      <c r="F368" s="7">
        <v>2189571</v>
      </c>
      <c r="G368" s="7">
        <v>39525283</v>
      </c>
      <c r="H368" s="7">
        <v>518.94269999999995</v>
      </c>
      <c r="I368" s="7">
        <v>510.94839999999999</v>
      </c>
      <c r="J368" s="7">
        <v>14</v>
      </c>
      <c r="K368" s="7">
        <v>1.51019868E-2</v>
      </c>
      <c r="L368" s="7">
        <v>526.7797658042</v>
      </c>
      <c r="M368" s="7">
        <v>503.23206400880002</v>
      </c>
      <c r="N368" s="7">
        <v>521.80805863119997</v>
      </c>
      <c r="O368" s="7">
        <v>526.7797658042</v>
      </c>
      <c r="P368" s="7">
        <v>503.23206400880002</v>
      </c>
      <c r="Q368">
        <v>1</v>
      </c>
      <c r="R368">
        <v>0</v>
      </c>
      <c r="S368" s="11">
        <v>45769.666666666664</v>
      </c>
      <c r="T368">
        <v>2157</v>
      </c>
    </row>
    <row r="369" spans="1:20">
      <c r="A369" s="11">
        <v>45769.625</v>
      </c>
      <c r="B369" s="11">
        <v>45769.645833333336</v>
      </c>
      <c r="C369" s="10">
        <v>45769</v>
      </c>
      <c r="D369" s="7">
        <v>521.65219999999999</v>
      </c>
      <c r="E369" s="7">
        <v>3373536</v>
      </c>
      <c r="F369" s="7">
        <v>3373536</v>
      </c>
      <c r="G369" s="7">
        <v>42898819</v>
      </c>
      <c r="H369" s="7">
        <v>518.94269999999995</v>
      </c>
      <c r="I369" s="7">
        <v>510.94839999999999</v>
      </c>
      <c r="J369" s="7">
        <v>14</v>
      </c>
      <c r="K369" s="7">
        <v>1.81032455E-2</v>
      </c>
      <c r="L369" s="7">
        <v>528.33724707759995</v>
      </c>
      <c r="M369" s="7">
        <v>501.69857569750002</v>
      </c>
      <c r="N369" s="7">
        <v>521.79580200700002</v>
      </c>
      <c r="O369" s="7">
        <v>528.33724707759995</v>
      </c>
      <c r="P369" s="7">
        <v>501.69857569750002</v>
      </c>
      <c r="Q369">
        <v>1</v>
      </c>
      <c r="R369">
        <v>0</v>
      </c>
      <c r="S369" s="11">
        <v>45769.666666666664</v>
      </c>
      <c r="T369">
        <v>2156</v>
      </c>
    </row>
    <row r="370" spans="1:20">
      <c r="A370" s="11">
        <v>45769.645833333336</v>
      </c>
      <c r="B370" s="11">
        <v>45769.666666666664</v>
      </c>
      <c r="C370" s="10">
        <v>45769</v>
      </c>
      <c r="D370" s="7">
        <v>524.2423</v>
      </c>
      <c r="E370" s="7">
        <v>8586406</v>
      </c>
      <c r="F370" s="7">
        <v>8586406</v>
      </c>
      <c r="G370" s="7">
        <v>51485225</v>
      </c>
      <c r="H370" s="7">
        <v>518.94269999999995</v>
      </c>
      <c r="I370" s="7">
        <v>510.94839999999999</v>
      </c>
      <c r="J370" s="7">
        <v>14</v>
      </c>
      <c r="K370" s="7">
        <v>2.0289943599999999E-2</v>
      </c>
      <c r="L370" s="7">
        <v>529.47201809160003</v>
      </c>
      <c r="M370" s="7">
        <v>500.58128580409999</v>
      </c>
      <c r="N370" s="7">
        <v>522.20381469500001</v>
      </c>
      <c r="O370" s="7">
        <v>529.47201809160003</v>
      </c>
      <c r="P370" s="7">
        <v>500.58128580409999</v>
      </c>
      <c r="Q370">
        <v>1</v>
      </c>
      <c r="R370">
        <v>1</v>
      </c>
      <c r="S370" s="11">
        <v>45769.666666666664</v>
      </c>
      <c r="T370">
        <v>2155</v>
      </c>
    </row>
    <row r="371" spans="1:20">
      <c r="A371" s="11">
        <v>45770.395833333336</v>
      </c>
      <c r="B371" s="11">
        <v>45770.416666666664</v>
      </c>
      <c r="C371" s="10">
        <v>45770</v>
      </c>
      <c r="D371" s="7">
        <v>541.03599999999994</v>
      </c>
      <c r="E371" s="7">
        <v>13688021</v>
      </c>
      <c r="F371" s="7">
        <v>13688021</v>
      </c>
      <c r="G371" s="7">
        <v>13688021</v>
      </c>
      <c r="H371" s="7">
        <v>541.03599999999994</v>
      </c>
      <c r="I371" s="7">
        <v>524.24210000000005</v>
      </c>
      <c r="J371" s="7">
        <v>14</v>
      </c>
      <c r="K371" s="7">
        <v>0</v>
      </c>
      <c r="L371" s="7">
        <v>541.03599999999994</v>
      </c>
      <c r="M371" s="7">
        <v>524.24210000000005</v>
      </c>
      <c r="N371" s="7">
        <v>541.03599999999994</v>
      </c>
      <c r="O371" s="7">
        <v>541.03599999999994</v>
      </c>
      <c r="P371" s="7">
        <v>524.24210000000005</v>
      </c>
      <c r="Q371">
        <v>1</v>
      </c>
      <c r="R371">
        <v>0</v>
      </c>
      <c r="S371" s="11">
        <v>45770.666666666664</v>
      </c>
      <c r="T371">
        <v>2153</v>
      </c>
    </row>
    <row r="372" spans="1:20">
      <c r="A372" s="11">
        <v>45770.416666666664</v>
      </c>
      <c r="B372" s="11">
        <v>45770.4375</v>
      </c>
      <c r="C372" s="10">
        <v>45770</v>
      </c>
      <c r="D372" s="7">
        <v>540.61829999999998</v>
      </c>
      <c r="E372" s="7">
        <v>5675139</v>
      </c>
      <c r="F372" s="7">
        <v>5675139</v>
      </c>
      <c r="G372" s="7">
        <v>19363160</v>
      </c>
      <c r="H372" s="7">
        <v>541.03599999999994</v>
      </c>
      <c r="I372" s="7">
        <v>524.24210000000005</v>
      </c>
      <c r="J372" s="7">
        <v>14</v>
      </c>
      <c r="K372" s="7">
        <v>4.3648563E-3</v>
      </c>
      <c r="L372" s="7">
        <v>543.39754439340004</v>
      </c>
      <c r="M372" s="7">
        <v>521.95385856680002</v>
      </c>
      <c r="N372" s="7">
        <v>540.91357651329997</v>
      </c>
      <c r="O372" s="7">
        <v>543.39754439340004</v>
      </c>
      <c r="P372" s="7">
        <v>521.95385856680002</v>
      </c>
      <c r="Q372">
        <v>1</v>
      </c>
      <c r="R372">
        <v>0</v>
      </c>
      <c r="S372" s="11">
        <v>45770.666666666664</v>
      </c>
      <c r="T372">
        <v>2152</v>
      </c>
    </row>
    <row r="373" spans="1:20">
      <c r="A373" s="11">
        <v>45770.4375</v>
      </c>
      <c r="B373" s="11">
        <v>45770.458333333336</v>
      </c>
      <c r="C373" s="10">
        <v>45770</v>
      </c>
      <c r="D373" s="7">
        <v>539.55449999999996</v>
      </c>
      <c r="E373" s="7">
        <v>2705141</v>
      </c>
      <c r="F373" s="7">
        <v>2705141</v>
      </c>
      <c r="G373" s="7">
        <v>22068301</v>
      </c>
      <c r="H373" s="7">
        <v>541.03599999999994</v>
      </c>
      <c r="I373" s="7">
        <v>524.24210000000005</v>
      </c>
      <c r="J373" s="7">
        <v>14</v>
      </c>
      <c r="K373" s="7">
        <v>7.8200966999999993E-3</v>
      </c>
      <c r="L373" s="7">
        <v>545.26695385230005</v>
      </c>
      <c r="M373" s="7">
        <v>520.14247607009997</v>
      </c>
      <c r="N373" s="7">
        <v>540.74698038079998</v>
      </c>
      <c r="O373" s="7">
        <v>545.26695385230005</v>
      </c>
      <c r="P373" s="7">
        <v>520.14247607009997</v>
      </c>
      <c r="Q373">
        <v>1</v>
      </c>
      <c r="R373">
        <v>0</v>
      </c>
      <c r="S373" s="11">
        <v>45770.666666666664</v>
      </c>
      <c r="T373">
        <v>2151</v>
      </c>
    </row>
    <row r="374" spans="1:20">
      <c r="A374" s="11">
        <v>45770.458333333336</v>
      </c>
      <c r="B374" s="11">
        <v>45770.479166666664</v>
      </c>
      <c r="C374" s="10">
        <v>45770</v>
      </c>
      <c r="D374" s="7">
        <v>535.51760000000002</v>
      </c>
      <c r="E374" s="7">
        <v>5231245</v>
      </c>
      <c r="F374" s="7">
        <v>5231245</v>
      </c>
      <c r="G374" s="7">
        <v>27299546</v>
      </c>
      <c r="H374" s="7">
        <v>541.03599999999994</v>
      </c>
      <c r="I374" s="7">
        <v>524.24210000000005</v>
      </c>
      <c r="J374" s="7">
        <v>14</v>
      </c>
      <c r="K374" s="7">
        <v>6.9040903000000004E-3</v>
      </c>
      <c r="L374" s="7">
        <v>544.77136138059996</v>
      </c>
      <c r="M374" s="7">
        <v>520.62268522090005</v>
      </c>
      <c r="N374" s="7">
        <v>539.74490620819995</v>
      </c>
      <c r="O374" s="7">
        <v>544.77136138059996</v>
      </c>
      <c r="P374" s="7">
        <v>520.62268522090005</v>
      </c>
      <c r="Q374">
        <v>1</v>
      </c>
      <c r="R374">
        <v>0</v>
      </c>
      <c r="S374" s="11">
        <v>45770.666666666664</v>
      </c>
      <c r="T374">
        <v>2150</v>
      </c>
    </row>
    <row r="375" spans="1:20">
      <c r="A375" s="11">
        <v>45770.479166666664</v>
      </c>
      <c r="B375" s="11">
        <v>45770.5</v>
      </c>
      <c r="C375" s="10">
        <v>45770</v>
      </c>
      <c r="D375" s="7">
        <v>534.33939999999996</v>
      </c>
      <c r="E375" s="7">
        <v>4342218</v>
      </c>
      <c r="F375" s="7">
        <v>4342218</v>
      </c>
      <c r="G375" s="7">
        <v>31641764</v>
      </c>
      <c r="H375" s="7">
        <v>541.03599999999994</v>
      </c>
      <c r="I375" s="7">
        <v>524.24210000000005</v>
      </c>
      <c r="J375" s="7">
        <v>14</v>
      </c>
      <c r="K375" s="7">
        <v>8.1328812000000007E-3</v>
      </c>
      <c r="L375" s="7">
        <v>545.43618150750001</v>
      </c>
      <c r="M375" s="7">
        <v>519.97850128590005</v>
      </c>
      <c r="N375" s="7">
        <v>539.0031053921</v>
      </c>
      <c r="O375" s="7">
        <v>545.43618150750001</v>
      </c>
      <c r="P375" s="7">
        <v>519.97850128590005</v>
      </c>
      <c r="Q375">
        <v>1</v>
      </c>
      <c r="R375">
        <v>0</v>
      </c>
      <c r="S375" s="11">
        <v>45770.666666666664</v>
      </c>
      <c r="T375">
        <v>2149</v>
      </c>
    </row>
    <row r="376" spans="1:20">
      <c r="A376" s="11">
        <v>45770.5</v>
      </c>
      <c r="B376" s="11">
        <v>45770.520833333336</v>
      </c>
      <c r="C376" s="10">
        <v>45770</v>
      </c>
      <c r="D376" s="7">
        <v>533.25059999999996</v>
      </c>
      <c r="E376" s="7">
        <v>3449236</v>
      </c>
      <c r="F376" s="7">
        <v>3449236</v>
      </c>
      <c r="G376" s="7">
        <v>35091000</v>
      </c>
      <c r="H376" s="7">
        <v>541.03599999999994</v>
      </c>
      <c r="I376" s="7">
        <v>524.24210000000005</v>
      </c>
      <c r="J376" s="7">
        <v>14</v>
      </c>
      <c r="K376" s="7">
        <v>9.8289840000000007E-3</v>
      </c>
      <c r="L376" s="7">
        <v>546.35383419009997</v>
      </c>
      <c r="M376" s="7">
        <v>519.08933278439997</v>
      </c>
      <c r="N376" s="7">
        <v>538.43766842289995</v>
      </c>
      <c r="O376" s="7">
        <v>546.35383419009997</v>
      </c>
      <c r="P376" s="7">
        <v>519.08933278439997</v>
      </c>
      <c r="Q376">
        <v>1</v>
      </c>
      <c r="R376">
        <v>0</v>
      </c>
      <c r="S376" s="11">
        <v>45770.666666666664</v>
      </c>
      <c r="T376">
        <v>2148</v>
      </c>
    </row>
    <row r="377" spans="1:20">
      <c r="A377" s="11">
        <v>45770.520833333336</v>
      </c>
      <c r="B377" s="11">
        <v>45770.541666666664</v>
      </c>
      <c r="C377" s="10">
        <v>45770</v>
      </c>
      <c r="D377" s="7">
        <v>535.2989</v>
      </c>
      <c r="E377" s="7">
        <v>2901583</v>
      </c>
      <c r="F377" s="7">
        <v>2901583</v>
      </c>
      <c r="G377" s="7">
        <v>37992583</v>
      </c>
      <c r="H377" s="7">
        <v>541.03599999999994</v>
      </c>
      <c r="I377" s="7">
        <v>524.24210000000005</v>
      </c>
      <c r="J377" s="7">
        <v>14</v>
      </c>
      <c r="K377" s="7">
        <v>1.0006237899999999E-2</v>
      </c>
      <c r="L377" s="7">
        <v>546.44973490519999</v>
      </c>
      <c r="M377" s="7">
        <v>518.99640885270003</v>
      </c>
      <c r="N377" s="7">
        <v>538.19795328960004</v>
      </c>
      <c r="O377" s="7">
        <v>546.44973490519999</v>
      </c>
      <c r="P377" s="7">
        <v>518.99640885270003</v>
      </c>
      <c r="Q377">
        <v>1</v>
      </c>
      <c r="R377">
        <v>0</v>
      </c>
      <c r="S377" s="11">
        <v>45770.666666666664</v>
      </c>
      <c r="T377">
        <v>2147</v>
      </c>
    </row>
    <row r="378" spans="1:20">
      <c r="A378" s="11">
        <v>45770.541666666664</v>
      </c>
      <c r="B378" s="11">
        <v>45770.5625</v>
      </c>
      <c r="C378" s="10">
        <v>45770</v>
      </c>
      <c r="D378" s="7">
        <v>535.36850000000004</v>
      </c>
      <c r="E378" s="7">
        <v>2199521</v>
      </c>
      <c r="F378" s="7">
        <v>2199521</v>
      </c>
      <c r="G378" s="7">
        <v>40192104</v>
      </c>
      <c r="H378" s="7">
        <v>541.03599999999994</v>
      </c>
      <c r="I378" s="7">
        <v>524.24210000000005</v>
      </c>
      <c r="J378" s="7">
        <v>14</v>
      </c>
      <c r="K378" s="7">
        <v>1.5068534999999999E-2</v>
      </c>
      <c r="L378" s="7">
        <v>549.18861991699998</v>
      </c>
      <c r="M378" s="7">
        <v>516.34253955329996</v>
      </c>
      <c r="N378" s="7">
        <v>538.04311088750001</v>
      </c>
      <c r="O378" s="7">
        <v>549.18861991699998</v>
      </c>
      <c r="P378" s="7">
        <v>516.34253955329996</v>
      </c>
      <c r="Q378">
        <v>1</v>
      </c>
      <c r="R378">
        <v>0</v>
      </c>
      <c r="S378" s="11">
        <v>45770.666666666664</v>
      </c>
      <c r="T378">
        <v>2146</v>
      </c>
    </row>
    <row r="379" spans="1:20">
      <c r="A379" s="11">
        <v>45770.5625</v>
      </c>
      <c r="B379" s="11">
        <v>45770.583333333336</v>
      </c>
      <c r="C379" s="10">
        <v>45770</v>
      </c>
      <c r="D379" s="7">
        <v>535.21929999999998</v>
      </c>
      <c r="E379" s="7">
        <v>2204456</v>
      </c>
      <c r="F379" s="7">
        <v>2204456</v>
      </c>
      <c r="G379" s="7">
        <v>42396560</v>
      </c>
      <c r="H379" s="7">
        <v>541.03599999999994</v>
      </c>
      <c r="I379" s="7">
        <v>524.24210000000005</v>
      </c>
      <c r="J379" s="7">
        <v>14</v>
      </c>
      <c r="K379" s="7">
        <v>1.6002125900000001E-2</v>
      </c>
      <c r="L379" s="7">
        <v>549.69372620360002</v>
      </c>
      <c r="M379" s="7">
        <v>515.85311189900006</v>
      </c>
      <c r="N379" s="7">
        <v>537.89628371909998</v>
      </c>
      <c r="O379" s="7">
        <v>549.69372620360002</v>
      </c>
      <c r="P379" s="7">
        <v>515.85311189900006</v>
      </c>
      <c r="Q379">
        <v>1</v>
      </c>
      <c r="R379">
        <v>0</v>
      </c>
      <c r="S379" s="11">
        <v>45770.666666666664</v>
      </c>
      <c r="T379">
        <v>2145</v>
      </c>
    </row>
    <row r="380" spans="1:20">
      <c r="A380" s="11">
        <v>45770.583333333336</v>
      </c>
      <c r="B380" s="11">
        <v>45770.604166666664</v>
      </c>
      <c r="C380" s="10">
        <v>45770</v>
      </c>
      <c r="D380" s="7">
        <v>533.59860000000003</v>
      </c>
      <c r="E380" s="7">
        <v>2795074</v>
      </c>
      <c r="F380" s="7">
        <v>2795074</v>
      </c>
      <c r="G380" s="7">
        <v>45191634</v>
      </c>
      <c r="H380" s="7">
        <v>541.03599999999994</v>
      </c>
      <c r="I380" s="7">
        <v>524.24210000000005</v>
      </c>
      <c r="J380" s="7">
        <v>14</v>
      </c>
      <c r="K380" s="7">
        <v>1.62466995E-2</v>
      </c>
      <c r="L380" s="7">
        <v>549.82604933460004</v>
      </c>
      <c r="M380" s="7">
        <v>515.72489611289996</v>
      </c>
      <c r="N380" s="7">
        <v>537.63047469740002</v>
      </c>
      <c r="O380" s="7">
        <v>549.82604933460004</v>
      </c>
      <c r="P380" s="7">
        <v>515.72489611289996</v>
      </c>
      <c r="Q380">
        <v>1</v>
      </c>
      <c r="R380">
        <v>0</v>
      </c>
      <c r="S380" s="11">
        <v>45770.666666666664</v>
      </c>
      <c r="T380">
        <v>2144</v>
      </c>
    </row>
    <row r="381" spans="1:20">
      <c r="A381" s="11">
        <v>45770.604166666664</v>
      </c>
      <c r="B381" s="11">
        <v>45770.625</v>
      </c>
      <c r="C381" s="10">
        <v>45770</v>
      </c>
      <c r="D381" s="7">
        <v>533.25059999999996</v>
      </c>
      <c r="E381" s="7">
        <v>2188733</v>
      </c>
      <c r="F381" s="7">
        <v>2188733</v>
      </c>
      <c r="G381" s="7">
        <v>47380367</v>
      </c>
      <c r="H381" s="7">
        <v>541.03599999999994</v>
      </c>
      <c r="I381" s="7">
        <v>524.24210000000005</v>
      </c>
      <c r="J381" s="7">
        <v>14</v>
      </c>
      <c r="K381" s="7">
        <v>1.5741835499999999E-2</v>
      </c>
      <c r="L381" s="7">
        <v>549.55289971000002</v>
      </c>
      <c r="M381" s="7">
        <v>515.98956710109996</v>
      </c>
      <c r="N381" s="7">
        <v>537.42814666799995</v>
      </c>
      <c r="O381" s="7">
        <v>549.55289971000002</v>
      </c>
      <c r="P381" s="7">
        <v>515.98956710109996</v>
      </c>
      <c r="Q381">
        <v>1</v>
      </c>
      <c r="R381">
        <v>0</v>
      </c>
      <c r="S381" s="11">
        <v>45770.666666666664</v>
      </c>
      <c r="T381">
        <v>2143</v>
      </c>
    </row>
    <row r="382" spans="1:20">
      <c r="A382" s="11">
        <v>45770.625</v>
      </c>
      <c r="B382" s="11">
        <v>45770.645833333336</v>
      </c>
      <c r="C382" s="10">
        <v>45770</v>
      </c>
      <c r="D382" s="7">
        <v>531.57029999999997</v>
      </c>
      <c r="E382" s="7">
        <v>3037850</v>
      </c>
      <c r="F382" s="7">
        <v>3037850</v>
      </c>
      <c r="G382" s="7">
        <v>50418217</v>
      </c>
      <c r="H382" s="7">
        <v>541.03599999999994</v>
      </c>
      <c r="I382" s="7">
        <v>524.24210000000005</v>
      </c>
      <c r="J382" s="7">
        <v>14</v>
      </c>
      <c r="K382" s="7">
        <v>1.8326206500000001E-2</v>
      </c>
      <c r="L382" s="7">
        <v>550.95113747710002</v>
      </c>
      <c r="M382" s="7">
        <v>514.63473100279998</v>
      </c>
      <c r="N382" s="7">
        <v>537.07519369670001</v>
      </c>
      <c r="O382" s="7">
        <v>550.95113747710002</v>
      </c>
      <c r="P382" s="7">
        <v>514.63473100279998</v>
      </c>
      <c r="Q382">
        <v>1</v>
      </c>
      <c r="R382">
        <v>0</v>
      </c>
      <c r="S382" s="11">
        <v>45770.666666666664</v>
      </c>
      <c r="T382">
        <v>2142</v>
      </c>
    </row>
    <row r="383" spans="1:20">
      <c r="A383" s="11">
        <v>45770.645833333336</v>
      </c>
      <c r="B383" s="11">
        <v>45770.666666666664</v>
      </c>
      <c r="C383" s="10">
        <v>45770</v>
      </c>
      <c r="D383" s="7">
        <v>532.36569999999995</v>
      </c>
      <c r="E383" s="7">
        <v>10885367</v>
      </c>
      <c r="F383" s="7">
        <v>10885367</v>
      </c>
      <c r="G383" s="7">
        <v>61303584</v>
      </c>
      <c r="H383" s="7">
        <v>541.03599999999994</v>
      </c>
      <c r="I383" s="7">
        <v>524.24210000000005</v>
      </c>
      <c r="J383" s="7">
        <v>14</v>
      </c>
      <c r="K383" s="7">
        <v>2.0536109300000001E-2</v>
      </c>
      <c r="L383" s="7">
        <v>552.14677441169999</v>
      </c>
      <c r="M383" s="7">
        <v>513.47620695369994</v>
      </c>
      <c r="N383" s="7">
        <v>536.29192036810002</v>
      </c>
      <c r="O383" s="7">
        <v>552.14677441169999</v>
      </c>
      <c r="P383" s="7">
        <v>513.47620695369994</v>
      </c>
      <c r="Q383">
        <v>1</v>
      </c>
      <c r="R383">
        <v>1</v>
      </c>
      <c r="S383" s="11">
        <v>45770.666666666664</v>
      </c>
      <c r="T383">
        <v>2141</v>
      </c>
    </row>
    <row r="384" spans="1:20">
      <c r="A384" s="11">
        <v>45771.395833333336</v>
      </c>
      <c r="B384" s="11">
        <v>45771.416666666664</v>
      </c>
      <c r="C384" s="10">
        <v>45771</v>
      </c>
      <c r="D384" s="7">
        <v>536.40120000000002</v>
      </c>
      <c r="E384" s="7">
        <v>3814279</v>
      </c>
      <c r="F384" s="7">
        <v>3814279</v>
      </c>
      <c r="G384" s="7">
        <v>3814279</v>
      </c>
      <c r="H384" s="7">
        <v>536.40120000000002</v>
      </c>
      <c r="I384" s="7">
        <v>532.3655</v>
      </c>
      <c r="J384" s="7">
        <v>14</v>
      </c>
      <c r="K384" s="7">
        <v>0</v>
      </c>
      <c r="L384" s="7">
        <v>536.40120000000002</v>
      </c>
      <c r="M384" s="7">
        <v>532.3655</v>
      </c>
      <c r="N384" s="7">
        <v>536.40120000000002</v>
      </c>
      <c r="O384" s="7">
        <v>536.40120000000002</v>
      </c>
      <c r="P384" s="7">
        <v>532.3655</v>
      </c>
      <c r="Q384">
        <v>1</v>
      </c>
      <c r="R384">
        <v>0</v>
      </c>
      <c r="S384" s="11">
        <v>45771.666666666664</v>
      </c>
      <c r="T384">
        <v>2139</v>
      </c>
    </row>
    <row r="385" spans="1:20">
      <c r="A385" s="11">
        <v>45771.416666666664</v>
      </c>
      <c r="B385" s="11">
        <v>45771.4375</v>
      </c>
      <c r="C385" s="10">
        <v>45771</v>
      </c>
      <c r="D385" s="7">
        <v>539.03880000000004</v>
      </c>
      <c r="E385" s="7">
        <v>3907461</v>
      </c>
      <c r="F385" s="7">
        <v>3907461</v>
      </c>
      <c r="G385" s="7">
        <v>7721740</v>
      </c>
      <c r="H385" s="7">
        <v>536.40120000000002</v>
      </c>
      <c r="I385" s="7">
        <v>532.3655</v>
      </c>
      <c r="J385" s="7">
        <v>14</v>
      </c>
      <c r="K385" s="7">
        <v>4.1297262999999999E-3</v>
      </c>
      <c r="L385" s="7">
        <v>538.61639015239996</v>
      </c>
      <c r="M385" s="7">
        <v>530.16697618410001</v>
      </c>
      <c r="N385" s="7">
        <v>537.73591460240004</v>
      </c>
      <c r="O385" s="7">
        <v>538.61639015239996</v>
      </c>
      <c r="P385" s="7">
        <v>530.16697618410001</v>
      </c>
      <c r="Q385">
        <v>1</v>
      </c>
      <c r="R385">
        <v>0</v>
      </c>
      <c r="S385" s="11">
        <v>45771.666666666664</v>
      </c>
      <c r="T385">
        <v>2138</v>
      </c>
    </row>
    <row r="386" spans="1:20">
      <c r="A386" s="11">
        <v>45771.4375</v>
      </c>
      <c r="B386" s="11">
        <v>45771.458333333336</v>
      </c>
      <c r="C386" s="10">
        <v>45771</v>
      </c>
      <c r="D386" s="7">
        <v>539.3954</v>
      </c>
      <c r="E386" s="7">
        <v>3908917</v>
      </c>
      <c r="F386" s="7">
        <v>3908917</v>
      </c>
      <c r="G386" s="7">
        <v>11630657</v>
      </c>
      <c r="H386" s="7">
        <v>536.40120000000002</v>
      </c>
      <c r="I386" s="7">
        <v>532.3655</v>
      </c>
      <c r="J386" s="7">
        <v>14</v>
      </c>
      <c r="K386" s="7">
        <v>7.5719526999999997E-3</v>
      </c>
      <c r="L386" s="7">
        <v>540.46280450560005</v>
      </c>
      <c r="M386" s="7">
        <v>528.33445362379996</v>
      </c>
      <c r="N386" s="7">
        <v>538.29364669630002</v>
      </c>
      <c r="O386" s="7">
        <v>540.46280450560005</v>
      </c>
      <c r="P386" s="7">
        <v>528.33445362379996</v>
      </c>
      <c r="Q386">
        <v>1</v>
      </c>
      <c r="R386">
        <v>0</v>
      </c>
      <c r="S386" s="11">
        <v>45771.666666666664</v>
      </c>
      <c r="T386">
        <v>2137</v>
      </c>
    </row>
    <row r="387" spans="1:20">
      <c r="A387" s="11">
        <v>45771.458333333336</v>
      </c>
      <c r="B387" s="11">
        <v>45771.479166666664</v>
      </c>
      <c r="C387" s="10">
        <v>45771</v>
      </c>
      <c r="D387" s="7">
        <v>539.33600000000001</v>
      </c>
      <c r="E387" s="7">
        <v>2669002</v>
      </c>
      <c r="F387" s="7">
        <v>2669002</v>
      </c>
      <c r="G387" s="7">
        <v>14299659</v>
      </c>
      <c r="H387" s="7">
        <v>536.40120000000002</v>
      </c>
      <c r="I387" s="7">
        <v>532.3655</v>
      </c>
      <c r="J387" s="7">
        <v>14</v>
      </c>
      <c r="K387" s="7">
        <v>7.0277810999999999E-3</v>
      </c>
      <c r="L387" s="7">
        <v>540.17091020680004</v>
      </c>
      <c r="M387" s="7">
        <v>528.62415180929997</v>
      </c>
      <c r="N387" s="7">
        <v>538.48819980079998</v>
      </c>
      <c r="O387" s="7">
        <v>540.17091020680004</v>
      </c>
      <c r="P387" s="7">
        <v>528.62415180929997</v>
      </c>
      <c r="Q387">
        <v>1</v>
      </c>
      <c r="R387">
        <v>0</v>
      </c>
      <c r="S387" s="11">
        <v>45771.666666666664</v>
      </c>
      <c r="T387">
        <v>2136</v>
      </c>
    </row>
    <row r="388" spans="1:20">
      <c r="A388" s="11">
        <v>45771.479166666664</v>
      </c>
      <c r="B388" s="11">
        <v>45771.5</v>
      </c>
      <c r="C388" s="10">
        <v>45771</v>
      </c>
      <c r="D388" s="7">
        <v>539.73350000000005</v>
      </c>
      <c r="E388" s="7">
        <v>2063194</v>
      </c>
      <c r="F388" s="7">
        <v>2063194</v>
      </c>
      <c r="G388" s="7">
        <v>16362853</v>
      </c>
      <c r="H388" s="7">
        <v>536.40120000000002</v>
      </c>
      <c r="I388" s="7">
        <v>532.3655</v>
      </c>
      <c r="J388" s="7">
        <v>14</v>
      </c>
      <c r="K388" s="7">
        <v>8.5348795999999998E-3</v>
      </c>
      <c r="L388" s="7">
        <v>540.9793196329</v>
      </c>
      <c r="M388" s="7">
        <v>527.82182458049999</v>
      </c>
      <c r="N388" s="7">
        <v>538.6452198449</v>
      </c>
      <c r="O388" s="7">
        <v>540.9793196329</v>
      </c>
      <c r="P388" s="7">
        <v>527.82182458049999</v>
      </c>
      <c r="Q388">
        <v>1</v>
      </c>
      <c r="R388">
        <v>0</v>
      </c>
      <c r="S388" s="11">
        <v>45771.666666666664</v>
      </c>
      <c r="T388">
        <v>2135</v>
      </c>
    </row>
    <row r="389" spans="1:20">
      <c r="A389" s="11">
        <v>45771.5</v>
      </c>
      <c r="B389" s="11">
        <v>45771.520833333336</v>
      </c>
      <c r="C389" s="10">
        <v>45771</v>
      </c>
      <c r="D389" s="7">
        <v>541.3442</v>
      </c>
      <c r="E389" s="7">
        <v>2210519</v>
      </c>
      <c r="F389" s="7">
        <v>2210519</v>
      </c>
      <c r="G389" s="7">
        <v>18573372</v>
      </c>
      <c r="H389" s="7">
        <v>536.40120000000002</v>
      </c>
      <c r="I389" s="7">
        <v>532.3655</v>
      </c>
      <c r="J389" s="7">
        <v>14</v>
      </c>
      <c r="K389" s="7">
        <v>1.01215309E-2</v>
      </c>
      <c r="L389" s="7">
        <v>541.83040129710002</v>
      </c>
      <c r="M389" s="7">
        <v>526.97714616500002</v>
      </c>
      <c r="N389" s="7">
        <v>538.96644029499998</v>
      </c>
      <c r="O389" s="7">
        <v>541.83040129710002</v>
      </c>
      <c r="P389" s="7">
        <v>526.97714616500002</v>
      </c>
      <c r="Q389">
        <v>1</v>
      </c>
      <c r="R389">
        <v>0</v>
      </c>
      <c r="S389" s="11">
        <v>45771.666666666664</v>
      </c>
      <c r="T389">
        <v>2134</v>
      </c>
    </row>
    <row r="390" spans="1:20">
      <c r="A390" s="11">
        <v>45771.520833333336</v>
      </c>
      <c r="B390" s="11">
        <v>45771.541666666664</v>
      </c>
      <c r="C390" s="10">
        <v>45771</v>
      </c>
      <c r="D390" s="7">
        <v>542.33849999999995</v>
      </c>
      <c r="E390" s="7">
        <v>2438796</v>
      </c>
      <c r="F390" s="7">
        <v>2438796</v>
      </c>
      <c r="G390" s="7">
        <v>21012168</v>
      </c>
      <c r="H390" s="7">
        <v>536.40120000000002</v>
      </c>
      <c r="I390" s="7">
        <v>532.3655</v>
      </c>
      <c r="J390" s="7">
        <v>14</v>
      </c>
      <c r="K390" s="7">
        <v>9.8538132000000004E-3</v>
      </c>
      <c r="L390" s="7">
        <v>541.68679723729997</v>
      </c>
      <c r="M390" s="7">
        <v>527.11966979670001</v>
      </c>
      <c r="N390" s="7">
        <v>539.35782140900005</v>
      </c>
      <c r="O390" s="7">
        <v>541.68679723729997</v>
      </c>
      <c r="P390" s="7">
        <v>527.11966979670001</v>
      </c>
      <c r="Q390">
        <v>1</v>
      </c>
      <c r="R390">
        <v>0</v>
      </c>
      <c r="S390" s="11">
        <v>45771.666666666664</v>
      </c>
      <c r="T390">
        <v>2133</v>
      </c>
    </row>
    <row r="391" spans="1:20">
      <c r="A391" s="11">
        <v>45771.541666666664</v>
      </c>
      <c r="B391" s="11">
        <v>45771.5625</v>
      </c>
      <c r="C391" s="10">
        <v>45771</v>
      </c>
      <c r="D391" s="7">
        <v>541.86320000000001</v>
      </c>
      <c r="E391" s="7">
        <v>1761516</v>
      </c>
      <c r="F391" s="7">
        <v>1761516</v>
      </c>
      <c r="G391" s="7">
        <v>22773684</v>
      </c>
      <c r="H391" s="7">
        <v>536.40120000000002</v>
      </c>
      <c r="I391" s="7">
        <v>532.3655</v>
      </c>
      <c r="J391" s="7">
        <v>14</v>
      </c>
      <c r="K391" s="7">
        <v>1.48640813E-2</v>
      </c>
      <c r="L391" s="7">
        <v>544.37431103419999</v>
      </c>
      <c r="M391" s="7">
        <v>524.45237593859997</v>
      </c>
      <c r="N391" s="7">
        <v>539.55160931240005</v>
      </c>
      <c r="O391" s="7">
        <v>544.37431103419999</v>
      </c>
      <c r="P391" s="7">
        <v>524.45237593859997</v>
      </c>
      <c r="Q391">
        <v>1</v>
      </c>
      <c r="R391">
        <v>0</v>
      </c>
      <c r="S391" s="11">
        <v>45771.666666666664</v>
      </c>
      <c r="T391">
        <v>2132</v>
      </c>
    </row>
    <row r="392" spans="1:20">
      <c r="A392" s="11">
        <v>45771.5625</v>
      </c>
      <c r="B392" s="11">
        <v>45771.583333333336</v>
      </c>
      <c r="C392" s="10">
        <v>45771</v>
      </c>
      <c r="D392" s="7">
        <v>542.14959999999996</v>
      </c>
      <c r="E392" s="7">
        <v>1408937</v>
      </c>
      <c r="F392" s="7">
        <v>1408937</v>
      </c>
      <c r="G392" s="7">
        <v>24182621</v>
      </c>
      <c r="H392" s="7">
        <v>536.40120000000002</v>
      </c>
      <c r="I392" s="7">
        <v>532.3655</v>
      </c>
      <c r="J392" s="7">
        <v>14</v>
      </c>
      <c r="K392" s="7">
        <v>1.60935881E-2</v>
      </c>
      <c r="L392" s="7">
        <v>545.0338199908</v>
      </c>
      <c r="M392" s="7">
        <v>523.79782890290005</v>
      </c>
      <c r="N392" s="7">
        <v>539.70297442720005</v>
      </c>
      <c r="O392" s="7">
        <v>545.0338199908</v>
      </c>
      <c r="P392" s="7">
        <v>523.79782890290005</v>
      </c>
      <c r="Q392">
        <v>1</v>
      </c>
      <c r="R392">
        <v>0</v>
      </c>
      <c r="S392" s="11">
        <v>45771.666666666664</v>
      </c>
      <c r="T392">
        <v>2131</v>
      </c>
    </row>
    <row r="393" spans="1:20">
      <c r="A393" s="11">
        <v>45771.583333333336</v>
      </c>
      <c r="B393" s="11">
        <v>45771.604166666664</v>
      </c>
      <c r="C393" s="10">
        <v>45771</v>
      </c>
      <c r="D393" s="7">
        <v>542.36829999999998</v>
      </c>
      <c r="E393" s="7">
        <v>2681987</v>
      </c>
      <c r="F393" s="7">
        <v>2681987</v>
      </c>
      <c r="G393" s="7">
        <v>26864608</v>
      </c>
      <c r="H393" s="7">
        <v>536.40120000000002</v>
      </c>
      <c r="I393" s="7">
        <v>532.3655</v>
      </c>
      <c r="J393" s="7">
        <v>14</v>
      </c>
      <c r="K393" s="7">
        <v>1.69178613E-2</v>
      </c>
      <c r="L393" s="7">
        <v>545.47596108610003</v>
      </c>
      <c r="M393" s="7">
        <v>523.3590143266</v>
      </c>
      <c r="N393" s="7">
        <v>539.96906312420003</v>
      </c>
      <c r="O393" s="7">
        <v>545.47596108610003</v>
      </c>
      <c r="P393" s="7">
        <v>523.3590143266</v>
      </c>
      <c r="Q393">
        <v>1</v>
      </c>
      <c r="R393">
        <v>0</v>
      </c>
      <c r="S393" s="11">
        <v>45771.666666666664</v>
      </c>
      <c r="T393">
        <v>2130</v>
      </c>
    </row>
    <row r="394" spans="1:20">
      <c r="A394" s="11">
        <v>45771.604166666664</v>
      </c>
      <c r="B394" s="11">
        <v>45771.625</v>
      </c>
      <c r="C394" s="10">
        <v>45771</v>
      </c>
      <c r="D394" s="7">
        <v>542.96489999999994</v>
      </c>
      <c r="E394" s="7">
        <v>2176523</v>
      </c>
      <c r="F394" s="7">
        <v>2176523</v>
      </c>
      <c r="G394" s="7">
        <v>29041131</v>
      </c>
      <c r="H394" s="7">
        <v>536.40120000000002</v>
      </c>
      <c r="I394" s="7">
        <v>532.3655</v>
      </c>
      <c r="J394" s="7">
        <v>14</v>
      </c>
      <c r="K394" s="7">
        <v>1.6418016699999999E-2</v>
      </c>
      <c r="L394" s="7">
        <v>545.20784387890001</v>
      </c>
      <c r="M394" s="7">
        <v>523.62511431120004</v>
      </c>
      <c r="N394" s="7">
        <v>540.19358977449997</v>
      </c>
      <c r="O394" s="7">
        <v>545.20784387890001</v>
      </c>
      <c r="P394" s="7">
        <v>523.62511431120004</v>
      </c>
      <c r="Q394">
        <v>1</v>
      </c>
      <c r="R394">
        <v>0</v>
      </c>
      <c r="S394" s="11">
        <v>45771.666666666664</v>
      </c>
      <c r="T394">
        <v>2129</v>
      </c>
    </row>
    <row r="395" spans="1:20">
      <c r="A395" s="11">
        <v>45771.625</v>
      </c>
      <c r="B395" s="11">
        <v>45771.645833333336</v>
      </c>
      <c r="C395" s="10">
        <v>45771</v>
      </c>
      <c r="D395" s="7">
        <v>541.80160000000001</v>
      </c>
      <c r="E395" s="7">
        <v>3371116</v>
      </c>
      <c r="F395" s="7">
        <v>3371116</v>
      </c>
      <c r="G395" s="7">
        <v>32412247</v>
      </c>
      <c r="H395" s="7">
        <v>536.40120000000002</v>
      </c>
      <c r="I395" s="7">
        <v>532.3655</v>
      </c>
      <c r="J395" s="7">
        <v>14</v>
      </c>
      <c r="K395" s="7">
        <v>1.90221759E-2</v>
      </c>
      <c r="L395" s="7">
        <v>546.60471795930005</v>
      </c>
      <c r="M395" s="7">
        <v>522.23874983580004</v>
      </c>
      <c r="N395" s="7">
        <v>540.36083485929998</v>
      </c>
      <c r="O395" s="7">
        <v>546.60471795930005</v>
      </c>
      <c r="P395" s="7">
        <v>522.23874983580004</v>
      </c>
      <c r="Q395">
        <v>1</v>
      </c>
      <c r="R395">
        <v>0</v>
      </c>
      <c r="S395" s="11">
        <v>45771.666666666664</v>
      </c>
      <c r="T395">
        <v>2128</v>
      </c>
    </row>
    <row r="396" spans="1:20">
      <c r="A396" s="11">
        <v>45771.645833333336</v>
      </c>
      <c r="B396" s="11">
        <v>45771.666666666664</v>
      </c>
      <c r="C396" s="10">
        <v>45771</v>
      </c>
      <c r="D396" s="7">
        <v>543.57140000000004</v>
      </c>
      <c r="E396" s="7">
        <v>10331799</v>
      </c>
      <c r="F396" s="7">
        <v>10331799</v>
      </c>
      <c r="G396" s="7">
        <v>42744046</v>
      </c>
      <c r="H396" s="7">
        <v>536.40120000000002</v>
      </c>
      <c r="I396" s="7">
        <v>532.3655</v>
      </c>
      <c r="J396" s="7">
        <v>14</v>
      </c>
      <c r="K396" s="7">
        <v>2.0919914299999998E-2</v>
      </c>
      <c r="L396" s="7">
        <v>547.62266715450005</v>
      </c>
      <c r="M396" s="7">
        <v>521.22845934379995</v>
      </c>
      <c r="N396" s="7">
        <v>541.12485760300001</v>
      </c>
      <c r="O396" s="7">
        <v>547.62266715450005</v>
      </c>
      <c r="P396" s="7">
        <v>521.22845934379995</v>
      </c>
      <c r="Q396">
        <v>1</v>
      </c>
      <c r="R396">
        <v>1</v>
      </c>
      <c r="S396" s="11">
        <v>45771.666666666664</v>
      </c>
      <c r="T396">
        <v>2127</v>
      </c>
    </row>
    <row r="397" spans="1:20">
      <c r="A397" s="11">
        <v>45772.395833333336</v>
      </c>
      <c r="B397" s="11">
        <v>45772.416666666664</v>
      </c>
      <c r="C397" s="10">
        <v>45772</v>
      </c>
      <c r="D397" s="7">
        <v>542.45780000000002</v>
      </c>
      <c r="E397" s="7">
        <v>4249161</v>
      </c>
      <c r="F397" s="7">
        <v>4249161</v>
      </c>
      <c r="G397" s="7">
        <v>4249161</v>
      </c>
      <c r="H397" s="7">
        <v>542.45780000000002</v>
      </c>
      <c r="I397" s="7">
        <v>543.57119999999998</v>
      </c>
      <c r="J397" s="7">
        <v>14</v>
      </c>
      <c r="K397" s="7">
        <v>0</v>
      </c>
      <c r="L397" s="7">
        <v>543.57119999999998</v>
      </c>
      <c r="M397" s="7">
        <v>542.45780000000002</v>
      </c>
      <c r="N397" s="7">
        <v>542.45780000000002</v>
      </c>
      <c r="O397" s="7">
        <v>543.57119999999998</v>
      </c>
      <c r="P397" s="7">
        <v>542.45780000000002</v>
      </c>
      <c r="Q397">
        <v>1</v>
      </c>
      <c r="R397">
        <v>0</v>
      </c>
      <c r="S397" s="11">
        <v>45772.666666666664</v>
      </c>
      <c r="T397">
        <v>2125</v>
      </c>
    </row>
    <row r="398" spans="1:20">
      <c r="A398" s="11">
        <v>45772.416666666664</v>
      </c>
      <c r="B398" s="11">
        <v>45772.4375</v>
      </c>
      <c r="C398" s="10">
        <v>45772</v>
      </c>
      <c r="D398" s="7">
        <v>541.5616</v>
      </c>
      <c r="E398" s="7">
        <v>4727415</v>
      </c>
      <c r="F398" s="7">
        <v>4727415</v>
      </c>
      <c r="G398" s="7">
        <v>8976576</v>
      </c>
      <c r="H398" s="7">
        <v>542.45780000000002</v>
      </c>
      <c r="I398" s="7">
        <v>543.57119999999998</v>
      </c>
      <c r="J398" s="7">
        <v>14</v>
      </c>
      <c r="K398" s="7">
        <v>4.3267030999999999E-3</v>
      </c>
      <c r="L398" s="7">
        <v>545.92307117300004</v>
      </c>
      <c r="M398" s="7">
        <v>540.11074617810004</v>
      </c>
      <c r="N398" s="7">
        <v>541.98582612899997</v>
      </c>
      <c r="O398" s="7">
        <v>545.92307117300004</v>
      </c>
      <c r="P398" s="7">
        <v>540.11074617810004</v>
      </c>
      <c r="Q398">
        <v>1</v>
      </c>
      <c r="R398">
        <v>0</v>
      </c>
      <c r="S398" s="11">
        <v>45772.666666666664</v>
      </c>
      <c r="T398">
        <v>2124</v>
      </c>
    </row>
    <row r="399" spans="1:20">
      <c r="A399" s="11">
        <v>45772.4375</v>
      </c>
      <c r="B399" s="11">
        <v>45772.458333333336</v>
      </c>
      <c r="C399" s="10">
        <v>45772</v>
      </c>
      <c r="D399" s="7">
        <v>543.42219999999998</v>
      </c>
      <c r="E399" s="7">
        <v>2351316</v>
      </c>
      <c r="F399" s="7">
        <v>2351316</v>
      </c>
      <c r="G399" s="7">
        <v>11327892</v>
      </c>
      <c r="H399" s="7">
        <v>542.45780000000002</v>
      </c>
      <c r="I399" s="7">
        <v>543.57119999999998</v>
      </c>
      <c r="J399" s="7">
        <v>14</v>
      </c>
      <c r="K399" s="7">
        <v>7.4449356E-3</v>
      </c>
      <c r="L399" s="7">
        <v>547.61805255889999</v>
      </c>
      <c r="M399" s="7">
        <v>538.41923663240004</v>
      </c>
      <c r="N399" s="7">
        <v>542.28397240940001</v>
      </c>
      <c r="O399" s="7">
        <v>547.61805255889999</v>
      </c>
      <c r="P399" s="7">
        <v>538.41923663240004</v>
      </c>
      <c r="Q399">
        <v>1</v>
      </c>
      <c r="R399">
        <v>0</v>
      </c>
      <c r="S399" s="11">
        <v>45772.666666666664</v>
      </c>
      <c r="T399">
        <v>2123</v>
      </c>
    </row>
    <row r="400" spans="1:20">
      <c r="A400" s="11">
        <v>45772.458333333336</v>
      </c>
      <c r="B400" s="11">
        <v>45772.479166666664</v>
      </c>
      <c r="C400" s="10">
        <v>45772</v>
      </c>
      <c r="D400" s="7">
        <v>543.38250000000005</v>
      </c>
      <c r="E400" s="7">
        <v>1510342</v>
      </c>
      <c r="F400" s="7">
        <v>1510342</v>
      </c>
      <c r="G400" s="7">
        <v>12838234</v>
      </c>
      <c r="H400" s="7">
        <v>542.45780000000002</v>
      </c>
      <c r="I400" s="7">
        <v>543.57119999999998</v>
      </c>
      <c r="J400" s="7">
        <v>14</v>
      </c>
      <c r="K400" s="7">
        <v>7.0923768999999999E-3</v>
      </c>
      <c r="L400" s="7">
        <v>547.42641181140004</v>
      </c>
      <c r="M400" s="7">
        <v>538.61048484100002</v>
      </c>
      <c r="N400" s="7">
        <v>542.41320765770001</v>
      </c>
      <c r="O400" s="7">
        <v>547.42641181140004</v>
      </c>
      <c r="P400" s="7">
        <v>538.61048484100002</v>
      </c>
      <c r="Q400">
        <v>1</v>
      </c>
      <c r="R400">
        <v>0</v>
      </c>
      <c r="S400" s="11">
        <v>45772.666666666664</v>
      </c>
      <c r="T400">
        <v>2122</v>
      </c>
    </row>
    <row r="401" spans="1:20">
      <c r="A401" s="11">
        <v>45772.479166666664</v>
      </c>
      <c r="B401" s="11">
        <v>45772.5</v>
      </c>
      <c r="C401" s="10">
        <v>45772</v>
      </c>
      <c r="D401" s="7">
        <v>543.94929999999999</v>
      </c>
      <c r="E401" s="7">
        <v>1272763</v>
      </c>
      <c r="F401" s="7">
        <v>1272763</v>
      </c>
      <c r="G401" s="7">
        <v>14110997</v>
      </c>
      <c r="H401" s="7">
        <v>542.45780000000002</v>
      </c>
      <c r="I401" s="7">
        <v>543.57119999999998</v>
      </c>
      <c r="J401" s="7">
        <v>14</v>
      </c>
      <c r="K401" s="7">
        <v>8.9070620999999999E-3</v>
      </c>
      <c r="L401" s="7">
        <v>548.41282241240003</v>
      </c>
      <c r="M401" s="7">
        <v>537.62609471049996</v>
      </c>
      <c r="N401" s="7">
        <v>542.55175786059999</v>
      </c>
      <c r="O401" s="7">
        <v>548.41282241240003</v>
      </c>
      <c r="P401" s="7">
        <v>537.62609471049996</v>
      </c>
      <c r="Q401">
        <v>1</v>
      </c>
      <c r="R401">
        <v>0</v>
      </c>
      <c r="S401" s="11">
        <v>45772.666666666664</v>
      </c>
      <c r="T401">
        <v>2121</v>
      </c>
    </row>
    <row r="402" spans="1:20">
      <c r="A402" s="11">
        <v>45772.5</v>
      </c>
      <c r="B402" s="11">
        <v>45772.520833333336</v>
      </c>
      <c r="C402" s="10">
        <v>45772</v>
      </c>
      <c r="D402" s="7">
        <v>545.2269</v>
      </c>
      <c r="E402" s="7">
        <v>1435529</v>
      </c>
      <c r="F402" s="7">
        <v>1435529</v>
      </c>
      <c r="G402" s="7">
        <v>15546526</v>
      </c>
      <c r="H402" s="7">
        <v>542.45780000000002</v>
      </c>
      <c r="I402" s="7">
        <v>543.57119999999998</v>
      </c>
      <c r="J402" s="7">
        <v>14</v>
      </c>
      <c r="K402" s="7">
        <v>1.0541509100000001E-2</v>
      </c>
      <c r="L402" s="7">
        <v>549.30126075240003</v>
      </c>
      <c r="M402" s="7">
        <v>536.73947616379996</v>
      </c>
      <c r="N402" s="7">
        <v>542.79877408280004</v>
      </c>
      <c r="O402" s="7">
        <v>549.30126075240003</v>
      </c>
      <c r="P402" s="7">
        <v>536.73947616379996</v>
      </c>
      <c r="Q402">
        <v>1</v>
      </c>
      <c r="R402">
        <v>0</v>
      </c>
      <c r="S402" s="11">
        <v>45772.666666666664</v>
      </c>
      <c r="T402">
        <v>2120</v>
      </c>
    </row>
    <row r="403" spans="1:20">
      <c r="A403" s="11">
        <v>45772.520833333336</v>
      </c>
      <c r="B403" s="11">
        <v>45772.541666666664</v>
      </c>
      <c r="C403" s="10">
        <v>45772</v>
      </c>
      <c r="D403" s="7">
        <v>545.93790000000001</v>
      </c>
      <c r="E403" s="7">
        <v>1532787</v>
      </c>
      <c r="F403" s="7">
        <v>1532787</v>
      </c>
      <c r="G403" s="7">
        <v>17079313</v>
      </c>
      <c r="H403" s="7">
        <v>542.45780000000002</v>
      </c>
      <c r="I403" s="7">
        <v>543.57119999999998</v>
      </c>
      <c r="J403" s="7">
        <v>14</v>
      </c>
      <c r="K403" s="7">
        <v>1.05505728E-2</v>
      </c>
      <c r="L403" s="7">
        <v>549.30618750960002</v>
      </c>
      <c r="M403" s="7">
        <v>536.73455949820004</v>
      </c>
      <c r="N403" s="7">
        <v>543.08049568349998</v>
      </c>
      <c r="O403" s="7">
        <v>549.30618750960002</v>
      </c>
      <c r="P403" s="7">
        <v>536.73455949820004</v>
      </c>
      <c r="Q403">
        <v>1</v>
      </c>
      <c r="R403">
        <v>0</v>
      </c>
      <c r="S403" s="11">
        <v>45772.666666666664</v>
      </c>
      <c r="T403">
        <v>2119</v>
      </c>
    </row>
    <row r="404" spans="1:20">
      <c r="A404" s="11">
        <v>45772.541666666664</v>
      </c>
      <c r="B404" s="11">
        <v>45772.5625</v>
      </c>
      <c r="C404" s="10">
        <v>45772</v>
      </c>
      <c r="D404" s="7">
        <v>547.84690000000001</v>
      </c>
      <c r="E404" s="7">
        <v>2242089</v>
      </c>
      <c r="F404" s="7">
        <v>2242089</v>
      </c>
      <c r="G404" s="7">
        <v>19321402</v>
      </c>
      <c r="H404" s="7">
        <v>542.45780000000002</v>
      </c>
      <c r="I404" s="7">
        <v>543.57119999999998</v>
      </c>
      <c r="J404" s="7">
        <v>14</v>
      </c>
      <c r="K404" s="7">
        <v>1.5324931700000001E-2</v>
      </c>
      <c r="L404" s="7">
        <v>551.9013915109</v>
      </c>
      <c r="M404" s="7">
        <v>534.14467126800002</v>
      </c>
      <c r="N404" s="7">
        <v>543.63359750740005</v>
      </c>
      <c r="O404" s="7">
        <v>551.9013915109</v>
      </c>
      <c r="P404" s="7">
        <v>534.14467126800002</v>
      </c>
      <c r="Q404">
        <v>1</v>
      </c>
      <c r="R404">
        <v>0</v>
      </c>
      <c r="S404" s="11">
        <v>45772.666666666664</v>
      </c>
      <c r="T404">
        <v>2118</v>
      </c>
    </row>
    <row r="405" spans="1:20">
      <c r="A405" s="11">
        <v>45772.5625</v>
      </c>
      <c r="B405" s="11">
        <v>45772.583333333336</v>
      </c>
      <c r="C405" s="10">
        <v>45772</v>
      </c>
      <c r="D405" s="7">
        <v>544.80430000000001</v>
      </c>
      <c r="E405" s="7">
        <v>4325125</v>
      </c>
      <c r="F405" s="7">
        <v>4325125</v>
      </c>
      <c r="G405" s="7">
        <v>23646527</v>
      </c>
      <c r="H405" s="7">
        <v>542.45780000000002</v>
      </c>
      <c r="I405" s="7">
        <v>543.57119999999998</v>
      </c>
      <c r="J405" s="7">
        <v>14</v>
      </c>
      <c r="K405" s="7">
        <v>1.6561736300000001E-2</v>
      </c>
      <c r="L405" s="7">
        <v>552.57368287659995</v>
      </c>
      <c r="M405" s="7">
        <v>533.47375696059999</v>
      </c>
      <c r="N405" s="7">
        <v>543.84772766779997</v>
      </c>
      <c r="O405" s="7">
        <v>552.57368287659995</v>
      </c>
      <c r="P405" s="7">
        <v>533.47375696059999</v>
      </c>
      <c r="Q405">
        <v>1</v>
      </c>
      <c r="R405">
        <v>0</v>
      </c>
      <c r="S405" s="11">
        <v>45772.666666666664</v>
      </c>
      <c r="T405">
        <v>2117</v>
      </c>
    </row>
    <row r="406" spans="1:20">
      <c r="A406" s="11">
        <v>45772.583333333336</v>
      </c>
      <c r="B406" s="11">
        <v>45772.604166666664</v>
      </c>
      <c r="C406" s="10">
        <v>45772</v>
      </c>
      <c r="D406" s="7">
        <v>546.62289999999996</v>
      </c>
      <c r="E406" s="7">
        <v>2589138</v>
      </c>
      <c r="F406" s="7">
        <v>2589138</v>
      </c>
      <c r="G406" s="7">
        <v>26235665</v>
      </c>
      <c r="H406" s="7">
        <v>542.45780000000002</v>
      </c>
      <c r="I406" s="7">
        <v>543.57119999999998</v>
      </c>
      <c r="J406" s="7">
        <v>14</v>
      </c>
      <c r="K406" s="7">
        <v>1.7266133600000001E-2</v>
      </c>
      <c r="L406" s="7">
        <v>552.95657296670004</v>
      </c>
      <c r="M406" s="7">
        <v>533.0916511465</v>
      </c>
      <c r="N406" s="7">
        <v>544.12160310189995</v>
      </c>
      <c r="O406" s="7">
        <v>552.95657296670004</v>
      </c>
      <c r="P406" s="7">
        <v>533.0916511465</v>
      </c>
      <c r="Q406">
        <v>1</v>
      </c>
      <c r="R406">
        <v>0</v>
      </c>
      <c r="S406" s="11">
        <v>45772.666666666664</v>
      </c>
      <c r="T406">
        <v>2116</v>
      </c>
    </row>
    <row r="407" spans="1:20">
      <c r="A407" s="11">
        <v>45772.604166666664</v>
      </c>
      <c r="B407" s="11">
        <v>45772.625</v>
      </c>
      <c r="C407" s="10">
        <v>45772</v>
      </c>
      <c r="D407" s="7">
        <v>546.7432</v>
      </c>
      <c r="E407" s="7">
        <v>2123516</v>
      </c>
      <c r="F407" s="7">
        <v>2123516</v>
      </c>
      <c r="G407" s="7">
        <v>28359181</v>
      </c>
      <c r="H407" s="7">
        <v>542.45780000000002</v>
      </c>
      <c r="I407" s="7">
        <v>543.57119999999998</v>
      </c>
      <c r="J407" s="7">
        <v>14</v>
      </c>
      <c r="K407" s="7">
        <v>1.6984223499999999E-2</v>
      </c>
      <c r="L407" s="7">
        <v>552.80333475700002</v>
      </c>
      <c r="M407" s="7">
        <v>533.24457547750001</v>
      </c>
      <c r="N407" s="7">
        <v>544.31790647749995</v>
      </c>
      <c r="O407" s="7">
        <v>552.80333475700002</v>
      </c>
      <c r="P407" s="7">
        <v>533.24457547750001</v>
      </c>
      <c r="Q407">
        <v>1</v>
      </c>
      <c r="R407">
        <v>0</v>
      </c>
      <c r="S407" s="11">
        <v>45772.666666666664</v>
      </c>
      <c r="T407">
        <v>2115</v>
      </c>
    </row>
    <row r="408" spans="1:20">
      <c r="A408" s="11">
        <v>45772.625</v>
      </c>
      <c r="B408" s="11">
        <v>45772.645833333336</v>
      </c>
      <c r="C408" s="10">
        <v>45772</v>
      </c>
      <c r="D408" s="7">
        <v>546.41510000000005</v>
      </c>
      <c r="E408" s="7">
        <v>1748168</v>
      </c>
      <c r="F408" s="7">
        <v>1748168</v>
      </c>
      <c r="G408" s="7">
        <v>30107349</v>
      </c>
      <c r="H408" s="7">
        <v>542.45780000000002</v>
      </c>
      <c r="I408" s="7">
        <v>543.57119999999998</v>
      </c>
      <c r="J408" s="7">
        <v>14</v>
      </c>
      <c r="K408" s="7">
        <v>1.9090867899999999E-2</v>
      </c>
      <c r="L408" s="7">
        <v>553.94844596129997</v>
      </c>
      <c r="M408" s="7">
        <v>532.10180981099995</v>
      </c>
      <c r="N408" s="7">
        <v>544.43967895920002</v>
      </c>
      <c r="O408" s="7">
        <v>553.94844596129997</v>
      </c>
      <c r="P408" s="7">
        <v>532.10180981099995</v>
      </c>
      <c r="Q408">
        <v>1</v>
      </c>
      <c r="R408">
        <v>0</v>
      </c>
      <c r="S408" s="11">
        <v>45772.666666666664</v>
      </c>
      <c r="T408">
        <v>2114</v>
      </c>
    </row>
    <row r="409" spans="1:20">
      <c r="A409" s="11">
        <v>45772.645833333336</v>
      </c>
      <c r="B409" s="11">
        <v>45772.666666666664</v>
      </c>
      <c r="C409" s="10">
        <v>45772</v>
      </c>
      <c r="D409" s="7">
        <v>547.49890000000005</v>
      </c>
      <c r="E409" s="7">
        <v>7347453</v>
      </c>
      <c r="F409" s="7">
        <v>7347453</v>
      </c>
      <c r="G409" s="7">
        <v>37454802</v>
      </c>
      <c r="H409" s="7">
        <v>542.45780000000002</v>
      </c>
      <c r="I409" s="7">
        <v>543.57119999999998</v>
      </c>
      <c r="J409" s="7">
        <v>14</v>
      </c>
      <c r="K409" s="7">
        <v>2.08974208E-2</v>
      </c>
      <c r="L409" s="7">
        <v>554.9304361193</v>
      </c>
      <c r="M409" s="7">
        <v>531.121831069</v>
      </c>
      <c r="N409" s="7">
        <v>545.03980181700001</v>
      </c>
      <c r="O409" s="7">
        <v>554.9304361193</v>
      </c>
      <c r="P409" s="7">
        <v>531.121831069</v>
      </c>
      <c r="Q409">
        <v>1</v>
      </c>
      <c r="R409">
        <v>1</v>
      </c>
      <c r="S409" s="11">
        <v>45772.666666666664</v>
      </c>
      <c r="T409">
        <v>2113</v>
      </c>
    </row>
    <row r="410" spans="1:20">
      <c r="A410" s="11">
        <v>45775.395833333336</v>
      </c>
      <c r="B410" s="11">
        <v>45775.416666666664</v>
      </c>
      <c r="C410" s="10">
        <v>45775</v>
      </c>
      <c r="D410" s="7">
        <v>547.11109999999996</v>
      </c>
      <c r="E410" s="7">
        <v>4895734</v>
      </c>
      <c r="F410" s="7">
        <v>4895734</v>
      </c>
      <c r="G410" s="7">
        <v>4895734</v>
      </c>
      <c r="H410" s="7">
        <v>547.11109999999996</v>
      </c>
      <c r="I410" s="7">
        <v>547.49869999999999</v>
      </c>
      <c r="J410" s="7">
        <v>14</v>
      </c>
      <c r="K410" s="7">
        <v>0</v>
      </c>
      <c r="L410" s="7">
        <v>547.49869999999999</v>
      </c>
      <c r="M410" s="7">
        <v>547.11109999999996</v>
      </c>
      <c r="N410" s="7">
        <v>547.11109999999996</v>
      </c>
      <c r="O410" s="7">
        <v>547.49869999999999</v>
      </c>
      <c r="P410" s="7">
        <v>547.11109999999996</v>
      </c>
      <c r="Q410">
        <v>1</v>
      </c>
      <c r="R410">
        <v>0</v>
      </c>
      <c r="S410" s="11">
        <v>45775.666666666664</v>
      </c>
      <c r="T410">
        <v>2111</v>
      </c>
    </row>
    <row r="411" spans="1:20">
      <c r="A411" s="11">
        <v>45775.416666666664</v>
      </c>
      <c r="B411" s="11">
        <v>45775.4375</v>
      </c>
      <c r="C411" s="10">
        <v>45775</v>
      </c>
      <c r="D411" s="7">
        <v>547.83690000000001</v>
      </c>
      <c r="E411" s="7">
        <v>2452554</v>
      </c>
      <c r="F411" s="7">
        <v>2452554</v>
      </c>
      <c r="G411" s="7">
        <v>7348288</v>
      </c>
      <c r="H411" s="7">
        <v>547.11109999999996</v>
      </c>
      <c r="I411" s="7">
        <v>547.49869999999999</v>
      </c>
      <c r="J411" s="7">
        <v>14</v>
      </c>
      <c r="K411" s="7">
        <v>3.5138864000000001E-3</v>
      </c>
      <c r="L411" s="7">
        <v>549.42254824930001</v>
      </c>
      <c r="M411" s="7">
        <v>545.18861373310006</v>
      </c>
      <c r="N411" s="7">
        <v>547.35334196070005</v>
      </c>
      <c r="O411" s="7">
        <v>549.42254824930001</v>
      </c>
      <c r="P411" s="7">
        <v>545.18861373310006</v>
      </c>
      <c r="Q411">
        <v>1</v>
      </c>
      <c r="R411">
        <v>0</v>
      </c>
      <c r="S411" s="11">
        <v>45775.666666666664</v>
      </c>
      <c r="T411">
        <v>2110</v>
      </c>
    </row>
    <row r="412" spans="1:20">
      <c r="A412" s="11">
        <v>45775.4375</v>
      </c>
      <c r="B412" s="11">
        <v>45775.458333333336</v>
      </c>
      <c r="C412" s="10">
        <v>45775</v>
      </c>
      <c r="D412" s="7">
        <v>547.46410000000003</v>
      </c>
      <c r="E412" s="7">
        <v>1803798</v>
      </c>
      <c r="F412" s="7">
        <v>1803798</v>
      </c>
      <c r="G412" s="7">
        <v>9152086</v>
      </c>
      <c r="H412" s="7">
        <v>547.11109999999996</v>
      </c>
      <c r="I412" s="7">
        <v>547.49869999999999</v>
      </c>
      <c r="J412" s="7">
        <v>14</v>
      </c>
      <c r="K412" s="7">
        <v>6.5147473999999997E-3</v>
      </c>
      <c r="L412" s="7">
        <v>551.06551574929995</v>
      </c>
      <c r="M412" s="7">
        <v>543.54680936679995</v>
      </c>
      <c r="N412" s="7">
        <v>547.37517142449997</v>
      </c>
      <c r="O412" s="7">
        <v>551.06551574929995</v>
      </c>
      <c r="P412" s="7">
        <v>543.54680936679995</v>
      </c>
      <c r="Q412">
        <v>1</v>
      </c>
      <c r="R412">
        <v>0</v>
      </c>
      <c r="S412" s="11">
        <v>45775.666666666664</v>
      </c>
      <c r="T412">
        <v>2109</v>
      </c>
    </row>
    <row r="413" spans="1:20">
      <c r="A413" s="11">
        <v>45775.458333333336</v>
      </c>
      <c r="B413" s="11">
        <v>45775.479166666664</v>
      </c>
      <c r="C413" s="10">
        <v>45775</v>
      </c>
      <c r="D413" s="7">
        <v>544.06859999999995</v>
      </c>
      <c r="E413" s="7">
        <v>2678865</v>
      </c>
      <c r="F413" s="7">
        <v>2678865</v>
      </c>
      <c r="G413" s="7">
        <v>11830951</v>
      </c>
      <c r="H413" s="7">
        <v>547.11109999999996</v>
      </c>
      <c r="I413" s="7">
        <v>547.49869999999999</v>
      </c>
      <c r="J413" s="7">
        <v>14</v>
      </c>
      <c r="K413" s="7">
        <v>6.3099488000000004E-3</v>
      </c>
      <c r="L413" s="7">
        <v>550.95338877109998</v>
      </c>
      <c r="M413" s="7">
        <v>543.65885696509997</v>
      </c>
      <c r="N413" s="7">
        <v>546.62646927380001</v>
      </c>
      <c r="O413" s="7">
        <v>550.95338877109998</v>
      </c>
      <c r="P413" s="7">
        <v>543.65885696509997</v>
      </c>
      <c r="Q413">
        <v>1</v>
      </c>
      <c r="R413">
        <v>0</v>
      </c>
      <c r="S413" s="11">
        <v>45775.666666666664</v>
      </c>
      <c r="T413">
        <v>2108</v>
      </c>
    </row>
    <row r="414" spans="1:20">
      <c r="A414" s="11">
        <v>45775.479166666664</v>
      </c>
      <c r="B414" s="11">
        <v>45775.5</v>
      </c>
      <c r="C414" s="10">
        <v>45775</v>
      </c>
      <c r="D414" s="7">
        <v>544.29719999999998</v>
      </c>
      <c r="E414" s="7">
        <v>2035400</v>
      </c>
      <c r="F414" s="7">
        <v>2035400</v>
      </c>
      <c r="G414" s="7">
        <v>13866351</v>
      </c>
      <c r="H414" s="7">
        <v>547.11109999999996</v>
      </c>
      <c r="I414" s="7">
        <v>547.49869999999999</v>
      </c>
      <c r="J414" s="7">
        <v>14</v>
      </c>
      <c r="K414" s="7">
        <v>8.0285322000000006E-3</v>
      </c>
      <c r="L414" s="7">
        <v>551.89431094359998</v>
      </c>
      <c r="M414" s="7">
        <v>542.71860091550002</v>
      </c>
      <c r="N414" s="7">
        <v>546.28456283569994</v>
      </c>
      <c r="O414" s="7">
        <v>551.89431094359998</v>
      </c>
      <c r="P414" s="7">
        <v>542.71860091550002</v>
      </c>
      <c r="Q414">
        <v>1</v>
      </c>
      <c r="R414">
        <v>0</v>
      </c>
      <c r="S414" s="11">
        <v>45775.666666666664</v>
      </c>
      <c r="T414">
        <v>2107</v>
      </c>
    </row>
    <row r="415" spans="1:20">
      <c r="A415" s="11">
        <v>45775.5</v>
      </c>
      <c r="B415" s="11">
        <v>45775.520833333336</v>
      </c>
      <c r="C415" s="10">
        <v>45775</v>
      </c>
      <c r="D415" s="7">
        <v>542.94500000000005</v>
      </c>
      <c r="E415" s="7">
        <v>1964656</v>
      </c>
      <c r="F415" s="7">
        <v>1964656</v>
      </c>
      <c r="G415" s="7">
        <v>15831007</v>
      </c>
      <c r="H415" s="7">
        <v>547.11109999999996</v>
      </c>
      <c r="I415" s="7">
        <v>547.49869999999999</v>
      </c>
      <c r="J415" s="7">
        <v>14</v>
      </c>
      <c r="K415" s="7">
        <v>9.4487461000000005E-3</v>
      </c>
      <c r="L415" s="7">
        <v>552.6718762301</v>
      </c>
      <c r="M415" s="7">
        <v>541.94158610390002</v>
      </c>
      <c r="N415" s="7">
        <v>545.87011717450002</v>
      </c>
      <c r="O415" s="7">
        <v>552.6718762301</v>
      </c>
      <c r="P415" s="7">
        <v>541.94158610390002</v>
      </c>
      <c r="Q415">
        <v>1</v>
      </c>
      <c r="R415">
        <v>0</v>
      </c>
      <c r="S415" s="11">
        <v>45775.666666666664</v>
      </c>
      <c r="T415">
        <v>2106</v>
      </c>
    </row>
    <row r="416" spans="1:20">
      <c r="A416" s="11">
        <v>45775.520833333336</v>
      </c>
      <c r="B416" s="11">
        <v>45775.541666666664</v>
      </c>
      <c r="C416" s="10">
        <v>45775</v>
      </c>
      <c r="D416" s="7">
        <v>543.303</v>
      </c>
      <c r="E416" s="7">
        <v>1594221</v>
      </c>
      <c r="F416" s="7">
        <v>1594221</v>
      </c>
      <c r="G416" s="7">
        <v>17425228</v>
      </c>
      <c r="H416" s="7">
        <v>547.11109999999996</v>
      </c>
      <c r="I416" s="7">
        <v>547.49869999999999</v>
      </c>
      <c r="J416" s="7">
        <v>14</v>
      </c>
      <c r="K416" s="7">
        <v>9.5077480999999995E-3</v>
      </c>
      <c r="L416" s="7">
        <v>552.70417970359995</v>
      </c>
      <c r="M416" s="7">
        <v>541.90930549960001</v>
      </c>
      <c r="N416" s="7">
        <v>545.6352535556</v>
      </c>
      <c r="O416" s="7">
        <v>552.70417970359995</v>
      </c>
      <c r="P416" s="7">
        <v>541.90930549960001</v>
      </c>
      <c r="Q416">
        <v>1</v>
      </c>
      <c r="R416">
        <v>0</v>
      </c>
      <c r="S416" s="11">
        <v>45775.666666666664</v>
      </c>
      <c r="T416">
        <v>2105</v>
      </c>
    </row>
    <row r="417" spans="1:20">
      <c r="A417" s="11">
        <v>45775.541666666664</v>
      </c>
      <c r="B417" s="11">
        <v>45775.5625</v>
      </c>
      <c r="C417" s="10">
        <v>45775</v>
      </c>
      <c r="D417" s="7">
        <v>542.28869999999995</v>
      </c>
      <c r="E417" s="7">
        <v>1449889</v>
      </c>
      <c r="F417" s="7">
        <v>1449889</v>
      </c>
      <c r="G417" s="7">
        <v>18875117</v>
      </c>
      <c r="H417" s="7">
        <v>547.11109999999996</v>
      </c>
      <c r="I417" s="7">
        <v>547.49869999999999</v>
      </c>
      <c r="J417" s="7">
        <v>14</v>
      </c>
      <c r="K417" s="7">
        <v>1.4384609600000001E-2</v>
      </c>
      <c r="L417" s="7">
        <v>555.37425503630004</v>
      </c>
      <c r="M417" s="7">
        <v>539.24112043829996</v>
      </c>
      <c r="N417" s="7">
        <v>545.37818859599997</v>
      </c>
      <c r="O417" s="7">
        <v>555.37425503630004</v>
      </c>
      <c r="P417" s="7">
        <v>539.24112043829996</v>
      </c>
      <c r="Q417">
        <v>1</v>
      </c>
      <c r="R417">
        <v>0</v>
      </c>
      <c r="S417" s="11">
        <v>45775.666666666664</v>
      </c>
      <c r="T417">
        <v>2104</v>
      </c>
    </row>
    <row r="418" spans="1:20">
      <c r="A418" s="11">
        <v>45775.5625</v>
      </c>
      <c r="B418" s="11">
        <v>45775.583333333336</v>
      </c>
      <c r="C418" s="10">
        <v>45775</v>
      </c>
      <c r="D418" s="7">
        <v>544.60550000000001</v>
      </c>
      <c r="E418" s="7">
        <v>1454833</v>
      </c>
      <c r="F418" s="7">
        <v>1454833</v>
      </c>
      <c r="G418" s="7">
        <v>20329950</v>
      </c>
      <c r="H418" s="7">
        <v>547.11109999999996</v>
      </c>
      <c r="I418" s="7">
        <v>547.49869999999999</v>
      </c>
      <c r="J418" s="7">
        <v>14</v>
      </c>
      <c r="K418" s="7">
        <v>1.57493449E-2</v>
      </c>
      <c r="L418" s="7">
        <v>556.12144585060003</v>
      </c>
      <c r="M418" s="7">
        <v>538.49445859549996</v>
      </c>
      <c r="N418" s="7">
        <v>545.32289417239997</v>
      </c>
      <c r="O418" s="7">
        <v>556.12144585060003</v>
      </c>
      <c r="P418" s="7">
        <v>538.49445859549996</v>
      </c>
      <c r="Q418">
        <v>1</v>
      </c>
      <c r="R418">
        <v>0</v>
      </c>
      <c r="S418" s="11">
        <v>45775.666666666664</v>
      </c>
      <c r="T418">
        <v>2103</v>
      </c>
    </row>
    <row r="419" spans="1:20">
      <c r="A419" s="11">
        <v>45775.583333333336</v>
      </c>
      <c r="B419" s="11">
        <v>45775.604166666664</v>
      </c>
      <c r="C419" s="10">
        <v>45775</v>
      </c>
      <c r="D419" s="7">
        <v>545.4606</v>
      </c>
      <c r="E419" s="7">
        <v>1717186</v>
      </c>
      <c r="F419" s="7">
        <v>1717186</v>
      </c>
      <c r="G419" s="7">
        <v>22047136</v>
      </c>
      <c r="H419" s="7">
        <v>547.11109999999996</v>
      </c>
      <c r="I419" s="7">
        <v>547.49869999999999</v>
      </c>
      <c r="J419" s="7">
        <v>14</v>
      </c>
      <c r="K419" s="7">
        <v>1.5890768199999999E-2</v>
      </c>
      <c r="L419" s="7">
        <v>556.19887491969996</v>
      </c>
      <c r="M419" s="7">
        <v>538.4170843421</v>
      </c>
      <c r="N419" s="7">
        <v>545.33361967070005</v>
      </c>
      <c r="O419" s="7">
        <v>556.19887491969996</v>
      </c>
      <c r="P419" s="7">
        <v>538.4170843421</v>
      </c>
      <c r="Q419">
        <v>1</v>
      </c>
      <c r="R419">
        <v>0</v>
      </c>
      <c r="S419" s="11">
        <v>45775.666666666664</v>
      </c>
      <c r="T419">
        <v>2102</v>
      </c>
    </row>
    <row r="420" spans="1:20">
      <c r="A420" s="11">
        <v>45775.604166666664</v>
      </c>
      <c r="B420" s="11">
        <v>45775.625</v>
      </c>
      <c r="C420" s="10">
        <v>45775</v>
      </c>
      <c r="D420" s="7">
        <v>545.51030000000003</v>
      </c>
      <c r="E420" s="7">
        <v>1326386</v>
      </c>
      <c r="F420" s="7">
        <v>1326386</v>
      </c>
      <c r="G420" s="7">
        <v>23373522</v>
      </c>
      <c r="H420" s="7">
        <v>547.11109999999996</v>
      </c>
      <c r="I420" s="7">
        <v>547.49869999999999</v>
      </c>
      <c r="J420" s="7">
        <v>14</v>
      </c>
      <c r="K420" s="7">
        <v>1.5503827899999999E-2</v>
      </c>
      <c r="L420" s="7">
        <v>555.9870256227</v>
      </c>
      <c r="M420" s="7">
        <v>538.62878366100006</v>
      </c>
      <c r="N420" s="7">
        <v>545.34364581540001</v>
      </c>
      <c r="O420" s="7">
        <v>555.9870256227</v>
      </c>
      <c r="P420" s="7">
        <v>538.62878366100006</v>
      </c>
      <c r="Q420">
        <v>1</v>
      </c>
      <c r="R420">
        <v>0</v>
      </c>
      <c r="S420" s="11">
        <v>45775.666666666664</v>
      </c>
      <c r="T420">
        <v>2101</v>
      </c>
    </row>
    <row r="421" spans="1:20">
      <c r="A421" s="11">
        <v>45775.625</v>
      </c>
      <c r="B421" s="11">
        <v>45775.645833333336</v>
      </c>
      <c r="C421" s="10">
        <v>45775</v>
      </c>
      <c r="D421" s="7">
        <v>547.31859999999995</v>
      </c>
      <c r="E421" s="7">
        <v>2844726</v>
      </c>
      <c r="F421" s="7">
        <v>2844726</v>
      </c>
      <c r="G421" s="7">
        <v>26218248</v>
      </c>
      <c r="H421" s="7">
        <v>547.11109999999996</v>
      </c>
      <c r="I421" s="7">
        <v>547.49869999999999</v>
      </c>
      <c r="J421" s="7">
        <v>14</v>
      </c>
      <c r="K421" s="7">
        <v>1.7875950799999998E-2</v>
      </c>
      <c r="L421" s="7">
        <v>557.28575981749998</v>
      </c>
      <c r="M421" s="7">
        <v>537.33096890100001</v>
      </c>
      <c r="N421" s="7">
        <v>545.55793181640001</v>
      </c>
      <c r="O421" s="7">
        <v>557.28575981749998</v>
      </c>
      <c r="P421" s="7">
        <v>537.33096890100001</v>
      </c>
      <c r="Q421">
        <v>1</v>
      </c>
      <c r="R421">
        <v>0</v>
      </c>
      <c r="S421" s="11">
        <v>45775.666666666664</v>
      </c>
      <c r="T421">
        <v>2100</v>
      </c>
    </row>
    <row r="422" spans="1:20">
      <c r="A422" s="11">
        <v>45775.645833333336</v>
      </c>
      <c r="B422" s="11">
        <v>45775.666666666664</v>
      </c>
      <c r="C422" s="10">
        <v>45775</v>
      </c>
      <c r="D422" s="7">
        <v>547.70770000000005</v>
      </c>
      <c r="E422" s="7">
        <v>6347460</v>
      </c>
      <c r="F422" s="7">
        <v>6347460</v>
      </c>
      <c r="G422" s="7">
        <v>32565708</v>
      </c>
      <c r="H422" s="7">
        <v>547.11109999999996</v>
      </c>
      <c r="I422" s="7">
        <v>547.49869999999999</v>
      </c>
      <c r="J422" s="7">
        <v>14</v>
      </c>
      <c r="K422" s="7">
        <v>1.9146378799999999E-2</v>
      </c>
      <c r="L422" s="7">
        <v>557.98131747920002</v>
      </c>
      <c r="M422" s="7">
        <v>536.63590365719995</v>
      </c>
      <c r="N422" s="7">
        <v>545.98663541830001</v>
      </c>
      <c r="O422" s="7">
        <v>557.98131747920002</v>
      </c>
      <c r="P422" s="7">
        <v>536.63590365719995</v>
      </c>
      <c r="Q422">
        <v>1</v>
      </c>
      <c r="R422">
        <v>1</v>
      </c>
      <c r="S422" s="11">
        <v>45775.666666666664</v>
      </c>
      <c r="T422">
        <v>2099</v>
      </c>
    </row>
    <row r="423" spans="1:20">
      <c r="A423" s="11">
        <v>45776.395833333336</v>
      </c>
      <c r="B423" s="11">
        <v>45776.416666666664</v>
      </c>
      <c r="C423" s="10">
        <v>45776</v>
      </c>
      <c r="D423" s="7">
        <v>547.4393</v>
      </c>
      <c r="E423" s="7">
        <v>3263968</v>
      </c>
      <c r="F423" s="7">
        <v>3263968</v>
      </c>
      <c r="G423" s="7">
        <v>3263968</v>
      </c>
      <c r="H423" s="7">
        <v>547.4393</v>
      </c>
      <c r="I423" s="7">
        <v>547.70749999999998</v>
      </c>
      <c r="J423" s="7">
        <v>14</v>
      </c>
      <c r="K423" s="7">
        <v>0</v>
      </c>
      <c r="L423" s="7">
        <v>547.70749999999998</v>
      </c>
      <c r="M423" s="7">
        <v>547.4393</v>
      </c>
      <c r="N423" s="7">
        <v>547.4393</v>
      </c>
      <c r="O423" s="7">
        <v>547.70749999999998</v>
      </c>
      <c r="P423" s="7">
        <v>547.4393</v>
      </c>
      <c r="Q423">
        <v>1</v>
      </c>
      <c r="R423">
        <v>0</v>
      </c>
      <c r="S423" s="11">
        <v>45776.666666666664</v>
      </c>
      <c r="T423">
        <v>2097</v>
      </c>
    </row>
    <row r="424" spans="1:20">
      <c r="A424" s="11">
        <v>45776.416666666664</v>
      </c>
      <c r="B424" s="11">
        <v>45776.4375</v>
      </c>
      <c r="C424" s="10">
        <v>45776</v>
      </c>
      <c r="D424" s="7">
        <v>546.77300000000002</v>
      </c>
      <c r="E424" s="7">
        <v>3103380</v>
      </c>
      <c r="F424" s="7">
        <v>3103380</v>
      </c>
      <c r="G424" s="7">
        <v>6367348</v>
      </c>
      <c r="H424" s="7">
        <v>547.4393</v>
      </c>
      <c r="I424" s="7">
        <v>547.70749999999998</v>
      </c>
      <c r="J424" s="7">
        <v>14</v>
      </c>
      <c r="K424" s="7">
        <v>3.1595570999999999E-3</v>
      </c>
      <c r="L424" s="7">
        <v>549.43801314309997</v>
      </c>
      <c r="M424" s="7">
        <v>545.70963425009995</v>
      </c>
      <c r="N424" s="7">
        <v>547.11455222530003</v>
      </c>
      <c r="O424" s="7">
        <v>549.43801314309997</v>
      </c>
      <c r="P424" s="7">
        <v>545.70963425009995</v>
      </c>
      <c r="Q424">
        <v>1</v>
      </c>
      <c r="R424">
        <v>0</v>
      </c>
      <c r="S424" s="11">
        <v>45776.666666666664</v>
      </c>
      <c r="T424">
        <v>2096</v>
      </c>
    </row>
    <row r="425" spans="1:20">
      <c r="A425" s="11">
        <v>45776.4375</v>
      </c>
      <c r="B425" s="11">
        <v>45776.458333333336</v>
      </c>
      <c r="C425" s="10">
        <v>45776</v>
      </c>
      <c r="D425" s="7">
        <v>549.82550000000003</v>
      </c>
      <c r="E425" s="7">
        <v>1872135</v>
      </c>
      <c r="F425" s="7">
        <v>1872135</v>
      </c>
      <c r="G425" s="7">
        <v>8239483</v>
      </c>
      <c r="H425" s="7">
        <v>547.4393</v>
      </c>
      <c r="I425" s="7">
        <v>547.70749999999998</v>
      </c>
      <c r="J425" s="7">
        <v>14</v>
      </c>
      <c r="K425" s="7">
        <v>5.0953567999999999E-3</v>
      </c>
      <c r="L425" s="7">
        <v>550.49826515899997</v>
      </c>
      <c r="M425" s="7">
        <v>544.64990141570001</v>
      </c>
      <c r="N425" s="7">
        <v>547.73052051019999</v>
      </c>
      <c r="O425" s="7">
        <v>550.49826515899997</v>
      </c>
      <c r="P425" s="7">
        <v>544.64990141570001</v>
      </c>
      <c r="Q425">
        <v>1</v>
      </c>
      <c r="R425">
        <v>0</v>
      </c>
      <c r="S425" s="11">
        <v>45776.666666666664</v>
      </c>
      <c r="T425">
        <v>2095</v>
      </c>
    </row>
    <row r="426" spans="1:20">
      <c r="A426" s="11">
        <v>45776.458333333336</v>
      </c>
      <c r="B426" s="11">
        <v>45776.479166666664</v>
      </c>
      <c r="C426" s="10">
        <v>45776</v>
      </c>
      <c r="D426" s="7">
        <v>549.06979999999999</v>
      </c>
      <c r="E426" s="7">
        <v>1605616</v>
      </c>
      <c r="F426" s="7">
        <v>1605616</v>
      </c>
      <c r="G426" s="7">
        <v>9845099</v>
      </c>
      <c r="H426" s="7">
        <v>547.4393</v>
      </c>
      <c r="I426" s="7">
        <v>547.70749999999998</v>
      </c>
      <c r="J426" s="7">
        <v>14</v>
      </c>
      <c r="K426" s="7">
        <v>6.4945115000000003E-3</v>
      </c>
      <c r="L426" s="7">
        <v>551.26459266560005</v>
      </c>
      <c r="M426" s="7">
        <v>543.88394916239997</v>
      </c>
      <c r="N426" s="7">
        <v>547.94894071880003</v>
      </c>
      <c r="O426" s="7">
        <v>551.26459266560005</v>
      </c>
      <c r="P426" s="7">
        <v>543.88394916239997</v>
      </c>
      <c r="Q426">
        <v>1</v>
      </c>
      <c r="R426">
        <v>0</v>
      </c>
      <c r="S426" s="11">
        <v>45776.666666666664</v>
      </c>
      <c r="T426">
        <v>2094</v>
      </c>
    </row>
    <row r="427" spans="1:20">
      <c r="A427" s="11">
        <v>45776.479166666664</v>
      </c>
      <c r="B427" s="11">
        <v>45776.5</v>
      </c>
      <c r="C427" s="10">
        <v>45776</v>
      </c>
      <c r="D427" s="7">
        <v>548.58259999999996</v>
      </c>
      <c r="E427" s="7">
        <v>1174641</v>
      </c>
      <c r="F427" s="7">
        <v>1174641</v>
      </c>
      <c r="G427" s="7">
        <v>11019740</v>
      </c>
      <c r="H427" s="7">
        <v>547.4393</v>
      </c>
      <c r="I427" s="7">
        <v>547.70749999999998</v>
      </c>
      <c r="J427" s="7">
        <v>14</v>
      </c>
      <c r="K427" s="7">
        <v>7.8098519000000003E-3</v>
      </c>
      <c r="L427" s="7">
        <v>551.98501444169995</v>
      </c>
      <c r="M427" s="7">
        <v>543.1638801606</v>
      </c>
      <c r="N427" s="7">
        <v>548.01648515919999</v>
      </c>
      <c r="O427" s="7">
        <v>551.98501444169995</v>
      </c>
      <c r="P427" s="7">
        <v>543.1638801606</v>
      </c>
      <c r="Q427">
        <v>1</v>
      </c>
      <c r="R427">
        <v>0</v>
      </c>
      <c r="S427" s="11">
        <v>45776.666666666664</v>
      </c>
      <c r="T427">
        <v>2093</v>
      </c>
    </row>
    <row r="428" spans="1:20">
      <c r="A428" s="11">
        <v>45776.5</v>
      </c>
      <c r="B428" s="11">
        <v>45776.520833333336</v>
      </c>
      <c r="C428" s="10">
        <v>45776</v>
      </c>
      <c r="D428" s="7">
        <v>549.73609999999996</v>
      </c>
      <c r="E428" s="7">
        <v>1087665</v>
      </c>
      <c r="F428" s="7">
        <v>1087665</v>
      </c>
      <c r="G428" s="7">
        <v>12107405</v>
      </c>
      <c r="H428" s="7">
        <v>547.4393</v>
      </c>
      <c r="I428" s="7">
        <v>547.70749999999998</v>
      </c>
      <c r="J428" s="7">
        <v>14</v>
      </c>
      <c r="K428" s="7">
        <v>9.4455353000000002E-3</v>
      </c>
      <c r="L428" s="7">
        <v>552.88089054780005</v>
      </c>
      <c r="M428" s="7">
        <v>542.26844274480004</v>
      </c>
      <c r="N428" s="7">
        <v>548.17096622890006</v>
      </c>
      <c r="O428" s="7">
        <v>552.88089054780005</v>
      </c>
      <c r="P428" s="7">
        <v>542.26844274480004</v>
      </c>
      <c r="Q428">
        <v>1</v>
      </c>
      <c r="R428">
        <v>0</v>
      </c>
      <c r="S428" s="11">
        <v>45776.666666666664</v>
      </c>
      <c r="T428">
        <v>2092</v>
      </c>
    </row>
    <row r="429" spans="1:20">
      <c r="A429" s="11">
        <v>45776.520833333336</v>
      </c>
      <c r="B429" s="11">
        <v>45776.541666666664</v>
      </c>
      <c r="C429" s="10">
        <v>45776</v>
      </c>
      <c r="D429" s="7">
        <v>547.90660000000003</v>
      </c>
      <c r="E429" s="7">
        <v>1551752</v>
      </c>
      <c r="F429" s="7">
        <v>1551752</v>
      </c>
      <c r="G429" s="7">
        <v>13659157</v>
      </c>
      <c r="H429" s="7">
        <v>547.4393</v>
      </c>
      <c r="I429" s="7">
        <v>547.70749999999998</v>
      </c>
      <c r="J429" s="7">
        <v>14</v>
      </c>
      <c r="K429" s="7">
        <v>9.9450918999999995E-3</v>
      </c>
      <c r="L429" s="7">
        <v>553.15450140940004</v>
      </c>
      <c r="M429" s="7">
        <v>541.99496586429996</v>
      </c>
      <c r="N429" s="7">
        <v>548.14093283629995</v>
      </c>
      <c r="O429" s="7">
        <v>553.15450140940004</v>
      </c>
      <c r="P429" s="7">
        <v>541.99496586429996</v>
      </c>
      <c r="Q429">
        <v>1</v>
      </c>
      <c r="R429">
        <v>0</v>
      </c>
      <c r="S429" s="11">
        <v>45776.666666666664</v>
      </c>
      <c r="T429">
        <v>2091</v>
      </c>
    </row>
    <row r="430" spans="1:20">
      <c r="A430" s="11">
        <v>45776.541666666664</v>
      </c>
      <c r="B430" s="11">
        <v>45776.5625</v>
      </c>
      <c r="C430" s="10">
        <v>45776</v>
      </c>
      <c r="D430" s="7">
        <v>549.49329999999998</v>
      </c>
      <c r="E430" s="7">
        <v>1476144</v>
      </c>
      <c r="F430" s="7">
        <v>1476144</v>
      </c>
      <c r="G430" s="7">
        <v>15135301</v>
      </c>
      <c r="H430" s="7">
        <v>547.4393</v>
      </c>
      <c r="I430" s="7">
        <v>547.70749999999998</v>
      </c>
      <c r="J430" s="7">
        <v>14</v>
      </c>
      <c r="K430" s="7">
        <v>1.3545825500000001E-2</v>
      </c>
      <c r="L430" s="7">
        <v>555.12665020760005</v>
      </c>
      <c r="M430" s="7">
        <v>540.02378278280003</v>
      </c>
      <c r="N430" s="7">
        <v>548.27282903549997</v>
      </c>
      <c r="O430" s="7">
        <v>555.12665020760005</v>
      </c>
      <c r="P430" s="7">
        <v>540.02378278280003</v>
      </c>
      <c r="Q430">
        <v>1</v>
      </c>
      <c r="R430">
        <v>0</v>
      </c>
      <c r="S430" s="11">
        <v>45776.666666666664</v>
      </c>
      <c r="T430">
        <v>2090</v>
      </c>
    </row>
    <row r="431" spans="1:20">
      <c r="A431" s="11">
        <v>45776.5625</v>
      </c>
      <c r="B431" s="11">
        <v>45776.583333333336</v>
      </c>
      <c r="C431" s="10">
        <v>45776</v>
      </c>
      <c r="D431" s="7">
        <v>551.63509999999997</v>
      </c>
      <c r="E431" s="7">
        <v>2601438</v>
      </c>
      <c r="F431" s="7">
        <v>2601438</v>
      </c>
      <c r="G431" s="7">
        <v>17736739</v>
      </c>
      <c r="H431" s="7">
        <v>547.4393</v>
      </c>
      <c r="I431" s="7">
        <v>547.70749999999998</v>
      </c>
      <c r="J431" s="7">
        <v>14</v>
      </c>
      <c r="K431" s="7">
        <v>1.40919698E-2</v>
      </c>
      <c r="L431" s="7">
        <v>555.42577753670002</v>
      </c>
      <c r="M431" s="7">
        <v>539.72480192959995</v>
      </c>
      <c r="N431" s="7">
        <v>548.76597151520002</v>
      </c>
      <c r="O431" s="7">
        <v>555.42577753670002</v>
      </c>
      <c r="P431" s="7">
        <v>539.72480192959995</v>
      </c>
      <c r="Q431">
        <v>1</v>
      </c>
      <c r="R431">
        <v>0</v>
      </c>
      <c r="S431" s="11">
        <v>45776.666666666664</v>
      </c>
      <c r="T431">
        <v>2089</v>
      </c>
    </row>
    <row r="432" spans="1:20">
      <c r="A432" s="11">
        <v>45776.583333333336</v>
      </c>
      <c r="B432" s="11">
        <v>45776.604166666664</v>
      </c>
      <c r="C432" s="10">
        <v>45776</v>
      </c>
      <c r="D432" s="7">
        <v>551.7346</v>
      </c>
      <c r="E432" s="7">
        <v>2676506</v>
      </c>
      <c r="F432" s="7">
        <v>2676506</v>
      </c>
      <c r="G432" s="7">
        <v>20413245</v>
      </c>
      <c r="H432" s="7">
        <v>547.4393</v>
      </c>
      <c r="I432" s="7">
        <v>547.70749999999998</v>
      </c>
      <c r="J432" s="7">
        <v>14</v>
      </c>
      <c r="K432" s="7">
        <v>1.47041958E-2</v>
      </c>
      <c r="L432" s="7">
        <v>555.76109833320004</v>
      </c>
      <c r="M432" s="7">
        <v>539.38964533210003</v>
      </c>
      <c r="N432" s="7">
        <v>549.15520663929999</v>
      </c>
      <c r="O432" s="7">
        <v>555.76109833320004</v>
      </c>
      <c r="P432" s="7">
        <v>539.38964533210003</v>
      </c>
      <c r="Q432">
        <v>1</v>
      </c>
      <c r="R432">
        <v>0</v>
      </c>
      <c r="S432" s="11">
        <v>45776.666666666664</v>
      </c>
      <c r="T432">
        <v>2088</v>
      </c>
    </row>
    <row r="433" spans="1:20">
      <c r="A433" s="11">
        <v>45776.604166666664</v>
      </c>
      <c r="B433" s="11">
        <v>45776.625</v>
      </c>
      <c r="C433" s="10">
        <v>45776</v>
      </c>
      <c r="D433" s="7">
        <v>551.17780000000005</v>
      </c>
      <c r="E433" s="7">
        <v>1422965</v>
      </c>
      <c r="F433" s="7">
        <v>1422965</v>
      </c>
      <c r="G433" s="7">
        <v>21836210</v>
      </c>
      <c r="H433" s="7">
        <v>547.4393</v>
      </c>
      <c r="I433" s="7">
        <v>547.70749999999998</v>
      </c>
      <c r="J433" s="7">
        <v>14</v>
      </c>
      <c r="K433" s="7">
        <v>1.46092011E-2</v>
      </c>
      <c r="L433" s="7">
        <v>555.70906900980003</v>
      </c>
      <c r="M433" s="7">
        <v>539.44164917789999</v>
      </c>
      <c r="N433" s="7">
        <v>549.28700971149999</v>
      </c>
      <c r="O433" s="7">
        <v>555.70906900980003</v>
      </c>
      <c r="P433" s="7">
        <v>539.44164917789999</v>
      </c>
      <c r="Q433">
        <v>1</v>
      </c>
      <c r="R433">
        <v>0</v>
      </c>
      <c r="S433" s="11">
        <v>45776.666666666664</v>
      </c>
      <c r="T433">
        <v>2087</v>
      </c>
    </row>
    <row r="434" spans="1:20">
      <c r="A434" s="11">
        <v>45776.625</v>
      </c>
      <c r="B434" s="11">
        <v>45776.645833333336</v>
      </c>
      <c r="C434" s="10">
        <v>45776</v>
      </c>
      <c r="D434" s="7">
        <v>551.5059</v>
      </c>
      <c r="E434" s="7">
        <v>2214752</v>
      </c>
      <c r="F434" s="7">
        <v>2214752</v>
      </c>
      <c r="G434" s="7">
        <v>24050962</v>
      </c>
      <c r="H434" s="7">
        <v>547.4393</v>
      </c>
      <c r="I434" s="7">
        <v>547.70749999999998</v>
      </c>
      <c r="J434" s="7">
        <v>14</v>
      </c>
      <c r="K434" s="7">
        <v>1.71533598E-2</v>
      </c>
      <c r="L434" s="7">
        <v>557.10252378560006</v>
      </c>
      <c r="M434" s="7">
        <v>538.04887674539998</v>
      </c>
      <c r="N434" s="7">
        <v>549.49133799169999</v>
      </c>
      <c r="O434" s="7">
        <v>557.10252378560006</v>
      </c>
      <c r="P434" s="7">
        <v>538.04887674539998</v>
      </c>
      <c r="Q434">
        <v>1</v>
      </c>
      <c r="R434">
        <v>0</v>
      </c>
      <c r="S434" s="11">
        <v>45776.666666666664</v>
      </c>
      <c r="T434">
        <v>2086</v>
      </c>
    </row>
    <row r="435" spans="1:20">
      <c r="A435" s="11">
        <v>45776.645833333336</v>
      </c>
      <c r="B435" s="11">
        <v>45776.666666666664</v>
      </c>
      <c r="C435" s="10">
        <v>45776</v>
      </c>
      <c r="D435" s="7">
        <v>551.15790000000004</v>
      </c>
      <c r="E435" s="7">
        <v>6881307</v>
      </c>
      <c r="F435" s="7">
        <v>6881307</v>
      </c>
      <c r="G435" s="7">
        <v>30932269</v>
      </c>
      <c r="H435" s="7">
        <v>547.4393</v>
      </c>
      <c r="I435" s="7">
        <v>547.70749999999998</v>
      </c>
      <c r="J435" s="7">
        <v>14</v>
      </c>
      <c r="K435" s="7">
        <v>1.7936109200000001E-2</v>
      </c>
      <c r="L435" s="7">
        <v>557.53124153910005</v>
      </c>
      <c r="M435" s="7">
        <v>537.62036892540004</v>
      </c>
      <c r="N435" s="7">
        <v>549.86208754179995</v>
      </c>
      <c r="O435" s="7">
        <v>557.53124153910005</v>
      </c>
      <c r="P435" s="7">
        <v>537.62036892540004</v>
      </c>
      <c r="Q435">
        <v>1</v>
      </c>
      <c r="R435">
        <v>1</v>
      </c>
      <c r="S435" s="11">
        <v>45776.666666666664</v>
      </c>
      <c r="T435">
        <v>2085</v>
      </c>
    </row>
    <row r="436" spans="1:20">
      <c r="A436" s="11">
        <v>45777.395833333336</v>
      </c>
      <c r="B436" s="11">
        <v>45777.416666666664</v>
      </c>
      <c r="C436" s="10">
        <v>45777</v>
      </c>
      <c r="D436" s="7">
        <v>538.63969999999995</v>
      </c>
      <c r="E436" s="7">
        <v>7477559</v>
      </c>
      <c r="F436" s="7">
        <v>7477559</v>
      </c>
      <c r="G436" s="7">
        <v>7477559</v>
      </c>
      <c r="H436" s="7">
        <v>538.63969999999995</v>
      </c>
      <c r="I436" s="7">
        <v>551.15769999999998</v>
      </c>
      <c r="J436" s="7">
        <v>14</v>
      </c>
      <c r="K436" s="7">
        <v>0</v>
      </c>
      <c r="L436" s="7">
        <v>551.15769999999998</v>
      </c>
      <c r="M436" s="7">
        <v>538.63969999999995</v>
      </c>
      <c r="N436" s="7">
        <v>538.63969999999995</v>
      </c>
      <c r="O436" s="7">
        <v>551.15769999999998</v>
      </c>
      <c r="P436" s="7">
        <v>538.63969999999995</v>
      </c>
      <c r="Q436">
        <v>1</v>
      </c>
      <c r="R436">
        <v>0</v>
      </c>
      <c r="S436" s="11">
        <v>45777.666666666664</v>
      </c>
      <c r="T436">
        <v>2083</v>
      </c>
    </row>
    <row r="437" spans="1:20">
      <c r="A437" s="11">
        <v>45777.416666666664</v>
      </c>
      <c r="B437" s="11">
        <v>45777.4375</v>
      </c>
      <c r="C437" s="10">
        <v>45777</v>
      </c>
      <c r="D437" s="7">
        <v>543.19359999999995</v>
      </c>
      <c r="E437" s="7">
        <v>4712327</v>
      </c>
      <c r="F437" s="7">
        <v>4712327</v>
      </c>
      <c r="G437" s="7">
        <v>12189886</v>
      </c>
      <c r="H437" s="7">
        <v>538.63969999999995</v>
      </c>
      <c r="I437" s="7">
        <v>551.15769999999998</v>
      </c>
      <c r="J437" s="7">
        <v>14</v>
      </c>
      <c r="K437" s="7">
        <v>3.2123497E-3</v>
      </c>
      <c r="L437" s="7">
        <v>552.92821128230003</v>
      </c>
      <c r="M437" s="7">
        <v>536.90940091150003</v>
      </c>
      <c r="N437" s="7">
        <v>540.40013204390004</v>
      </c>
      <c r="O437" s="7">
        <v>552.92821128230003</v>
      </c>
      <c r="P437" s="7">
        <v>536.90940091150003</v>
      </c>
      <c r="Q437">
        <v>1</v>
      </c>
      <c r="R437">
        <v>0</v>
      </c>
      <c r="S437" s="11">
        <v>45777.666666666664</v>
      </c>
      <c r="T437">
        <v>2082</v>
      </c>
    </row>
    <row r="438" spans="1:20">
      <c r="A438" s="11">
        <v>45777.4375</v>
      </c>
      <c r="B438" s="11">
        <v>45777.458333333336</v>
      </c>
      <c r="C438" s="10">
        <v>45777</v>
      </c>
      <c r="D438" s="7">
        <v>543.77530000000002</v>
      </c>
      <c r="E438" s="7">
        <v>3438472</v>
      </c>
      <c r="F438" s="7">
        <v>3438472</v>
      </c>
      <c r="G438" s="7">
        <v>15628358</v>
      </c>
      <c r="H438" s="7">
        <v>538.63969999999995</v>
      </c>
      <c r="I438" s="7">
        <v>551.15769999999998</v>
      </c>
      <c r="J438" s="7">
        <v>14</v>
      </c>
      <c r="K438" s="7">
        <v>4.6897333999999999E-3</v>
      </c>
      <c r="L438" s="7">
        <v>553.74248269630004</v>
      </c>
      <c r="M438" s="7">
        <v>536.11362338690003</v>
      </c>
      <c r="N438" s="7">
        <v>541.14271936570003</v>
      </c>
      <c r="O438" s="7">
        <v>553.74248269630004</v>
      </c>
      <c r="P438" s="7">
        <v>536.11362338690003</v>
      </c>
      <c r="Q438">
        <v>1</v>
      </c>
      <c r="R438">
        <v>0</v>
      </c>
      <c r="S438" s="11">
        <v>45777.666666666664</v>
      </c>
      <c r="T438">
        <v>2081</v>
      </c>
    </row>
    <row r="439" spans="1:20">
      <c r="A439" s="11">
        <v>45777.458333333336</v>
      </c>
      <c r="B439" s="11">
        <v>45777.479166666664</v>
      </c>
      <c r="C439" s="10">
        <v>45777</v>
      </c>
      <c r="D439" s="7">
        <v>545.8732</v>
      </c>
      <c r="E439" s="7">
        <v>2971774</v>
      </c>
      <c r="F439" s="7">
        <v>2971774</v>
      </c>
      <c r="G439" s="7">
        <v>18600132</v>
      </c>
      <c r="H439" s="7">
        <v>538.63969999999995</v>
      </c>
      <c r="I439" s="7">
        <v>551.15769999999998</v>
      </c>
      <c r="J439" s="7">
        <v>14</v>
      </c>
      <c r="K439" s="7">
        <v>5.5020835000000002E-3</v>
      </c>
      <c r="L439" s="7">
        <v>554.19021571079998</v>
      </c>
      <c r="M439" s="7">
        <v>535.67605937099995</v>
      </c>
      <c r="N439" s="7">
        <v>541.89851611790004</v>
      </c>
      <c r="O439" s="7">
        <v>554.19021571079998</v>
      </c>
      <c r="P439" s="7">
        <v>535.67605937099995</v>
      </c>
      <c r="Q439">
        <v>1</v>
      </c>
      <c r="R439">
        <v>0</v>
      </c>
      <c r="S439" s="11">
        <v>45777.666666666664</v>
      </c>
      <c r="T439">
        <v>2080</v>
      </c>
    </row>
    <row r="440" spans="1:20">
      <c r="A440" s="11">
        <v>45777.479166666664</v>
      </c>
      <c r="B440" s="11">
        <v>45777.5</v>
      </c>
      <c r="C440" s="10">
        <v>45777</v>
      </c>
      <c r="D440" s="7">
        <v>546.29579999999999</v>
      </c>
      <c r="E440" s="7">
        <v>2065688</v>
      </c>
      <c r="F440" s="7">
        <v>2065688</v>
      </c>
      <c r="G440" s="7">
        <v>20665820</v>
      </c>
      <c r="H440" s="7">
        <v>538.63969999999995</v>
      </c>
      <c r="I440" s="7">
        <v>551.15769999999998</v>
      </c>
      <c r="J440" s="7">
        <v>14</v>
      </c>
      <c r="K440" s="7">
        <v>7.045417E-3</v>
      </c>
      <c r="L440" s="7">
        <v>555.04083585319995</v>
      </c>
      <c r="M440" s="7">
        <v>534.84475867729998</v>
      </c>
      <c r="N440" s="7">
        <v>542.3380542804</v>
      </c>
      <c r="O440" s="7">
        <v>555.04083585319995</v>
      </c>
      <c r="P440" s="7">
        <v>534.84475867729998</v>
      </c>
      <c r="Q440">
        <v>1</v>
      </c>
      <c r="R440">
        <v>0</v>
      </c>
      <c r="S440" s="11">
        <v>45777.666666666664</v>
      </c>
      <c r="T440">
        <v>2079</v>
      </c>
    </row>
    <row r="441" spans="1:20">
      <c r="A441" s="11">
        <v>45777.5</v>
      </c>
      <c r="B441" s="11">
        <v>45777.520833333336</v>
      </c>
      <c r="C441" s="10">
        <v>45777</v>
      </c>
      <c r="D441" s="7">
        <v>544.96339999999998</v>
      </c>
      <c r="E441" s="7">
        <v>2122770</v>
      </c>
      <c r="F441" s="7">
        <v>2122770</v>
      </c>
      <c r="G441" s="7">
        <v>22788590</v>
      </c>
      <c r="H441" s="7">
        <v>538.63969999999995</v>
      </c>
      <c r="I441" s="7">
        <v>551.15769999999998</v>
      </c>
      <c r="J441" s="7">
        <v>14</v>
      </c>
      <c r="K441" s="7">
        <v>8.4997467999999993E-3</v>
      </c>
      <c r="L441" s="7">
        <v>555.84240087800003</v>
      </c>
      <c r="M441" s="7">
        <v>534.06139895199999</v>
      </c>
      <c r="N441" s="7">
        <v>542.58260671350001</v>
      </c>
      <c r="O441" s="7">
        <v>555.84240087800003</v>
      </c>
      <c r="P441" s="7">
        <v>534.06139895199999</v>
      </c>
      <c r="Q441">
        <v>1</v>
      </c>
      <c r="R441">
        <v>0</v>
      </c>
      <c r="S441" s="11">
        <v>45777.666666666664</v>
      </c>
      <c r="T441">
        <v>2078</v>
      </c>
    </row>
    <row r="442" spans="1:20">
      <c r="A442" s="11">
        <v>45777.520833333336</v>
      </c>
      <c r="B442" s="11">
        <v>45777.541666666664</v>
      </c>
      <c r="C442" s="10">
        <v>45777</v>
      </c>
      <c r="D442" s="7">
        <v>546.41510000000005</v>
      </c>
      <c r="E442" s="7">
        <v>1541290</v>
      </c>
      <c r="F442" s="7">
        <v>1541290</v>
      </c>
      <c r="G442" s="7">
        <v>24329880</v>
      </c>
      <c r="H442" s="7">
        <v>538.63969999999995</v>
      </c>
      <c r="I442" s="7">
        <v>551.15769999999998</v>
      </c>
      <c r="J442" s="7">
        <v>14</v>
      </c>
      <c r="K442" s="7">
        <v>7.8469846000000006E-3</v>
      </c>
      <c r="L442" s="7">
        <v>555.48262600579994</v>
      </c>
      <c r="M442" s="7">
        <v>534.41300254789996</v>
      </c>
      <c r="N442" s="7">
        <v>542.82539391909995</v>
      </c>
      <c r="O442" s="7">
        <v>555.48262600579994</v>
      </c>
      <c r="P442" s="7">
        <v>534.41300254789996</v>
      </c>
      <c r="Q442">
        <v>1</v>
      </c>
      <c r="R442">
        <v>0</v>
      </c>
      <c r="S442" s="11">
        <v>45777.666666666664</v>
      </c>
      <c r="T442">
        <v>2077</v>
      </c>
    </row>
    <row r="443" spans="1:20">
      <c r="A443" s="11">
        <v>45777.541666666664</v>
      </c>
      <c r="B443" s="11">
        <v>45777.5625</v>
      </c>
      <c r="C443" s="10">
        <v>45777</v>
      </c>
      <c r="D443" s="7">
        <v>546.81290000000001</v>
      </c>
      <c r="E443" s="7">
        <v>1643001</v>
      </c>
      <c r="F443" s="7">
        <v>1643001</v>
      </c>
      <c r="G443" s="7">
        <v>25972881</v>
      </c>
      <c r="H443" s="7">
        <v>538.63969999999995</v>
      </c>
      <c r="I443" s="7">
        <v>551.15769999999998</v>
      </c>
      <c r="J443" s="7">
        <v>14</v>
      </c>
      <c r="K443" s="7">
        <v>1.09869485E-2</v>
      </c>
      <c r="L443" s="7">
        <v>557.21324125759998</v>
      </c>
      <c r="M443" s="7">
        <v>532.72169336360002</v>
      </c>
      <c r="N443" s="7">
        <v>543.07763688279999</v>
      </c>
      <c r="O443" s="7">
        <v>557.21324125759998</v>
      </c>
      <c r="P443" s="7">
        <v>532.72169336360002</v>
      </c>
      <c r="Q443">
        <v>1</v>
      </c>
      <c r="R443">
        <v>0</v>
      </c>
      <c r="S443" s="11">
        <v>45777.666666666664</v>
      </c>
      <c r="T443">
        <v>2076</v>
      </c>
    </row>
    <row r="444" spans="1:20">
      <c r="A444" s="11">
        <v>45777.5625</v>
      </c>
      <c r="B444" s="11">
        <v>45777.583333333336</v>
      </c>
      <c r="C444" s="10">
        <v>45777</v>
      </c>
      <c r="D444" s="7">
        <v>547.40449999999998</v>
      </c>
      <c r="E444" s="7">
        <v>1722551</v>
      </c>
      <c r="F444" s="7">
        <v>1722551</v>
      </c>
      <c r="G444" s="7">
        <v>27695432</v>
      </c>
      <c r="H444" s="7">
        <v>538.63969999999995</v>
      </c>
      <c r="I444" s="7">
        <v>551.15769999999998</v>
      </c>
      <c r="J444" s="7">
        <v>14</v>
      </c>
      <c r="K444" s="7">
        <v>1.2386127699999999E-2</v>
      </c>
      <c r="L444" s="7">
        <v>557.98440967700003</v>
      </c>
      <c r="M444" s="7">
        <v>531.96803987010003</v>
      </c>
      <c r="N444" s="7">
        <v>543.34675138479997</v>
      </c>
      <c r="O444" s="7">
        <v>557.98440967700003</v>
      </c>
      <c r="P444" s="7">
        <v>531.96803987010003</v>
      </c>
      <c r="Q444">
        <v>1</v>
      </c>
      <c r="R444">
        <v>0</v>
      </c>
      <c r="S444" s="11">
        <v>45777.666666666664</v>
      </c>
      <c r="T444">
        <v>2075</v>
      </c>
    </row>
    <row r="445" spans="1:20">
      <c r="A445" s="11">
        <v>45777.583333333336</v>
      </c>
      <c r="B445" s="11">
        <v>45777.604166666664</v>
      </c>
      <c r="C445" s="10">
        <v>45777</v>
      </c>
      <c r="D445" s="7">
        <v>547.29010000000005</v>
      </c>
      <c r="E445" s="7">
        <v>4522191</v>
      </c>
      <c r="F445" s="7">
        <v>4522191</v>
      </c>
      <c r="G445" s="7">
        <v>32217623</v>
      </c>
      <c r="H445" s="7">
        <v>538.63969999999995</v>
      </c>
      <c r="I445" s="7">
        <v>551.15769999999998</v>
      </c>
      <c r="J445" s="7">
        <v>14</v>
      </c>
      <c r="K445" s="7">
        <v>1.2469169699999999E-2</v>
      </c>
      <c r="L445" s="7">
        <v>558.03017891050001</v>
      </c>
      <c r="M445" s="7">
        <v>531.92331015629998</v>
      </c>
      <c r="N445" s="7">
        <v>543.90025514939998</v>
      </c>
      <c r="O445" s="7">
        <v>558.03017891050001</v>
      </c>
      <c r="P445" s="7">
        <v>531.92331015629998</v>
      </c>
      <c r="Q445">
        <v>1</v>
      </c>
      <c r="R445">
        <v>0</v>
      </c>
      <c r="S445" s="11">
        <v>45777.666666666664</v>
      </c>
      <c r="T445">
        <v>2074</v>
      </c>
    </row>
    <row r="446" spans="1:20">
      <c r="A446" s="11">
        <v>45777.604166666664</v>
      </c>
      <c r="B446" s="11">
        <v>45777.625</v>
      </c>
      <c r="C446" s="10">
        <v>45777</v>
      </c>
      <c r="D446" s="7">
        <v>546.45489999999995</v>
      </c>
      <c r="E446" s="7">
        <v>2473033</v>
      </c>
      <c r="F446" s="7">
        <v>2473033</v>
      </c>
      <c r="G446" s="7">
        <v>34690656</v>
      </c>
      <c r="H446" s="7">
        <v>538.63969999999995</v>
      </c>
      <c r="I446" s="7">
        <v>551.15769999999998</v>
      </c>
      <c r="J446" s="7">
        <v>14</v>
      </c>
      <c r="K446" s="7">
        <v>1.22113975E-2</v>
      </c>
      <c r="L446" s="7">
        <v>557.88810574290005</v>
      </c>
      <c r="M446" s="7">
        <v>532.06215653059996</v>
      </c>
      <c r="N446" s="7">
        <v>544.08237107759999</v>
      </c>
      <c r="O446" s="7">
        <v>557.88810574290005</v>
      </c>
      <c r="P446" s="7">
        <v>532.06215653059996</v>
      </c>
      <c r="Q446">
        <v>1</v>
      </c>
      <c r="R446">
        <v>0</v>
      </c>
      <c r="S446" s="11">
        <v>45777.666666666664</v>
      </c>
      <c r="T446">
        <v>2073</v>
      </c>
    </row>
    <row r="447" spans="1:20">
      <c r="A447" s="11">
        <v>45777.625</v>
      </c>
      <c r="B447" s="11">
        <v>45777.645833333336</v>
      </c>
      <c r="C447" s="10">
        <v>45777</v>
      </c>
      <c r="D447" s="7">
        <v>546.71979999999996</v>
      </c>
      <c r="E447" s="7">
        <v>3116465</v>
      </c>
      <c r="F447" s="7">
        <v>3116465</v>
      </c>
      <c r="G447" s="7">
        <v>37807121</v>
      </c>
      <c r="H447" s="7">
        <v>538.63969999999995</v>
      </c>
      <c r="I447" s="7">
        <v>551.15769999999998</v>
      </c>
      <c r="J447" s="7">
        <v>14</v>
      </c>
      <c r="K447" s="7">
        <v>1.41638466E-2</v>
      </c>
      <c r="L447" s="7">
        <v>558.96421312270002</v>
      </c>
      <c r="M447" s="7">
        <v>531.01048990920003</v>
      </c>
      <c r="N447" s="7">
        <v>544.29977601910002</v>
      </c>
      <c r="O447" s="7">
        <v>558.96421312270002</v>
      </c>
      <c r="P447" s="7">
        <v>531.01048990920003</v>
      </c>
      <c r="Q447">
        <v>1</v>
      </c>
      <c r="R447">
        <v>0</v>
      </c>
      <c r="S447" s="11">
        <v>45777.666666666664</v>
      </c>
      <c r="T447">
        <v>2072</v>
      </c>
    </row>
    <row r="448" spans="1:20">
      <c r="A448" s="11">
        <v>45777.645833333336</v>
      </c>
      <c r="B448" s="11">
        <v>45777.666666666664</v>
      </c>
      <c r="C448" s="10">
        <v>45777</v>
      </c>
      <c r="D448" s="7">
        <v>551.37660000000005</v>
      </c>
      <c r="E448" s="7">
        <v>18265078</v>
      </c>
      <c r="F448" s="7">
        <v>18265078</v>
      </c>
      <c r="G448" s="7">
        <v>56072199</v>
      </c>
      <c r="H448" s="7">
        <v>538.63969999999995</v>
      </c>
      <c r="I448" s="7">
        <v>551.15769999999998</v>
      </c>
      <c r="J448" s="7">
        <v>14</v>
      </c>
      <c r="K448" s="7">
        <v>1.47941685E-2</v>
      </c>
      <c r="L448" s="7">
        <v>559.31161987949997</v>
      </c>
      <c r="M448" s="7">
        <v>530.67097352170003</v>
      </c>
      <c r="N448" s="7">
        <v>546.60499579479995</v>
      </c>
      <c r="O448" s="7">
        <v>559.31161987949997</v>
      </c>
      <c r="P448" s="7">
        <v>530.67097352170003</v>
      </c>
      <c r="Q448">
        <v>1</v>
      </c>
      <c r="R448">
        <v>1</v>
      </c>
      <c r="S448" s="11">
        <v>45777.666666666664</v>
      </c>
      <c r="T448">
        <v>2071</v>
      </c>
    </row>
    <row r="449" spans="1:20">
      <c r="A449" s="11">
        <v>45778.395833333336</v>
      </c>
      <c r="B449" s="11">
        <v>45778.416666666664</v>
      </c>
      <c r="C449" s="10">
        <v>45778</v>
      </c>
      <c r="D449" s="7">
        <v>557.29269999999997</v>
      </c>
      <c r="E449" s="7">
        <v>5506796</v>
      </c>
      <c r="F449" s="7">
        <v>5506796</v>
      </c>
      <c r="G449" s="7">
        <v>5506796</v>
      </c>
      <c r="H449" s="7">
        <v>557.29269999999997</v>
      </c>
      <c r="I449" s="7">
        <v>551.37639999999999</v>
      </c>
      <c r="J449" s="7">
        <v>14</v>
      </c>
      <c r="K449" s="7">
        <v>0</v>
      </c>
      <c r="L449" s="7">
        <v>557.29269999999997</v>
      </c>
      <c r="M449" s="7">
        <v>551.37639999999999</v>
      </c>
      <c r="N449" s="7">
        <v>557.29269999999997</v>
      </c>
      <c r="O449" s="7">
        <v>557.29269999999997</v>
      </c>
      <c r="P449" s="7">
        <v>551.37639999999999</v>
      </c>
      <c r="Q449">
        <v>1</v>
      </c>
      <c r="R449">
        <v>0</v>
      </c>
      <c r="S449" s="11">
        <v>45778.666666666664</v>
      </c>
      <c r="T449">
        <v>2069</v>
      </c>
    </row>
    <row r="450" spans="1:20">
      <c r="A450" s="11">
        <v>45778.416666666664</v>
      </c>
      <c r="B450" s="11">
        <v>45778.4375</v>
      </c>
      <c r="C450" s="10">
        <v>45778</v>
      </c>
      <c r="D450" s="7">
        <v>558.85379999999998</v>
      </c>
      <c r="E450" s="7">
        <v>3847534</v>
      </c>
      <c r="F450" s="7">
        <v>3847534</v>
      </c>
      <c r="G450" s="7">
        <v>9354330</v>
      </c>
      <c r="H450" s="7">
        <v>557.29269999999997</v>
      </c>
      <c r="I450" s="7">
        <v>551.37639999999999</v>
      </c>
      <c r="J450" s="7">
        <v>14</v>
      </c>
      <c r="K450" s="7">
        <v>3.6448865000000001E-3</v>
      </c>
      <c r="L450" s="7">
        <v>559.32396863609995</v>
      </c>
      <c r="M450" s="7">
        <v>549.36669560589996</v>
      </c>
      <c r="N450" s="7">
        <v>557.93479679660004</v>
      </c>
      <c r="O450" s="7">
        <v>559.32396863609995</v>
      </c>
      <c r="P450" s="7">
        <v>549.36669560589996</v>
      </c>
      <c r="Q450">
        <v>1</v>
      </c>
      <c r="R450">
        <v>0</v>
      </c>
      <c r="S450" s="11">
        <v>45778.666666666664</v>
      </c>
      <c r="T450">
        <v>2068</v>
      </c>
    </row>
    <row r="451" spans="1:20">
      <c r="A451" s="11">
        <v>45778.4375</v>
      </c>
      <c r="B451" s="11">
        <v>45778.458333333336</v>
      </c>
      <c r="C451" s="10">
        <v>45778</v>
      </c>
      <c r="D451" s="7">
        <v>560.17610000000002</v>
      </c>
      <c r="E451" s="7">
        <v>2864454</v>
      </c>
      <c r="F451" s="7">
        <v>2864454</v>
      </c>
      <c r="G451" s="7">
        <v>12218784</v>
      </c>
      <c r="H451" s="7">
        <v>557.29269999999997</v>
      </c>
      <c r="I451" s="7">
        <v>551.37639999999999</v>
      </c>
      <c r="J451" s="7">
        <v>14</v>
      </c>
      <c r="K451" s="7">
        <v>4.3611748999999997E-3</v>
      </c>
      <c r="L451" s="7">
        <v>559.723150949</v>
      </c>
      <c r="M451" s="7">
        <v>548.97175107019996</v>
      </c>
      <c r="N451" s="7">
        <v>558.46022632589995</v>
      </c>
      <c r="O451" s="7">
        <v>559.723150949</v>
      </c>
      <c r="P451" s="7">
        <v>548.97175107019996</v>
      </c>
      <c r="Q451">
        <v>1</v>
      </c>
      <c r="R451">
        <v>0</v>
      </c>
      <c r="S451" s="11">
        <v>45778.666666666664</v>
      </c>
      <c r="T451">
        <v>2067</v>
      </c>
    </row>
    <row r="452" spans="1:20">
      <c r="A452" s="11">
        <v>45778.458333333336</v>
      </c>
      <c r="B452" s="11">
        <v>45778.479166666664</v>
      </c>
      <c r="C452" s="10">
        <v>45778</v>
      </c>
      <c r="D452" s="7">
        <v>560.15620000000001</v>
      </c>
      <c r="E452" s="7">
        <v>2725337</v>
      </c>
      <c r="F452" s="7">
        <v>2725337</v>
      </c>
      <c r="G452" s="7">
        <v>14944121</v>
      </c>
      <c r="H452" s="7">
        <v>557.29269999999997</v>
      </c>
      <c r="I452" s="7">
        <v>551.37639999999999</v>
      </c>
      <c r="J452" s="7">
        <v>14</v>
      </c>
      <c r="K452" s="7">
        <v>6.1757251000000004E-3</v>
      </c>
      <c r="L452" s="7">
        <v>560.73438651460003</v>
      </c>
      <c r="M452" s="7">
        <v>547.97125092780004</v>
      </c>
      <c r="N452" s="7">
        <v>558.76951850880005</v>
      </c>
      <c r="O452" s="7">
        <v>560.73438651460003</v>
      </c>
      <c r="P452" s="7">
        <v>547.97125092780004</v>
      </c>
      <c r="Q452">
        <v>1</v>
      </c>
      <c r="R452">
        <v>0</v>
      </c>
      <c r="S452" s="11">
        <v>45778.666666666664</v>
      </c>
      <c r="T452">
        <v>2066</v>
      </c>
    </row>
    <row r="453" spans="1:20">
      <c r="A453" s="11">
        <v>45778.479166666664</v>
      </c>
      <c r="B453" s="11">
        <v>45778.5</v>
      </c>
      <c r="C453" s="10">
        <v>45778</v>
      </c>
      <c r="D453" s="7">
        <v>557.1617</v>
      </c>
      <c r="E453" s="7">
        <v>2569002</v>
      </c>
      <c r="F453" s="7">
        <v>2569002</v>
      </c>
      <c r="G453" s="7">
        <v>17513123</v>
      </c>
      <c r="H453" s="7">
        <v>557.29269999999997</v>
      </c>
      <c r="I453" s="7">
        <v>551.37639999999999</v>
      </c>
      <c r="J453" s="7">
        <v>14</v>
      </c>
      <c r="K453" s="7">
        <v>7.4480780999999999E-3</v>
      </c>
      <c r="L453" s="7">
        <v>561.44345954870005</v>
      </c>
      <c r="M453" s="7">
        <v>547.26970551570002</v>
      </c>
      <c r="N453" s="7">
        <v>558.53366742929995</v>
      </c>
      <c r="O453" s="7">
        <v>561.44345954870005</v>
      </c>
      <c r="P453" s="7">
        <v>547.26970551570002</v>
      </c>
      <c r="Q453">
        <v>1</v>
      </c>
      <c r="R453">
        <v>0</v>
      </c>
      <c r="S453" s="11">
        <v>45778.666666666664</v>
      </c>
      <c r="T453">
        <v>2065</v>
      </c>
    </row>
    <row r="454" spans="1:20">
      <c r="A454" s="11">
        <v>45778.5</v>
      </c>
      <c r="B454" s="11">
        <v>45778.520833333336</v>
      </c>
      <c r="C454" s="10">
        <v>45778</v>
      </c>
      <c r="D454" s="7">
        <v>557.11369999999999</v>
      </c>
      <c r="E454" s="7">
        <v>1907594</v>
      </c>
      <c r="F454" s="7">
        <v>1907594</v>
      </c>
      <c r="G454" s="7">
        <v>19420717</v>
      </c>
      <c r="H454" s="7">
        <v>557.29269999999997</v>
      </c>
      <c r="I454" s="7">
        <v>551.37639999999999</v>
      </c>
      <c r="J454" s="7">
        <v>14</v>
      </c>
      <c r="K454" s="7">
        <v>9.178393E-3</v>
      </c>
      <c r="L454" s="7">
        <v>562.40775142339999</v>
      </c>
      <c r="M454" s="7">
        <v>546.3156507031</v>
      </c>
      <c r="N454" s="7">
        <v>558.39419156190002</v>
      </c>
      <c r="O454" s="7">
        <v>562.40775142339999</v>
      </c>
      <c r="P454" s="7">
        <v>546.3156507031</v>
      </c>
      <c r="Q454">
        <v>1</v>
      </c>
      <c r="R454">
        <v>0</v>
      </c>
      <c r="S454" s="11">
        <v>45778.666666666664</v>
      </c>
      <c r="T454">
        <v>2064</v>
      </c>
    </row>
    <row r="455" spans="1:20">
      <c r="A455" s="11">
        <v>45778.520833333336</v>
      </c>
      <c r="B455" s="11">
        <v>45778.541666666664</v>
      </c>
      <c r="C455" s="10">
        <v>45778</v>
      </c>
      <c r="D455" s="7">
        <v>556.56690000000003</v>
      </c>
      <c r="E455" s="7">
        <v>1440138</v>
      </c>
      <c r="F455" s="7">
        <v>1440138</v>
      </c>
      <c r="G455" s="7">
        <v>20860855</v>
      </c>
      <c r="H455" s="7">
        <v>557.29269999999997</v>
      </c>
      <c r="I455" s="7">
        <v>551.37639999999999</v>
      </c>
      <c r="J455" s="7">
        <v>14</v>
      </c>
      <c r="K455" s="7">
        <v>8.7152815999999994E-3</v>
      </c>
      <c r="L455" s="7">
        <v>562.14966282249998</v>
      </c>
      <c r="M455" s="7">
        <v>546.57099939809996</v>
      </c>
      <c r="N455" s="7">
        <v>558.26804371159994</v>
      </c>
      <c r="O455" s="7">
        <v>562.14966282249998</v>
      </c>
      <c r="P455" s="7">
        <v>546.57099939809996</v>
      </c>
      <c r="Q455">
        <v>1</v>
      </c>
      <c r="R455">
        <v>0</v>
      </c>
      <c r="S455" s="11">
        <v>45778.666666666664</v>
      </c>
      <c r="T455">
        <v>2063</v>
      </c>
    </row>
    <row r="456" spans="1:20">
      <c r="A456" s="11">
        <v>45778.541666666664</v>
      </c>
      <c r="B456" s="11">
        <v>45778.5625</v>
      </c>
      <c r="C456" s="10">
        <v>45778</v>
      </c>
      <c r="D456" s="7">
        <v>558.14779999999996</v>
      </c>
      <c r="E456" s="7">
        <v>1465791</v>
      </c>
      <c r="F456" s="7">
        <v>1465791</v>
      </c>
      <c r="G456" s="7">
        <v>22326646</v>
      </c>
      <c r="H456" s="7">
        <v>557.29269999999997</v>
      </c>
      <c r="I456" s="7">
        <v>551.37639999999999</v>
      </c>
      <c r="J456" s="7">
        <v>14</v>
      </c>
      <c r="K456" s="7">
        <v>8.5621846999999994E-3</v>
      </c>
      <c r="L456" s="7">
        <v>562.06434302579999</v>
      </c>
      <c r="M456" s="7">
        <v>546.65541342749998</v>
      </c>
      <c r="N456" s="7">
        <v>558.26014946040004</v>
      </c>
      <c r="O456" s="7">
        <v>562.06434302579999</v>
      </c>
      <c r="P456" s="7">
        <v>546.65541342749998</v>
      </c>
      <c r="Q456">
        <v>1</v>
      </c>
      <c r="R456">
        <v>0</v>
      </c>
      <c r="S456" s="11">
        <v>45778.666666666664</v>
      </c>
      <c r="T456">
        <v>2062</v>
      </c>
    </row>
    <row r="457" spans="1:20">
      <c r="A457" s="11">
        <v>45778.5625</v>
      </c>
      <c r="B457" s="11">
        <v>45778.583333333336</v>
      </c>
      <c r="C457" s="10">
        <v>45778</v>
      </c>
      <c r="D457" s="7">
        <v>557.41200000000003</v>
      </c>
      <c r="E457" s="7">
        <v>1151554</v>
      </c>
      <c r="F457" s="7">
        <v>1151554</v>
      </c>
      <c r="G457" s="7">
        <v>23478200</v>
      </c>
      <c r="H457" s="7">
        <v>557.29269999999997</v>
      </c>
      <c r="I457" s="7">
        <v>551.37639999999999</v>
      </c>
      <c r="J457" s="7">
        <v>14</v>
      </c>
      <c r="K457" s="7">
        <v>8.4968703000000007E-3</v>
      </c>
      <c r="L457" s="7">
        <v>562.02794378900001</v>
      </c>
      <c r="M457" s="7">
        <v>546.69142624480003</v>
      </c>
      <c r="N457" s="7">
        <v>558.21854959740006</v>
      </c>
      <c r="O457" s="7">
        <v>562.02794378900001</v>
      </c>
      <c r="P457" s="7">
        <v>546.69142624480003</v>
      </c>
      <c r="Q457">
        <v>1</v>
      </c>
      <c r="R457">
        <v>0</v>
      </c>
      <c r="S457" s="11">
        <v>45778.666666666664</v>
      </c>
      <c r="T457">
        <v>2061</v>
      </c>
    </row>
    <row r="458" spans="1:20">
      <c r="A458" s="11">
        <v>45778.583333333336</v>
      </c>
      <c r="B458" s="11">
        <v>45778.604166666664</v>
      </c>
      <c r="C458" s="10">
        <v>45778</v>
      </c>
      <c r="D458" s="7">
        <v>558.69960000000003</v>
      </c>
      <c r="E458" s="7">
        <v>1944949</v>
      </c>
      <c r="F458" s="7">
        <v>1944949</v>
      </c>
      <c r="G458" s="7">
        <v>25423149</v>
      </c>
      <c r="H458" s="7">
        <v>557.29269999999997</v>
      </c>
      <c r="I458" s="7">
        <v>551.37639999999999</v>
      </c>
      <c r="J458" s="7">
        <v>14</v>
      </c>
      <c r="K458" s="7">
        <v>8.1741690999999998E-3</v>
      </c>
      <c r="L458" s="7">
        <v>561.84810477179997</v>
      </c>
      <c r="M458" s="7">
        <v>546.86935606489999</v>
      </c>
      <c r="N458" s="7">
        <v>558.25535143100001</v>
      </c>
      <c r="O458" s="7">
        <v>561.84810477179997</v>
      </c>
      <c r="P458" s="7">
        <v>546.86935606489999</v>
      </c>
      <c r="Q458">
        <v>1</v>
      </c>
      <c r="R458">
        <v>0</v>
      </c>
      <c r="S458" s="11">
        <v>45778.666666666664</v>
      </c>
      <c r="T458">
        <v>2060</v>
      </c>
    </row>
    <row r="459" spans="1:20">
      <c r="A459" s="11">
        <v>45778.604166666664</v>
      </c>
      <c r="B459" s="11">
        <v>45778.625</v>
      </c>
      <c r="C459" s="10">
        <v>45778</v>
      </c>
      <c r="D459" s="7">
        <v>558.55550000000005</v>
      </c>
      <c r="E459" s="7">
        <v>1894226</v>
      </c>
      <c r="F459" s="7">
        <v>1894226</v>
      </c>
      <c r="G459" s="7">
        <v>27317375</v>
      </c>
      <c r="H459" s="7">
        <v>557.29269999999997</v>
      </c>
      <c r="I459" s="7">
        <v>551.37639999999999</v>
      </c>
      <c r="J459" s="7">
        <v>14</v>
      </c>
      <c r="K459" s="7">
        <v>8.8252382000000001E-3</v>
      </c>
      <c r="L459" s="7">
        <v>562.21094080340004</v>
      </c>
      <c r="M459" s="7">
        <v>546.51037195319998</v>
      </c>
      <c r="N459" s="7">
        <v>558.27616416369995</v>
      </c>
      <c r="O459" s="7">
        <v>562.21094080340004</v>
      </c>
      <c r="P459" s="7">
        <v>546.51037195319998</v>
      </c>
      <c r="Q459">
        <v>1</v>
      </c>
      <c r="R459">
        <v>0</v>
      </c>
      <c r="S459" s="11">
        <v>45778.666666666664</v>
      </c>
      <c r="T459">
        <v>2059</v>
      </c>
    </row>
    <row r="460" spans="1:20">
      <c r="A460" s="11">
        <v>45778.625</v>
      </c>
      <c r="B460" s="11">
        <v>45778.645833333336</v>
      </c>
      <c r="C460" s="10">
        <v>45778</v>
      </c>
      <c r="D460" s="7">
        <v>558.91340000000002</v>
      </c>
      <c r="E460" s="7">
        <v>2734471</v>
      </c>
      <c r="F460" s="7">
        <v>2734471</v>
      </c>
      <c r="G460" s="7">
        <v>30051846</v>
      </c>
      <c r="H460" s="7">
        <v>557.29269999999997</v>
      </c>
      <c r="I460" s="7">
        <v>551.37639999999999</v>
      </c>
      <c r="J460" s="7">
        <v>14</v>
      </c>
      <c r="K460" s="7">
        <v>9.4604961000000001E-3</v>
      </c>
      <c r="L460" s="7">
        <v>562.56496543380001</v>
      </c>
      <c r="M460" s="7">
        <v>546.16010569950004</v>
      </c>
      <c r="N460" s="7">
        <v>558.33414738759996</v>
      </c>
      <c r="O460" s="7">
        <v>562.56496543380001</v>
      </c>
      <c r="P460" s="7">
        <v>546.16010569950004</v>
      </c>
      <c r="Q460">
        <v>1</v>
      </c>
      <c r="R460">
        <v>0</v>
      </c>
      <c r="S460" s="11">
        <v>45778.666666666664</v>
      </c>
      <c r="T460">
        <v>2058</v>
      </c>
    </row>
    <row r="461" spans="1:20">
      <c r="A461" s="11">
        <v>45778.645833333336</v>
      </c>
      <c r="B461" s="11">
        <v>45778.666666666664</v>
      </c>
      <c r="C461" s="10">
        <v>45778</v>
      </c>
      <c r="D461" s="7">
        <v>555.28420000000006</v>
      </c>
      <c r="E461" s="7">
        <v>8744546</v>
      </c>
      <c r="F461" s="7">
        <v>8744546</v>
      </c>
      <c r="G461" s="7">
        <v>38796392</v>
      </c>
      <c r="H461" s="7">
        <v>557.29269999999997</v>
      </c>
      <c r="I461" s="7">
        <v>551.37639999999999</v>
      </c>
      <c r="J461" s="7">
        <v>14</v>
      </c>
      <c r="K461" s="7">
        <v>9.5688195000000007E-3</v>
      </c>
      <c r="L461" s="7">
        <v>562.6253332412</v>
      </c>
      <c r="M461" s="7">
        <v>546.10037876540002</v>
      </c>
      <c r="N461" s="7">
        <v>557.64670188419996</v>
      </c>
      <c r="O461" s="7">
        <v>562.6253332412</v>
      </c>
      <c r="P461" s="7">
        <v>546.10037876540002</v>
      </c>
      <c r="Q461">
        <v>1</v>
      </c>
      <c r="R461">
        <v>1</v>
      </c>
      <c r="S461" s="11">
        <v>45778.666666666664</v>
      </c>
      <c r="T461">
        <v>2057</v>
      </c>
    </row>
    <row r="462" spans="1:20">
      <c r="A462" s="11">
        <v>45779.395833333336</v>
      </c>
      <c r="B462" s="11">
        <v>45779.416666666664</v>
      </c>
      <c r="C462" s="10">
        <v>45779</v>
      </c>
      <c r="D462" s="7">
        <v>560.26559999999995</v>
      </c>
      <c r="E462" s="7">
        <v>4656831</v>
      </c>
      <c r="F462" s="7">
        <v>4656831</v>
      </c>
      <c r="G462" s="7">
        <v>4656831</v>
      </c>
      <c r="H462" s="7">
        <v>560.26559999999995</v>
      </c>
      <c r="I462" s="7">
        <v>555.28399999999999</v>
      </c>
      <c r="J462" s="7">
        <v>14</v>
      </c>
      <c r="K462" s="7">
        <v>0</v>
      </c>
      <c r="L462" s="7">
        <v>560.26559999999995</v>
      </c>
      <c r="M462" s="7">
        <v>555.28399999999999</v>
      </c>
      <c r="N462" s="7">
        <v>560.26559999999995</v>
      </c>
      <c r="O462" s="7">
        <v>560.26559999999995</v>
      </c>
      <c r="P462" s="7">
        <v>555.28399999999999</v>
      </c>
      <c r="Q462">
        <v>1</v>
      </c>
      <c r="R462">
        <v>0</v>
      </c>
      <c r="S462" s="11">
        <v>45779.666666666664</v>
      </c>
      <c r="T462">
        <v>2055</v>
      </c>
    </row>
    <row r="463" spans="1:20">
      <c r="A463" s="11">
        <v>45779.416666666664</v>
      </c>
      <c r="B463" s="11">
        <v>45779.4375</v>
      </c>
      <c r="C463" s="10">
        <v>45779</v>
      </c>
      <c r="D463" s="7">
        <v>563.06209999999999</v>
      </c>
      <c r="E463" s="7">
        <v>2679989</v>
      </c>
      <c r="F463" s="7">
        <v>2679989</v>
      </c>
      <c r="G463" s="7">
        <v>7336820</v>
      </c>
      <c r="H463" s="7">
        <v>560.26559999999995</v>
      </c>
      <c r="I463" s="7">
        <v>555.28399999999999</v>
      </c>
      <c r="J463" s="7">
        <v>14</v>
      </c>
      <c r="K463" s="7">
        <v>3.7607756999999999E-3</v>
      </c>
      <c r="L463" s="7">
        <v>562.37263327070002</v>
      </c>
      <c r="M463" s="7">
        <v>553.19570140969995</v>
      </c>
      <c r="N463" s="7">
        <v>561.287103763</v>
      </c>
      <c r="O463" s="7">
        <v>562.37263327070002</v>
      </c>
      <c r="P463" s="7">
        <v>553.19570140969995</v>
      </c>
      <c r="Q463">
        <v>1</v>
      </c>
      <c r="R463">
        <v>0</v>
      </c>
      <c r="S463" s="11">
        <v>45779.666666666664</v>
      </c>
      <c r="T463">
        <v>2054</v>
      </c>
    </row>
    <row r="464" spans="1:20">
      <c r="A464" s="11">
        <v>45779.4375</v>
      </c>
      <c r="B464" s="11">
        <v>45779.458333333336</v>
      </c>
      <c r="C464" s="10">
        <v>45779</v>
      </c>
      <c r="D464" s="7">
        <v>562.53269999999998</v>
      </c>
      <c r="E464" s="7">
        <v>2093467</v>
      </c>
      <c r="F464" s="7">
        <v>2093467</v>
      </c>
      <c r="G464" s="7">
        <v>9430287</v>
      </c>
      <c r="H464" s="7">
        <v>560.26559999999995</v>
      </c>
      <c r="I464" s="7">
        <v>555.28399999999999</v>
      </c>
      <c r="J464" s="7">
        <v>14</v>
      </c>
      <c r="K464" s="7">
        <v>4.3899433999999996E-3</v>
      </c>
      <c r="L464" s="7">
        <v>562.72513429829996</v>
      </c>
      <c r="M464" s="7">
        <v>552.84633464390004</v>
      </c>
      <c r="N464" s="7">
        <v>561.56361863660004</v>
      </c>
      <c r="O464" s="7">
        <v>562.72513429829996</v>
      </c>
      <c r="P464" s="7">
        <v>552.84633464390004</v>
      </c>
      <c r="Q464">
        <v>1</v>
      </c>
      <c r="R464">
        <v>0</v>
      </c>
      <c r="S464" s="11">
        <v>45779.666666666664</v>
      </c>
      <c r="T464">
        <v>2053</v>
      </c>
    </row>
    <row r="465" spans="1:20">
      <c r="A465" s="11">
        <v>45779.458333333336</v>
      </c>
      <c r="B465" s="11">
        <v>45779.479166666664</v>
      </c>
      <c r="C465" s="10">
        <v>45779</v>
      </c>
      <c r="D465" s="7">
        <v>561.51350000000002</v>
      </c>
      <c r="E465" s="7">
        <v>2077156</v>
      </c>
      <c r="F465" s="7">
        <v>2077156</v>
      </c>
      <c r="G465" s="7">
        <v>11507443</v>
      </c>
      <c r="H465" s="7">
        <v>560.26559999999995</v>
      </c>
      <c r="I465" s="7">
        <v>555.28399999999999</v>
      </c>
      <c r="J465" s="7">
        <v>14</v>
      </c>
      <c r="K465" s="7">
        <v>5.8535109E-3</v>
      </c>
      <c r="L465" s="7">
        <v>563.54512079699998</v>
      </c>
      <c r="M465" s="7">
        <v>552.03363905289996</v>
      </c>
      <c r="N465" s="7">
        <v>561.55457195029999</v>
      </c>
      <c r="O465" s="7">
        <v>563.54512079699998</v>
      </c>
      <c r="P465" s="7">
        <v>552.03363905289996</v>
      </c>
      <c r="Q465">
        <v>1</v>
      </c>
      <c r="R465">
        <v>0</v>
      </c>
      <c r="S465" s="11">
        <v>45779.666666666664</v>
      </c>
      <c r="T465">
        <v>2052</v>
      </c>
    </row>
    <row r="466" spans="1:20">
      <c r="A466" s="11">
        <v>45779.479166666664</v>
      </c>
      <c r="B466" s="11">
        <v>45779.5</v>
      </c>
      <c r="C466" s="10">
        <v>45779</v>
      </c>
      <c r="D466" s="7">
        <v>563.05960000000005</v>
      </c>
      <c r="E466" s="7">
        <v>1489758</v>
      </c>
      <c r="F466" s="7">
        <v>1489758</v>
      </c>
      <c r="G466" s="7">
        <v>12997201</v>
      </c>
      <c r="H466" s="7">
        <v>560.26559999999995</v>
      </c>
      <c r="I466" s="7">
        <v>555.28399999999999</v>
      </c>
      <c r="J466" s="7">
        <v>14</v>
      </c>
      <c r="K466" s="7">
        <v>6.0355673999999996E-3</v>
      </c>
      <c r="L466" s="7">
        <v>563.64712077130002</v>
      </c>
      <c r="M466" s="7">
        <v>551.93254601110004</v>
      </c>
      <c r="N466" s="7">
        <v>561.72708044479998</v>
      </c>
      <c r="O466" s="7">
        <v>563.64712077130002</v>
      </c>
      <c r="P466" s="7">
        <v>551.93254601110004</v>
      </c>
      <c r="Q466">
        <v>1</v>
      </c>
      <c r="R466">
        <v>0</v>
      </c>
      <c r="S466" s="11">
        <v>45779.666666666664</v>
      </c>
      <c r="T466">
        <v>2051</v>
      </c>
    </row>
    <row r="467" spans="1:20">
      <c r="A467" s="11">
        <v>45779.5</v>
      </c>
      <c r="B467" s="11">
        <v>45779.520833333336</v>
      </c>
      <c r="C467" s="10">
        <v>45779</v>
      </c>
      <c r="D467" s="7">
        <v>564.03409999999997</v>
      </c>
      <c r="E467" s="7">
        <v>3669269</v>
      </c>
      <c r="F467" s="7">
        <v>3669269</v>
      </c>
      <c r="G467" s="7">
        <v>16666470</v>
      </c>
      <c r="H467" s="7">
        <v>560.26559999999995</v>
      </c>
      <c r="I467" s="7">
        <v>555.28399999999999</v>
      </c>
      <c r="J467" s="7">
        <v>14</v>
      </c>
      <c r="K467" s="7">
        <v>6.8746244999999999E-3</v>
      </c>
      <c r="L467" s="7">
        <v>564.11721560829994</v>
      </c>
      <c r="M467" s="7">
        <v>551.46663102100001</v>
      </c>
      <c r="N467" s="7">
        <v>562.23499095830005</v>
      </c>
      <c r="O467" s="7">
        <v>564.11721560829994</v>
      </c>
      <c r="P467" s="7">
        <v>551.46663102100001</v>
      </c>
      <c r="Q467">
        <v>1</v>
      </c>
      <c r="R467">
        <v>0</v>
      </c>
      <c r="S467" s="11">
        <v>45779.666666666664</v>
      </c>
      <c r="T467">
        <v>2050</v>
      </c>
    </row>
    <row r="468" spans="1:20">
      <c r="A468" s="11">
        <v>45779.520833333336</v>
      </c>
      <c r="B468" s="11">
        <v>45779.541666666664</v>
      </c>
      <c r="C468" s="10">
        <v>45779</v>
      </c>
      <c r="D468" s="7">
        <v>564.27260000000001</v>
      </c>
      <c r="E468" s="7">
        <v>1676645</v>
      </c>
      <c r="F468" s="7">
        <v>1676645</v>
      </c>
      <c r="G468" s="7">
        <v>18343115</v>
      </c>
      <c r="H468" s="7">
        <v>560.26559999999995</v>
      </c>
      <c r="I468" s="7">
        <v>555.28399999999999</v>
      </c>
      <c r="J468" s="7">
        <v>14</v>
      </c>
      <c r="K468" s="7">
        <v>7.5640276999999999E-3</v>
      </c>
      <c r="L468" s="7">
        <v>564.5034645426</v>
      </c>
      <c r="M468" s="7">
        <v>551.08381641799997</v>
      </c>
      <c r="N468" s="7">
        <v>562.42123778780001</v>
      </c>
      <c r="O468" s="7">
        <v>564.5034645426</v>
      </c>
      <c r="P468" s="7">
        <v>551.08381641799997</v>
      </c>
      <c r="Q468">
        <v>1</v>
      </c>
      <c r="R468">
        <v>0</v>
      </c>
      <c r="S468" s="11">
        <v>45779.666666666664</v>
      </c>
      <c r="T468">
        <v>2049</v>
      </c>
    </row>
    <row r="469" spans="1:20">
      <c r="A469" s="11">
        <v>45779.541666666664</v>
      </c>
      <c r="B469" s="11">
        <v>45779.5625</v>
      </c>
      <c r="C469" s="10">
        <v>45779</v>
      </c>
      <c r="D469" s="7">
        <v>563.54690000000005</v>
      </c>
      <c r="E469" s="7">
        <v>1505885</v>
      </c>
      <c r="F469" s="7">
        <v>1505885</v>
      </c>
      <c r="G469" s="7">
        <v>19849000</v>
      </c>
      <c r="H469" s="7">
        <v>560.26559999999995</v>
      </c>
      <c r="I469" s="7">
        <v>555.28399999999999</v>
      </c>
      <c r="J469" s="7">
        <v>14</v>
      </c>
      <c r="K469" s="7">
        <v>7.3289078999999998E-3</v>
      </c>
      <c r="L469" s="7">
        <v>564.3717349543</v>
      </c>
      <c r="M469" s="7">
        <v>551.214374733</v>
      </c>
      <c r="N469" s="7">
        <v>562.50663845489998</v>
      </c>
      <c r="O469" s="7">
        <v>564.3717349543</v>
      </c>
      <c r="P469" s="7">
        <v>551.214374733</v>
      </c>
      <c r="Q469">
        <v>1</v>
      </c>
      <c r="R469">
        <v>0</v>
      </c>
      <c r="S469" s="11">
        <v>45779.666666666664</v>
      </c>
      <c r="T469">
        <v>2048</v>
      </c>
    </row>
    <row r="470" spans="1:20">
      <c r="A470" s="11">
        <v>45779.5625</v>
      </c>
      <c r="B470" s="11">
        <v>45779.583333333336</v>
      </c>
      <c r="C470" s="10">
        <v>45779</v>
      </c>
      <c r="D470" s="7">
        <v>564.00919999999996</v>
      </c>
      <c r="E470" s="7">
        <v>1154006</v>
      </c>
      <c r="F470" s="7">
        <v>1154006</v>
      </c>
      <c r="G470" s="7">
        <v>21003006</v>
      </c>
      <c r="H470" s="7">
        <v>560.26559999999995</v>
      </c>
      <c r="I470" s="7">
        <v>555.28399999999999</v>
      </c>
      <c r="J470" s="7">
        <v>14</v>
      </c>
      <c r="K470" s="7">
        <v>7.8756031999999993E-3</v>
      </c>
      <c r="L470" s="7">
        <v>564.67802952689999</v>
      </c>
      <c r="M470" s="7">
        <v>550.91080357780004</v>
      </c>
      <c r="N470" s="7">
        <v>562.58919640099998</v>
      </c>
      <c r="O470" s="7">
        <v>564.67802952689999</v>
      </c>
      <c r="P470" s="7">
        <v>550.91080357780004</v>
      </c>
      <c r="Q470">
        <v>1</v>
      </c>
      <c r="R470">
        <v>0</v>
      </c>
      <c r="S470" s="11">
        <v>45779.666666666664</v>
      </c>
      <c r="T470">
        <v>2047</v>
      </c>
    </row>
    <row r="471" spans="1:20">
      <c r="A471" s="11">
        <v>45779.583333333336</v>
      </c>
      <c r="B471" s="11">
        <v>45779.604166666664</v>
      </c>
      <c r="C471" s="10">
        <v>45779</v>
      </c>
      <c r="D471" s="7">
        <v>564.45169999999996</v>
      </c>
      <c r="E471" s="7">
        <v>1519214</v>
      </c>
      <c r="F471" s="7">
        <v>1519214</v>
      </c>
      <c r="G471" s="7">
        <v>22522220</v>
      </c>
      <c r="H471" s="7">
        <v>560.26559999999995</v>
      </c>
      <c r="I471" s="7">
        <v>555.28399999999999</v>
      </c>
      <c r="J471" s="7">
        <v>14</v>
      </c>
      <c r="K471" s="7">
        <v>8.3054051999999993E-3</v>
      </c>
      <c r="L471" s="7">
        <v>564.91883283530001</v>
      </c>
      <c r="M471" s="7">
        <v>550.67214137129997</v>
      </c>
      <c r="N471" s="7">
        <v>562.71482973299999</v>
      </c>
      <c r="O471" s="7">
        <v>564.91883283530001</v>
      </c>
      <c r="P471" s="7">
        <v>550.67214137129997</v>
      </c>
      <c r="Q471">
        <v>1</v>
      </c>
      <c r="R471">
        <v>0</v>
      </c>
      <c r="S471" s="11">
        <v>45779.666666666664</v>
      </c>
      <c r="T471">
        <v>2046</v>
      </c>
    </row>
    <row r="472" spans="1:20">
      <c r="A472" s="11">
        <v>45779.604166666664</v>
      </c>
      <c r="B472" s="11">
        <v>45779.625</v>
      </c>
      <c r="C472" s="10">
        <v>45779</v>
      </c>
      <c r="D472" s="7">
        <v>563.82029999999997</v>
      </c>
      <c r="E472" s="7">
        <v>2340892</v>
      </c>
      <c r="F472" s="7">
        <v>2340892</v>
      </c>
      <c r="G472" s="7">
        <v>24863112</v>
      </c>
      <c r="H472" s="7">
        <v>560.26559999999995</v>
      </c>
      <c r="I472" s="7">
        <v>555.28399999999999</v>
      </c>
      <c r="J472" s="7">
        <v>14</v>
      </c>
      <c r="K472" s="7">
        <v>8.5085395000000005E-3</v>
      </c>
      <c r="L472" s="7">
        <v>565.03264198930003</v>
      </c>
      <c r="M472" s="7">
        <v>550.55934415110005</v>
      </c>
      <c r="N472" s="7">
        <v>562.81891109280002</v>
      </c>
      <c r="O472" s="7">
        <v>565.03264198930003</v>
      </c>
      <c r="P472" s="7">
        <v>550.55934415110005</v>
      </c>
      <c r="Q472">
        <v>1</v>
      </c>
      <c r="R472">
        <v>0</v>
      </c>
      <c r="S472" s="11">
        <v>45779.666666666664</v>
      </c>
      <c r="T472">
        <v>2045</v>
      </c>
    </row>
    <row r="473" spans="1:20">
      <c r="A473" s="11">
        <v>45779.625</v>
      </c>
      <c r="B473" s="11">
        <v>45779.645833333336</v>
      </c>
      <c r="C473" s="10">
        <v>45779</v>
      </c>
      <c r="D473" s="7">
        <v>564.39200000000005</v>
      </c>
      <c r="E473" s="7">
        <v>3491119</v>
      </c>
      <c r="F473" s="7">
        <v>3491119</v>
      </c>
      <c r="G473" s="7">
        <v>28354231</v>
      </c>
      <c r="H473" s="7">
        <v>560.26559999999995</v>
      </c>
      <c r="I473" s="7">
        <v>555.28399999999999</v>
      </c>
      <c r="J473" s="7">
        <v>14</v>
      </c>
      <c r="K473" s="7">
        <v>8.7872200000000001E-3</v>
      </c>
      <c r="L473" s="7">
        <v>565.18877707950003</v>
      </c>
      <c r="M473" s="7">
        <v>550.40459733559999</v>
      </c>
      <c r="N473" s="7">
        <v>563.01259790350002</v>
      </c>
      <c r="O473" s="7">
        <v>565.18877707950003</v>
      </c>
      <c r="P473" s="7">
        <v>550.40459733559999</v>
      </c>
      <c r="Q473">
        <v>1</v>
      </c>
      <c r="R473">
        <v>0</v>
      </c>
      <c r="S473" s="11">
        <v>45779.666666666664</v>
      </c>
      <c r="T473">
        <v>2044</v>
      </c>
    </row>
    <row r="474" spans="1:20">
      <c r="A474" s="11">
        <v>45779.645833333336</v>
      </c>
      <c r="B474" s="11">
        <v>45779.666666666664</v>
      </c>
      <c r="C474" s="10">
        <v>45779</v>
      </c>
      <c r="D474" s="7">
        <v>563.52700000000004</v>
      </c>
      <c r="E474" s="7">
        <v>9847881</v>
      </c>
      <c r="F474" s="7">
        <v>9847881</v>
      </c>
      <c r="G474" s="7">
        <v>38202112</v>
      </c>
      <c r="H474" s="7">
        <v>560.26559999999995</v>
      </c>
      <c r="I474" s="7">
        <v>555.28399999999999</v>
      </c>
      <c r="J474" s="7">
        <v>14</v>
      </c>
      <c r="K474" s="7">
        <v>9.2423652999999995E-3</v>
      </c>
      <c r="L474" s="7">
        <v>565.44377934670001</v>
      </c>
      <c r="M474" s="7">
        <v>550.15186242029995</v>
      </c>
      <c r="N474" s="7">
        <v>563.11187093889998</v>
      </c>
      <c r="O474" s="7">
        <v>565.44377934670001</v>
      </c>
      <c r="P474" s="7">
        <v>550.15186242029995</v>
      </c>
      <c r="Q474">
        <v>1</v>
      </c>
      <c r="R474">
        <v>1</v>
      </c>
      <c r="S474" s="11">
        <v>45779.666666666664</v>
      </c>
      <c r="T474">
        <v>2043</v>
      </c>
    </row>
    <row r="475" spans="1:20">
      <c r="A475" s="11">
        <v>45782.395833333336</v>
      </c>
      <c r="B475" s="11">
        <v>45782.416666666664</v>
      </c>
      <c r="C475" s="10">
        <v>45782</v>
      </c>
      <c r="D475" s="7">
        <v>560.5838</v>
      </c>
      <c r="E475" s="7">
        <v>3832940</v>
      </c>
      <c r="F475" s="7">
        <v>3832940</v>
      </c>
      <c r="G475" s="7">
        <v>3832940</v>
      </c>
      <c r="H475" s="7">
        <v>560.5838</v>
      </c>
      <c r="I475" s="7">
        <v>563.52670000000001</v>
      </c>
      <c r="J475" s="7">
        <v>14</v>
      </c>
      <c r="K475" s="7">
        <v>0</v>
      </c>
      <c r="L475" s="7">
        <v>563.52670000000001</v>
      </c>
      <c r="M475" s="7">
        <v>560.5838</v>
      </c>
      <c r="N475" s="7">
        <v>560.5838</v>
      </c>
      <c r="O475" s="7">
        <v>563.52670000000001</v>
      </c>
      <c r="P475" s="7">
        <v>560.5838</v>
      </c>
      <c r="Q475">
        <v>1</v>
      </c>
      <c r="R475">
        <v>0</v>
      </c>
      <c r="S475" s="11">
        <v>45782.666666666664</v>
      </c>
      <c r="T475">
        <v>2041</v>
      </c>
    </row>
    <row r="476" spans="1:20">
      <c r="A476" s="11">
        <v>45782.416666666664</v>
      </c>
      <c r="B476" s="11">
        <v>45782.4375</v>
      </c>
      <c r="C476" s="10">
        <v>45782</v>
      </c>
      <c r="D476" s="7">
        <v>560.49869999999999</v>
      </c>
      <c r="E476" s="7">
        <v>2612810</v>
      </c>
      <c r="F476" s="7">
        <v>2612810</v>
      </c>
      <c r="G476" s="7">
        <v>6445750</v>
      </c>
      <c r="H476" s="7">
        <v>560.5838</v>
      </c>
      <c r="I476" s="7">
        <v>563.52670000000001</v>
      </c>
      <c r="J476" s="7">
        <v>14</v>
      </c>
      <c r="K476" s="7">
        <v>3.4899886000000001E-3</v>
      </c>
      <c r="L476" s="7">
        <v>565.49340174609995</v>
      </c>
      <c r="M476" s="7">
        <v>558.62736894119996</v>
      </c>
      <c r="N476" s="7">
        <v>560.54930438179997</v>
      </c>
      <c r="O476" s="7">
        <v>565.49340174609995</v>
      </c>
      <c r="P476" s="7">
        <v>558.62736894119996</v>
      </c>
      <c r="Q476">
        <v>1</v>
      </c>
      <c r="R476">
        <v>0</v>
      </c>
      <c r="S476" s="11">
        <v>45782.666666666664</v>
      </c>
      <c r="T476">
        <v>2040</v>
      </c>
    </row>
    <row r="477" spans="1:20">
      <c r="A477" s="11">
        <v>45782.4375</v>
      </c>
      <c r="B477" s="11">
        <v>45782.458333333336</v>
      </c>
      <c r="C477" s="10">
        <v>45782</v>
      </c>
      <c r="D477" s="7">
        <v>561.68740000000003</v>
      </c>
      <c r="E477" s="7">
        <v>2204999</v>
      </c>
      <c r="F477" s="7">
        <v>2204999</v>
      </c>
      <c r="G477" s="7">
        <v>8650749</v>
      </c>
      <c r="H477" s="7">
        <v>560.5838</v>
      </c>
      <c r="I477" s="7">
        <v>563.52670000000001</v>
      </c>
      <c r="J477" s="7">
        <v>14</v>
      </c>
      <c r="K477" s="7">
        <v>4.3767357999999999E-3</v>
      </c>
      <c r="L477" s="7">
        <v>565.9931074978</v>
      </c>
      <c r="M477" s="7">
        <v>558.13027279810001</v>
      </c>
      <c r="N477" s="7">
        <v>560.83939483519998</v>
      </c>
      <c r="O477" s="7">
        <v>565.9931074978</v>
      </c>
      <c r="P477" s="7">
        <v>558.13027279810001</v>
      </c>
      <c r="Q477">
        <v>1</v>
      </c>
      <c r="R477">
        <v>0</v>
      </c>
      <c r="S477" s="11">
        <v>45782.666666666664</v>
      </c>
      <c r="T477">
        <v>2039</v>
      </c>
    </row>
    <row r="478" spans="1:20">
      <c r="A478" s="11">
        <v>45782.458333333336</v>
      </c>
      <c r="B478" s="11">
        <v>45782.479166666664</v>
      </c>
      <c r="C478" s="10">
        <v>45782</v>
      </c>
      <c r="D478" s="7">
        <v>561.59799999999996</v>
      </c>
      <c r="E478" s="7">
        <v>2144597</v>
      </c>
      <c r="F478" s="7">
        <v>2144597</v>
      </c>
      <c r="G478" s="7">
        <v>10795346</v>
      </c>
      <c r="H478" s="7">
        <v>560.5838</v>
      </c>
      <c r="I478" s="7">
        <v>563.52670000000001</v>
      </c>
      <c r="J478" s="7">
        <v>14</v>
      </c>
      <c r="K478" s="7">
        <v>5.7158095000000003E-3</v>
      </c>
      <c r="L478" s="7">
        <v>566.74771124890003</v>
      </c>
      <c r="M478" s="7">
        <v>557.37960980679998</v>
      </c>
      <c r="N478" s="7">
        <v>560.99009888499995</v>
      </c>
      <c r="O478" s="7">
        <v>566.74771124890003</v>
      </c>
      <c r="P478" s="7">
        <v>557.37960980679998</v>
      </c>
      <c r="Q478">
        <v>1</v>
      </c>
      <c r="R478">
        <v>0</v>
      </c>
      <c r="S478" s="11">
        <v>45782.666666666664</v>
      </c>
      <c r="T478">
        <v>2038</v>
      </c>
    </row>
    <row r="479" spans="1:20">
      <c r="A479" s="11">
        <v>45782.479166666664</v>
      </c>
      <c r="B479" s="11">
        <v>45782.5</v>
      </c>
      <c r="C479" s="10">
        <v>45782</v>
      </c>
      <c r="D479" s="7">
        <v>561.78689999999995</v>
      </c>
      <c r="E479" s="7">
        <v>1411592</v>
      </c>
      <c r="F479" s="7">
        <v>1411592</v>
      </c>
      <c r="G479" s="7">
        <v>12206938</v>
      </c>
      <c r="H479" s="7">
        <v>560.5838</v>
      </c>
      <c r="I479" s="7">
        <v>563.52670000000001</v>
      </c>
      <c r="J479" s="7">
        <v>14</v>
      </c>
      <c r="K479" s="7">
        <v>6.1458679E-3</v>
      </c>
      <c r="L479" s="7">
        <v>566.99006067180005</v>
      </c>
      <c r="M479" s="7">
        <v>557.13852600289999</v>
      </c>
      <c r="N479" s="7">
        <v>561.08223977069997</v>
      </c>
      <c r="O479" s="7">
        <v>566.99006067180005</v>
      </c>
      <c r="P479" s="7">
        <v>557.13852600289999</v>
      </c>
      <c r="Q479">
        <v>1</v>
      </c>
      <c r="R479">
        <v>0</v>
      </c>
      <c r="S479" s="11">
        <v>45782.666666666664</v>
      </c>
      <c r="T479">
        <v>2037</v>
      </c>
    </row>
    <row r="480" spans="1:20">
      <c r="A480" s="11">
        <v>45782.5</v>
      </c>
      <c r="B480" s="11">
        <v>45782.520833333336</v>
      </c>
      <c r="C480" s="10">
        <v>45782</v>
      </c>
      <c r="D480" s="7">
        <v>562.47299999999996</v>
      </c>
      <c r="E480" s="7">
        <v>1361343</v>
      </c>
      <c r="F480" s="7">
        <v>1361343</v>
      </c>
      <c r="G480" s="7">
        <v>13568281</v>
      </c>
      <c r="H480" s="7">
        <v>560.5838</v>
      </c>
      <c r="I480" s="7">
        <v>563.52670000000001</v>
      </c>
      <c r="J480" s="7">
        <v>14</v>
      </c>
      <c r="K480" s="7">
        <v>7.0329818000000001E-3</v>
      </c>
      <c r="L480" s="7">
        <v>567.48997302019995</v>
      </c>
      <c r="M480" s="7">
        <v>556.64122434190006</v>
      </c>
      <c r="N480" s="7">
        <v>561.22177857470001</v>
      </c>
      <c r="O480" s="7">
        <v>567.48997302019995</v>
      </c>
      <c r="P480" s="7">
        <v>556.64122434190006</v>
      </c>
      <c r="Q480">
        <v>1</v>
      </c>
      <c r="R480">
        <v>0</v>
      </c>
      <c r="S480" s="11">
        <v>45782.666666666664</v>
      </c>
      <c r="T480">
        <v>2036</v>
      </c>
    </row>
    <row r="481" spans="1:20">
      <c r="A481" s="11">
        <v>45782.520833333336</v>
      </c>
      <c r="B481" s="11">
        <v>45782.541666666664</v>
      </c>
      <c r="C481" s="10">
        <v>45782</v>
      </c>
      <c r="D481" s="7">
        <v>562.3537</v>
      </c>
      <c r="E481" s="7">
        <v>965447</v>
      </c>
      <c r="F481" s="7">
        <v>965447</v>
      </c>
      <c r="G481" s="7">
        <v>14533728</v>
      </c>
      <c r="H481" s="7">
        <v>560.5838</v>
      </c>
      <c r="I481" s="7">
        <v>563.52670000000001</v>
      </c>
      <c r="J481" s="7">
        <v>14</v>
      </c>
      <c r="K481" s="7">
        <v>7.1665575000000002E-3</v>
      </c>
      <c r="L481" s="7">
        <v>567.56524649940002</v>
      </c>
      <c r="M481" s="7">
        <v>556.56634396269999</v>
      </c>
      <c r="N481" s="7">
        <v>561.29696989139995</v>
      </c>
      <c r="O481" s="7">
        <v>567.56524649940002</v>
      </c>
      <c r="P481" s="7">
        <v>556.56634396269999</v>
      </c>
      <c r="Q481">
        <v>1</v>
      </c>
      <c r="R481">
        <v>0</v>
      </c>
      <c r="S481" s="11">
        <v>45782.666666666664</v>
      </c>
      <c r="T481">
        <v>2035</v>
      </c>
    </row>
    <row r="482" spans="1:20">
      <c r="A482" s="11">
        <v>45782.541666666664</v>
      </c>
      <c r="B482" s="11">
        <v>45782.5625</v>
      </c>
      <c r="C482" s="10">
        <v>45782</v>
      </c>
      <c r="D482" s="7">
        <v>561.86649999999997</v>
      </c>
      <c r="E482" s="7">
        <v>1032113</v>
      </c>
      <c r="F482" s="7">
        <v>1032113</v>
      </c>
      <c r="G482" s="7">
        <v>15565841</v>
      </c>
      <c r="H482" s="7">
        <v>560.5838</v>
      </c>
      <c r="I482" s="7">
        <v>563.52670000000001</v>
      </c>
      <c r="J482" s="7">
        <v>14</v>
      </c>
      <c r="K482" s="7">
        <v>7.1102702000000002E-3</v>
      </c>
      <c r="L482" s="7">
        <v>567.53352709160004</v>
      </c>
      <c r="M482" s="7">
        <v>556.59789772260001</v>
      </c>
      <c r="N482" s="7">
        <v>561.33473331380003</v>
      </c>
      <c r="O482" s="7">
        <v>567.53352709160004</v>
      </c>
      <c r="P482" s="7">
        <v>556.59789772260001</v>
      </c>
      <c r="Q482">
        <v>1</v>
      </c>
      <c r="R482">
        <v>0</v>
      </c>
      <c r="S482" s="11">
        <v>45782.666666666664</v>
      </c>
      <c r="T482">
        <v>2034</v>
      </c>
    </row>
    <row r="483" spans="1:20">
      <c r="A483" s="11">
        <v>45782.5625</v>
      </c>
      <c r="B483" s="11">
        <v>45782.583333333336</v>
      </c>
      <c r="C483" s="10">
        <v>45782</v>
      </c>
      <c r="D483" s="7">
        <v>562.45309999999995</v>
      </c>
      <c r="E483" s="7">
        <v>839931</v>
      </c>
      <c r="F483" s="7">
        <v>839931</v>
      </c>
      <c r="G483" s="7">
        <v>16405772</v>
      </c>
      <c r="H483" s="7">
        <v>560.5838</v>
      </c>
      <c r="I483" s="7">
        <v>563.52670000000001</v>
      </c>
      <c r="J483" s="7">
        <v>14</v>
      </c>
      <c r="K483" s="7">
        <v>7.0501085999999996E-3</v>
      </c>
      <c r="L483" s="7">
        <v>567.49962444109997</v>
      </c>
      <c r="M483" s="7">
        <v>556.63162332349998</v>
      </c>
      <c r="N483" s="7">
        <v>561.39199065280002</v>
      </c>
      <c r="O483" s="7">
        <v>567.49962444109997</v>
      </c>
      <c r="P483" s="7">
        <v>556.63162332349998</v>
      </c>
      <c r="Q483">
        <v>1</v>
      </c>
      <c r="R483">
        <v>0</v>
      </c>
      <c r="S483" s="11">
        <v>45782.666666666664</v>
      </c>
      <c r="T483">
        <v>2033</v>
      </c>
    </row>
    <row r="484" spans="1:20">
      <c r="A484" s="11">
        <v>45782.583333333336</v>
      </c>
      <c r="B484" s="11">
        <v>45782.604166666664</v>
      </c>
      <c r="C484" s="10">
        <v>45782</v>
      </c>
      <c r="D484" s="7">
        <v>562.90049999999997</v>
      </c>
      <c r="E484" s="7">
        <v>1186601</v>
      </c>
      <c r="F484" s="7">
        <v>1186601</v>
      </c>
      <c r="G484" s="7">
        <v>17592373</v>
      </c>
      <c r="H484" s="7">
        <v>560.5838</v>
      </c>
      <c r="I484" s="7">
        <v>563.52670000000001</v>
      </c>
      <c r="J484" s="7">
        <v>14</v>
      </c>
      <c r="K484" s="7">
        <v>7.7430679999999997E-3</v>
      </c>
      <c r="L484" s="7">
        <v>567.89012557180001</v>
      </c>
      <c r="M484" s="7">
        <v>556.24316150310005</v>
      </c>
      <c r="N484" s="7">
        <v>561.49373921740005</v>
      </c>
      <c r="O484" s="7">
        <v>567.89012557180001</v>
      </c>
      <c r="P484" s="7">
        <v>556.24316150310005</v>
      </c>
      <c r="Q484">
        <v>1</v>
      </c>
      <c r="R484">
        <v>0</v>
      </c>
      <c r="S484" s="11">
        <v>45782.666666666664</v>
      </c>
      <c r="T484">
        <v>2032</v>
      </c>
    </row>
    <row r="485" spans="1:20">
      <c r="A485" s="11">
        <v>45782.604166666664</v>
      </c>
      <c r="B485" s="11">
        <v>45782.625</v>
      </c>
      <c r="C485" s="10">
        <v>45782</v>
      </c>
      <c r="D485" s="7">
        <v>562.55259999999998</v>
      </c>
      <c r="E485" s="7">
        <v>1450478</v>
      </c>
      <c r="F485" s="7">
        <v>1450478</v>
      </c>
      <c r="G485" s="7">
        <v>19042851</v>
      </c>
      <c r="H485" s="7">
        <v>560.5838</v>
      </c>
      <c r="I485" s="7">
        <v>563.52670000000001</v>
      </c>
      <c r="J485" s="7">
        <v>14</v>
      </c>
      <c r="K485" s="7">
        <v>8.0058132999999993E-3</v>
      </c>
      <c r="L485" s="7">
        <v>568.03818953070004</v>
      </c>
      <c r="M485" s="7">
        <v>556.09587077720005</v>
      </c>
      <c r="N485" s="7">
        <v>561.57439175570005</v>
      </c>
      <c r="O485" s="7">
        <v>568.03818953070004</v>
      </c>
      <c r="P485" s="7">
        <v>556.09587077720005</v>
      </c>
      <c r="Q485">
        <v>1</v>
      </c>
      <c r="R485">
        <v>0</v>
      </c>
      <c r="S485" s="11">
        <v>45782.666666666664</v>
      </c>
      <c r="T485">
        <v>2031</v>
      </c>
    </row>
    <row r="486" spans="1:20">
      <c r="A486" s="11">
        <v>45782.625</v>
      </c>
      <c r="B486" s="11">
        <v>45782.645833333336</v>
      </c>
      <c r="C486" s="10">
        <v>45782</v>
      </c>
      <c r="D486" s="7">
        <v>561.41909999999996</v>
      </c>
      <c r="E486" s="7">
        <v>2738654</v>
      </c>
      <c r="F486" s="7">
        <v>2738654</v>
      </c>
      <c r="G486" s="7">
        <v>21781505</v>
      </c>
      <c r="H486" s="7">
        <v>560.5838</v>
      </c>
      <c r="I486" s="7">
        <v>563.52670000000001</v>
      </c>
      <c r="J486" s="7">
        <v>14</v>
      </c>
      <c r="K486" s="7">
        <v>8.0418144999999993E-3</v>
      </c>
      <c r="L486" s="7">
        <v>568.05847720300005</v>
      </c>
      <c r="M486" s="7">
        <v>556.07568905300002</v>
      </c>
      <c r="N486" s="7">
        <v>561.55486645710005</v>
      </c>
      <c r="O486" s="7">
        <v>568.05847720300005</v>
      </c>
      <c r="P486" s="7">
        <v>556.07568905300002</v>
      </c>
      <c r="Q486">
        <v>1</v>
      </c>
      <c r="R486">
        <v>0</v>
      </c>
      <c r="S486" s="11">
        <v>45782.666666666664</v>
      </c>
      <c r="T486">
        <v>2030</v>
      </c>
    </row>
    <row r="487" spans="1:20">
      <c r="A487" s="11">
        <v>45782.645833333336</v>
      </c>
      <c r="B487" s="11">
        <v>45782.666666666664</v>
      </c>
      <c r="C487" s="10">
        <v>45782</v>
      </c>
      <c r="D487" s="7">
        <v>560.29549999999995</v>
      </c>
      <c r="E487" s="7">
        <v>5568142</v>
      </c>
      <c r="F487" s="7">
        <v>5568142</v>
      </c>
      <c r="G487" s="7">
        <v>27349647</v>
      </c>
      <c r="H487" s="7">
        <v>560.5838</v>
      </c>
      <c r="I487" s="7">
        <v>563.52670000000001</v>
      </c>
      <c r="J487" s="7">
        <v>14</v>
      </c>
      <c r="K487" s="7">
        <v>8.4614817000000005E-3</v>
      </c>
      <c r="L487" s="7">
        <v>568.29497083460001</v>
      </c>
      <c r="M487" s="7">
        <v>555.84043045969997</v>
      </c>
      <c r="N487" s="7">
        <v>561.29847078</v>
      </c>
      <c r="O487" s="7">
        <v>568.29497083460001</v>
      </c>
      <c r="P487" s="7">
        <v>555.84043045969997</v>
      </c>
      <c r="Q487">
        <v>1</v>
      </c>
      <c r="R487">
        <v>1</v>
      </c>
      <c r="S487" s="11">
        <v>45782.666666666664</v>
      </c>
      <c r="T487">
        <v>2029</v>
      </c>
    </row>
    <row r="488" spans="1:20">
      <c r="A488" s="11">
        <v>45783.395833333336</v>
      </c>
      <c r="B488" s="11">
        <v>45783.416666666664</v>
      </c>
      <c r="C488" s="10">
        <v>45783</v>
      </c>
      <c r="D488" s="7">
        <v>554.26030000000003</v>
      </c>
      <c r="E488" s="7">
        <v>4149446</v>
      </c>
      <c r="F488" s="7">
        <v>4149446</v>
      </c>
      <c r="G488" s="7">
        <v>4149446</v>
      </c>
      <c r="H488" s="7">
        <v>554.26030000000003</v>
      </c>
      <c r="I488" s="7">
        <v>560.2953</v>
      </c>
      <c r="J488" s="7">
        <v>14</v>
      </c>
      <c r="K488" s="7">
        <v>0</v>
      </c>
      <c r="L488" s="7">
        <v>560.2953</v>
      </c>
      <c r="M488" s="7">
        <v>554.26030000000003</v>
      </c>
      <c r="N488" s="7">
        <v>554.26030000000003</v>
      </c>
      <c r="O488" s="7">
        <v>560.2953</v>
      </c>
      <c r="P488" s="7">
        <v>554.26030000000003</v>
      </c>
      <c r="Q488">
        <v>1</v>
      </c>
      <c r="R488">
        <v>0</v>
      </c>
      <c r="S488" s="11">
        <v>45783.666666666664</v>
      </c>
      <c r="T488">
        <v>2027</v>
      </c>
    </row>
    <row r="489" spans="1:20">
      <c r="A489" s="11">
        <v>45783.416666666664</v>
      </c>
      <c r="B489" s="11">
        <v>45783.4375</v>
      </c>
      <c r="C489" s="10">
        <v>45783</v>
      </c>
      <c r="D489" s="7">
        <v>557.40200000000004</v>
      </c>
      <c r="E489" s="7">
        <v>3043432</v>
      </c>
      <c r="F489" s="7">
        <v>3043432</v>
      </c>
      <c r="G489" s="7">
        <v>7192878</v>
      </c>
      <c r="H489" s="7">
        <v>554.26030000000003</v>
      </c>
      <c r="I489" s="7">
        <v>560.2953</v>
      </c>
      <c r="J489" s="7">
        <v>14</v>
      </c>
      <c r="K489" s="7">
        <v>3.3013421000000001E-3</v>
      </c>
      <c r="L489" s="7">
        <v>562.14502647059999</v>
      </c>
      <c r="M489" s="7">
        <v>552.43049712909999</v>
      </c>
      <c r="N489" s="7">
        <v>555.5896080064</v>
      </c>
      <c r="O489" s="7">
        <v>562.14502647059999</v>
      </c>
      <c r="P489" s="7">
        <v>552.43049712909999</v>
      </c>
      <c r="Q489">
        <v>1</v>
      </c>
      <c r="R489">
        <v>0</v>
      </c>
      <c r="S489" s="11">
        <v>45783.666666666664</v>
      </c>
      <c r="T489">
        <v>2026</v>
      </c>
    </row>
    <row r="490" spans="1:20">
      <c r="A490" s="11">
        <v>45783.4375</v>
      </c>
      <c r="B490" s="11">
        <v>45783.458333333336</v>
      </c>
      <c r="C490" s="10">
        <v>45783</v>
      </c>
      <c r="D490" s="7">
        <v>557.65060000000005</v>
      </c>
      <c r="E490" s="7">
        <v>1871773</v>
      </c>
      <c r="F490" s="7">
        <v>1871773</v>
      </c>
      <c r="G490" s="7">
        <v>9064651</v>
      </c>
      <c r="H490" s="7">
        <v>554.26030000000003</v>
      </c>
      <c r="I490" s="7">
        <v>560.2953</v>
      </c>
      <c r="J490" s="7">
        <v>14</v>
      </c>
      <c r="K490" s="7">
        <v>4.2703109000000001E-3</v>
      </c>
      <c r="L490" s="7">
        <v>562.6879351366</v>
      </c>
      <c r="M490" s="7">
        <v>551.89343618980001</v>
      </c>
      <c r="N490" s="7">
        <v>556.01518524779999</v>
      </c>
      <c r="O490" s="7">
        <v>562.6879351366</v>
      </c>
      <c r="P490" s="7">
        <v>551.89343618980001</v>
      </c>
      <c r="Q490">
        <v>1</v>
      </c>
      <c r="R490">
        <v>0</v>
      </c>
      <c r="S490" s="11">
        <v>45783.666666666664</v>
      </c>
      <c r="T490">
        <v>2025</v>
      </c>
    </row>
    <row r="491" spans="1:20">
      <c r="A491" s="11">
        <v>45783.458333333336</v>
      </c>
      <c r="B491" s="11">
        <v>45783.479166666664</v>
      </c>
      <c r="C491" s="10">
        <v>45783</v>
      </c>
      <c r="D491" s="7">
        <v>558.38649999999996</v>
      </c>
      <c r="E491" s="7">
        <v>1781026</v>
      </c>
      <c r="F491" s="7">
        <v>1781026</v>
      </c>
      <c r="G491" s="7">
        <v>10845677</v>
      </c>
      <c r="H491" s="7">
        <v>554.26030000000003</v>
      </c>
      <c r="I491" s="7">
        <v>560.2953</v>
      </c>
      <c r="J491" s="7">
        <v>14</v>
      </c>
      <c r="K491" s="7">
        <v>5.5649488000000004E-3</v>
      </c>
      <c r="L491" s="7">
        <v>563.41331466609995</v>
      </c>
      <c r="M491" s="7">
        <v>551.17586979999999</v>
      </c>
      <c r="N491" s="7">
        <v>556.40459138890003</v>
      </c>
      <c r="O491" s="7">
        <v>563.41331466609995</v>
      </c>
      <c r="P491" s="7">
        <v>551.17586979999999</v>
      </c>
      <c r="Q491">
        <v>1</v>
      </c>
      <c r="R491">
        <v>0</v>
      </c>
      <c r="S491" s="11">
        <v>45783.666666666664</v>
      </c>
      <c r="T491">
        <v>2024</v>
      </c>
    </row>
    <row r="492" spans="1:20">
      <c r="A492" s="11">
        <v>45783.479166666664</v>
      </c>
      <c r="B492" s="11">
        <v>45783.5</v>
      </c>
      <c r="C492" s="10">
        <v>45783</v>
      </c>
      <c r="D492" s="7">
        <v>557.17830000000004</v>
      </c>
      <c r="E492" s="7">
        <v>1366334</v>
      </c>
      <c r="F492" s="7">
        <v>1366334</v>
      </c>
      <c r="G492" s="7">
        <v>12212011</v>
      </c>
      <c r="H492" s="7">
        <v>554.26030000000003</v>
      </c>
      <c r="I492" s="7">
        <v>560.2953</v>
      </c>
      <c r="J492" s="7">
        <v>14</v>
      </c>
      <c r="K492" s="7">
        <v>5.6372769999999996E-3</v>
      </c>
      <c r="L492" s="7">
        <v>563.45383983509998</v>
      </c>
      <c r="M492" s="7">
        <v>551.13578113189999</v>
      </c>
      <c r="N492" s="7">
        <v>556.49115734279997</v>
      </c>
      <c r="O492" s="7">
        <v>563.45383983509998</v>
      </c>
      <c r="P492" s="7">
        <v>551.13578113189999</v>
      </c>
      <c r="Q492">
        <v>1</v>
      </c>
      <c r="R492">
        <v>0</v>
      </c>
      <c r="S492" s="11">
        <v>45783.666666666664</v>
      </c>
      <c r="T492">
        <v>2023</v>
      </c>
    </row>
    <row r="493" spans="1:20">
      <c r="A493" s="11">
        <v>45783.5</v>
      </c>
      <c r="B493" s="11">
        <v>45783.520833333336</v>
      </c>
      <c r="C493" s="10">
        <v>45783</v>
      </c>
      <c r="D493" s="7">
        <v>557.26289999999995</v>
      </c>
      <c r="E493" s="7">
        <v>3710541</v>
      </c>
      <c r="F493" s="7">
        <v>3710541</v>
      </c>
      <c r="G493" s="7">
        <v>15922552</v>
      </c>
      <c r="H493" s="7">
        <v>554.26030000000003</v>
      </c>
      <c r="I493" s="7">
        <v>560.2953</v>
      </c>
      <c r="J493" s="7">
        <v>14</v>
      </c>
      <c r="K493" s="7">
        <v>6.6408843000000002E-3</v>
      </c>
      <c r="L493" s="7">
        <v>564.01615626219996</v>
      </c>
      <c r="M493" s="7">
        <v>550.57952147449998</v>
      </c>
      <c r="N493" s="7">
        <v>556.67100180310001</v>
      </c>
      <c r="O493" s="7">
        <v>564.01615626219996</v>
      </c>
      <c r="P493" s="7">
        <v>550.57952147449998</v>
      </c>
      <c r="Q493">
        <v>1</v>
      </c>
      <c r="R493">
        <v>0</v>
      </c>
      <c r="S493" s="11">
        <v>45783.666666666664</v>
      </c>
      <c r="T493">
        <v>2022</v>
      </c>
    </row>
    <row r="494" spans="1:20">
      <c r="A494" s="11">
        <v>45783.520833333336</v>
      </c>
      <c r="B494" s="11">
        <v>45783.541666666664</v>
      </c>
      <c r="C494" s="10">
        <v>45783</v>
      </c>
      <c r="D494" s="7">
        <v>556.06479999999999</v>
      </c>
      <c r="E494" s="7">
        <v>1475060</v>
      </c>
      <c r="F494" s="7">
        <v>1475060</v>
      </c>
      <c r="G494" s="7">
        <v>17397612</v>
      </c>
      <c r="H494" s="7">
        <v>554.26030000000003</v>
      </c>
      <c r="I494" s="7">
        <v>560.2953</v>
      </c>
      <c r="J494" s="7">
        <v>14</v>
      </c>
      <c r="K494" s="7">
        <v>6.6906984999999999E-3</v>
      </c>
      <c r="L494" s="7">
        <v>564.04406694459999</v>
      </c>
      <c r="M494" s="7">
        <v>550.55191142110004</v>
      </c>
      <c r="N494" s="7">
        <v>556.61960486240002</v>
      </c>
      <c r="O494" s="7">
        <v>564.04406694459999</v>
      </c>
      <c r="P494" s="7">
        <v>550.55191142110004</v>
      </c>
      <c r="Q494">
        <v>1</v>
      </c>
      <c r="R494">
        <v>0</v>
      </c>
      <c r="S494" s="11">
        <v>45783.666666666664</v>
      </c>
      <c r="T494">
        <v>2021</v>
      </c>
    </row>
    <row r="495" spans="1:20">
      <c r="A495" s="11">
        <v>45783.541666666664</v>
      </c>
      <c r="B495" s="11">
        <v>45783.5625</v>
      </c>
      <c r="C495" s="10">
        <v>45783</v>
      </c>
      <c r="D495" s="7">
        <v>556.48609999999996</v>
      </c>
      <c r="E495" s="7">
        <v>1541506</v>
      </c>
      <c r="F495" s="7">
        <v>1541506</v>
      </c>
      <c r="G495" s="7">
        <v>18939118</v>
      </c>
      <c r="H495" s="7">
        <v>554.26030000000003</v>
      </c>
      <c r="I495" s="7">
        <v>560.2953</v>
      </c>
      <c r="J495" s="7">
        <v>14</v>
      </c>
      <c r="K495" s="7">
        <v>6.8509464000000003E-3</v>
      </c>
      <c r="L495" s="7">
        <v>564.13385307409999</v>
      </c>
      <c r="M495" s="7">
        <v>550.46309238749996</v>
      </c>
      <c r="N495" s="7">
        <v>556.6087385408</v>
      </c>
      <c r="O495" s="7">
        <v>564.13385307409999</v>
      </c>
      <c r="P495" s="7">
        <v>550.46309238749996</v>
      </c>
      <c r="Q495">
        <v>1</v>
      </c>
      <c r="R495">
        <v>0</v>
      </c>
      <c r="S495" s="11">
        <v>45783.666666666664</v>
      </c>
      <c r="T495">
        <v>2020</v>
      </c>
    </row>
    <row r="496" spans="1:20">
      <c r="A496" s="11">
        <v>45783.5625</v>
      </c>
      <c r="B496" s="11">
        <v>45783.583333333336</v>
      </c>
      <c r="C496" s="10">
        <v>45783</v>
      </c>
      <c r="D496" s="7">
        <v>555.27430000000004</v>
      </c>
      <c r="E496" s="7">
        <v>1300187</v>
      </c>
      <c r="F496" s="7">
        <v>1300187</v>
      </c>
      <c r="G496" s="7">
        <v>20239305</v>
      </c>
      <c r="H496" s="7">
        <v>554.26030000000003</v>
      </c>
      <c r="I496" s="7">
        <v>560.2953</v>
      </c>
      <c r="J496" s="7">
        <v>14</v>
      </c>
      <c r="K496" s="7">
        <v>7.0729371000000001E-3</v>
      </c>
      <c r="L496" s="7">
        <v>564.25823341529997</v>
      </c>
      <c r="M496" s="7">
        <v>550.34005176009998</v>
      </c>
      <c r="N496" s="7">
        <v>556.52301328279998</v>
      </c>
      <c r="O496" s="7">
        <v>564.25823341529997</v>
      </c>
      <c r="P496" s="7">
        <v>550.34005176009998</v>
      </c>
      <c r="Q496">
        <v>1</v>
      </c>
      <c r="R496">
        <v>0</v>
      </c>
      <c r="S496" s="11">
        <v>45783.666666666664</v>
      </c>
      <c r="T496">
        <v>2019</v>
      </c>
    </row>
    <row r="497" spans="1:20">
      <c r="A497" s="11">
        <v>45783.583333333336</v>
      </c>
      <c r="B497" s="11">
        <v>45783.604166666664</v>
      </c>
      <c r="C497" s="10">
        <v>45783</v>
      </c>
      <c r="D497" s="7">
        <v>557.26289999999995</v>
      </c>
      <c r="E497" s="7">
        <v>1942852</v>
      </c>
      <c r="F497" s="7">
        <v>1942852</v>
      </c>
      <c r="G497" s="7">
        <v>22182157</v>
      </c>
      <c r="H497" s="7">
        <v>554.26030000000003</v>
      </c>
      <c r="I497" s="7">
        <v>560.2953</v>
      </c>
      <c r="J497" s="7">
        <v>14</v>
      </c>
      <c r="K497" s="7">
        <v>7.9946633999999992E-3</v>
      </c>
      <c r="L497" s="7">
        <v>564.77467231039998</v>
      </c>
      <c r="M497" s="7">
        <v>549.82917548310002</v>
      </c>
      <c r="N497" s="7">
        <v>556.58781718750004</v>
      </c>
      <c r="O497" s="7">
        <v>564.77467231039998</v>
      </c>
      <c r="P497" s="7">
        <v>549.82917548310002</v>
      </c>
      <c r="Q497">
        <v>1</v>
      </c>
      <c r="R497">
        <v>0</v>
      </c>
      <c r="S497" s="11">
        <v>45783.666666666664</v>
      </c>
      <c r="T497">
        <v>2018</v>
      </c>
    </row>
    <row r="498" spans="1:20">
      <c r="A498" s="11">
        <v>45783.604166666664</v>
      </c>
      <c r="B498" s="11">
        <v>45783.625</v>
      </c>
      <c r="C498" s="10">
        <v>45783</v>
      </c>
      <c r="D498" s="7">
        <v>557.80989999999997</v>
      </c>
      <c r="E498" s="7">
        <v>1938262</v>
      </c>
      <c r="F498" s="7">
        <v>1938262</v>
      </c>
      <c r="G498" s="7">
        <v>24120419</v>
      </c>
      <c r="H498" s="7">
        <v>554.26030000000003</v>
      </c>
      <c r="I498" s="7">
        <v>560.2953</v>
      </c>
      <c r="J498" s="7">
        <v>14</v>
      </c>
      <c r="K498" s="7">
        <v>8.2447823999999992E-3</v>
      </c>
      <c r="L498" s="7">
        <v>564.91481282999996</v>
      </c>
      <c r="M498" s="7">
        <v>549.69054443180005</v>
      </c>
      <c r="N498" s="7">
        <v>556.68602098229996</v>
      </c>
      <c r="O498" s="7">
        <v>564.91481282999996</v>
      </c>
      <c r="P498" s="7">
        <v>549.69054443180005</v>
      </c>
      <c r="Q498">
        <v>1</v>
      </c>
      <c r="R498">
        <v>0</v>
      </c>
      <c r="S498" s="11">
        <v>45783.666666666664</v>
      </c>
      <c r="T498">
        <v>2017</v>
      </c>
    </row>
    <row r="499" spans="1:20">
      <c r="A499" s="11">
        <v>45783.625</v>
      </c>
      <c r="B499" s="11">
        <v>45783.645833333336</v>
      </c>
      <c r="C499" s="10">
        <v>45783</v>
      </c>
      <c r="D499" s="7">
        <v>557.601</v>
      </c>
      <c r="E499" s="7">
        <v>1833557</v>
      </c>
      <c r="F499" s="7">
        <v>1833557</v>
      </c>
      <c r="G499" s="7">
        <v>25953976</v>
      </c>
      <c r="H499" s="7">
        <v>554.26030000000003</v>
      </c>
      <c r="I499" s="7">
        <v>560.2953</v>
      </c>
      <c r="J499" s="7">
        <v>14</v>
      </c>
      <c r="K499" s="7">
        <v>8.0749297000000005E-3</v>
      </c>
      <c r="L499" s="7">
        <v>564.81964518079997</v>
      </c>
      <c r="M499" s="7">
        <v>549.78468702010002</v>
      </c>
      <c r="N499" s="7">
        <v>556.75066102749997</v>
      </c>
      <c r="O499" s="7">
        <v>564.81964518079997</v>
      </c>
      <c r="P499" s="7">
        <v>549.78468702010002</v>
      </c>
      <c r="Q499">
        <v>1</v>
      </c>
      <c r="R499">
        <v>0</v>
      </c>
      <c r="S499" s="11">
        <v>45783.666666666664</v>
      </c>
      <c r="T499">
        <v>2016</v>
      </c>
    </row>
    <row r="500" spans="1:20">
      <c r="A500" s="11">
        <v>45783.645833333336</v>
      </c>
      <c r="B500" s="11">
        <v>45783.666666666664</v>
      </c>
      <c r="C500" s="10">
        <v>45783</v>
      </c>
      <c r="D500" s="7">
        <v>555.6123</v>
      </c>
      <c r="E500" s="7">
        <v>7690053</v>
      </c>
      <c r="F500" s="7">
        <v>7690053</v>
      </c>
      <c r="G500" s="7">
        <v>33644029</v>
      </c>
      <c r="H500" s="7">
        <v>554.26030000000003</v>
      </c>
      <c r="I500" s="7">
        <v>560.2953</v>
      </c>
      <c r="J500" s="7">
        <v>14</v>
      </c>
      <c r="K500" s="7">
        <v>8.2934384000000003E-3</v>
      </c>
      <c r="L500" s="7">
        <v>564.94207454299999</v>
      </c>
      <c r="M500" s="7">
        <v>549.66357635760005</v>
      </c>
      <c r="N500" s="7">
        <v>556.49275029679995</v>
      </c>
      <c r="O500" s="7">
        <v>564.94207454299999</v>
      </c>
      <c r="P500" s="7">
        <v>549.66357635760005</v>
      </c>
      <c r="Q500">
        <v>1</v>
      </c>
      <c r="R500">
        <v>1</v>
      </c>
      <c r="S500" s="11">
        <v>45783.666666666664</v>
      </c>
      <c r="T500">
        <v>2015</v>
      </c>
    </row>
    <row r="501" spans="1:20">
      <c r="A501" s="11">
        <v>45784.395833333336</v>
      </c>
      <c r="B501" s="11">
        <v>45784.416666666664</v>
      </c>
      <c r="C501" s="10">
        <v>45784</v>
      </c>
      <c r="D501" s="7">
        <v>558.13789999999995</v>
      </c>
      <c r="E501" s="7">
        <v>3254686</v>
      </c>
      <c r="F501" s="7">
        <v>3254686</v>
      </c>
      <c r="G501" s="7">
        <v>3254686</v>
      </c>
      <c r="H501" s="7">
        <v>558.13789999999995</v>
      </c>
      <c r="I501" s="7">
        <v>555.61210000000005</v>
      </c>
      <c r="J501" s="7">
        <v>14</v>
      </c>
      <c r="K501" s="7">
        <v>0</v>
      </c>
      <c r="L501" s="7">
        <v>558.13789999999995</v>
      </c>
      <c r="M501" s="7">
        <v>555.61210000000005</v>
      </c>
      <c r="N501" s="7">
        <v>558.13789999999995</v>
      </c>
      <c r="O501" s="7">
        <v>558.13789999999995</v>
      </c>
      <c r="P501" s="7">
        <v>555.61210000000005</v>
      </c>
      <c r="Q501">
        <v>1</v>
      </c>
      <c r="R501">
        <v>0</v>
      </c>
      <c r="S501" s="11">
        <v>45784.666666666664</v>
      </c>
      <c r="T501">
        <v>2013</v>
      </c>
    </row>
    <row r="502" spans="1:20">
      <c r="A502" s="11">
        <v>45784.416666666664</v>
      </c>
      <c r="B502" s="11">
        <v>45784.4375</v>
      </c>
      <c r="C502" s="10">
        <v>45784</v>
      </c>
      <c r="D502" s="7">
        <v>558.64490000000001</v>
      </c>
      <c r="E502" s="7">
        <v>1724759</v>
      </c>
      <c r="F502" s="7">
        <v>1724759</v>
      </c>
      <c r="G502" s="7">
        <v>4979445</v>
      </c>
      <c r="H502" s="7">
        <v>558.13789999999995</v>
      </c>
      <c r="I502" s="7">
        <v>555.61210000000005</v>
      </c>
      <c r="J502" s="7">
        <v>14</v>
      </c>
      <c r="K502" s="7">
        <v>3.4523969999999998E-3</v>
      </c>
      <c r="L502" s="7">
        <v>560.06481360509997</v>
      </c>
      <c r="M502" s="7">
        <v>553.69390645919998</v>
      </c>
      <c r="N502" s="7">
        <v>558.31351250559999</v>
      </c>
      <c r="O502" s="7">
        <v>560.06481360509997</v>
      </c>
      <c r="P502" s="7">
        <v>553.69390645919998</v>
      </c>
      <c r="Q502">
        <v>1</v>
      </c>
      <c r="R502">
        <v>0</v>
      </c>
      <c r="S502" s="11">
        <v>45784.666666666664</v>
      </c>
      <c r="T502">
        <v>2012</v>
      </c>
    </row>
    <row r="503" spans="1:20">
      <c r="A503" s="11">
        <v>45784.4375</v>
      </c>
      <c r="B503" s="11">
        <v>45784.458333333336</v>
      </c>
      <c r="C503" s="10">
        <v>45784</v>
      </c>
      <c r="D503" s="7">
        <v>556.22879999999998</v>
      </c>
      <c r="E503" s="7">
        <v>1855573</v>
      </c>
      <c r="F503" s="7">
        <v>1855573</v>
      </c>
      <c r="G503" s="7">
        <v>6835018</v>
      </c>
      <c r="H503" s="7">
        <v>558.13789999999995</v>
      </c>
      <c r="I503" s="7">
        <v>555.61210000000005</v>
      </c>
      <c r="J503" s="7">
        <v>14</v>
      </c>
      <c r="K503" s="7">
        <v>4.5983856999999998E-3</v>
      </c>
      <c r="L503" s="7">
        <v>560.70443333260005</v>
      </c>
      <c r="M503" s="7">
        <v>553.05718127</v>
      </c>
      <c r="N503" s="7">
        <v>557.74755404899997</v>
      </c>
      <c r="O503" s="7">
        <v>560.70443333260005</v>
      </c>
      <c r="P503" s="7">
        <v>553.05718127</v>
      </c>
      <c r="Q503">
        <v>1</v>
      </c>
      <c r="R503">
        <v>0</v>
      </c>
      <c r="S503" s="11">
        <v>45784.666666666664</v>
      </c>
      <c r="T503">
        <v>2011</v>
      </c>
    </row>
    <row r="504" spans="1:20">
      <c r="A504" s="11">
        <v>45784.458333333336</v>
      </c>
      <c r="B504" s="11">
        <v>45784.479166666664</v>
      </c>
      <c r="C504" s="10">
        <v>45784</v>
      </c>
      <c r="D504" s="7">
        <v>555.93050000000005</v>
      </c>
      <c r="E504" s="7">
        <v>2136758</v>
      </c>
      <c r="F504" s="7">
        <v>2136758</v>
      </c>
      <c r="G504" s="7">
        <v>8971776</v>
      </c>
      <c r="H504" s="7">
        <v>558.13789999999995</v>
      </c>
      <c r="I504" s="7">
        <v>555.61210000000005</v>
      </c>
      <c r="J504" s="7">
        <v>14</v>
      </c>
      <c r="K504" s="7">
        <v>5.9449906E-3</v>
      </c>
      <c r="L504" s="7">
        <v>561.45602459249994</v>
      </c>
      <c r="M504" s="7">
        <v>552.30899126489999</v>
      </c>
      <c r="N504" s="7">
        <v>557.31479639040003</v>
      </c>
      <c r="O504" s="7">
        <v>561.45602459249994</v>
      </c>
      <c r="P504" s="7">
        <v>552.30899126489999</v>
      </c>
      <c r="Q504">
        <v>1</v>
      </c>
      <c r="R504">
        <v>0</v>
      </c>
      <c r="S504" s="11">
        <v>45784.666666666664</v>
      </c>
      <c r="T504">
        <v>2010</v>
      </c>
    </row>
    <row r="505" spans="1:20">
      <c r="A505" s="11">
        <v>45784.479166666664</v>
      </c>
      <c r="B505" s="11">
        <v>45784.5</v>
      </c>
      <c r="C505" s="10">
        <v>45784</v>
      </c>
      <c r="D505" s="7">
        <v>556.68619999999999</v>
      </c>
      <c r="E505" s="7">
        <v>1655631</v>
      </c>
      <c r="F505" s="7">
        <v>1655631</v>
      </c>
      <c r="G505" s="7">
        <v>10627407</v>
      </c>
      <c r="H505" s="7">
        <v>558.13789999999995</v>
      </c>
      <c r="I505" s="7">
        <v>555.61210000000005</v>
      </c>
      <c r="J505" s="7">
        <v>14</v>
      </c>
      <c r="K505" s="7">
        <v>5.9566033999999997E-3</v>
      </c>
      <c r="L505" s="7">
        <v>561.46250610120001</v>
      </c>
      <c r="M505" s="7">
        <v>552.30253908760005</v>
      </c>
      <c r="N505" s="7">
        <v>557.21686811209997</v>
      </c>
      <c r="O505" s="7">
        <v>561.46250610120001</v>
      </c>
      <c r="P505" s="7">
        <v>552.30253908760005</v>
      </c>
      <c r="Q505">
        <v>1</v>
      </c>
      <c r="R505">
        <v>0</v>
      </c>
      <c r="S505" s="11">
        <v>45784.666666666664</v>
      </c>
      <c r="T505">
        <v>2009</v>
      </c>
    </row>
    <row r="506" spans="1:20">
      <c r="A506" s="11">
        <v>45784.5</v>
      </c>
      <c r="B506" s="11">
        <v>45784.520833333336</v>
      </c>
      <c r="C506" s="10">
        <v>45784</v>
      </c>
      <c r="D506" s="7">
        <v>556.0299</v>
      </c>
      <c r="E506" s="7">
        <v>1018683</v>
      </c>
      <c r="F506" s="7">
        <v>1018683</v>
      </c>
      <c r="G506" s="7">
        <v>11646090</v>
      </c>
      <c r="H506" s="7">
        <v>558.13789999999995</v>
      </c>
      <c r="I506" s="7">
        <v>555.61210000000005</v>
      </c>
      <c r="J506" s="7">
        <v>14</v>
      </c>
      <c r="K506" s="7">
        <v>6.9658324000000001E-3</v>
      </c>
      <c r="L506" s="7">
        <v>562.0257950811</v>
      </c>
      <c r="M506" s="7">
        <v>551.74179921849998</v>
      </c>
      <c r="N506" s="7">
        <v>557.11304406149998</v>
      </c>
      <c r="O506" s="7">
        <v>562.0257950811</v>
      </c>
      <c r="P506" s="7">
        <v>551.74179921849998</v>
      </c>
      <c r="Q506">
        <v>1</v>
      </c>
      <c r="R506">
        <v>0</v>
      </c>
      <c r="S506" s="11">
        <v>45784.666666666664</v>
      </c>
      <c r="T506">
        <v>2008</v>
      </c>
    </row>
    <row r="507" spans="1:20">
      <c r="A507" s="11">
        <v>45784.520833333336</v>
      </c>
      <c r="B507" s="11">
        <v>45784.541666666664</v>
      </c>
      <c r="C507" s="10">
        <v>45784</v>
      </c>
      <c r="D507" s="7">
        <v>558.04840000000002</v>
      </c>
      <c r="E507" s="7">
        <v>954124</v>
      </c>
      <c r="F507" s="7">
        <v>954124</v>
      </c>
      <c r="G507" s="7">
        <v>12600214</v>
      </c>
      <c r="H507" s="7">
        <v>558.13789999999995</v>
      </c>
      <c r="I507" s="7">
        <v>555.61210000000005</v>
      </c>
      <c r="J507" s="7">
        <v>14</v>
      </c>
      <c r="K507" s="7">
        <v>6.6105812E-3</v>
      </c>
      <c r="L507" s="7">
        <v>561.82751588710005</v>
      </c>
      <c r="M507" s="7">
        <v>551.93918111879998</v>
      </c>
      <c r="N507" s="7">
        <v>557.18387187040003</v>
      </c>
      <c r="O507" s="7">
        <v>561.82751588710005</v>
      </c>
      <c r="P507" s="7">
        <v>551.93918111879998</v>
      </c>
      <c r="Q507">
        <v>1</v>
      </c>
      <c r="R507">
        <v>0</v>
      </c>
      <c r="S507" s="11">
        <v>45784.666666666664</v>
      </c>
      <c r="T507">
        <v>2007</v>
      </c>
    </row>
    <row r="508" spans="1:20">
      <c r="A508" s="11">
        <v>45784.541666666664</v>
      </c>
      <c r="B508" s="11">
        <v>45784.5625</v>
      </c>
      <c r="C508" s="10">
        <v>45784</v>
      </c>
      <c r="D508" s="7">
        <v>558.06830000000002</v>
      </c>
      <c r="E508" s="7">
        <v>927706</v>
      </c>
      <c r="F508" s="7">
        <v>927706</v>
      </c>
      <c r="G508" s="7">
        <v>13527920</v>
      </c>
      <c r="H508" s="7">
        <v>558.13789999999995</v>
      </c>
      <c r="I508" s="7">
        <v>555.61210000000005</v>
      </c>
      <c r="J508" s="7">
        <v>14</v>
      </c>
      <c r="K508" s="7">
        <v>6.6496632000000002E-3</v>
      </c>
      <c r="L508" s="7">
        <v>561.84932905640005</v>
      </c>
      <c r="M508" s="7">
        <v>551.91746666300003</v>
      </c>
      <c r="N508" s="7">
        <v>557.24452341790004</v>
      </c>
      <c r="O508" s="7">
        <v>561.84932905640005</v>
      </c>
      <c r="P508" s="7">
        <v>551.91746666300003</v>
      </c>
      <c r="Q508">
        <v>1</v>
      </c>
      <c r="R508">
        <v>0</v>
      </c>
      <c r="S508" s="11">
        <v>45784.666666666664</v>
      </c>
      <c r="T508">
        <v>2006</v>
      </c>
    </row>
    <row r="509" spans="1:20">
      <c r="A509" s="11">
        <v>45784.5625</v>
      </c>
      <c r="B509" s="11">
        <v>45784.583333333336</v>
      </c>
      <c r="C509" s="10">
        <v>45784</v>
      </c>
      <c r="D509" s="7">
        <v>556.11940000000004</v>
      </c>
      <c r="E509" s="7">
        <v>1867404</v>
      </c>
      <c r="F509" s="7">
        <v>1867404</v>
      </c>
      <c r="G509" s="7">
        <v>15395324</v>
      </c>
      <c r="H509" s="7">
        <v>558.13789999999995</v>
      </c>
      <c r="I509" s="7">
        <v>555.61210000000005</v>
      </c>
      <c r="J509" s="7">
        <v>14</v>
      </c>
      <c r="K509" s="7">
        <v>6.7856760999999996E-3</v>
      </c>
      <c r="L509" s="7">
        <v>561.92524299239994</v>
      </c>
      <c r="M509" s="7">
        <v>551.8418962682</v>
      </c>
      <c r="N509" s="7">
        <v>557.10804951379998</v>
      </c>
      <c r="O509" s="7">
        <v>561.92524299239994</v>
      </c>
      <c r="P509" s="7">
        <v>551.8418962682</v>
      </c>
      <c r="Q509">
        <v>1</v>
      </c>
      <c r="R509">
        <v>0</v>
      </c>
      <c r="S509" s="11">
        <v>45784.666666666664</v>
      </c>
      <c r="T509">
        <v>2005</v>
      </c>
    </row>
    <row r="510" spans="1:20">
      <c r="A510" s="11">
        <v>45784.583333333336</v>
      </c>
      <c r="B510" s="11">
        <v>45784.604166666664</v>
      </c>
      <c r="C510" s="10">
        <v>45784</v>
      </c>
      <c r="D510" s="7">
        <v>554.77719999999999</v>
      </c>
      <c r="E510" s="7">
        <v>3956572</v>
      </c>
      <c r="F510" s="7">
        <v>3956572</v>
      </c>
      <c r="G510" s="7">
        <v>19351896</v>
      </c>
      <c r="H510" s="7">
        <v>558.13789999999995</v>
      </c>
      <c r="I510" s="7">
        <v>555.61210000000005</v>
      </c>
      <c r="J510" s="7">
        <v>14</v>
      </c>
      <c r="K510" s="7">
        <v>7.8565622999999998E-3</v>
      </c>
      <c r="L510" s="7">
        <v>562.52294516070003</v>
      </c>
      <c r="M510" s="7">
        <v>551.24689894419998</v>
      </c>
      <c r="N510" s="7">
        <v>556.63149807289994</v>
      </c>
      <c r="O510" s="7">
        <v>562.52294516070003</v>
      </c>
      <c r="P510" s="7">
        <v>551.24689894419998</v>
      </c>
      <c r="Q510">
        <v>1</v>
      </c>
      <c r="R510">
        <v>0</v>
      </c>
      <c r="S510" s="11">
        <v>45784.666666666664</v>
      </c>
      <c r="T510">
        <v>2004</v>
      </c>
    </row>
    <row r="511" spans="1:20">
      <c r="A511" s="11">
        <v>45784.604166666664</v>
      </c>
      <c r="B511" s="11">
        <v>45784.625</v>
      </c>
      <c r="C511" s="10">
        <v>45784</v>
      </c>
      <c r="D511" s="7">
        <v>557.601</v>
      </c>
      <c r="E511" s="7">
        <v>3850056</v>
      </c>
      <c r="F511" s="7">
        <v>3850056</v>
      </c>
      <c r="G511" s="7">
        <v>23201952</v>
      </c>
      <c r="H511" s="7">
        <v>558.13789999999995</v>
      </c>
      <c r="I511" s="7">
        <v>555.61210000000005</v>
      </c>
      <c r="J511" s="7">
        <v>14</v>
      </c>
      <c r="K511" s="7">
        <v>8.322276E-3</v>
      </c>
      <c r="L511" s="7">
        <v>562.78287763820003</v>
      </c>
      <c r="M511" s="7">
        <v>550.9881427665</v>
      </c>
      <c r="N511" s="7">
        <v>556.79237405059996</v>
      </c>
      <c r="O511" s="7">
        <v>562.78287763820003</v>
      </c>
      <c r="P511" s="7">
        <v>550.9881427665</v>
      </c>
      <c r="Q511">
        <v>1</v>
      </c>
      <c r="R511">
        <v>0</v>
      </c>
      <c r="S511" s="11">
        <v>45784.666666666664</v>
      </c>
      <c r="T511">
        <v>2003</v>
      </c>
    </row>
    <row r="512" spans="1:20">
      <c r="A512" s="11">
        <v>45784.625</v>
      </c>
      <c r="B512" s="11">
        <v>45784.645833333336</v>
      </c>
      <c r="C512" s="10">
        <v>45784</v>
      </c>
      <c r="D512" s="7">
        <v>554.80690000000004</v>
      </c>
      <c r="E512" s="7">
        <v>2852377</v>
      </c>
      <c r="F512" s="7">
        <v>2852377</v>
      </c>
      <c r="G512" s="7">
        <v>26054329</v>
      </c>
      <c r="H512" s="7">
        <v>558.13789999999995</v>
      </c>
      <c r="I512" s="7">
        <v>555.61210000000005</v>
      </c>
      <c r="J512" s="7">
        <v>14</v>
      </c>
      <c r="K512" s="7">
        <v>8.1136400999999997E-3</v>
      </c>
      <c r="L512" s="7">
        <v>562.66643007350001</v>
      </c>
      <c r="M512" s="7">
        <v>551.10406335879998</v>
      </c>
      <c r="N512" s="7">
        <v>556.57500823329997</v>
      </c>
      <c r="O512" s="7">
        <v>562.66643007350001</v>
      </c>
      <c r="P512" s="7">
        <v>551.10406335879998</v>
      </c>
      <c r="Q512">
        <v>1</v>
      </c>
      <c r="R512">
        <v>0</v>
      </c>
      <c r="S512" s="11">
        <v>45784.666666666664</v>
      </c>
      <c r="T512">
        <v>2002</v>
      </c>
    </row>
    <row r="513" spans="1:20">
      <c r="A513" s="11">
        <v>45784.645833333336</v>
      </c>
      <c r="B513" s="11">
        <v>45784.666666666664</v>
      </c>
      <c r="C513" s="10">
        <v>45784</v>
      </c>
      <c r="D513" s="7">
        <v>557.94899999999996</v>
      </c>
      <c r="E513" s="7">
        <v>10227303</v>
      </c>
      <c r="F513" s="7">
        <v>10227303</v>
      </c>
      <c r="G513" s="7">
        <v>36281632</v>
      </c>
      <c r="H513" s="7">
        <v>558.13789999999995</v>
      </c>
      <c r="I513" s="7">
        <v>555.61210000000005</v>
      </c>
      <c r="J513" s="7">
        <v>14</v>
      </c>
      <c r="K513" s="7">
        <v>7.9637179000000002E-3</v>
      </c>
      <c r="L513" s="7">
        <v>562.58275276940003</v>
      </c>
      <c r="M513" s="7">
        <v>551.18736198919999</v>
      </c>
      <c r="N513" s="7">
        <v>556.99033751169998</v>
      </c>
      <c r="O513" s="7">
        <v>562.58275276940003</v>
      </c>
      <c r="P513" s="7">
        <v>551.18736198919999</v>
      </c>
      <c r="Q513">
        <v>1</v>
      </c>
      <c r="R513">
        <v>1</v>
      </c>
      <c r="S513" s="11">
        <v>45784.666666666664</v>
      </c>
      <c r="T513">
        <v>2001</v>
      </c>
    </row>
    <row r="514" spans="1:20">
      <c r="A514" s="11">
        <v>45785.395833333336</v>
      </c>
      <c r="B514" s="11">
        <v>45785.416666666664</v>
      </c>
      <c r="C514" s="10">
        <v>45785</v>
      </c>
      <c r="D514" s="7">
        <v>560.85230000000001</v>
      </c>
      <c r="E514" s="7">
        <v>3227527</v>
      </c>
      <c r="F514" s="7">
        <v>3227527</v>
      </c>
      <c r="G514" s="7">
        <v>3227527</v>
      </c>
      <c r="H514" s="7">
        <v>560.85230000000001</v>
      </c>
      <c r="I514" s="7">
        <v>557.94870000000003</v>
      </c>
      <c r="J514" s="7">
        <v>14</v>
      </c>
      <c r="K514" s="7">
        <v>0</v>
      </c>
      <c r="L514" s="7">
        <v>560.85230000000001</v>
      </c>
      <c r="M514" s="7">
        <v>557.94870000000003</v>
      </c>
      <c r="N514" s="7">
        <v>560.85230000000001</v>
      </c>
      <c r="O514" s="7">
        <v>560.85230000000001</v>
      </c>
      <c r="P514" s="7">
        <v>557.94870000000003</v>
      </c>
      <c r="Q514">
        <v>1</v>
      </c>
      <c r="R514">
        <v>0</v>
      </c>
      <c r="S514" s="11">
        <v>45785.666666666664</v>
      </c>
      <c r="T514">
        <v>1999</v>
      </c>
    </row>
    <row r="515" spans="1:20">
      <c r="A515" s="11">
        <v>45785.416666666664</v>
      </c>
      <c r="B515" s="11">
        <v>45785.4375</v>
      </c>
      <c r="C515" s="10">
        <v>45785</v>
      </c>
      <c r="D515" s="7">
        <v>561.23009999999999</v>
      </c>
      <c r="E515" s="7">
        <v>3007689</v>
      </c>
      <c r="F515" s="7">
        <v>3007689</v>
      </c>
      <c r="G515" s="7">
        <v>6235216</v>
      </c>
      <c r="H515" s="7">
        <v>560.85230000000001</v>
      </c>
      <c r="I515" s="7">
        <v>557.94870000000003</v>
      </c>
      <c r="J515" s="7">
        <v>14</v>
      </c>
      <c r="K515" s="7">
        <v>3.2219723000000001E-3</v>
      </c>
      <c r="L515" s="7">
        <v>562.65935055299997</v>
      </c>
      <c r="M515" s="7">
        <v>556.15100476570001</v>
      </c>
      <c r="N515" s="7">
        <v>561.03453986210002</v>
      </c>
      <c r="O515" s="7">
        <v>562.65935055299997</v>
      </c>
      <c r="P515" s="7">
        <v>556.15100476570001</v>
      </c>
      <c r="Q515">
        <v>1</v>
      </c>
      <c r="R515">
        <v>0</v>
      </c>
      <c r="S515" s="11">
        <v>45785.666666666664</v>
      </c>
      <c r="T515">
        <v>1998</v>
      </c>
    </row>
    <row r="516" spans="1:20">
      <c r="A516" s="11">
        <v>45785.4375</v>
      </c>
      <c r="B516" s="11">
        <v>45785.458333333336</v>
      </c>
      <c r="C516" s="10">
        <v>45785</v>
      </c>
      <c r="D516" s="7">
        <v>559.08240000000001</v>
      </c>
      <c r="E516" s="7">
        <v>3776895</v>
      </c>
      <c r="F516" s="7">
        <v>3776895</v>
      </c>
      <c r="G516" s="7">
        <v>10012111</v>
      </c>
      <c r="H516" s="7">
        <v>560.85230000000001</v>
      </c>
      <c r="I516" s="7">
        <v>557.94870000000003</v>
      </c>
      <c r="J516" s="7">
        <v>14</v>
      </c>
      <c r="K516" s="7">
        <v>4.4867212999999996E-3</v>
      </c>
      <c r="L516" s="7">
        <v>563.36868794810005</v>
      </c>
      <c r="M516" s="7">
        <v>555.44533969580004</v>
      </c>
      <c r="N516" s="7">
        <v>560.29812900089996</v>
      </c>
      <c r="O516" s="7">
        <v>563.36868794810005</v>
      </c>
      <c r="P516" s="7">
        <v>555.44533969580004</v>
      </c>
      <c r="Q516">
        <v>1</v>
      </c>
      <c r="R516">
        <v>0</v>
      </c>
      <c r="S516" s="11">
        <v>45785.666666666664</v>
      </c>
      <c r="T516">
        <v>1997</v>
      </c>
    </row>
    <row r="517" spans="1:20">
      <c r="A517" s="11">
        <v>45785.458333333336</v>
      </c>
      <c r="B517" s="11">
        <v>45785.479166666664</v>
      </c>
      <c r="C517" s="10">
        <v>45785</v>
      </c>
      <c r="D517" s="7">
        <v>562.95029999999997</v>
      </c>
      <c r="E517" s="7">
        <v>4001532</v>
      </c>
      <c r="F517" s="7">
        <v>4001532</v>
      </c>
      <c r="G517" s="7">
        <v>14013643</v>
      </c>
      <c r="H517" s="7">
        <v>560.85230000000001</v>
      </c>
      <c r="I517" s="7">
        <v>557.94870000000003</v>
      </c>
      <c r="J517" s="7">
        <v>14</v>
      </c>
      <c r="K517" s="7">
        <v>5.5519171000000004E-3</v>
      </c>
      <c r="L517" s="7">
        <v>563.96610548449996</v>
      </c>
      <c r="M517" s="7">
        <v>554.85101506210003</v>
      </c>
      <c r="N517" s="7">
        <v>561.05544436289995</v>
      </c>
      <c r="O517" s="7">
        <v>563.96610548449996</v>
      </c>
      <c r="P517" s="7">
        <v>554.85101506210003</v>
      </c>
      <c r="Q517">
        <v>1</v>
      </c>
      <c r="R517">
        <v>0</v>
      </c>
      <c r="S517" s="11">
        <v>45785.666666666664</v>
      </c>
      <c r="T517">
        <v>1996</v>
      </c>
    </row>
    <row r="518" spans="1:20">
      <c r="A518" s="11">
        <v>45785.479166666664</v>
      </c>
      <c r="B518" s="11">
        <v>45785.5</v>
      </c>
      <c r="C518" s="10">
        <v>45785</v>
      </c>
      <c r="D518" s="7">
        <v>565.1277</v>
      </c>
      <c r="E518" s="7">
        <v>6216752</v>
      </c>
      <c r="F518" s="7">
        <v>6216752</v>
      </c>
      <c r="G518" s="7">
        <v>20230395</v>
      </c>
      <c r="H518" s="7">
        <v>560.85230000000001</v>
      </c>
      <c r="I518" s="7">
        <v>557.94870000000003</v>
      </c>
      <c r="J518" s="7">
        <v>14</v>
      </c>
      <c r="K518" s="7">
        <v>5.8767513999999996E-3</v>
      </c>
      <c r="L518" s="7">
        <v>564.1482895373</v>
      </c>
      <c r="M518" s="7">
        <v>554.66977419809996</v>
      </c>
      <c r="N518" s="7">
        <v>562.30683878089997</v>
      </c>
      <c r="O518" s="7">
        <v>564.1482895373</v>
      </c>
      <c r="P518" s="7">
        <v>554.66977419809996</v>
      </c>
      <c r="Q518">
        <v>1</v>
      </c>
      <c r="R518">
        <v>0</v>
      </c>
      <c r="S518" s="11">
        <v>45785.666666666664</v>
      </c>
      <c r="T518">
        <v>1995</v>
      </c>
    </row>
    <row r="519" spans="1:20">
      <c r="A519" s="11">
        <v>45785.5</v>
      </c>
      <c r="B519" s="11">
        <v>45785.520833333336</v>
      </c>
      <c r="C519" s="10">
        <v>45785</v>
      </c>
      <c r="D519" s="7">
        <v>565.55529999999999</v>
      </c>
      <c r="E519" s="7">
        <v>2047291</v>
      </c>
      <c r="F519" s="7">
        <v>2047291</v>
      </c>
      <c r="G519" s="7">
        <v>22277686</v>
      </c>
      <c r="H519" s="7">
        <v>560.85230000000001</v>
      </c>
      <c r="I519" s="7">
        <v>557.94870000000003</v>
      </c>
      <c r="J519" s="7">
        <v>14</v>
      </c>
      <c r="K519" s="7">
        <v>6.9955898000000002E-3</v>
      </c>
      <c r="L519" s="7">
        <v>564.77579260580001</v>
      </c>
      <c r="M519" s="7">
        <v>554.04551978860002</v>
      </c>
      <c r="N519" s="7">
        <v>562.60536823400003</v>
      </c>
      <c r="O519" s="7">
        <v>564.77579260580001</v>
      </c>
      <c r="P519" s="7">
        <v>554.04551978860002</v>
      </c>
      <c r="Q519">
        <v>1</v>
      </c>
      <c r="R519">
        <v>0</v>
      </c>
      <c r="S519" s="11">
        <v>45785.666666666664</v>
      </c>
      <c r="T519">
        <v>1994</v>
      </c>
    </row>
    <row r="520" spans="1:20">
      <c r="A520" s="11">
        <v>45785.520833333336</v>
      </c>
      <c r="B520" s="11">
        <v>45785.541666666664</v>
      </c>
      <c r="C520" s="10">
        <v>45785</v>
      </c>
      <c r="D520" s="7">
        <v>566.86770000000001</v>
      </c>
      <c r="E520" s="7">
        <v>1818587</v>
      </c>
      <c r="F520" s="7">
        <v>1818587</v>
      </c>
      <c r="G520" s="7">
        <v>24096273</v>
      </c>
      <c r="H520" s="7">
        <v>560.85230000000001</v>
      </c>
      <c r="I520" s="7">
        <v>557.94870000000003</v>
      </c>
      <c r="J520" s="7">
        <v>14</v>
      </c>
      <c r="K520" s="7">
        <v>6.4804496000000003E-3</v>
      </c>
      <c r="L520" s="7">
        <v>564.48687504049997</v>
      </c>
      <c r="M520" s="7">
        <v>554.33294159290006</v>
      </c>
      <c r="N520" s="7">
        <v>562.92705371370005</v>
      </c>
      <c r="O520" s="7">
        <v>564.48687504049997</v>
      </c>
      <c r="P520" s="7">
        <v>554.33294159290006</v>
      </c>
      <c r="Q520">
        <v>1</v>
      </c>
      <c r="R520">
        <v>0</v>
      </c>
      <c r="S520" s="11">
        <v>45785.666666666664</v>
      </c>
      <c r="T520">
        <v>1993</v>
      </c>
    </row>
    <row r="521" spans="1:20">
      <c r="A521" s="11">
        <v>45785.541666666664</v>
      </c>
      <c r="B521" s="11">
        <v>45785.5625</v>
      </c>
      <c r="C521" s="10">
        <v>45785</v>
      </c>
      <c r="D521" s="7">
        <v>565.96299999999997</v>
      </c>
      <c r="E521" s="7">
        <v>1496724</v>
      </c>
      <c r="F521" s="7">
        <v>1496724</v>
      </c>
      <c r="G521" s="7">
        <v>25592997</v>
      </c>
      <c r="H521" s="7">
        <v>560.85230000000001</v>
      </c>
      <c r="I521" s="7">
        <v>557.94870000000003</v>
      </c>
      <c r="J521" s="7">
        <v>14</v>
      </c>
      <c r="K521" s="7">
        <v>6.4010177E-3</v>
      </c>
      <c r="L521" s="7">
        <v>564.44232547750005</v>
      </c>
      <c r="M521" s="7">
        <v>554.37726051740003</v>
      </c>
      <c r="N521" s="7">
        <v>563.10460125409998</v>
      </c>
      <c r="O521" s="7">
        <v>564.44232547750005</v>
      </c>
      <c r="P521" s="7">
        <v>554.37726051740003</v>
      </c>
      <c r="Q521">
        <v>1</v>
      </c>
      <c r="R521">
        <v>0</v>
      </c>
      <c r="S521" s="11">
        <v>45785.666666666664</v>
      </c>
      <c r="T521">
        <v>1992</v>
      </c>
    </row>
    <row r="522" spans="1:20">
      <c r="A522" s="11">
        <v>45785.5625</v>
      </c>
      <c r="B522" s="11">
        <v>45785.583333333336</v>
      </c>
      <c r="C522" s="10">
        <v>45785</v>
      </c>
      <c r="D522" s="7">
        <v>564.42430000000002</v>
      </c>
      <c r="E522" s="7">
        <v>1304498</v>
      </c>
      <c r="F522" s="7">
        <v>1304498</v>
      </c>
      <c r="G522" s="7">
        <v>26897495</v>
      </c>
      <c r="H522" s="7">
        <v>560.85230000000001</v>
      </c>
      <c r="I522" s="7">
        <v>557.94870000000003</v>
      </c>
      <c r="J522" s="7">
        <v>14</v>
      </c>
      <c r="K522" s="7">
        <v>6.29358E-3</v>
      </c>
      <c r="L522" s="7">
        <v>564.38206883700002</v>
      </c>
      <c r="M522" s="7">
        <v>554.43720520199997</v>
      </c>
      <c r="N522" s="7">
        <v>563.1686051465</v>
      </c>
      <c r="O522" s="7">
        <v>564.38206883700002</v>
      </c>
      <c r="P522" s="7">
        <v>554.43720520199997</v>
      </c>
      <c r="Q522">
        <v>1</v>
      </c>
      <c r="R522">
        <v>0</v>
      </c>
      <c r="S522" s="11">
        <v>45785.666666666664</v>
      </c>
      <c r="T522">
        <v>1991</v>
      </c>
    </row>
    <row r="523" spans="1:20">
      <c r="A523" s="11">
        <v>45785.583333333336</v>
      </c>
      <c r="B523" s="11">
        <v>45785.604166666664</v>
      </c>
      <c r="C523" s="10">
        <v>45785</v>
      </c>
      <c r="D523" s="7">
        <v>564.78970000000004</v>
      </c>
      <c r="E523" s="7">
        <v>1883503</v>
      </c>
      <c r="F523" s="7">
        <v>1883503</v>
      </c>
      <c r="G523" s="7">
        <v>28780998</v>
      </c>
      <c r="H523" s="7">
        <v>560.85230000000001</v>
      </c>
      <c r="I523" s="7">
        <v>557.94870000000003</v>
      </c>
      <c r="J523" s="7">
        <v>14</v>
      </c>
      <c r="K523" s="7">
        <v>7.7749109999999998E-3</v>
      </c>
      <c r="L523" s="7">
        <v>565.21287672369999</v>
      </c>
      <c r="M523" s="7">
        <v>553.6106985079</v>
      </c>
      <c r="N523" s="7">
        <v>563.27469378939998</v>
      </c>
      <c r="O523" s="7">
        <v>565.21287672369999</v>
      </c>
      <c r="P523" s="7">
        <v>553.6106985079</v>
      </c>
      <c r="Q523">
        <v>1</v>
      </c>
      <c r="R523">
        <v>0</v>
      </c>
      <c r="S523" s="11">
        <v>45785.666666666664</v>
      </c>
      <c r="T523">
        <v>1990</v>
      </c>
    </row>
    <row r="524" spans="1:20">
      <c r="A524" s="11">
        <v>45785.604166666664</v>
      </c>
      <c r="B524" s="11">
        <v>45785.625</v>
      </c>
      <c r="C524" s="10">
        <v>45785</v>
      </c>
      <c r="D524" s="7">
        <v>565.06809999999996</v>
      </c>
      <c r="E524" s="7">
        <v>1566394</v>
      </c>
      <c r="F524" s="7">
        <v>1566394</v>
      </c>
      <c r="G524" s="7">
        <v>30347392</v>
      </c>
      <c r="H524" s="7">
        <v>560.85230000000001</v>
      </c>
      <c r="I524" s="7">
        <v>557.94870000000003</v>
      </c>
      <c r="J524" s="7">
        <v>14</v>
      </c>
      <c r="K524" s="7">
        <v>7.4733661E-3</v>
      </c>
      <c r="L524" s="7">
        <v>565.04375454420006</v>
      </c>
      <c r="M524" s="7">
        <v>553.77894512140006</v>
      </c>
      <c r="N524" s="7">
        <v>563.36726124059999</v>
      </c>
      <c r="O524" s="7">
        <v>565.04375454420006</v>
      </c>
      <c r="P524" s="7">
        <v>553.77894512140006</v>
      </c>
      <c r="Q524">
        <v>1</v>
      </c>
      <c r="R524">
        <v>0</v>
      </c>
      <c r="S524" s="11">
        <v>45785.666666666664</v>
      </c>
      <c r="T524">
        <v>1989</v>
      </c>
    </row>
    <row r="525" spans="1:20">
      <c r="A525" s="11">
        <v>45785.625</v>
      </c>
      <c r="B525" s="11">
        <v>45785.645833333336</v>
      </c>
      <c r="C525" s="10">
        <v>45785</v>
      </c>
      <c r="D525" s="7">
        <v>565.85360000000003</v>
      </c>
      <c r="E525" s="7">
        <v>4589468</v>
      </c>
      <c r="F525" s="7">
        <v>4589468</v>
      </c>
      <c r="G525" s="7">
        <v>34936860</v>
      </c>
      <c r="H525" s="7">
        <v>560.85230000000001</v>
      </c>
      <c r="I525" s="7">
        <v>557.94870000000003</v>
      </c>
      <c r="J525" s="7">
        <v>14</v>
      </c>
      <c r="K525" s="7">
        <v>7.3485775999999996E-3</v>
      </c>
      <c r="L525" s="7">
        <v>564.97376663540001</v>
      </c>
      <c r="M525" s="7">
        <v>553.84857069450004</v>
      </c>
      <c r="N525" s="7">
        <v>563.69387823399995</v>
      </c>
      <c r="O525" s="7">
        <v>564.97376663540001</v>
      </c>
      <c r="P525" s="7">
        <v>553.84857069450004</v>
      </c>
      <c r="Q525">
        <v>1</v>
      </c>
      <c r="R525">
        <v>0</v>
      </c>
      <c r="S525" s="11">
        <v>45785.666666666664</v>
      </c>
      <c r="T525">
        <v>1988</v>
      </c>
    </row>
    <row r="526" spans="1:20">
      <c r="A526" s="11">
        <v>45785.645833333336</v>
      </c>
      <c r="B526" s="11">
        <v>45785.666666666664</v>
      </c>
      <c r="C526" s="10">
        <v>45785</v>
      </c>
      <c r="D526" s="7">
        <v>561.83659999999998</v>
      </c>
      <c r="E526" s="7">
        <v>9535938</v>
      </c>
      <c r="F526" s="7">
        <v>9535938</v>
      </c>
      <c r="G526" s="7">
        <v>44472798</v>
      </c>
      <c r="H526" s="7">
        <v>560.85230000000001</v>
      </c>
      <c r="I526" s="7">
        <v>557.94870000000003</v>
      </c>
      <c r="J526" s="7">
        <v>14</v>
      </c>
      <c r="K526" s="7">
        <v>7.4417713000000003E-3</v>
      </c>
      <c r="L526" s="7">
        <v>565.02603455899998</v>
      </c>
      <c r="M526" s="7">
        <v>553.79657336820003</v>
      </c>
      <c r="N526" s="7">
        <v>563.27859073269997</v>
      </c>
      <c r="O526" s="7">
        <v>565.02603455899998</v>
      </c>
      <c r="P526" s="7">
        <v>553.79657336820003</v>
      </c>
      <c r="Q526">
        <v>1</v>
      </c>
      <c r="R526">
        <v>1</v>
      </c>
      <c r="S526" s="11">
        <v>45785.666666666664</v>
      </c>
      <c r="T526">
        <v>1987</v>
      </c>
    </row>
    <row r="527" spans="1:20">
      <c r="A527" s="11">
        <v>45786.395833333336</v>
      </c>
      <c r="B527" s="11">
        <v>45786.416666666664</v>
      </c>
      <c r="C527" s="10">
        <v>45786</v>
      </c>
      <c r="D527" s="7">
        <v>563.64620000000002</v>
      </c>
      <c r="E527" s="7">
        <v>2397630</v>
      </c>
      <c r="F527" s="7">
        <v>2397630</v>
      </c>
      <c r="G527" s="7">
        <v>2397630</v>
      </c>
      <c r="H527" s="7">
        <v>563.64620000000002</v>
      </c>
      <c r="I527" s="7">
        <v>561.83640000000003</v>
      </c>
      <c r="J527" s="7">
        <v>14</v>
      </c>
      <c r="K527" s="7">
        <v>0</v>
      </c>
      <c r="L527" s="7">
        <v>563.64620000000002</v>
      </c>
      <c r="M527" s="7">
        <v>561.83640000000003</v>
      </c>
      <c r="N527" s="7">
        <v>563.64620000000002</v>
      </c>
      <c r="O527" s="7">
        <v>563.64620000000002</v>
      </c>
      <c r="P527" s="7">
        <v>561.83640000000003</v>
      </c>
      <c r="Q527">
        <v>1</v>
      </c>
      <c r="R527">
        <v>0</v>
      </c>
      <c r="S527" s="11">
        <v>45786.666666666664</v>
      </c>
      <c r="T527">
        <v>1985</v>
      </c>
    </row>
    <row r="528" spans="1:20">
      <c r="A528" s="11">
        <v>45786.416666666664</v>
      </c>
      <c r="B528" s="11">
        <v>45786.4375</v>
      </c>
      <c r="C528" s="10">
        <v>45786</v>
      </c>
      <c r="D528" s="7">
        <v>561.21019999999999</v>
      </c>
      <c r="E528" s="7">
        <v>2107776</v>
      </c>
      <c r="F528" s="7">
        <v>2107776</v>
      </c>
      <c r="G528" s="7">
        <v>4505406</v>
      </c>
      <c r="H528" s="7">
        <v>563.64620000000002</v>
      </c>
      <c r="I528" s="7">
        <v>561.83640000000003</v>
      </c>
      <c r="J528" s="7">
        <v>14</v>
      </c>
      <c r="K528" s="7">
        <v>2.8039659000000001E-3</v>
      </c>
      <c r="L528" s="7">
        <v>565.22664471450003</v>
      </c>
      <c r="M528" s="7">
        <v>560.26102990289996</v>
      </c>
      <c r="N528" s="7">
        <v>562.50655967989996</v>
      </c>
      <c r="O528" s="7">
        <v>565.22664471450003</v>
      </c>
      <c r="P528" s="7">
        <v>560.26102990289996</v>
      </c>
      <c r="Q528">
        <v>1</v>
      </c>
      <c r="R528">
        <v>0</v>
      </c>
      <c r="S528" s="11">
        <v>45786.666666666664</v>
      </c>
      <c r="T528">
        <v>1984</v>
      </c>
    </row>
    <row r="529" spans="1:20">
      <c r="A529" s="11">
        <v>45786.4375</v>
      </c>
      <c r="B529" s="11">
        <v>45786.458333333336</v>
      </c>
      <c r="C529" s="10">
        <v>45786</v>
      </c>
      <c r="D529" s="7">
        <v>561.29470000000003</v>
      </c>
      <c r="E529" s="7">
        <v>3258816</v>
      </c>
      <c r="F529" s="7">
        <v>3258816</v>
      </c>
      <c r="G529" s="7">
        <v>7764222</v>
      </c>
      <c r="H529" s="7">
        <v>563.64620000000002</v>
      </c>
      <c r="I529" s="7">
        <v>561.83640000000003</v>
      </c>
      <c r="J529" s="7">
        <v>14</v>
      </c>
      <c r="K529" s="7">
        <v>4.2243890999999999E-3</v>
      </c>
      <c r="L529" s="7">
        <v>566.02726086899997</v>
      </c>
      <c r="M529" s="7">
        <v>559.46298443039996</v>
      </c>
      <c r="N529" s="7">
        <v>561.9979153219</v>
      </c>
      <c r="O529" s="7">
        <v>566.02726086899997</v>
      </c>
      <c r="P529" s="7">
        <v>559.46298443039996</v>
      </c>
      <c r="Q529">
        <v>1</v>
      </c>
      <c r="R529">
        <v>0</v>
      </c>
      <c r="S529" s="11">
        <v>45786.666666666664</v>
      </c>
      <c r="T529">
        <v>1983</v>
      </c>
    </row>
    <row r="530" spans="1:20">
      <c r="A530" s="11">
        <v>45786.458333333336</v>
      </c>
      <c r="B530" s="11">
        <v>45786.479166666664</v>
      </c>
      <c r="C530" s="10">
        <v>45786</v>
      </c>
      <c r="D530" s="7">
        <v>561.28980000000001</v>
      </c>
      <c r="E530" s="7">
        <v>1770255</v>
      </c>
      <c r="F530" s="7">
        <v>1770255</v>
      </c>
      <c r="G530" s="7">
        <v>9534477</v>
      </c>
      <c r="H530" s="7">
        <v>563.64620000000002</v>
      </c>
      <c r="I530" s="7">
        <v>561.83640000000003</v>
      </c>
      <c r="J530" s="7">
        <v>14</v>
      </c>
      <c r="K530" s="7">
        <v>5.5581674000000003E-3</v>
      </c>
      <c r="L530" s="7">
        <v>566.77903992380004</v>
      </c>
      <c r="M530" s="7">
        <v>558.71361924749999</v>
      </c>
      <c r="N530" s="7">
        <v>561.8664403926</v>
      </c>
      <c r="O530" s="7">
        <v>566.77903992380004</v>
      </c>
      <c r="P530" s="7">
        <v>558.71361924749999</v>
      </c>
      <c r="Q530">
        <v>1</v>
      </c>
      <c r="R530">
        <v>0</v>
      </c>
      <c r="S530" s="11">
        <v>45786.666666666664</v>
      </c>
      <c r="T530">
        <v>1982</v>
      </c>
    </row>
    <row r="531" spans="1:20">
      <c r="A531" s="11">
        <v>45786.479166666664</v>
      </c>
      <c r="B531" s="11">
        <v>45786.5</v>
      </c>
      <c r="C531" s="10">
        <v>45786</v>
      </c>
      <c r="D531" s="7">
        <v>562.31039999999996</v>
      </c>
      <c r="E531" s="7">
        <v>1268622</v>
      </c>
      <c r="F531" s="7">
        <v>1268622</v>
      </c>
      <c r="G531" s="7">
        <v>10803099</v>
      </c>
      <c r="H531" s="7">
        <v>563.64620000000002</v>
      </c>
      <c r="I531" s="7">
        <v>561.83640000000003</v>
      </c>
      <c r="J531" s="7">
        <v>14</v>
      </c>
      <c r="K531" s="7">
        <v>6.1496963999999998E-3</v>
      </c>
      <c r="L531" s="7">
        <v>567.11245299200004</v>
      </c>
      <c r="M531" s="7">
        <v>558.38127672849998</v>
      </c>
      <c r="N531" s="7">
        <v>561.91857514809999</v>
      </c>
      <c r="O531" s="7">
        <v>567.11245299200004</v>
      </c>
      <c r="P531" s="7">
        <v>558.38127672849998</v>
      </c>
      <c r="Q531">
        <v>1</v>
      </c>
      <c r="R531">
        <v>0</v>
      </c>
      <c r="S531" s="11">
        <v>45786.666666666664</v>
      </c>
      <c r="T531">
        <v>1981</v>
      </c>
    </row>
    <row r="532" spans="1:20">
      <c r="A532" s="11">
        <v>45786.5</v>
      </c>
      <c r="B532" s="11">
        <v>45786.520833333336</v>
      </c>
      <c r="C532" s="10">
        <v>45786</v>
      </c>
      <c r="D532" s="7">
        <v>560.63350000000003</v>
      </c>
      <c r="E532" s="7">
        <v>1256913</v>
      </c>
      <c r="F532" s="7">
        <v>1256913</v>
      </c>
      <c r="G532" s="7">
        <v>12060012</v>
      </c>
      <c r="H532" s="7">
        <v>563.64620000000002</v>
      </c>
      <c r="I532" s="7">
        <v>561.83640000000003</v>
      </c>
      <c r="J532" s="7">
        <v>14</v>
      </c>
      <c r="K532" s="7">
        <v>7.4783395000000003E-3</v>
      </c>
      <c r="L532" s="7">
        <v>567.86133762190002</v>
      </c>
      <c r="M532" s="7">
        <v>557.63479667679997</v>
      </c>
      <c r="N532" s="7">
        <v>561.78464263959995</v>
      </c>
      <c r="O532" s="7">
        <v>567.86133762190002</v>
      </c>
      <c r="P532" s="7">
        <v>557.63479667679997</v>
      </c>
      <c r="Q532">
        <v>1</v>
      </c>
      <c r="R532">
        <v>0</v>
      </c>
      <c r="S532" s="11">
        <v>45786.666666666664</v>
      </c>
      <c r="T532">
        <v>1980</v>
      </c>
    </row>
    <row r="533" spans="1:20">
      <c r="A533" s="11">
        <v>45786.520833333336</v>
      </c>
      <c r="B533" s="11">
        <v>45786.541666666664</v>
      </c>
      <c r="C533" s="10">
        <v>45786</v>
      </c>
      <c r="D533" s="7">
        <v>560.15620000000001</v>
      </c>
      <c r="E533" s="7">
        <v>1117633</v>
      </c>
      <c r="F533" s="7">
        <v>1117633</v>
      </c>
      <c r="G533" s="7">
        <v>13177645</v>
      </c>
      <c r="H533" s="7">
        <v>563.64620000000002</v>
      </c>
      <c r="I533" s="7">
        <v>561.83640000000003</v>
      </c>
      <c r="J533" s="7">
        <v>14</v>
      </c>
      <c r="K533" s="7">
        <v>7.0614342000000002E-3</v>
      </c>
      <c r="L533" s="7">
        <v>567.62635055119995</v>
      </c>
      <c r="M533" s="7">
        <v>557.86902923239995</v>
      </c>
      <c r="N533" s="7">
        <v>561.64652985600003</v>
      </c>
      <c r="O533" s="7">
        <v>567.62635055119995</v>
      </c>
      <c r="P533" s="7">
        <v>557.86902923239995</v>
      </c>
      <c r="Q533">
        <v>1</v>
      </c>
      <c r="R533">
        <v>0</v>
      </c>
      <c r="S533" s="11">
        <v>45786.666666666664</v>
      </c>
      <c r="T533">
        <v>1979</v>
      </c>
    </row>
    <row r="534" spans="1:20">
      <c r="A534" s="11">
        <v>45786.541666666664</v>
      </c>
      <c r="B534" s="11">
        <v>45786.5625</v>
      </c>
      <c r="C534" s="10">
        <v>45786</v>
      </c>
      <c r="D534" s="7">
        <v>560.75070000000005</v>
      </c>
      <c r="E534" s="7">
        <v>1513045</v>
      </c>
      <c r="F534" s="7">
        <v>1513045</v>
      </c>
      <c r="G534" s="7">
        <v>14690690</v>
      </c>
      <c r="H534" s="7">
        <v>563.64620000000002</v>
      </c>
      <c r="I534" s="7">
        <v>561.83640000000003</v>
      </c>
      <c r="J534" s="7">
        <v>14</v>
      </c>
      <c r="K534" s="7">
        <v>6.9282850000000002E-3</v>
      </c>
      <c r="L534" s="7">
        <v>567.55130152109996</v>
      </c>
      <c r="M534" s="7">
        <v>557.94383728920002</v>
      </c>
      <c r="N534" s="7">
        <v>561.5542652391</v>
      </c>
      <c r="O534" s="7">
        <v>567.55130152109996</v>
      </c>
      <c r="P534" s="7">
        <v>557.94383728920002</v>
      </c>
      <c r="Q534">
        <v>1</v>
      </c>
      <c r="R534">
        <v>0</v>
      </c>
      <c r="S534" s="11">
        <v>45786.666666666664</v>
      </c>
      <c r="T534">
        <v>1978</v>
      </c>
    </row>
    <row r="535" spans="1:20">
      <c r="A535" s="11">
        <v>45786.5625</v>
      </c>
      <c r="B535" s="11">
        <v>45786.583333333336</v>
      </c>
      <c r="C535" s="10">
        <v>45786</v>
      </c>
      <c r="D535" s="7">
        <v>561.96590000000003</v>
      </c>
      <c r="E535" s="7">
        <v>1268942</v>
      </c>
      <c r="F535" s="7">
        <v>1268942</v>
      </c>
      <c r="G535" s="7">
        <v>15959632</v>
      </c>
      <c r="H535" s="7">
        <v>563.64620000000002</v>
      </c>
      <c r="I535" s="7">
        <v>561.83640000000003</v>
      </c>
      <c r="J535" s="7">
        <v>14</v>
      </c>
      <c r="K535" s="7">
        <v>6.6242441999999997E-3</v>
      </c>
      <c r="L535" s="7">
        <v>567.37993007739999</v>
      </c>
      <c r="M535" s="7">
        <v>558.11465847980003</v>
      </c>
      <c r="N535" s="7">
        <v>561.58699410379995</v>
      </c>
      <c r="O535" s="7">
        <v>567.37993007739999</v>
      </c>
      <c r="P535" s="7">
        <v>558.11465847980003</v>
      </c>
      <c r="Q535">
        <v>1</v>
      </c>
      <c r="R535">
        <v>0</v>
      </c>
      <c r="S535" s="11">
        <v>45786.666666666664</v>
      </c>
      <c r="T535">
        <v>1977</v>
      </c>
    </row>
    <row r="536" spans="1:20">
      <c r="A536" s="11">
        <v>45786.583333333336</v>
      </c>
      <c r="B536" s="11">
        <v>45786.604166666664</v>
      </c>
      <c r="C536" s="10">
        <v>45786</v>
      </c>
      <c r="D536" s="7">
        <v>561.08090000000004</v>
      </c>
      <c r="E536" s="7">
        <v>842110</v>
      </c>
      <c r="F536" s="7">
        <v>842110</v>
      </c>
      <c r="G536" s="7">
        <v>16801742</v>
      </c>
      <c r="H536" s="7">
        <v>563.64620000000002</v>
      </c>
      <c r="I536" s="7">
        <v>561.83640000000003</v>
      </c>
      <c r="J536" s="7">
        <v>14</v>
      </c>
      <c r="K536" s="7">
        <v>8.0777402000000009E-3</v>
      </c>
      <c r="L536" s="7">
        <v>568.19918755619994</v>
      </c>
      <c r="M536" s="7">
        <v>557.29803153800003</v>
      </c>
      <c r="N536" s="7">
        <v>561.56162846580003</v>
      </c>
      <c r="O536" s="7">
        <v>568.19918755619994</v>
      </c>
      <c r="P536" s="7">
        <v>557.29803153800003</v>
      </c>
      <c r="Q536">
        <v>1</v>
      </c>
      <c r="R536">
        <v>0</v>
      </c>
      <c r="S536" s="11">
        <v>45786.666666666664</v>
      </c>
      <c r="T536">
        <v>1976</v>
      </c>
    </row>
    <row r="537" spans="1:20">
      <c r="A537" s="11">
        <v>45786.604166666664</v>
      </c>
      <c r="B537" s="11">
        <v>45786.625</v>
      </c>
      <c r="C537" s="10">
        <v>45786</v>
      </c>
      <c r="D537" s="7">
        <v>561.61540000000002</v>
      </c>
      <c r="E537" s="7">
        <v>716842</v>
      </c>
      <c r="F537" s="7">
        <v>716842</v>
      </c>
      <c r="G537" s="7">
        <v>17518584</v>
      </c>
      <c r="H537" s="7">
        <v>563.64620000000002</v>
      </c>
      <c r="I537" s="7">
        <v>561.83640000000003</v>
      </c>
      <c r="J537" s="7">
        <v>14</v>
      </c>
      <c r="K537" s="7">
        <v>7.9940806999999996E-3</v>
      </c>
      <c r="L537" s="7">
        <v>568.15203319780005</v>
      </c>
      <c r="M537" s="7">
        <v>557.34503448939995</v>
      </c>
      <c r="N537" s="7">
        <v>561.56382874029998</v>
      </c>
      <c r="O537" s="7">
        <v>568.15203319780005</v>
      </c>
      <c r="P537" s="7">
        <v>557.34503448939995</v>
      </c>
      <c r="Q537">
        <v>1</v>
      </c>
      <c r="R537">
        <v>0</v>
      </c>
      <c r="S537" s="11">
        <v>45786.666666666664</v>
      </c>
      <c r="T537">
        <v>1975</v>
      </c>
    </row>
    <row r="538" spans="1:20">
      <c r="A538" s="11">
        <v>45786.625</v>
      </c>
      <c r="B538" s="11">
        <v>45786.645833333336</v>
      </c>
      <c r="C538" s="10">
        <v>45786</v>
      </c>
      <c r="D538" s="7">
        <v>561.76700000000005</v>
      </c>
      <c r="E538" s="7">
        <v>1576496</v>
      </c>
      <c r="F538" s="7">
        <v>1576496</v>
      </c>
      <c r="G538" s="7">
        <v>19095080</v>
      </c>
      <c r="H538" s="7">
        <v>563.64620000000002</v>
      </c>
      <c r="I538" s="7">
        <v>561.83640000000003</v>
      </c>
      <c r="J538" s="7">
        <v>14</v>
      </c>
      <c r="K538" s="7">
        <v>7.7882745000000001E-3</v>
      </c>
      <c r="L538" s="7">
        <v>568.03603133729996</v>
      </c>
      <c r="M538" s="7">
        <v>557.46066388190002</v>
      </c>
      <c r="N538" s="7">
        <v>561.58060262549998</v>
      </c>
      <c r="O538" s="7">
        <v>568.03603133729996</v>
      </c>
      <c r="P538" s="7">
        <v>557.46066388190002</v>
      </c>
      <c r="Q538">
        <v>1</v>
      </c>
      <c r="R538">
        <v>0</v>
      </c>
      <c r="S538" s="11">
        <v>45786.666666666664</v>
      </c>
      <c r="T538">
        <v>1974</v>
      </c>
    </row>
    <row r="539" spans="1:20">
      <c r="A539" s="11">
        <v>45786.645833333336</v>
      </c>
      <c r="B539" s="11">
        <v>45786.666666666664</v>
      </c>
      <c r="C539" s="10">
        <v>45786</v>
      </c>
      <c r="D539" s="7">
        <v>561.12080000000003</v>
      </c>
      <c r="E539" s="7">
        <v>5512203</v>
      </c>
      <c r="F539" s="7">
        <v>5512203</v>
      </c>
      <c r="G539" s="7">
        <v>24607283</v>
      </c>
      <c r="H539" s="7">
        <v>563.64620000000002</v>
      </c>
      <c r="I539" s="7">
        <v>561.83640000000003</v>
      </c>
      <c r="J539" s="7">
        <v>14</v>
      </c>
      <c r="K539" s="7">
        <v>7.2631346999999999E-3</v>
      </c>
      <c r="L539" s="7">
        <v>567.74003825390002</v>
      </c>
      <c r="M539" s="7">
        <v>557.75570656729997</v>
      </c>
      <c r="N539" s="7">
        <v>561.45309726779999</v>
      </c>
      <c r="O539" s="7">
        <v>567.74003825390002</v>
      </c>
      <c r="P539" s="7">
        <v>557.75570656729997</v>
      </c>
      <c r="Q539">
        <v>1</v>
      </c>
      <c r="R539">
        <v>1</v>
      </c>
      <c r="S539" s="11">
        <v>45786.666666666664</v>
      </c>
      <c r="T539">
        <v>1973</v>
      </c>
    </row>
    <row r="540" spans="1:20">
      <c r="A540" s="11">
        <v>45789.395833333336</v>
      </c>
      <c r="B540" s="11">
        <v>45789.416666666664</v>
      </c>
      <c r="C540" s="10">
        <v>45789</v>
      </c>
      <c r="D540" s="7">
        <v>575.59739999999999</v>
      </c>
      <c r="E540" s="7">
        <v>7788443</v>
      </c>
      <c r="F540" s="7">
        <v>7788443</v>
      </c>
      <c r="G540" s="7">
        <v>7788443</v>
      </c>
      <c r="H540" s="7">
        <v>575.59739999999999</v>
      </c>
      <c r="I540" s="7">
        <v>561.12049999999999</v>
      </c>
      <c r="J540" s="7">
        <v>14</v>
      </c>
      <c r="K540" s="7">
        <v>0</v>
      </c>
      <c r="L540" s="7">
        <v>575.59739999999999</v>
      </c>
      <c r="M540" s="7">
        <v>561.12049999999999</v>
      </c>
      <c r="N540" s="7">
        <v>575.59739999999999</v>
      </c>
      <c r="O540" s="7">
        <v>575.59739999999999</v>
      </c>
      <c r="P540" s="7">
        <v>561.12049999999999</v>
      </c>
      <c r="Q540">
        <v>1</v>
      </c>
      <c r="R540">
        <v>0</v>
      </c>
      <c r="S540" s="11">
        <v>45789.666666666664</v>
      </c>
      <c r="T540">
        <v>1971</v>
      </c>
    </row>
    <row r="541" spans="1:20">
      <c r="A541" s="11">
        <v>45789.416666666664</v>
      </c>
      <c r="B541" s="11">
        <v>45789.4375</v>
      </c>
      <c r="C541" s="10">
        <v>45789</v>
      </c>
      <c r="D541" s="7">
        <v>574.89170000000001</v>
      </c>
      <c r="E541" s="7">
        <v>3968570</v>
      </c>
      <c r="F541" s="7">
        <v>3968570</v>
      </c>
      <c r="G541" s="7">
        <v>11757013</v>
      </c>
      <c r="H541" s="7">
        <v>575.59739999999999</v>
      </c>
      <c r="I541" s="7">
        <v>561.12049999999999</v>
      </c>
      <c r="J541" s="7">
        <v>14</v>
      </c>
      <c r="K541" s="7">
        <v>2.8600231000000002E-3</v>
      </c>
      <c r="L541" s="7">
        <v>577.24362183530002</v>
      </c>
      <c r="M541" s="7">
        <v>559.51568243249994</v>
      </c>
      <c r="N541" s="7">
        <v>575.3591915495</v>
      </c>
      <c r="O541" s="7">
        <v>577.24362183530002</v>
      </c>
      <c r="P541" s="7">
        <v>559.51568243249994</v>
      </c>
      <c r="Q541">
        <v>1</v>
      </c>
      <c r="R541">
        <v>0</v>
      </c>
      <c r="S541" s="11">
        <v>45789.666666666664</v>
      </c>
      <c r="T541">
        <v>1970</v>
      </c>
    </row>
    <row r="542" spans="1:20">
      <c r="A542" s="11">
        <v>45789.4375</v>
      </c>
      <c r="B542" s="11">
        <v>45789.458333333336</v>
      </c>
      <c r="C542" s="10">
        <v>45789</v>
      </c>
      <c r="D542" s="7">
        <v>575.81640000000004</v>
      </c>
      <c r="E542" s="7">
        <v>4132002</v>
      </c>
      <c r="F542" s="7">
        <v>4132002</v>
      </c>
      <c r="G542" s="7">
        <v>15889015</v>
      </c>
      <c r="H542" s="7">
        <v>575.59739999999999</v>
      </c>
      <c r="I542" s="7">
        <v>561.12049999999999</v>
      </c>
      <c r="J542" s="7">
        <v>14</v>
      </c>
      <c r="K542" s="7">
        <v>4.1413455999999996E-3</v>
      </c>
      <c r="L542" s="7">
        <v>577.98114773570001</v>
      </c>
      <c r="M542" s="7">
        <v>558.79670610979997</v>
      </c>
      <c r="N542" s="7">
        <v>575.47809043860002</v>
      </c>
      <c r="O542" s="7">
        <v>577.98114773570001</v>
      </c>
      <c r="P542" s="7">
        <v>558.79670610979997</v>
      </c>
      <c r="Q542">
        <v>1</v>
      </c>
      <c r="R542">
        <v>0</v>
      </c>
      <c r="S542" s="11">
        <v>45789.666666666664</v>
      </c>
      <c r="T542">
        <v>1969</v>
      </c>
    </row>
    <row r="543" spans="1:20">
      <c r="A543" s="11">
        <v>45789.458333333336</v>
      </c>
      <c r="B543" s="11">
        <v>45789.479166666664</v>
      </c>
      <c r="C543" s="10">
        <v>45789</v>
      </c>
      <c r="D543" s="7">
        <v>575.57100000000003</v>
      </c>
      <c r="E543" s="7">
        <v>3118077</v>
      </c>
      <c r="F543" s="7">
        <v>3118077</v>
      </c>
      <c r="G543" s="7">
        <v>19007092</v>
      </c>
      <c r="H543" s="7">
        <v>575.59739999999999</v>
      </c>
      <c r="I543" s="7">
        <v>561.12049999999999</v>
      </c>
      <c r="J543" s="7">
        <v>14</v>
      </c>
      <c r="K543" s="7">
        <v>5.2603783000000001E-3</v>
      </c>
      <c r="L543" s="7">
        <v>578.62526004680001</v>
      </c>
      <c r="M543" s="7">
        <v>558.16879392320004</v>
      </c>
      <c r="N543" s="7">
        <v>575.49333207400002</v>
      </c>
      <c r="O543" s="7">
        <v>578.62526004680001</v>
      </c>
      <c r="P543" s="7">
        <v>558.16879392320004</v>
      </c>
      <c r="Q543">
        <v>1</v>
      </c>
      <c r="R543">
        <v>0</v>
      </c>
      <c r="S543" s="11">
        <v>45789.666666666664</v>
      </c>
      <c r="T543">
        <v>1968</v>
      </c>
    </row>
    <row r="544" spans="1:20">
      <c r="A544" s="11">
        <v>45789.479166666664</v>
      </c>
      <c r="B544" s="11">
        <v>45789.5</v>
      </c>
      <c r="C544" s="10">
        <v>45789</v>
      </c>
      <c r="D544" s="7">
        <v>574.89170000000001</v>
      </c>
      <c r="E544" s="7">
        <v>2484867</v>
      </c>
      <c r="F544" s="7">
        <v>2484867</v>
      </c>
      <c r="G544" s="7">
        <v>21491959</v>
      </c>
      <c r="H544" s="7">
        <v>575.59739999999999</v>
      </c>
      <c r="I544" s="7">
        <v>561.12049999999999</v>
      </c>
      <c r="J544" s="7">
        <v>14</v>
      </c>
      <c r="K544" s="7">
        <v>5.4450838000000001E-3</v>
      </c>
      <c r="L544" s="7">
        <v>578.73157610129999</v>
      </c>
      <c r="M544" s="7">
        <v>558.06515183290003</v>
      </c>
      <c r="N544" s="7">
        <v>575.42377230579996</v>
      </c>
      <c r="O544" s="7">
        <v>578.73157610129999</v>
      </c>
      <c r="P544" s="7">
        <v>558.06515183290003</v>
      </c>
      <c r="Q544">
        <v>1</v>
      </c>
      <c r="R544">
        <v>0</v>
      </c>
      <c r="S544" s="11">
        <v>45789.666666666664</v>
      </c>
      <c r="T544">
        <v>1967</v>
      </c>
    </row>
    <row r="545" spans="1:20">
      <c r="A545" s="11">
        <v>45789.5</v>
      </c>
      <c r="B545" s="11">
        <v>45789.520833333336</v>
      </c>
      <c r="C545" s="10">
        <v>45789</v>
      </c>
      <c r="D545" s="7">
        <v>576.00540000000001</v>
      </c>
      <c r="E545" s="7">
        <v>2215874</v>
      </c>
      <c r="F545" s="7">
        <v>2215874</v>
      </c>
      <c r="G545" s="7">
        <v>23707833</v>
      </c>
      <c r="H545" s="7">
        <v>575.59739999999999</v>
      </c>
      <c r="I545" s="7">
        <v>561.12049999999999</v>
      </c>
      <c r="J545" s="7">
        <v>14</v>
      </c>
      <c r="K545" s="7">
        <v>7.0649184999999996E-3</v>
      </c>
      <c r="L545" s="7">
        <v>579.6639487397</v>
      </c>
      <c r="M545" s="7">
        <v>557.15622937939997</v>
      </c>
      <c r="N545" s="7">
        <v>575.47813466289995</v>
      </c>
      <c r="O545" s="7">
        <v>579.6639487397</v>
      </c>
      <c r="P545" s="7">
        <v>557.15622937939997</v>
      </c>
      <c r="Q545">
        <v>1</v>
      </c>
      <c r="R545">
        <v>0</v>
      </c>
      <c r="S545" s="11">
        <v>45789.666666666664</v>
      </c>
      <c r="T545">
        <v>1966</v>
      </c>
    </row>
    <row r="546" spans="1:20">
      <c r="A546" s="11">
        <v>45789.520833333336</v>
      </c>
      <c r="B546" s="11">
        <v>45789.541666666664</v>
      </c>
      <c r="C546" s="10">
        <v>45789</v>
      </c>
      <c r="D546" s="7">
        <v>577.81489999999997</v>
      </c>
      <c r="E546" s="7">
        <v>2161960</v>
      </c>
      <c r="F546" s="7">
        <v>2161960</v>
      </c>
      <c r="G546" s="7">
        <v>25869793</v>
      </c>
      <c r="H546" s="7">
        <v>575.59739999999999</v>
      </c>
      <c r="I546" s="7">
        <v>561.12049999999999</v>
      </c>
      <c r="J546" s="7">
        <v>14</v>
      </c>
      <c r="K546" s="7">
        <v>6.6546543999999996E-3</v>
      </c>
      <c r="L546" s="7">
        <v>579.42780178939995</v>
      </c>
      <c r="M546" s="7">
        <v>557.38643697730004</v>
      </c>
      <c r="N546" s="7">
        <v>575.67342007510001</v>
      </c>
      <c r="O546" s="7">
        <v>579.42780178939995</v>
      </c>
      <c r="P546" s="7">
        <v>557.38643697730004</v>
      </c>
      <c r="Q546">
        <v>1</v>
      </c>
      <c r="R546">
        <v>0</v>
      </c>
      <c r="S546" s="11">
        <v>45789.666666666664</v>
      </c>
      <c r="T546">
        <v>1965</v>
      </c>
    </row>
    <row r="547" spans="1:20">
      <c r="A547" s="11">
        <v>45789.541666666664</v>
      </c>
      <c r="B547" s="11">
        <v>45789.5625</v>
      </c>
      <c r="C547" s="10">
        <v>45789</v>
      </c>
      <c r="D547" s="7">
        <v>577.99400000000003</v>
      </c>
      <c r="E547" s="7">
        <v>3341729</v>
      </c>
      <c r="F547" s="7">
        <v>3341729</v>
      </c>
      <c r="G547" s="7">
        <v>29211522</v>
      </c>
      <c r="H547" s="7">
        <v>575.59739999999999</v>
      </c>
      <c r="I547" s="7">
        <v>561.12049999999999</v>
      </c>
      <c r="J547" s="7">
        <v>14</v>
      </c>
      <c r="K547" s="7">
        <v>6.2625685000000002E-3</v>
      </c>
      <c r="L547" s="7">
        <v>579.20211814950005</v>
      </c>
      <c r="M547" s="7">
        <v>557.60644442850003</v>
      </c>
      <c r="N547" s="7">
        <v>575.93888892780001</v>
      </c>
      <c r="O547" s="7">
        <v>579.20211814950005</v>
      </c>
      <c r="P547" s="7">
        <v>557.60644442850003</v>
      </c>
      <c r="Q547">
        <v>1</v>
      </c>
      <c r="R547">
        <v>0</v>
      </c>
      <c r="S547" s="11">
        <v>45789.666666666664</v>
      </c>
      <c r="T547">
        <v>1964</v>
      </c>
    </row>
    <row r="548" spans="1:20">
      <c r="A548" s="11">
        <v>45789.5625</v>
      </c>
      <c r="B548" s="11">
        <v>45789.583333333336</v>
      </c>
      <c r="C548" s="10">
        <v>45789</v>
      </c>
      <c r="D548" s="7">
        <v>578.25739999999996</v>
      </c>
      <c r="E548" s="7">
        <v>1593404</v>
      </c>
      <c r="F548" s="7">
        <v>1593404</v>
      </c>
      <c r="G548" s="7">
        <v>30804926</v>
      </c>
      <c r="H548" s="7">
        <v>575.59739999999999</v>
      </c>
      <c r="I548" s="7">
        <v>561.12049999999999</v>
      </c>
      <c r="J548" s="7">
        <v>14</v>
      </c>
      <c r="K548" s="7">
        <v>5.6784844999999999E-3</v>
      </c>
      <c r="L548" s="7">
        <v>578.86592092989997</v>
      </c>
      <c r="M548" s="7">
        <v>557.93418592269995</v>
      </c>
      <c r="N548" s="7">
        <v>576.05881535829997</v>
      </c>
      <c r="O548" s="7">
        <v>578.86592092989997</v>
      </c>
      <c r="P548" s="7">
        <v>557.93418592269995</v>
      </c>
      <c r="Q548">
        <v>1</v>
      </c>
      <c r="R548">
        <v>0</v>
      </c>
      <c r="S548" s="11">
        <v>45789.666666666664</v>
      </c>
      <c r="T548">
        <v>1963</v>
      </c>
    </row>
    <row r="549" spans="1:20">
      <c r="A549" s="11">
        <v>45789.583333333336</v>
      </c>
      <c r="B549" s="11">
        <v>45789.604166666664</v>
      </c>
      <c r="C549" s="10">
        <v>45789</v>
      </c>
      <c r="D549" s="7">
        <v>578.70979999999997</v>
      </c>
      <c r="E549" s="7">
        <v>1894541</v>
      </c>
      <c r="F549" s="7">
        <v>1894541</v>
      </c>
      <c r="G549" s="7">
        <v>32699467</v>
      </c>
      <c r="H549" s="7">
        <v>575.59739999999999</v>
      </c>
      <c r="I549" s="7">
        <v>561.12049999999999</v>
      </c>
      <c r="J549" s="7">
        <v>14</v>
      </c>
      <c r="K549" s="7">
        <v>7.3743026000000003E-3</v>
      </c>
      <c r="L549" s="7">
        <v>579.84202937589998</v>
      </c>
      <c r="M549" s="7">
        <v>556.98262766469998</v>
      </c>
      <c r="N549" s="7">
        <v>576.21240804820002</v>
      </c>
      <c r="O549" s="7">
        <v>579.84202937589998</v>
      </c>
      <c r="P549" s="7">
        <v>556.98262766469998</v>
      </c>
      <c r="Q549">
        <v>1</v>
      </c>
      <c r="R549">
        <v>0</v>
      </c>
      <c r="S549" s="11">
        <v>45789.666666666664</v>
      </c>
      <c r="T549">
        <v>1962</v>
      </c>
    </row>
    <row r="550" spans="1:20">
      <c r="A550" s="11">
        <v>45789.604166666664</v>
      </c>
      <c r="B550" s="11">
        <v>45789.625</v>
      </c>
      <c r="C550" s="10">
        <v>45789</v>
      </c>
      <c r="D550" s="7">
        <v>578.23249999999996</v>
      </c>
      <c r="E550" s="7">
        <v>2294649</v>
      </c>
      <c r="F550" s="7">
        <v>2294649</v>
      </c>
      <c r="G550" s="7">
        <v>34994116</v>
      </c>
      <c r="H550" s="7">
        <v>575.59739999999999</v>
      </c>
      <c r="I550" s="7">
        <v>561.12049999999999</v>
      </c>
      <c r="J550" s="7">
        <v>14</v>
      </c>
      <c r="K550" s="7">
        <v>7.0613866000000004E-3</v>
      </c>
      <c r="L550" s="7">
        <v>579.66191578639996</v>
      </c>
      <c r="M550" s="7">
        <v>557.15821120170006</v>
      </c>
      <c r="N550" s="7">
        <v>576.34487037350004</v>
      </c>
      <c r="O550" s="7">
        <v>579.66191578639996</v>
      </c>
      <c r="P550" s="7">
        <v>557.15821120170006</v>
      </c>
      <c r="Q550">
        <v>1</v>
      </c>
      <c r="R550">
        <v>0</v>
      </c>
      <c r="S550" s="11">
        <v>45789.666666666664</v>
      </c>
      <c r="T550">
        <v>1961</v>
      </c>
    </row>
    <row r="551" spans="1:20">
      <c r="A551" s="11">
        <v>45789.625</v>
      </c>
      <c r="B551" s="11">
        <v>45789.645833333336</v>
      </c>
      <c r="C551" s="10">
        <v>45789</v>
      </c>
      <c r="D551" s="7">
        <v>578.1431</v>
      </c>
      <c r="E551" s="7">
        <v>2547851</v>
      </c>
      <c r="F551" s="7">
        <v>2547851</v>
      </c>
      <c r="G551" s="7">
        <v>37541967</v>
      </c>
      <c r="H551" s="7">
        <v>575.59739999999999</v>
      </c>
      <c r="I551" s="7">
        <v>561.12049999999999</v>
      </c>
      <c r="J551" s="7">
        <v>14</v>
      </c>
      <c r="K551" s="7">
        <v>7.0641621999999998E-3</v>
      </c>
      <c r="L551" s="7">
        <v>579.66351340660003</v>
      </c>
      <c r="M551" s="7">
        <v>557.15665376339996</v>
      </c>
      <c r="N551" s="7">
        <v>576.46691036009997</v>
      </c>
      <c r="O551" s="7">
        <v>579.66351340660003</v>
      </c>
      <c r="P551" s="7">
        <v>557.15665376339996</v>
      </c>
      <c r="Q551">
        <v>1</v>
      </c>
      <c r="R551">
        <v>0</v>
      </c>
      <c r="S551" s="11">
        <v>45789.666666666664</v>
      </c>
      <c r="T551">
        <v>1960</v>
      </c>
    </row>
    <row r="552" spans="1:20">
      <c r="A552" s="11">
        <v>45789.645833333336</v>
      </c>
      <c r="B552" s="11">
        <v>45789.666666666664</v>
      </c>
      <c r="C552" s="10">
        <v>45789</v>
      </c>
      <c r="D552" s="7">
        <v>579.6644</v>
      </c>
      <c r="E552" s="7">
        <v>11745018</v>
      </c>
      <c r="F552" s="7">
        <v>11745018</v>
      </c>
      <c r="G552" s="7">
        <v>49286985</v>
      </c>
      <c r="H552" s="7">
        <v>575.59739999999999</v>
      </c>
      <c r="I552" s="7">
        <v>561.12049999999999</v>
      </c>
      <c r="J552" s="7">
        <v>14</v>
      </c>
      <c r="K552" s="7">
        <v>7.0985900999999997E-3</v>
      </c>
      <c r="L552" s="7">
        <v>579.68332999500001</v>
      </c>
      <c r="M552" s="7">
        <v>557.1373355838</v>
      </c>
      <c r="N552" s="7">
        <v>577.22886756599996</v>
      </c>
      <c r="O552" s="7">
        <v>579.68332999500001</v>
      </c>
      <c r="P552" s="7">
        <v>557.1373355838</v>
      </c>
      <c r="Q552">
        <v>1</v>
      </c>
      <c r="R552">
        <v>1</v>
      </c>
      <c r="S552" s="11">
        <v>45789.666666666664</v>
      </c>
      <c r="T552">
        <v>1959</v>
      </c>
    </row>
    <row r="553" spans="1:20">
      <c r="A553" s="11">
        <v>45790.395833333336</v>
      </c>
      <c r="B553" s="11">
        <v>45790.416666666664</v>
      </c>
      <c r="C553" s="10">
        <v>45790</v>
      </c>
      <c r="D553" s="7">
        <v>581.98109999999997</v>
      </c>
      <c r="E553" s="7">
        <v>4936618</v>
      </c>
      <c r="F553" s="7">
        <v>4936618</v>
      </c>
      <c r="G553" s="7">
        <v>4936618</v>
      </c>
      <c r="H553" s="7">
        <v>581.98109999999997</v>
      </c>
      <c r="I553" s="7">
        <v>579.66409999999996</v>
      </c>
      <c r="J553" s="7">
        <v>14</v>
      </c>
      <c r="K553" s="7">
        <v>0</v>
      </c>
      <c r="L553" s="7">
        <v>581.98109999999997</v>
      </c>
      <c r="M553" s="7">
        <v>579.66409999999996</v>
      </c>
      <c r="N553" s="7">
        <v>581.98109999999997</v>
      </c>
      <c r="O553" s="7">
        <v>581.98109999999997</v>
      </c>
      <c r="P553" s="7">
        <v>579.66409999999996</v>
      </c>
      <c r="Q553">
        <v>1</v>
      </c>
      <c r="R553">
        <v>0</v>
      </c>
      <c r="S553" s="11">
        <v>45790.666666666664</v>
      </c>
      <c r="T553">
        <v>1957</v>
      </c>
    </row>
    <row r="554" spans="1:20">
      <c r="A554" s="11">
        <v>45790.416666666664</v>
      </c>
      <c r="B554" s="11">
        <v>45790.4375</v>
      </c>
      <c r="C554" s="10">
        <v>45790</v>
      </c>
      <c r="D554" s="7">
        <v>583.57190000000003</v>
      </c>
      <c r="E554" s="7">
        <v>5538720</v>
      </c>
      <c r="F554" s="7">
        <v>5538720</v>
      </c>
      <c r="G554" s="7">
        <v>10475338</v>
      </c>
      <c r="H554" s="7">
        <v>581.98109999999997</v>
      </c>
      <c r="I554" s="7">
        <v>579.66409999999996</v>
      </c>
      <c r="J554" s="7">
        <v>14</v>
      </c>
      <c r="K554" s="7">
        <v>2.7915789000000002E-3</v>
      </c>
      <c r="L554" s="7">
        <v>583.60574615430005</v>
      </c>
      <c r="M554" s="7">
        <v>578.04592193400003</v>
      </c>
      <c r="N554" s="7">
        <v>582.8222180409</v>
      </c>
      <c r="O554" s="7">
        <v>583.60574615430005</v>
      </c>
      <c r="P554" s="7">
        <v>578.04592193400003</v>
      </c>
      <c r="Q554">
        <v>1</v>
      </c>
      <c r="R554">
        <v>0</v>
      </c>
      <c r="S554" s="11">
        <v>45790.666666666664</v>
      </c>
      <c r="T554">
        <v>1956</v>
      </c>
    </row>
    <row r="555" spans="1:20">
      <c r="A555" s="11">
        <v>45790.4375</v>
      </c>
      <c r="B555" s="11">
        <v>45790.458333333336</v>
      </c>
      <c r="C555" s="10">
        <v>45790</v>
      </c>
      <c r="D555" s="7">
        <v>583.61180000000002</v>
      </c>
      <c r="E555" s="7">
        <v>2772345</v>
      </c>
      <c r="F555" s="7">
        <v>2772345</v>
      </c>
      <c r="G555" s="7">
        <v>13247683</v>
      </c>
      <c r="H555" s="7">
        <v>581.98109999999997</v>
      </c>
      <c r="I555" s="7">
        <v>579.66409999999996</v>
      </c>
      <c r="J555" s="7">
        <v>14</v>
      </c>
      <c r="K555" s="7">
        <v>3.79079E-3</v>
      </c>
      <c r="L555" s="7">
        <v>584.18726811919998</v>
      </c>
      <c r="M555" s="7">
        <v>577.46671514119998</v>
      </c>
      <c r="N555" s="7">
        <v>582.98745399920006</v>
      </c>
      <c r="O555" s="7">
        <v>584.18726811919998</v>
      </c>
      <c r="P555" s="7">
        <v>577.46671514119998</v>
      </c>
      <c r="Q555">
        <v>1</v>
      </c>
      <c r="R555">
        <v>0</v>
      </c>
      <c r="S555" s="11">
        <v>45790.666666666664</v>
      </c>
      <c r="T555">
        <v>1955</v>
      </c>
    </row>
    <row r="556" spans="1:20">
      <c r="A556" s="11">
        <v>45790.458333333336</v>
      </c>
      <c r="B556" s="11">
        <v>45790.479166666664</v>
      </c>
      <c r="C556" s="10">
        <v>45790</v>
      </c>
      <c r="D556" s="7">
        <v>584.38729999999998</v>
      </c>
      <c r="E556" s="7">
        <v>2574855</v>
      </c>
      <c r="F556" s="7">
        <v>2574855</v>
      </c>
      <c r="G556" s="7">
        <v>15822538</v>
      </c>
      <c r="H556" s="7">
        <v>581.98109999999997</v>
      </c>
      <c r="I556" s="7">
        <v>579.66409999999996</v>
      </c>
      <c r="J556" s="7">
        <v>14</v>
      </c>
      <c r="K556" s="7">
        <v>4.8489787999999997E-3</v>
      </c>
      <c r="L556" s="7">
        <v>584.80311401009999</v>
      </c>
      <c r="M556" s="7">
        <v>576.85332107370004</v>
      </c>
      <c r="N556" s="7">
        <v>583.2152556625</v>
      </c>
      <c r="O556" s="7">
        <v>584.80311401009999</v>
      </c>
      <c r="P556" s="7">
        <v>576.85332107370004</v>
      </c>
      <c r="Q556">
        <v>1</v>
      </c>
      <c r="R556">
        <v>0</v>
      </c>
      <c r="S556" s="11">
        <v>45790.666666666664</v>
      </c>
      <c r="T556">
        <v>1954</v>
      </c>
    </row>
    <row r="557" spans="1:20">
      <c r="A557" s="11">
        <v>45790.479166666664</v>
      </c>
      <c r="B557" s="11">
        <v>45790.5</v>
      </c>
      <c r="C557" s="10">
        <v>45790</v>
      </c>
      <c r="D557" s="7">
        <v>584.35739999999998</v>
      </c>
      <c r="E557" s="7">
        <v>2575029</v>
      </c>
      <c r="F557" s="7">
        <v>2575029</v>
      </c>
      <c r="G557" s="7">
        <v>18397567</v>
      </c>
      <c r="H557" s="7">
        <v>581.98109999999997</v>
      </c>
      <c r="I557" s="7">
        <v>579.66409999999996</v>
      </c>
      <c r="J557" s="7">
        <v>14</v>
      </c>
      <c r="K557" s="7">
        <v>4.9455295999999999E-3</v>
      </c>
      <c r="L557" s="7">
        <v>584.85930475470002</v>
      </c>
      <c r="M557" s="7">
        <v>576.79735403740005</v>
      </c>
      <c r="N557" s="7">
        <v>583.37511673500001</v>
      </c>
      <c r="O557" s="7">
        <v>584.85930475470002</v>
      </c>
      <c r="P557" s="7">
        <v>576.79735403740005</v>
      </c>
      <c r="Q557">
        <v>1</v>
      </c>
      <c r="R557">
        <v>0</v>
      </c>
      <c r="S557" s="11">
        <v>45790.666666666664</v>
      </c>
      <c r="T557">
        <v>1953</v>
      </c>
    </row>
    <row r="558" spans="1:20">
      <c r="A558" s="11">
        <v>45790.5</v>
      </c>
      <c r="B558" s="11">
        <v>45790.520833333336</v>
      </c>
      <c r="C558" s="10">
        <v>45790</v>
      </c>
      <c r="D558" s="7">
        <v>584.27790000000005</v>
      </c>
      <c r="E558" s="7">
        <v>1808970</v>
      </c>
      <c r="F558" s="7">
        <v>1808970</v>
      </c>
      <c r="G558" s="7">
        <v>20206537</v>
      </c>
      <c r="H558" s="7">
        <v>581.98109999999997</v>
      </c>
      <c r="I558" s="7">
        <v>579.66409999999996</v>
      </c>
      <c r="J558" s="7">
        <v>14</v>
      </c>
      <c r="K558" s="7">
        <v>6.1650725999999999E-3</v>
      </c>
      <c r="L558" s="7">
        <v>585.56905575120004</v>
      </c>
      <c r="M558" s="7">
        <v>576.0904287221</v>
      </c>
      <c r="N558" s="7">
        <v>583.45593750319995</v>
      </c>
      <c r="O558" s="7">
        <v>585.56905575120004</v>
      </c>
      <c r="P558" s="7">
        <v>576.0904287221</v>
      </c>
      <c r="Q558">
        <v>1</v>
      </c>
      <c r="R558">
        <v>0</v>
      </c>
      <c r="S558" s="11">
        <v>45790.666666666664</v>
      </c>
      <c r="T558">
        <v>1952</v>
      </c>
    </row>
    <row r="559" spans="1:20">
      <c r="A559" s="11">
        <v>45790.520833333336</v>
      </c>
      <c r="B559" s="11">
        <v>45790.541666666664</v>
      </c>
      <c r="C559" s="10">
        <v>45790</v>
      </c>
      <c r="D559" s="7">
        <v>584.64080000000001</v>
      </c>
      <c r="E559" s="7">
        <v>1748676</v>
      </c>
      <c r="F559" s="7">
        <v>1748676</v>
      </c>
      <c r="G559" s="7">
        <v>21955213</v>
      </c>
      <c r="H559" s="7">
        <v>581.98109999999997</v>
      </c>
      <c r="I559" s="7">
        <v>579.66409999999996</v>
      </c>
      <c r="J559" s="7">
        <v>14</v>
      </c>
      <c r="K559" s="7">
        <v>6.1524845999999999E-3</v>
      </c>
      <c r="L559" s="7">
        <v>585.56172974310005</v>
      </c>
      <c r="M559" s="7">
        <v>576.09772556370001</v>
      </c>
      <c r="N559" s="7">
        <v>583.55030874030001</v>
      </c>
      <c r="O559" s="7">
        <v>585.56172974310005</v>
      </c>
      <c r="P559" s="7">
        <v>576.09772556370001</v>
      </c>
      <c r="Q559">
        <v>1</v>
      </c>
      <c r="R559">
        <v>0</v>
      </c>
      <c r="S559" s="11">
        <v>45790.666666666664</v>
      </c>
      <c r="T559">
        <v>1951</v>
      </c>
    </row>
    <row r="560" spans="1:20">
      <c r="A560" s="11">
        <v>45790.541666666664</v>
      </c>
      <c r="B560" s="11">
        <v>45790.5625</v>
      </c>
      <c r="C560" s="10">
        <v>45790</v>
      </c>
      <c r="D560" s="7">
        <v>584.99360000000001</v>
      </c>
      <c r="E560" s="7">
        <v>1770251</v>
      </c>
      <c r="F560" s="7">
        <v>1770251</v>
      </c>
      <c r="G560" s="7">
        <v>23725464</v>
      </c>
      <c r="H560" s="7">
        <v>581.98109999999997</v>
      </c>
      <c r="I560" s="7">
        <v>579.66409999999996</v>
      </c>
      <c r="J560" s="7">
        <v>14</v>
      </c>
      <c r="K560" s="7">
        <v>6.4689646E-3</v>
      </c>
      <c r="L560" s="7">
        <v>585.7459151214</v>
      </c>
      <c r="M560" s="7">
        <v>575.91427346950002</v>
      </c>
      <c r="N560" s="7">
        <v>583.6579984274</v>
      </c>
      <c r="O560" s="7">
        <v>585.7459151214</v>
      </c>
      <c r="P560" s="7">
        <v>575.91427346950002</v>
      </c>
      <c r="Q560">
        <v>1</v>
      </c>
      <c r="R560">
        <v>0</v>
      </c>
      <c r="S560" s="11">
        <v>45790.666666666664</v>
      </c>
      <c r="T560">
        <v>1950</v>
      </c>
    </row>
    <row r="561" spans="1:20">
      <c r="A561" s="11">
        <v>45790.5625</v>
      </c>
      <c r="B561" s="11">
        <v>45790.583333333336</v>
      </c>
      <c r="C561" s="10">
        <v>45790</v>
      </c>
      <c r="D561" s="7">
        <v>584.57619999999997</v>
      </c>
      <c r="E561" s="7">
        <v>2473766</v>
      </c>
      <c r="F561" s="7">
        <v>2473766</v>
      </c>
      <c r="G561" s="7">
        <v>26199230</v>
      </c>
      <c r="H561" s="7">
        <v>581.98109999999997</v>
      </c>
      <c r="I561" s="7">
        <v>579.66409999999996</v>
      </c>
      <c r="J561" s="7">
        <v>14</v>
      </c>
      <c r="K561" s="7">
        <v>5.9969456000000003E-3</v>
      </c>
      <c r="L561" s="7">
        <v>585.47120897800005</v>
      </c>
      <c r="M561" s="7">
        <v>576.18788594479997</v>
      </c>
      <c r="N561" s="7">
        <v>583.74469623619996</v>
      </c>
      <c r="O561" s="7">
        <v>585.47120897800005</v>
      </c>
      <c r="P561" s="7">
        <v>576.18788594479997</v>
      </c>
      <c r="Q561">
        <v>1</v>
      </c>
      <c r="R561">
        <v>0</v>
      </c>
      <c r="S561" s="11">
        <v>45790.666666666664</v>
      </c>
      <c r="T561">
        <v>1949</v>
      </c>
    </row>
    <row r="562" spans="1:20">
      <c r="A562" s="11">
        <v>45790.583333333336</v>
      </c>
      <c r="B562" s="11">
        <v>45790.604166666664</v>
      </c>
      <c r="C562" s="10">
        <v>45790</v>
      </c>
      <c r="D562" s="7">
        <v>584.56619999999998</v>
      </c>
      <c r="E562" s="7">
        <v>2191466</v>
      </c>
      <c r="F562" s="7">
        <v>2191466</v>
      </c>
      <c r="G562" s="7">
        <v>28390696</v>
      </c>
      <c r="H562" s="7">
        <v>581.98109999999997</v>
      </c>
      <c r="I562" s="7">
        <v>579.66409999999996</v>
      </c>
      <c r="J562" s="7">
        <v>14</v>
      </c>
      <c r="K562" s="7">
        <v>7.2870032999999999E-3</v>
      </c>
      <c r="L562" s="7">
        <v>586.22199820540004</v>
      </c>
      <c r="M562" s="7">
        <v>575.44008578130001</v>
      </c>
      <c r="N562" s="7">
        <v>583.80810776960004</v>
      </c>
      <c r="O562" s="7">
        <v>586.22199820540004</v>
      </c>
      <c r="P562" s="7">
        <v>575.44008578130001</v>
      </c>
      <c r="Q562">
        <v>1</v>
      </c>
      <c r="R562">
        <v>0</v>
      </c>
      <c r="S562" s="11">
        <v>45790.666666666664</v>
      </c>
      <c r="T562">
        <v>1948</v>
      </c>
    </row>
    <row r="563" spans="1:20">
      <c r="A563" s="11">
        <v>45790.604166666664</v>
      </c>
      <c r="B563" s="11">
        <v>45790.625</v>
      </c>
      <c r="C563" s="10">
        <v>45790</v>
      </c>
      <c r="D563" s="7">
        <v>585.22749999999996</v>
      </c>
      <c r="E563" s="7">
        <v>1981883</v>
      </c>
      <c r="F563" s="7">
        <v>1981883</v>
      </c>
      <c r="G563" s="7">
        <v>30372579</v>
      </c>
      <c r="H563" s="7">
        <v>581.98109999999997</v>
      </c>
      <c r="I563" s="7">
        <v>579.66409999999996</v>
      </c>
      <c r="J563" s="7">
        <v>14</v>
      </c>
      <c r="K563" s="7">
        <v>6.7126464000000002E-3</v>
      </c>
      <c r="L563" s="7">
        <v>585.88773334150005</v>
      </c>
      <c r="M563" s="7">
        <v>575.77301986019995</v>
      </c>
      <c r="N563" s="7">
        <v>583.90072648759997</v>
      </c>
      <c r="O563" s="7">
        <v>585.88773334150005</v>
      </c>
      <c r="P563" s="7">
        <v>575.77301986019995</v>
      </c>
      <c r="Q563">
        <v>1</v>
      </c>
      <c r="R563">
        <v>0</v>
      </c>
      <c r="S563" s="11">
        <v>45790.666666666664</v>
      </c>
      <c r="T563">
        <v>1947</v>
      </c>
    </row>
    <row r="564" spans="1:20">
      <c r="A564" s="11">
        <v>45790.625</v>
      </c>
      <c r="B564" s="11">
        <v>45790.645833333336</v>
      </c>
      <c r="C564" s="10">
        <v>45790</v>
      </c>
      <c r="D564" s="7">
        <v>585.15290000000005</v>
      </c>
      <c r="E564" s="7">
        <v>2294715</v>
      </c>
      <c r="F564" s="7">
        <v>2294715</v>
      </c>
      <c r="G564" s="7">
        <v>32667294</v>
      </c>
      <c r="H564" s="7">
        <v>581.98109999999997</v>
      </c>
      <c r="I564" s="7">
        <v>579.66409999999996</v>
      </c>
      <c r="J564" s="7">
        <v>14</v>
      </c>
      <c r="K564" s="7">
        <v>7.0071277E-3</v>
      </c>
      <c r="L564" s="7">
        <v>586.05911587009996</v>
      </c>
      <c r="M564" s="7">
        <v>575.60231964469995</v>
      </c>
      <c r="N564" s="7">
        <v>583.98868545180005</v>
      </c>
      <c r="O564" s="7">
        <v>586.05911587009996</v>
      </c>
      <c r="P564" s="7">
        <v>575.60231964469995</v>
      </c>
      <c r="Q564">
        <v>1</v>
      </c>
      <c r="R564">
        <v>0</v>
      </c>
      <c r="S564" s="11">
        <v>45790.666666666664</v>
      </c>
      <c r="T564">
        <v>1946</v>
      </c>
    </row>
    <row r="565" spans="1:20">
      <c r="A565" s="11">
        <v>45790.645833333336</v>
      </c>
      <c r="B565" s="11">
        <v>45790.666666666664</v>
      </c>
      <c r="C565" s="10">
        <v>45790</v>
      </c>
      <c r="D565" s="7">
        <v>583.49239999999998</v>
      </c>
      <c r="E565" s="7">
        <v>8730256</v>
      </c>
      <c r="F565" s="7">
        <v>8730256</v>
      </c>
      <c r="G565" s="7">
        <v>41397550</v>
      </c>
      <c r="H565" s="7">
        <v>581.98109999999997</v>
      </c>
      <c r="I565" s="7">
        <v>579.66409999999996</v>
      </c>
      <c r="J565" s="7">
        <v>14</v>
      </c>
      <c r="K565" s="7">
        <v>6.8738328999999997E-3</v>
      </c>
      <c r="L565" s="7">
        <v>585.98154084270004</v>
      </c>
      <c r="M565" s="7">
        <v>575.67958582819995</v>
      </c>
      <c r="N565" s="7">
        <v>583.88402469180005</v>
      </c>
      <c r="O565" s="7">
        <v>585.98154084270004</v>
      </c>
      <c r="P565" s="7">
        <v>575.67958582819995</v>
      </c>
      <c r="Q565">
        <v>1</v>
      </c>
      <c r="R565">
        <v>1</v>
      </c>
      <c r="S565" s="11">
        <v>45790.666666666664</v>
      </c>
      <c r="T565">
        <v>1945</v>
      </c>
    </row>
    <row r="566" spans="1:20">
      <c r="A566" s="11">
        <v>45791.395833333336</v>
      </c>
      <c r="B566" s="11">
        <v>45791.416666666664</v>
      </c>
      <c r="C566" s="10">
        <v>45791</v>
      </c>
      <c r="D566" s="7">
        <v>584.1653</v>
      </c>
      <c r="E566" s="7">
        <v>5453484</v>
      </c>
      <c r="F566" s="7">
        <v>5453484</v>
      </c>
      <c r="G566" s="7">
        <v>5453484</v>
      </c>
      <c r="H566" s="7">
        <v>584.1653</v>
      </c>
      <c r="I566" s="7">
        <v>583.49220000000003</v>
      </c>
      <c r="J566" s="7">
        <v>14</v>
      </c>
      <c r="K566" s="7">
        <v>0</v>
      </c>
      <c r="L566" s="7">
        <v>584.1653</v>
      </c>
      <c r="M566" s="7">
        <v>583.49220000000003</v>
      </c>
      <c r="N566" s="7">
        <v>584.1653</v>
      </c>
      <c r="O566" s="7">
        <v>584.1653</v>
      </c>
      <c r="P566" s="7">
        <v>583.49220000000003</v>
      </c>
      <c r="Q566">
        <v>1</v>
      </c>
      <c r="R566">
        <v>0</v>
      </c>
      <c r="S566" s="11">
        <v>45791.666666666664</v>
      </c>
      <c r="T566">
        <v>1943</v>
      </c>
    </row>
    <row r="567" spans="1:20">
      <c r="A567" s="11">
        <v>45791.416666666664</v>
      </c>
      <c r="B567" s="11">
        <v>45791.4375</v>
      </c>
      <c r="C567" s="10">
        <v>45791</v>
      </c>
      <c r="D567" s="7">
        <v>584.19830000000002</v>
      </c>
      <c r="E567" s="7">
        <v>3417684</v>
      </c>
      <c r="F567" s="7">
        <v>3417684</v>
      </c>
      <c r="G567" s="7">
        <v>8871168</v>
      </c>
      <c r="H567" s="7">
        <v>584.1653</v>
      </c>
      <c r="I567" s="7">
        <v>583.49220000000003</v>
      </c>
      <c r="J567" s="7">
        <v>14</v>
      </c>
      <c r="K567" s="7">
        <v>2.9316778E-3</v>
      </c>
      <c r="L567" s="7">
        <v>585.87788444310002</v>
      </c>
      <c r="M567" s="7">
        <v>581.78158886920005</v>
      </c>
      <c r="N567" s="7">
        <v>584.17801349750005</v>
      </c>
      <c r="O567" s="7">
        <v>585.87788444310002</v>
      </c>
      <c r="P567" s="7">
        <v>581.78158886920005</v>
      </c>
      <c r="Q567">
        <v>1</v>
      </c>
      <c r="R567">
        <v>0</v>
      </c>
      <c r="S567" s="11">
        <v>45791.666666666664</v>
      </c>
      <c r="T567">
        <v>1942</v>
      </c>
    </row>
    <row r="568" spans="1:20">
      <c r="A568" s="11">
        <v>45791.4375</v>
      </c>
      <c r="B568" s="11">
        <v>45791.458333333336</v>
      </c>
      <c r="C568" s="10">
        <v>45791</v>
      </c>
      <c r="D568" s="7">
        <v>584.19830000000002</v>
      </c>
      <c r="E568" s="7">
        <v>2343556</v>
      </c>
      <c r="F568" s="7">
        <v>2343556</v>
      </c>
      <c r="G568" s="7">
        <v>11214724</v>
      </c>
      <c r="H568" s="7">
        <v>584.1653</v>
      </c>
      <c r="I568" s="7">
        <v>583.49220000000003</v>
      </c>
      <c r="J568" s="7">
        <v>14</v>
      </c>
      <c r="K568" s="7">
        <v>3.7953410999999999E-3</v>
      </c>
      <c r="L568" s="7">
        <v>586.38240657899996</v>
      </c>
      <c r="M568" s="7">
        <v>581.27764806510004</v>
      </c>
      <c r="N568" s="7">
        <v>584.18225279529997</v>
      </c>
      <c r="O568" s="7">
        <v>586.38240657899996</v>
      </c>
      <c r="P568" s="7">
        <v>581.27764806510004</v>
      </c>
      <c r="Q568">
        <v>1</v>
      </c>
      <c r="R568">
        <v>0</v>
      </c>
      <c r="S568" s="11">
        <v>45791.666666666664</v>
      </c>
      <c r="T568">
        <v>1941</v>
      </c>
    </row>
    <row r="569" spans="1:20">
      <c r="A569" s="11">
        <v>45791.458333333336</v>
      </c>
      <c r="B569" s="11">
        <v>45791.479166666664</v>
      </c>
      <c r="C569" s="10">
        <v>45791</v>
      </c>
      <c r="D569" s="7">
        <v>584.51649999999995</v>
      </c>
      <c r="E569" s="7">
        <v>3206015</v>
      </c>
      <c r="F569" s="7">
        <v>3206015</v>
      </c>
      <c r="G569" s="7">
        <v>14420739</v>
      </c>
      <c r="H569" s="7">
        <v>584.1653</v>
      </c>
      <c r="I569" s="7">
        <v>583.49220000000003</v>
      </c>
      <c r="J569" s="7">
        <v>14</v>
      </c>
      <c r="K569" s="7">
        <v>4.4157507999999998E-3</v>
      </c>
      <c r="L569" s="7">
        <v>586.74482836669995</v>
      </c>
      <c r="M569" s="7">
        <v>580.91564387510005</v>
      </c>
      <c r="N569" s="7">
        <v>584.25656254820001</v>
      </c>
      <c r="O569" s="7">
        <v>586.74482836669995</v>
      </c>
      <c r="P569" s="7">
        <v>580.91564387510005</v>
      </c>
      <c r="Q569">
        <v>1</v>
      </c>
      <c r="R569">
        <v>0</v>
      </c>
      <c r="S569" s="11">
        <v>45791.666666666664</v>
      </c>
      <c r="T569">
        <v>1940</v>
      </c>
    </row>
    <row r="570" spans="1:20">
      <c r="A570" s="11">
        <v>45791.479166666664</v>
      </c>
      <c r="B570" s="11">
        <v>45791.5</v>
      </c>
      <c r="C570" s="10">
        <v>45791</v>
      </c>
      <c r="D570" s="7">
        <v>584.60609999999997</v>
      </c>
      <c r="E570" s="7">
        <v>2028692</v>
      </c>
      <c r="F570" s="7">
        <v>2028692</v>
      </c>
      <c r="G570" s="7">
        <v>16449431</v>
      </c>
      <c r="H570" s="7">
        <v>584.1653</v>
      </c>
      <c r="I570" s="7">
        <v>583.49220000000003</v>
      </c>
      <c r="J570" s="7">
        <v>14</v>
      </c>
      <c r="K570" s="7">
        <v>4.3530836999999996E-3</v>
      </c>
      <c r="L570" s="7">
        <v>586.70822044270005</v>
      </c>
      <c r="M570" s="7">
        <v>580.95220961799998</v>
      </c>
      <c r="N570" s="7">
        <v>584.29967065519998</v>
      </c>
      <c r="O570" s="7">
        <v>586.70822044270005</v>
      </c>
      <c r="P570" s="7">
        <v>580.95220961799998</v>
      </c>
      <c r="Q570">
        <v>1</v>
      </c>
      <c r="R570">
        <v>0</v>
      </c>
      <c r="S570" s="11">
        <v>45791.666666666664</v>
      </c>
      <c r="T570">
        <v>1939</v>
      </c>
    </row>
    <row r="571" spans="1:20">
      <c r="A571" s="11">
        <v>45791.5</v>
      </c>
      <c r="B571" s="11">
        <v>45791.520833333336</v>
      </c>
      <c r="C571" s="10">
        <v>45791</v>
      </c>
      <c r="D571" s="7">
        <v>584.58609999999999</v>
      </c>
      <c r="E571" s="7">
        <v>1399282</v>
      </c>
      <c r="F571" s="7">
        <v>1399282</v>
      </c>
      <c r="G571" s="7">
        <v>17848713</v>
      </c>
      <c r="H571" s="7">
        <v>584.1653</v>
      </c>
      <c r="I571" s="7">
        <v>583.49220000000003</v>
      </c>
      <c r="J571" s="7">
        <v>14</v>
      </c>
      <c r="K571" s="7">
        <v>5.419124E-3</v>
      </c>
      <c r="L571" s="7">
        <v>587.33096421519997</v>
      </c>
      <c r="M571" s="7">
        <v>580.33018339709997</v>
      </c>
      <c r="N571" s="7">
        <v>584.32212579960003</v>
      </c>
      <c r="O571" s="7">
        <v>587.33096421519997</v>
      </c>
      <c r="P571" s="7">
        <v>580.33018339709997</v>
      </c>
      <c r="Q571">
        <v>1</v>
      </c>
      <c r="R571">
        <v>0</v>
      </c>
      <c r="S571" s="11">
        <v>45791.666666666664</v>
      </c>
      <c r="T571">
        <v>1938</v>
      </c>
    </row>
    <row r="572" spans="1:20">
      <c r="A572" s="11">
        <v>45791.520833333336</v>
      </c>
      <c r="B572" s="11">
        <v>45791.541666666664</v>
      </c>
      <c r="C572" s="10">
        <v>45791</v>
      </c>
      <c r="D572" s="7">
        <v>584.11879999999996</v>
      </c>
      <c r="E572" s="7">
        <v>1834110</v>
      </c>
      <c r="F572" s="7">
        <v>1834110</v>
      </c>
      <c r="G572" s="7">
        <v>19682823</v>
      </c>
      <c r="H572" s="7">
        <v>584.1653</v>
      </c>
      <c r="I572" s="7">
        <v>583.49220000000003</v>
      </c>
      <c r="J572" s="7">
        <v>14</v>
      </c>
      <c r="K572" s="7">
        <v>5.7214963000000001E-3</v>
      </c>
      <c r="L572" s="7">
        <v>587.50759960829998</v>
      </c>
      <c r="M572" s="7">
        <v>580.15375153089997</v>
      </c>
      <c r="N572" s="7">
        <v>584.3031792347</v>
      </c>
      <c r="O572" s="7">
        <v>587.50759960829998</v>
      </c>
      <c r="P572" s="7">
        <v>580.15375153089997</v>
      </c>
      <c r="Q572">
        <v>1</v>
      </c>
      <c r="R572">
        <v>0</v>
      </c>
      <c r="S572" s="11">
        <v>45791.666666666664</v>
      </c>
      <c r="T572">
        <v>1937</v>
      </c>
    </row>
    <row r="573" spans="1:20">
      <c r="A573" s="11">
        <v>45791.541666666664</v>
      </c>
      <c r="B573" s="11">
        <v>45791.5625</v>
      </c>
      <c r="C573" s="10">
        <v>45791</v>
      </c>
      <c r="D573" s="7">
        <v>583.01400000000001</v>
      </c>
      <c r="E573" s="7">
        <v>3075431</v>
      </c>
      <c r="F573" s="7">
        <v>3075431</v>
      </c>
      <c r="G573" s="7">
        <v>22758254</v>
      </c>
      <c r="H573" s="7">
        <v>584.1653</v>
      </c>
      <c r="I573" s="7">
        <v>583.49220000000003</v>
      </c>
      <c r="J573" s="7">
        <v>14</v>
      </c>
      <c r="K573" s="7">
        <v>6.0904653999999999E-3</v>
      </c>
      <c r="L573" s="7">
        <v>587.72313855059997</v>
      </c>
      <c r="M573" s="7">
        <v>579.93846094169999</v>
      </c>
      <c r="N573" s="7">
        <v>584.12896631909996</v>
      </c>
      <c r="O573" s="7">
        <v>587.72313855059997</v>
      </c>
      <c r="P573" s="7">
        <v>579.93846094169999</v>
      </c>
      <c r="Q573">
        <v>1</v>
      </c>
      <c r="R573">
        <v>0</v>
      </c>
      <c r="S573" s="11">
        <v>45791.666666666664</v>
      </c>
      <c r="T573">
        <v>1936</v>
      </c>
    </row>
    <row r="574" spans="1:20">
      <c r="A574" s="11">
        <v>45791.5625</v>
      </c>
      <c r="B574" s="11">
        <v>45791.583333333336</v>
      </c>
      <c r="C574" s="10">
        <v>45791</v>
      </c>
      <c r="D574" s="7">
        <v>583.9896</v>
      </c>
      <c r="E574" s="7">
        <v>1946087</v>
      </c>
      <c r="F574" s="7">
        <v>1946087</v>
      </c>
      <c r="G574" s="7">
        <v>24704341</v>
      </c>
      <c r="H574" s="7">
        <v>584.1653</v>
      </c>
      <c r="I574" s="7">
        <v>583.49220000000003</v>
      </c>
      <c r="J574" s="7">
        <v>14</v>
      </c>
      <c r="K574" s="7">
        <v>5.5475198000000002E-3</v>
      </c>
      <c r="L574" s="7">
        <v>587.40596855410001</v>
      </c>
      <c r="M574" s="7">
        <v>580.25526548139999</v>
      </c>
      <c r="N574" s="7">
        <v>584.11798772300006</v>
      </c>
      <c r="O574" s="7">
        <v>587.40596855410001</v>
      </c>
      <c r="P574" s="7">
        <v>580.25526548139999</v>
      </c>
      <c r="Q574">
        <v>1</v>
      </c>
      <c r="R574">
        <v>0</v>
      </c>
      <c r="S574" s="11">
        <v>45791.666666666664</v>
      </c>
      <c r="T574">
        <v>1935</v>
      </c>
    </row>
    <row r="575" spans="1:20">
      <c r="A575" s="11">
        <v>45791.583333333336</v>
      </c>
      <c r="B575" s="11">
        <v>45791.604166666664</v>
      </c>
      <c r="C575" s="10">
        <v>45791</v>
      </c>
      <c r="D575" s="7">
        <v>583.50229999999999</v>
      </c>
      <c r="E575" s="7">
        <v>2013826</v>
      </c>
      <c r="F575" s="7">
        <v>2013826</v>
      </c>
      <c r="G575" s="7">
        <v>26718167</v>
      </c>
      <c r="H575" s="7">
        <v>584.1653</v>
      </c>
      <c r="I575" s="7">
        <v>583.49220000000003</v>
      </c>
      <c r="J575" s="7">
        <v>14</v>
      </c>
      <c r="K575" s="7">
        <v>6.6223823999999997E-3</v>
      </c>
      <c r="L575" s="7">
        <v>588.03386599179998</v>
      </c>
      <c r="M575" s="7">
        <v>579.62809153379999</v>
      </c>
      <c r="N575" s="7">
        <v>584.07158154759998</v>
      </c>
      <c r="O575" s="7">
        <v>588.03386599179998</v>
      </c>
      <c r="P575" s="7">
        <v>579.62809153379999</v>
      </c>
      <c r="Q575">
        <v>1</v>
      </c>
      <c r="R575">
        <v>0</v>
      </c>
      <c r="S575" s="11">
        <v>45791.666666666664</v>
      </c>
      <c r="T575">
        <v>1934</v>
      </c>
    </row>
    <row r="576" spans="1:20">
      <c r="A576" s="11">
        <v>45791.604166666664</v>
      </c>
      <c r="B576" s="11">
        <v>45791.625</v>
      </c>
      <c r="C576" s="10">
        <v>45791</v>
      </c>
      <c r="D576" s="7">
        <v>584.29780000000005</v>
      </c>
      <c r="E576" s="7">
        <v>2647781</v>
      </c>
      <c r="F576" s="7">
        <v>2647781</v>
      </c>
      <c r="G576" s="7">
        <v>29365948</v>
      </c>
      <c r="H576" s="7">
        <v>584.1653</v>
      </c>
      <c r="I576" s="7">
        <v>583.49220000000003</v>
      </c>
      <c r="J576" s="7">
        <v>14</v>
      </c>
      <c r="K576" s="7">
        <v>6.0832454999999999E-3</v>
      </c>
      <c r="L576" s="7">
        <v>587.71892095119995</v>
      </c>
      <c r="M576" s="7">
        <v>579.94267368140004</v>
      </c>
      <c r="N576" s="7">
        <v>584.09197853670003</v>
      </c>
      <c r="O576" s="7">
        <v>587.71892095119995</v>
      </c>
      <c r="P576" s="7">
        <v>579.94267368140004</v>
      </c>
      <c r="Q576">
        <v>1</v>
      </c>
      <c r="R576">
        <v>0</v>
      </c>
      <c r="S576" s="11">
        <v>45791.666666666664</v>
      </c>
      <c r="T576">
        <v>1933</v>
      </c>
    </row>
    <row r="577" spans="1:20">
      <c r="A577" s="11">
        <v>45791.625</v>
      </c>
      <c r="B577" s="11">
        <v>45791.645833333336</v>
      </c>
      <c r="C577" s="10">
        <v>45791</v>
      </c>
      <c r="D577" s="7">
        <v>583.65150000000006</v>
      </c>
      <c r="E577" s="7">
        <v>2902044</v>
      </c>
      <c r="F577" s="7">
        <v>2902044</v>
      </c>
      <c r="G577" s="7">
        <v>32267992</v>
      </c>
      <c r="H577" s="7">
        <v>584.1653</v>
      </c>
      <c r="I577" s="7">
        <v>583.49220000000003</v>
      </c>
      <c r="J577" s="7">
        <v>14</v>
      </c>
      <c r="K577" s="7">
        <v>6.1467346000000003E-3</v>
      </c>
      <c r="L577" s="7">
        <v>587.75600904270004</v>
      </c>
      <c r="M577" s="7">
        <v>579.90562832429998</v>
      </c>
      <c r="N577" s="7">
        <v>584.05236379730002</v>
      </c>
      <c r="O577" s="7">
        <v>587.75600904270004</v>
      </c>
      <c r="P577" s="7">
        <v>579.90562832429998</v>
      </c>
      <c r="Q577">
        <v>1</v>
      </c>
      <c r="R577">
        <v>0</v>
      </c>
      <c r="S577" s="11">
        <v>45791.666666666664</v>
      </c>
      <c r="T577">
        <v>1932</v>
      </c>
    </row>
    <row r="578" spans="1:20">
      <c r="A578" s="11">
        <v>45791.645833333336</v>
      </c>
      <c r="B578" s="11">
        <v>45791.666666666664</v>
      </c>
      <c r="C578" s="10">
        <v>45791</v>
      </c>
      <c r="D578" s="7">
        <v>584.23820000000001</v>
      </c>
      <c r="E578" s="7">
        <v>11112480</v>
      </c>
      <c r="F578" s="7">
        <v>11112480</v>
      </c>
      <c r="G578" s="7">
        <v>43380472</v>
      </c>
      <c r="H578" s="7">
        <v>584.1653</v>
      </c>
      <c r="I578" s="7">
        <v>583.49220000000003</v>
      </c>
      <c r="J578" s="7">
        <v>14</v>
      </c>
      <c r="K578" s="7">
        <v>5.9146509999999999E-3</v>
      </c>
      <c r="L578" s="7">
        <v>587.62043389350004</v>
      </c>
      <c r="M578" s="7">
        <v>580.04104725809998</v>
      </c>
      <c r="N578" s="7">
        <v>584.09996819139997</v>
      </c>
      <c r="O578" s="7">
        <v>587.62043389350004</v>
      </c>
      <c r="P578" s="7">
        <v>580.04104725809998</v>
      </c>
      <c r="Q578">
        <v>1</v>
      </c>
      <c r="R578">
        <v>1</v>
      </c>
      <c r="S578" s="11">
        <v>45791.666666666664</v>
      </c>
      <c r="T578">
        <v>1931</v>
      </c>
    </row>
    <row r="579" spans="1:20">
      <c r="A579" s="11">
        <v>45792.395833333336</v>
      </c>
      <c r="B579" s="11">
        <v>45792.416666666664</v>
      </c>
      <c r="C579" s="10">
        <v>45792</v>
      </c>
      <c r="D579" s="7">
        <v>582.77650000000006</v>
      </c>
      <c r="E579" s="7">
        <v>4980888</v>
      </c>
      <c r="F579" s="7">
        <v>4980888</v>
      </c>
      <c r="G579" s="7">
        <v>4980888</v>
      </c>
      <c r="H579" s="7">
        <v>582.77650000000006</v>
      </c>
      <c r="I579" s="7">
        <v>584.23789999999997</v>
      </c>
      <c r="J579" s="7">
        <v>14</v>
      </c>
      <c r="K579" s="7">
        <v>0</v>
      </c>
      <c r="L579" s="7">
        <v>584.23789999999997</v>
      </c>
      <c r="M579" s="7">
        <v>582.77650000000006</v>
      </c>
      <c r="N579" s="7">
        <v>582.77650000000006</v>
      </c>
      <c r="O579" s="7">
        <v>584.23789999999997</v>
      </c>
      <c r="P579" s="7">
        <v>582.77650000000006</v>
      </c>
      <c r="Q579">
        <v>1</v>
      </c>
      <c r="R579">
        <v>0</v>
      </c>
      <c r="S579" s="11">
        <v>45792.666666666664</v>
      </c>
      <c r="T579">
        <v>1929</v>
      </c>
    </row>
    <row r="580" spans="1:20">
      <c r="A580" s="11">
        <v>45792.416666666664</v>
      </c>
      <c r="B580" s="11">
        <v>45792.4375</v>
      </c>
      <c r="C580" s="10">
        <v>45792</v>
      </c>
      <c r="D580" s="7">
        <v>582.51790000000005</v>
      </c>
      <c r="E580" s="7">
        <v>3636643</v>
      </c>
      <c r="F580" s="7">
        <v>3636643</v>
      </c>
      <c r="G580" s="7">
        <v>8617531</v>
      </c>
      <c r="H580" s="7">
        <v>582.77650000000006</v>
      </c>
      <c r="I580" s="7">
        <v>584.23789999999997</v>
      </c>
      <c r="J580" s="7">
        <v>14</v>
      </c>
      <c r="K580" s="7">
        <v>2.5844831999999999E-3</v>
      </c>
      <c r="L580" s="7">
        <v>585.74785305180001</v>
      </c>
      <c r="M580" s="7">
        <v>581.27032391199998</v>
      </c>
      <c r="N580" s="7">
        <v>582.66736945210005</v>
      </c>
      <c r="O580" s="7">
        <v>585.74785305180001</v>
      </c>
      <c r="P580" s="7">
        <v>581.27032391199998</v>
      </c>
      <c r="Q580">
        <v>1</v>
      </c>
      <c r="R580">
        <v>0</v>
      </c>
      <c r="S580" s="11">
        <v>45792.666666666664</v>
      </c>
      <c r="T580">
        <v>1928</v>
      </c>
    </row>
    <row r="581" spans="1:20">
      <c r="A581" s="11">
        <v>45792.4375</v>
      </c>
      <c r="B581" s="11">
        <v>45792.458333333336</v>
      </c>
      <c r="C581" s="10">
        <v>45792</v>
      </c>
      <c r="D581" s="7">
        <v>583.25369999999998</v>
      </c>
      <c r="E581" s="7">
        <v>2939006</v>
      </c>
      <c r="F581" s="7">
        <v>2939006</v>
      </c>
      <c r="G581" s="7">
        <v>11556537</v>
      </c>
      <c r="H581" s="7">
        <v>582.77650000000006</v>
      </c>
      <c r="I581" s="7">
        <v>584.23789999999997</v>
      </c>
      <c r="J581" s="7">
        <v>14</v>
      </c>
      <c r="K581" s="7">
        <v>3.4006608000000001E-3</v>
      </c>
      <c r="L581" s="7">
        <v>586.22469489820003</v>
      </c>
      <c r="M581" s="7">
        <v>580.79467482739994</v>
      </c>
      <c r="N581" s="7">
        <v>582.81648237390004</v>
      </c>
      <c r="O581" s="7">
        <v>586.22469489820003</v>
      </c>
      <c r="P581" s="7">
        <v>580.79467482739994</v>
      </c>
      <c r="Q581">
        <v>1</v>
      </c>
      <c r="R581">
        <v>0</v>
      </c>
      <c r="S581" s="11">
        <v>45792.666666666664</v>
      </c>
      <c r="T581">
        <v>1927</v>
      </c>
    </row>
    <row r="582" spans="1:20">
      <c r="A582" s="11">
        <v>45792.458333333336</v>
      </c>
      <c r="B582" s="11">
        <v>45792.479166666664</v>
      </c>
      <c r="C582" s="10">
        <v>45792</v>
      </c>
      <c r="D582" s="7">
        <v>585.00369999999998</v>
      </c>
      <c r="E582" s="7">
        <v>4287015</v>
      </c>
      <c r="F582" s="7">
        <v>4287015</v>
      </c>
      <c r="G582" s="7">
        <v>15843552</v>
      </c>
      <c r="H582" s="7">
        <v>582.77650000000006</v>
      </c>
      <c r="I582" s="7">
        <v>584.23789999999997</v>
      </c>
      <c r="J582" s="7">
        <v>14</v>
      </c>
      <c r="K582" s="7">
        <v>4.0678880000000004E-3</v>
      </c>
      <c r="L582" s="7">
        <v>586.61451436239997</v>
      </c>
      <c r="M582" s="7">
        <v>580.40583044920004</v>
      </c>
      <c r="N582" s="7">
        <v>583.40830892719998</v>
      </c>
      <c r="O582" s="7">
        <v>586.61451436239997</v>
      </c>
      <c r="P582" s="7">
        <v>580.40583044920004</v>
      </c>
      <c r="Q582">
        <v>1</v>
      </c>
      <c r="R582">
        <v>0</v>
      </c>
      <c r="S582" s="11">
        <v>45792.666666666664</v>
      </c>
      <c r="T582">
        <v>1926</v>
      </c>
    </row>
    <row r="583" spans="1:20">
      <c r="A583" s="11">
        <v>45792.479166666664</v>
      </c>
      <c r="B583" s="11">
        <v>45792.5</v>
      </c>
      <c r="C583" s="10">
        <v>45792</v>
      </c>
      <c r="D583" s="7">
        <v>585.71960000000001</v>
      </c>
      <c r="E583" s="7">
        <v>2441785</v>
      </c>
      <c r="F583" s="7">
        <v>2441785</v>
      </c>
      <c r="G583" s="7">
        <v>18285337</v>
      </c>
      <c r="H583" s="7">
        <v>582.77650000000006</v>
      </c>
      <c r="I583" s="7">
        <v>584.23789999999997</v>
      </c>
      <c r="J583" s="7">
        <v>14</v>
      </c>
      <c r="K583" s="7">
        <v>3.9632445999999997E-3</v>
      </c>
      <c r="L583" s="7">
        <v>586.55337772860003</v>
      </c>
      <c r="M583" s="7">
        <v>580.46681415709998</v>
      </c>
      <c r="N583" s="7">
        <v>583.71695381960001</v>
      </c>
      <c r="O583" s="7">
        <v>586.55337772860003</v>
      </c>
      <c r="P583" s="7">
        <v>580.46681415709998</v>
      </c>
      <c r="Q583">
        <v>1</v>
      </c>
      <c r="R583">
        <v>0</v>
      </c>
      <c r="S583" s="11">
        <v>45792.666666666664</v>
      </c>
      <c r="T583">
        <v>1925</v>
      </c>
    </row>
    <row r="584" spans="1:20">
      <c r="A584" s="11">
        <v>45792.5</v>
      </c>
      <c r="B584" s="11">
        <v>45792.520833333336</v>
      </c>
      <c r="C584" s="10">
        <v>45792</v>
      </c>
      <c r="D584" s="7">
        <v>585.78920000000005</v>
      </c>
      <c r="E584" s="7">
        <v>2636822</v>
      </c>
      <c r="F584" s="7">
        <v>2636822</v>
      </c>
      <c r="G584" s="7">
        <v>20922159</v>
      </c>
      <c r="H584" s="7">
        <v>582.77650000000006</v>
      </c>
      <c r="I584" s="7">
        <v>584.23789999999997</v>
      </c>
      <c r="J584" s="7">
        <v>14</v>
      </c>
      <c r="K584" s="7">
        <v>4.8123545000000002E-3</v>
      </c>
      <c r="L584" s="7">
        <v>587.04945989320004</v>
      </c>
      <c r="M584" s="7">
        <v>579.97197288170003</v>
      </c>
      <c r="N584" s="7">
        <v>583.9781192337</v>
      </c>
      <c r="O584" s="7">
        <v>587.04945989320004</v>
      </c>
      <c r="P584" s="7">
        <v>579.97197288170003</v>
      </c>
      <c r="Q584">
        <v>1</v>
      </c>
      <c r="R584">
        <v>0</v>
      </c>
      <c r="S584" s="11">
        <v>45792.666666666664</v>
      </c>
      <c r="T584">
        <v>1924</v>
      </c>
    </row>
    <row r="585" spans="1:20">
      <c r="A585" s="11">
        <v>45792.520833333336</v>
      </c>
      <c r="B585" s="11">
        <v>45792.541666666664</v>
      </c>
      <c r="C585" s="10">
        <v>45792</v>
      </c>
      <c r="D585" s="7">
        <v>586.82320000000004</v>
      </c>
      <c r="E585" s="7">
        <v>2025010</v>
      </c>
      <c r="F585" s="7">
        <v>2025010</v>
      </c>
      <c r="G585" s="7">
        <v>22947169</v>
      </c>
      <c r="H585" s="7">
        <v>582.77650000000006</v>
      </c>
      <c r="I585" s="7">
        <v>584.23789999999997</v>
      </c>
      <c r="J585" s="7">
        <v>14</v>
      </c>
      <c r="K585" s="7">
        <v>4.9365559000000003E-3</v>
      </c>
      <c r="L585" s="7">
        <v>587.12202302349999</v>
      </c>
      <c r="M585" s="7">
        <v>579.89959125919995</v>
      </c>
      <c r="N585" s="7">
        <v>584.22918798219996</v>
      </c>
      <c r="O585" s="7">
        <v>587.12202302349999</v>
      </c>
      <c r="P585" s="7">
        <v>579.89959125919995</v>
      </c>
      <c r="Q585">
        <v>1</v>
      </c>
      <c r="R585">
        <v>0</v>
      </c>
      <c r="S585" s="11">
        <v>45792.666666666664</v>
      </c>
      <c r="T585">
        <v>1923</v>
      </c>
    </row>
    <row r="586" spans="1:20">
      <c r="A586" s="11">
        <v>45792.541666666664</v>
      </c>
      <c r="B586" s="11">
        <v>45792.5625</v>
      </c>
      <c r="C586" s="10">
        <v>45792</v>
      </c>
      <c r="D586" s="7">
        <v>587.30050000000006</v>
      </c>
      <c r="E586" s="7">
        <v>2450179</v>
      </c>
      <c r="F586" s="7">
        <v>2450179</v>
      </c>
      <c r="G586" s="7">
        <v>25397348</v>
      </c>
      <c r="H586" s="7">
        <v>582.77650000000006</v>
      </c>
      <c r="I586" s="7">
        <v>584.23789999999997</v>
      </c>
      <c r="J586" s="7">
        <v>14</v>
      </c>
      <c r="K586" s="7">
        <v>5.5039060999999998E-3</v>
      </c>
      <c r="L586" s="7">
        <v>587.45349053500001</v>
      </c>
      <c r="M586" s="7">
        <v>579.56895287340001</v>
      </c>
      <c r="N586" s="7">
        <v>584.52548916329999</v>
      </c>
      <c r="O586" s="7">
        <v>587.45349053500001</v>
      </c>
      <c r="P586" s="7">
        <v>579.56895287340001</v>
      </c>
      <c r="Q586">
        <v>1</v>
      </c>
      <c r="R586">
        <v>0</v>
      </c>
      <c r="S586" s="11">
        <v>45792.666666666664</v>
      </c>
      <c r="T586">
        <v>1922</v>
      </c>
    </row>
    <row r="587" spans="1:20">
      <c r="A587" s="11">
        <v>45792.5625</v>
      </c>
      <c r="B587" s="11">
        <v>45792.583333333336</v>
      </c>
      <c r="C587" s="10">
        <v>45792</v>
      </c>
      <c r="D587" s="7">
        <v>586.47529999999995</v>
      </c>
      <c r="E587" s="7">
        <v>2306081</v>
      </c>
      <c r="F587" s="7">
        <v>2306081</v>
      </c>
      <c r="G587" s="7">
        <v>27703429</v>
      </c>
      <c r="H587" s="7">
        <v>582.77650000000006</v>
      </c>
      <c r="I587" s="7">
        <v>584.23789999999997</v>
      </c>
      <c r="J587" s="7">
        <v>14</v>
      </c>
      <c r="K587" s="7">
        <v>4.8035316E-3</v>
      </c>
      <c r="L587" s="7">
        <v>587.04430521819995</v>
      </c>
      <c r="M587" s="7">
        <v>579.97711466290002</v>
      </c>
      <c r="N587" s="7">
        <v>584.68779476539999</v>
      </c>
      <c r="O587" s="7">
        <v>587.04430521819995</v>
      </c>
      <c r="P587" s="7">
        <v>579.97711466290002</v>
      </c>
      <c r="Q587">
        <v>1</v>
      </c>
      <c r="R587">
        <v>0</v>
      </c>
      <c r="S587" s="11">
        <v>45792.666666666664</v>
      </c>
      <c r="T587">
        <v>1921</v>
      </c>
    </row>
    <row r="588" spans="1:20">
      <c r="A588" s="11">
        <v>45792.583333333336</v>
      </c>
      <c r="B588" s="11">
        <v>45792.604166666664</v>
      </c>
      <c r="C588" s="10">
        <v>45792</v>
      </c>
      <c r="D588" s="7">
        <v>586.09749999999997</v>
      </c>
      <c r="E588" s="7">
        <v>2845340</v>
      </c>
      <c r="F588" s="7">
        <v>2845340</v>
      </c>
      <c r="G588" s="7">
        <v>30548769</v>
      </c>
      <c r="H588" s="7">
        <v>582.77650000000006</v>
      </c>
      <c r="I588" s="7">
        <v>584.23789999999997</v>
      </c>
      <c r="J588" s="7">
        <v>14</v>
      </c>
      <c r="K588" s="7">
        <v>5.9088559999999997E-3</v>
      </c>
      <c r="L588" s="7">
        <v>587.69007759919998</v>
      </c>
      <c r="M588" s="7">
        <v>579.33295760290002</v>
      </c>
      <c r="N588" s="7">
        <v>584.81909598710001</v>
      </c>
      <c r="O588" s="7">
        <v>587.69007759919998</v>
      </c>
      <c r="P588" s="7">
        <v>579.33295760290002</v>
      </c>
      <c r="Q588">
        <v>1</v>
      </c>
      <c r="R588">
        <v>0</v>
      </c>
      <c r="S588" s="11">
        <v>45792.666666666664</v>
      </c>
      <c r="T588">
        <v>1920</v>
      </c>
    </row>
    <row r="589" spans="1:20">
      <c r="A589" s="11">
        <v>45792.604166666664</v>
      </c>
      <c r="B589" s="11">
        <v>45792.625</v>
      </c>
      <c r="C589" s="10">
        <v>45792</v>
      </c>
      <c r="D589" s="7">
        <v>586.38559999999995</v>
      </c>
      <c r="E589" s="7">
        <v>2379827</v>
      </c>
      <c r="F589" s="7">
        <v>2379827</v>
      </c>
      <c r="G589" s="7">
        <v>32928596</v>
      </c>
      <c r="H589" s="7">
        <v>582.77650000000006</v>
      </c>
      <c r="I589" s="7">
        <v>584.23789999999997</v>
      </c>
      <c r="J589" s="7">
        <v>14</v>
      </c>
      <c r="K589" s="7">
        <v>5.2254075999999998E-3</v>
      </c>
      <c r="L589" s="7">
        <v>587.29078118799998</v>
      </c>
      <c r="M589" s="7">
        <v>579.73125522270004</v>
      </c>
      <c r="N589" s="7">
        <v>584.93231091270002</v>
      </c>
      <c r="O589" s="7">
        <v>587.29078118799998</v>
      </c>
      <c r="P589" s="7">
        <v>579.73125522270004</v>
      </c>
      <c r="Q589">
        <v>1</v>
      </c>
      <c r="R589">
        <v>0</v>
      </c>
      <c r="S589" s="11">
        <v>45792.666666666664</v>
      </c>
      <c r="T589">
        <v>1919</v>
      </c>
    </row>
    <row r="590" spans="1:20">
      <c r="A590" s="11">
        <v>45792.625</v>
      </c>
      <c r="B590" s="11">
        <v>45792.645833333336</v>
      </c>
      <c r="C590" s="10">
        <v>45792</v>
      </c>
      <c r="D590" s="7">
        <v>585.53070000000002</v>
      </c>
      <c r="E590" s="7">
        <v>3509628</v>
      </c>
      <c r="F590" s="7">
        <v>3509628</v>
      </c>
      <c r="G590" s="7">
        <v>36438224</v>
      </c>
      <c r="H590" s="7">
        <v>582.77650000000006</v>
      </c>
      <c r="I590" s="7">
        <v>584.23789999999997</v>
      </c>
      <c r="J590" s="7">
        <v>14</v>
      </c>
      <c r="K590" s="7">
        <v>5.4904280000000003E-3</v>
      </c>
      <c r="L590" s="7">
        <v>587.44561613450003</v>
      </c>
      <c r="M590" s="7">
        <v>579.57680757699995</v>
      </c>
      <c r="N590" s="7">
        <v>584.98994607889995</v>
      </c>
      <c r="O590" s="7">
        <v>587.44561613450003</v>
      </c>
      <c r="P590" s="7">
        <v>579.57680757699995</v>
      </c>
      <c r="Q590">
        <v>1</v>
      </c>
      <c r="R590">
        <v>0</v>
      </c>
      <c r="S590" s="11">
        <v>45792.666666666664</v>
      </c>
      <c r="T590">
        <v>1918</v>
      </c>
    </row>
    <row r="591" spans="1:20">
      <c r="A591" s="11">
        <v>45792.645833333336</v>
      </c>
      <c r="B591" s="11">
        <v>45792.666666666664</v>
      </c>
      <c r="C591" s="10">
        <v>45792</v>
      </c>
      <c r="D591" s="7">
        <v>587.09169999999995</v>
      </c>
      <c r="E591" s="7">
        <v>10521917</v>
      </c>
      <c r="F591" s="7">
        <v>10521917</v>
      </c>
      <c r="G591" s="7">
        <v>46960141</v>
      </c>
      <c r="H591" s="7">
        <v>582.77650000000006</v>
      </c>
      <c r="I591" s="7">
        <v>584.23789999999997</v>
      </c>
      <c r="J591" s="7">
        <v>14</v>
      </c>
      <c r="K591" s="7">
        <v>4.9687624999999996E-3</v>
      </c>
      <c r="L591" s="7">
        <v>587.14083934929999</v>
      </c>
      <c r="M591" s="7">
        <v>579.88082200020006</v>
      </c>
      <c r="N591" s="7">
        <v>585.46086630699995</v>
      </c>
      <c r="O591" s="7">
        <v>587.14083934929999</v>
      </c>
      <c r="P591" s="7">
        <v>579.88082200020006</v>
      </c>
      <c r="Q591">
        <v>1</v>
      </c>
      <c r="R591">
        <v>1</v>
      </c>
      <c r="S591" s="11">
        <v>45792.666666666664</v>
      </c>
      <c r="T591">
        <v>1917</v>
      </c>
    </row>
    <row r="592" spans="1:20">
      <c r="A592" s="11">
        <v>45793.395833333336</v>
      </c>
      <c r="B592" s="11">
        <v>45793.416666666664</v>
      </c>
      <c r="C592" s="10">
        <v>45793</v>
      </c>
      <c r="D592" s="7">
        <v>587.26080000000002</v>
      </c>
      <c r="E592" s="7">
        <v>4321983</v>
      </c>
      <c r="F592" s="7">
        <v>4321983</v>
      </c>
      <c r="G592" s="7">
        <v>4321983</v>
      </c>
      <c r="H592" s="7">
        <v>587.26080000000002</v>
      </c>
      <c r="I592" s="7">
        <v>587.0915</v>
      </c>
      <c r="J592" s="7">
        <v>14</v>
      </c>
      <c r="K592" s="7">
        <v>0</v>
      </c>
      <c r="L592" s="7">
        <v>587.26080000000002</v>
      </c>
      <c r="M592" s="7">
        <v>587.0915</v>
      </c>
      <c r="N592" s="7">
        <v>587.26080000000002</v>
      </c>
      <c r="O592" s="7">
        <v>587.26080000000002</v>
      </c>
      <c r="P592" s="7">
        <v>587.0915</v>
      </c>
      <c r="Q592">
        <v>1</v>
      </c>
      <c r="R592">
        <v>0</v>
      </c>
      <c r="S592" s="11">
        <v>45793.666666666664</v>
      </c>
      <c r="T592">
        <v>1915</v>
      </c>
    </row>
    <row r="593" spans="1:20">
      <c r="A593" s="11">
        <v>45793.416666666664</v>
      </c>
      <c r="B593" s="11">
        <v>45793.4375</v>
      </c>
      <c r="C593" s="10">
        <v>45793</v>
      </c>
      <c r="D593" s="7">
        <v>587.46960000000001</v>
      </c>
      <c r="E593" s="7">
        <v>3051881</v>
      </c>
      <c r="F593" s="7">
        <v>3051881</v>
      </c>
      <c r="G593" s="7">
        <v>7373864</v>
      </c>
      <c r="H593" s="7">
        <v>587.26080000000002</v>
      </c>
      <c r="I593" s="7">
        <v>587.0915</v>
      </c>
      <c r="J593" s="7">
        <v>14</v>
      </c>
      <c r="K593" s="7">
        <v>2.4981709E-3</v>
      </c>
      <c r="L593" s="7">
        <v>588.72787785510002</v>
      </c>
      <c r="M593" s="7">
        <v>585.62484508520004</v>
      </c>
      <c r="N593" s="7">
        <v>587.34721775230003</v>
      </c>
      <c r="O593" s="7">
        <v>588.72787785510002</v>
      </c>
      <c r="P593" s="7">
        <v>585.62484508520004</v>
      </c>
      <c r="Q593">
        <v>1</v>
      </c>
      <c r="R593">
        <v>0</v>
      </c>
      <c r="S593" s="11">
        <v>45793.666666666664</v>
      </c>
      <c r="T593">
        <v>1914</v>
      </c>
    </row>
    <row r="594" spans="1:20">
      <c r="A594" s="11">
        <v>45793.4375</v>
      </c>
      <c r="B594" s="11">
        <v>45793.458333333336</v>
      </c>
      <c r="C594" s="10">
        <v>45793</v>
      </c>
      <c r="D594" s="7">
        <v>587.13149999999996</v>
      </c>
      <c r="E594" s="7">
        <v>3266050</v>
      </c>
      <c r="F594" s="7">
        <v>3266050</v>
      </c>
      <c r="G594" s="7">
        <v>10639914</v>
      </c>
      <c r="H594" s="7">
        <v>587.26080000000002</v>
      </c>
      <c r="I594" s="7">
        <v>587.0915</v>
      </c>
      <c r="J594" s="7">
        <v>14</v>
      </c>
      <c r="K594" s="7">
        <v>3.3321611000000002E-3</v>
      </c>
      <c r="L594" s="7">
        <v>589.21764758530003</v>
      </c>
      <c r="M594" s="7">
        <v>585.13521654960005</v>
      </c>
      <c r="N594" s="7">
        <v>587.28100058509995</v>
      </c>
      <c r="O594" s="7">
        <v>589.21764758530003</v>
      </c>
      <c r="P594" s="7">
        <v>585.13521654960005</v>
      </c>
      <c r="Q594">
        <v>1</v>
      </c>
      <c r="R594">
        <v>0</v>
      </c>
      <c r="S594" s="11">
        <v>45793.666666666664</v>
      </c>
      <c r="T594">
        <v>1913</v>
      </c>
    </row>
    <row r="595" spans="1:20">
      <c r="A595" s="11">
        <v>45793.458333333336</v>
      </c>
      <c r="B595" s="11">
        <v>45793.479166666664</v>
      </c>
      <c r="C595" s="10">
        <v>45793</v>
      </c>
      <c r="D595" s="7">
        <v>587.53909999999996</v>
      </c>
      <c r="E595" s="7">
        <v>1847700</v>
      </c>
      <c r="F595" s="7">
        <v>1847700</v>
      </c>
      <c r="G595" s="7">
        <v>12487614</v>
      </c>
      <c r="H595" s="7">
        <v>587.26080000000002</v>
      </c>
      <c r="I595" s="7">
        <v>587.0915</v>
      </c>
      <c r="J595" s="7">
        <v>14</v>
      </c>
      <c r="K595" s="7">
        <v>4.2191064000000004E-3</v>
      </c>
      <c r="L595" s="7">
        <v>589.73851577369999</v>
      </c>
      <c r="M595" s="7">
        <v>584.61449852099997</v>
      </c>
      <c r="N595" s="7">
        <v>587.31918964900001</v>
      </c>
      <c r="O595" s="7">
        <v>589.73851577369999</v>
      </c>
      <c r="P595" s="7">
        <v>584.61449852099997</v>
      </c>
      <c r="Q595">
        <v>1</v>
      </c>
      <c r="R595">
        <v>0</v>
      </c>
      <c r="S595" s="11">
        <v>45793.666666666664</v>
      </c>
      <c r="T595">
        <v>1912</v>
      </c>
    </row>
    <row r="596" spans="1:20">
      <c r="A596" s="11">
        <v>45793.479166666664</v>
      </c>
      <c r="B596" s="11">
        <v>45793.5</v>
      </c>
      <c r="C596" s="10">
        <v>45793</v>
      </c>
      <c r="D596" s="7">
        <v>587.6585</v>
      </c>
      <c r="E596" s="7">
        <v>1951492</v>
      </c>
      <c r="F596" s="7">
        <v>1951492</v>
      </c>
      <c r="G596" s="7">
        <v>14439106</v>
      </c>
      <c r="H596" s="7">
        <v>587.26080000000002</v>
      </c>
      <c r="I596" s="7">
        <v>587.0915</v>
      </c>
      <c r="J596" s="7">
        <v>14</v>
      </c>
      <c r="K596" s="7">
        <v>4.1275740999999998E-3</v>
      </c>
      <c r="L596" s="7">
        <v>589.68476246789999</v>
      </c>
      <c r="M596" s="7">
        <v>584.66823633039996</v>
      </c>
      <c r="N596" s="7">
        <v>587.36504854320003</v>
      </c>
      <c r="O596" s="7">
        <v>589.68476246789999</v>
      </c>
      <c r="P596" s="7">
        <v>584.66823633039996</v>
      </c>
      <c r="Q596">
        <v>1</v>
      </c>
      <c r="R596">
        <v>0</v>
      </c>
      <c r="S596" s="11">
        <v>45793.666666666664</v>
      </c>
      <c r="T596">
        <v>1911</v>
      </c>
    </row>
    <row r="597" spans="1:20">
      <c r="A597" s="11">
        <v>45793.5</v>
      </c>
      <c r="B597" s="11">
        <v>45793.520833333336</v>
      </c>
      <c r="C597" s="10">
        <v>45793</v>
      </c>
      <c r="D597" s="7">
        <v>588.68759999999997</v>
      </c>
      <c r="E597" s="7">
        <v>2120734</v>
      </c>
      <c r="F597" s="7">
        <v>2120734</v>
      </c>
      <c r="G597" s="7">
        <v>16559840</v>
      </c>
      <c r="H597" s="7">
        <v>587.26080000000002</v>
      </c>
      <c r="I597" s="7">
        <v>587.0915</v>
      </c>
      <c r="J597" s="7">
        <v>14</v>
      </c>
      <c r="K597" s="7">
        <v>4.8169854999999999E-3</v>
      </c>
      <c r="L597" s="7">
        <v>590.08962678140006</v>
      </c>
      <c r="M597" s="7">
        <v>584.26348873430004</v>
      </c>
      <c r="N597" s="7">
        <v>587.53442094299999</v>
      </c>
      <c r="O597" s="7">
        <v>590.08962678140006</v>
      </c>
      <c r="P597" s="7">
        <v>584.26348873430004</v>
      </c>
      <c r="Q597">
        <v>1</v>
      </c>
      <c r="R597">
        <v>0</v>
      </c>
      <c r="S597" s="11">
        <v>45793.666666666664</v>
      </c>
      <c r="T597">
        <v>1910</v>
      </c>
    </row>
    <row r="598" spans="1:20">
      <c r="A598" s="11">
        <v>45793.520833333336</v>
      </c>
      <c r="B598" s="11">
        <v>45793.541666666664</v>
      </c>
      <c r="C598" s="10">
        <v>45793</v>
      </c>
      <c r="D598" s="7">
        <v>588.85209999999995</v>
      </c>
      <c r="E598" s="7">
        <v>1992172</v>
      </c>
      <c r="F598" s="7">
        <v>1992172</v>
      </c>
      <c r="G598" s="7">
        <v>18552012</v>
      </c>
      <c r="H598" s="7">
        <v>587.26080000000002</v>
      </c>
      <c r="I598" s="7">
        <v>587.0915</v>
      </c>
      <c r="J598" s="7">
        <v>14</v>
      </c>
      <c r="K598" s="7">
        <v>4.9742985999999996E-3</v>
      </c>
      <c r="L598" s="7">
        <v>590.18201057409999</v>
      </c>
      <c r="M598" s="7">
        <v>584.17113157469998</v>
      </c>
      <c r="N598" s="7">
        <v>587.67591736520001</v>
      </c>
      <c r="O598" s="7">
        <v>590.18201057409999</v>
      </c>
      <c r="P598" s="7">
        <v>584.17113157469998</v>
      </c>
      <c r="Q598">
        <v>1</v>
      </c>
      <c r="R598">
        <v>0</v>
      </c>
      <c r="S598" s="11">
        <v>45793.666666666664</v>
      </c>
      <c r="T598">
        <v>1909</v>
      </c>
    </row>
    <row r="599" spans="1:20">
      <c r="A599" s="11">
        <v>45793.541666666664</v>
      </c>
      <c r="B599" s="11">
        <v>45793.5625</v>
      </c>
      <c r="C599" s="10">
        <v>45793</v>
      </c>
      <c r="D599" s="7">
        <v>589.74649999999997</v>
      </c>
      <c r="E599" s="7">
        <v>2112888</v>
      </c>
      <c r="F599" s="7">
        <v>2112888</v>
      </c>
      <c r="G599" s="7">
        <v>20664900</v>
      </c>
      <c r="H599" s="7">
        <v>587.26080000000002</v>
      </c>
      <c r="I599" s="7">
        <v>587.0915</v>
      </c>
      <c r="J599" s="7">
        <v>14</v>
      </c>
      <c r="K599" s="7">
        <v>5.3487804999999998E-3</v>
      </c>
      <c r="L599" s="7">
        <v>590.40192908690005</v>
      </c>
      <c r="M599" s="7">
        <v>583.95127646169999</v>
      </c>
      <c r="N599" s="7">
        <v>587.8876246177</v>
      </c>
      <c r="O599" s="7">
        <v>590.40192908690005</v>
      </c>
      <c r="P599" s="7">
        <v>583.95127646169999</v>
      </c>
      <c r="Q599">
        <v>1</v>
      </c>
      <c r="R599">
        <v>0</v>
      </c>
      <c r="S599" s="11">
        <v>45793.666666666664</v>
      </c>
      <c r="T599">
        <v>1908</v>
      </c>
    </row>
    <row r="600" spans="1:20">
      <c r="A600" s="11">
        <v>45793.5625</v>
      </c>
      <c r="B600" s="11">
        <v>45793.583333333336</v>
      </c>
      <c r="C600" s="10">
        <v>45793</v>
      </c>
      <c r="D600" s="7">
        <v>589.42139999999995</v>
      </c>
      <c r="E600" s="7">
        <v>2278452</v>
      </c>
      <c r="F600" s="7">
        <v>2278452</v>
      </c>
      <c r="G600" s="7">
        <v>22943352</v>
      </c>
      <c r="H600" s="7">
        <v>587.26080000000002</v>
      </c>
      <c r="I600" s="7">
        <v>587.0915</v>
      </c>
      <c r="J600" s="7">
        <v>14</v>
      </c>
      <c r="K600" s="7">
        <v>4.9479014000000003E-3</v>
      </c>
      <c r="L600" s="7">
        <v>590.16650850550002</v>
      </c>
      <c r="M600" s="7">
        <v>584.18662917419999</v>
      </c>
      <c r="N600" s="7">
        <v>588.03994035549999</v>
      </c>
      <c r="O600" s="7">
        <v>590.16650850550002</v>
      </c>
      <c r="P600" s="7">
        <v>584.18662917419999</v>
      </c>
      <c r="Q600">
        <v>1</v>
      </c>
      <c r="R600">
        <v>0</v>
      </c>
      <c r="S600" s="11">
        <v>45793.666666666664</v>
      </c>
      <c r="T600">
        <v>1907</v>
      </c>
    </row>
    <row r="601" spans="1:20">
      <c r="A601" s="11">
        <v>45793.583333333336</v>
      </c>
      <c r="B601" s="11">
        <v>45793.604166666664</v>
      </c>
      <c r="C601" s="10">
        <v>45793</v>
      </c>
      <c r="D601" s="7">
        <v>589.89570000000003</v>
      </c>
      <c r="E601" s="7">
        <v>1884999</v>
      </c>
      <c r="F601" s="7">
        <v>1884999</v>
      </c>
      <c r="G601" s="7">
        <v>24828351</v>
      </c>
      <c r="H601" s="7">
        <v>587.26080000000002</v>
      </c>
      <c r="I601" s="7">
        <v>587.0915</v>
      </c>
      <c r="J601" s="7">
        <v>14</v>
      </c>
      <c r="K601" s="7">
        <v>5.7674546000000002E-3</v>
      </c>
      <c r="L601" s="7">
        <v>590.64780003099997</v>
      </c>
      <c r="M601" s="7">
        <v>583.70547639899996</v>
      </c>
      <c r="N601" s="7">
        <v>588.18083191430003</v>
      </c>
      <c r="O601" s="7">
        <v>590.64780003099997</v>
      </c>
      <c r="P601" s="7">
        <v>583.70547639899996</v>
      </c>
      <c r="Q601">
        <v>1</v>
      </c>
      <c r="R601">
        <v>0</v>
      </c>
      <c r="S601" s="11">
        <v>45793.666666666664</v>
      </c>
      <c r="T601">
        <v>1906</v>
      </c>
    </row>
    <row r="602" spans="1:20">
      <c r="A602" s="11">
        <v>45793.604166666664</v>
      </c>
      <c r="B602" s="11">
        <v>45793.625</v>
      </c>
      <c r="C602" s="10">
        <v>45793</v>
      </c>
      <c r="D602" s="7">
        <v>590.21379999999999</v>
      </c>
      <c r="E602" s="7">
        <v>2534854</v>
      </c>
      <c r="F602" s="7">
        <v>2534854</v>
      </c>
      <c r="G602" s="7">
        <v>27363205</v>
      </c>
      <c r="H602" s="7">
        <v>587.26080000000002</v>
      </c>
      <c r="I602" s="7">
        <v>587.0915</v>
      </c>
      <c r="J602" s="7">
        <v>14</v>
      </c>
      <c r="K602" s="7">
        <v>5.1034770000000004E-3</v>
      </c>
      <c r="L602" s="7">
        <v>590.25787197809996</v>
      </c>
      <c r="M602" s="7">
        <v>584.0952920405</v>
      </c>
      <c r="N602" s="7">
        <v>588.369160631</v>
      </c>
      <c r="O602" s="7">
        <v>590.25787197809996</v>
      </c>
      <c r="P602" s="7">
        <v>584.0952920405</v>
      </c>
      <c r="Q602">
        <v>1</v>
      </c>
      <c r="R602">
        <v>0</v>
      </c>
      <c r="S602" s="11">
        <v>45793.666666666664</v>
      </c>
      <c r="T602">
        <v>1905</v>
      </c>
    </row>
    <row r="603" spans="1:20">
      <c r="A603" s="11">
        <v>45793.625</v>
      </c>
      <c r="B603" s="11">
        <v>45793.645833333336</v>
      </c>
      <c r="C603" s="10">
        <v>45793</v>
      </c>
      <c r="D603" s="7">
        <v>590.40269999999998</v>
      </c>
      <c r="E603" s="7">
        <v>2665861</v>
      </c>
      <c r="F603" s="7">
        <v>2665861</v>
      </c>
      <c r="G603" s="7">
        <v>30029066</v>
      </c>
      <c r="H603" s="7">
        <v>587.26080000000002</v>
      </c>
      <c r="I603" s="7">
        <v>587.0915</v>
      </c>
      <c r="J603" s="7">
        <v>14</v>
      </c>
      <c r="K603" s="7">
        <v>5.3069184999999996E-3</v>
      </c>
      <c r="L603" s="7">
        <v>590.37734522740004</v>
      </c>
      <c r="M603" s="7">
        <v>583.97585323390001</v>
      </c>
      <c r="N603" s="7">
        <v>588.54969016519999</v>
      </c>
      <c r="O603" s="7">
        <v>590.37734522740004</v>
      </c>
      <c r="P603" s="7">
        <v>583.97585323390001</v>
      </c>
      <c r="Q603">
        <v>1</v>
      </c>
      <c r="R603">
        <v>0</v>
      </c>
      <c r="S603" s="11">
        <v>45793.666666666664</v>
      </c>
      <c r="T603">
        <v>1904</v>
      </c>
    </row>
    <row r="604" spans="1:20">
      <c r="A604" s="11">
        <v>45793.645833333336</v>
      </c>
      <c r="B604" s="11">
        <v>45793.666666666664</v>
      </c>
      <c r="C604" s="10">
        <v>45793</v>
      </c>
      <c r="D604" s="7">
        <v>590.81039999999996</v>
      </c>
      <c r="E604" s="7">
        <v>9145778</v>
      </c>
      <c r="F604" s="7">
        <v>9145778</v>
      </c>
      <c r="G604" s="7">
        <v>39174844</v>
      </c>
      <c r="H604" s="7">
        <v>587.26080000000002</v>
      </c>
      <c r="I604" s="7">
        <v>587.0915</v>
      </c>
      <c r="J604" s="7">
        <v>14</v>
      </c>
      <c r="K604" s="7">
        <v>4.8338681999999999E-3</v>
      </c>
      <c r="L604" s="7">
        <v>590.09954132749999</v>
      </c>
      <c r="M604" s="7">
        <v>584.25357704639998</v>
      </c>
      <c r="N604" s="7">
        <v>589.08443369739996</v>
      </c>
      <c r="O604" s="7">
        <v>590.09954132749999</v>
      </c>
      <c r="P604" s="7">
        <v>584.25357704639998</v>
      </c>
      <c r="Q604">
        <v>1</v>
      </c>
      <c r="R604">
        <v>1</v>
      </c>
      <c r="S604" s="11">
        <v>45793.666666666664</v>
      </c>
      <c r="T604">
        <v>1903</v>
      </c>
    </row>
    <row r="605" spans="1:20">
      <c r="A605" s="11">
        <v>45796.395833333336</v>
      </c>
      <c r="B605" s="11">
        <v>45796.416666666664</v>
      </c>
      <c r="C605" s="10">
        <v>45796</v>
      </c>
      <c r="D605" s="7">
        <v>587.93690000000004</v>
      </c>
      <c r="E605" s="7">
        <v>6656256</v>
      </c>
      <c r="F605" s="7">
        <v>6656256</v>
      </c>
      <c r="G605" s="7">
        <v>6656256</v>
      </c>
      <c r="H605" s="7">
        <v>587.93690000000004</v>
      </c>
      <c r="I605" s="7">
        <v>590.81020000000001</v>
      </c>
      <c r="J605" s="7">
        <v>14</v>
      </c>
      <c r="K605" s="7">
        <v>0</v>
      </c>
      <c r="L605" s="7">
        <v>590.81020000000001</v>
      </c>
      <c r="M605" s="7">
        <v>587.93690000000004</v>
      </c>
      <c r="N605" s="7">
        <v>587.93690000000004</v>
      </c>
      <c r="O605" s="7">
        <v>590.81020000000001</v>
      </c>
      <c r="P605" s="7">
        <v>587.93690000000004</v>
      </c>
      <c r="Q605">
        <v>1</v>
      </c>
      <c r="R605">
        <v>0</v>
      </c>
      <c r="S605" s="11">
        <v>45796.666666666664</v>
      </c>
      <c r="T605">
        <v>1901</v>
      </c>
    </row>
    <row r="606" spans="1:20">
      <c r="A606" s="11">
        <v>45796.416666666664</v>
      </c>
      <c r="B606" s="11">
        <v>45796.4375</v>
      </c>
      <c r="C606" s="10">
        <v>45796</v>
      </c>
      <c r="D606" s="7">
        <v>588.88149999999996</v>
      </c>
      <c r="E606" s="7">
        <v>5247580</v>
      </c>
      <c r="F606" s="7">
        <v>5247580</v>
      </c>
      <c r="G606" s="7">
        <v>11903836</v>
      </c>
      <c r="H606" s="7">
        <v>587.93690000000004</v>
      </c>
      <c r="I606" s="7">
        <v>590.81020000000001</v>
      </c>
      <c r="J606" s="7">
        <v>14</v>
      </c>
      <c r="K606" s="7">
        <v>2.4288097999999999E-3</v>
      </c>
      <c r="L606" s="7">
        <v>592.24516561780001</v>
      </c>
      <c r="M606" s="7">
        <v>586.50891308150005</v>
      </c>
      <c r="N606" s="7">
        <v>588.35330896829998</v>
      </c>
      <c r="O606" s="7">
        <v>592.24516561780001</v>
      </c>
      <c r="P606" s="7">
        <v>586.50891308150005</v>
      </c>
      <c r="Q606">
        <v>1</v>
      </c>
      <c r="R606">
        <v>0</v>
      </c>
      <c r="S606" s="11">
        <v>45796.666666666664</v>
      </c>
      <c r="T606">
        <v>1900</v>
      </c>
    </row>
    <row r="607" spans="1:20">
      <c r="A607" s="11">
        <v>45796.4375</v>
      </c>
      <c r="B607" s="11">
        <v>45796.458333333336</v>
      </c>
      <c r="C607" s="10">
        <v>45796</v>
      </c>
      <c r="D607" s="7">
        <v>588.62300000000005</v>
      </c>
      <c r="E607" s="7">
        <v>2124173</v>
      </c>
      <c r="F607" s="7">
        <v>2124173</v>
      </c>
      <c r="G607" s="7">
        <v>14028009</v>
      </c>
      <c r="H607" s="7">
        <v>587.93690000000004</v>
      </c>
      <c r="I607" s="7">
        <v>590.81020000000001</v>
      </c>
      <c r="J607" s="7">
        <v>14</v>
      </c>
      <c r="K607" s="7">
        <v>3.3018015999999998E-3</v>
      </c>
      <c r="L607" s="7">
        <v>592.76093808040002</v>
      </c>
      <c r="M607" s="7">
        <v>585.99564898619997</v>
      </c>
      <c r="N607" s="7">
        <v>588.39414658170006</v>
      </c>
      <c r="O607" s="7">
        <v>592.76093808040002</v>
      </c>
      <c r="P607" s="7">
        <v>585.99564898619997</v>
      </c>
      <c r="Q607">
        <v>1</v>
      </c>
      <c r="R607">
        <v>0</v>
      </c>
      <c r="S607" s="11">
        <v>45796.666666666664</v>
      </c>
      <c r="T607">
        <v>1899</v>
      </c>
    </row>
    <row r="608" spans="1:20">
      <c r="A608" s="11">
        <v>45796.458333333336</v>
      </c>
      <c r="B608" s="11">
        <v>45796.479166666664</v>
      </c>
      <c r="C608" s="10">
        <v>45796</v>
      </c>
      <c r="D608" s="7">
        <v>588.97090000000003</v>
      </c>
      <c r="E608" s="7">
        <v>1729000</v>
      </c>
      <c r="F608" s="7">
        <v>1729000</v>
      </c>
      <c r="G608" s="7">
        <v>15757009</v>
      </c>
      <c r="H608" s="7">
        <v>587.93690000000004</v>
      </c>
      <c r="I608" s="7">
        <v>590.81020000000001</v>
      </c>
      <c r="J608" s="7">
        <v>14</v>
      </c>
      <c r="K608" s="7">
        <v>3.8557397000000002E-3</v>
      </c>
      <c r="L608" s="7">
        <v>593.08821036519998</v>
      </c>
      <c r="M608" s="7">
        <v>585.66996833170003</v>
      </c>
      <c r="N608" s="7">
        <v>588.45743312679997</v>
      </c>
      <c r="O608" s="7">
        <v>593.08821036519998</v>
      </c>
      <c r="P608" s="7">
        <v>585.66996833170003</v>
      </c>
      <c r="Q608">
        <v>1</v>
      </c>
      <c r="R608">
        <v>0</v>
      </c>
      <c r="S608" s="11">
        <v>45796.666666666664</v>
      </c>
      <c r="T608">
        <v>1898</v>
      </c>
    </row>
    <row r="609" spans="1:20">
      <c r="A609" s="11">
        <v>45796.479166666664</v>
      </c>
      <c r="B609" s="11">
        <v>45796.5</v>
      </c>
      <c r="C609" s="10">
        <v>45796</v>
      </c>
      <c r="D609" s="7">
        <v>589.77629999999999</v>
      </c>
      <c r="E609" s="7">
        <v>1968392</v>
      </c>
      <c r="F609" s="7">
        <v>1968392</v>
      </c>
      <c r="G609" s="7">
        <v>17725401</v>
      </c>
      <c r="H609" s="7">
        <v>587.93690000000004</v>
      </c>
      <c r="I609" s="7">
        <v>590.81020000000001</v>
      </c>
      <c r="J609" s="7">
        <v>14</v>
      </c>
      <c r="K609" s="7">
        <v>3.8085751999999999E-3</v>
      </c>
      <c r="L609" s="7">
        <v>593.06034506720005</v>
      </c>
      <c r="M609" s="7">
        <v>585.69769811189997</v>
      </c>
      <c r="N609" s="7">
        <v>588.60389226769996</v>
      </c>
      <c r="O609" s="7">
        <v>593.06034506720005</v>
      </c>
      <c r="P609" s="7">
        <v>585.69769811189997</v>
      </c>
      <c r="Q609">
        <v>1</v>
      </c>
      <c r="R609">
        <v>0</v>
      </c>
      <c r="S609" s="11">
        <v>45796.666666666664</v>
      </c>
      <c r="T609">
        <v>1897</v>
      </c>
    </row>
    <row r="610" spans="1:20">
      <c r="A610" s="11">
        <v>45796.5</v>
      </c>
      <c r="B610" s="11">
        <v>45796.520833333336</v>
      </c>
      <c r="C610" s="10">
        <v>45796</v>
      </c>
      <c r="D610" s="7">
        <v>590.63130000000001</v>
      </c>
      <c r="E610" s="7">
        <v>1683072</v>
      </c>
      <c r="F610" s="7">
        <v>1683072</v>
      </c>
      <c r="G610" s="7">
        <v>19408473</v>
      </c>
      <c r="H610" s="7">
        <v>587.93690000000004</v>
      </c>
      <c r="I610" s="7">
        <v>590.81020000000001</v>
      </c>
      <c r="J610" s="7">
        <v>14</v>
      </c>
      <c r="K610" s="7">
        <v>4.4466185E-3</v>
      </c>
      <c r="L610" s="7">
        <v>593.43730754590001</v>
      </c>
      <c r="M610" s="7">
        <v>585.32256892290002</v>
      </c>
      <c r="N610" s="7">
        <v>588.77970585109995</v>
      </c>
      <c r="O610" s="7">
        <v>593.43730754590001</v>
      </c>
      <c r="P610" s="7">
        <v>585.32256892290002</v>
      </c>
      <c r="Q610">
        <v>1</v>
      </c>
      <c r="R610">
        <v>0</v>
      </c>
      <c r="S610" s="11">
        <v>45796.666666666664</v>
      </c>
      <c r="T610">
        <v>1896</v>
      </c>
    </row>
    <row r="611" spans="1:20">
      <c r="A611" s="11">
        <v>45796.520833333336</v>
      </c>
      <c r="B611" s="11">
        <v>45796.541666666664</v>
      </c>
      <c r="C611" s="10">
        <v>45796</v>
      </c>
      <c r="D611" s="7">
        <v>591.16830000000004</v>
      </c>
      <c r="E611" s="7">
        <v>2271002</v>
      </c>
      <c r="F611" s="7">
        <v>2271002</v>
      </c>
      <c r="G611" s="7">
        <v>21679475</v>
      </c>
      <c r="H611" s="7">
        <v>587.93690000000004</v>
      </c>
      <c r="I611" s="7">
        <v>590.81020000000001</v>
      </c>
      <c r="J611" s="7">
        <v>14</v>
      </c>
      <c r="K611" s="7">
        <v>4.6706787E-3</v>
      </c>
      <c r="L611" s="7">
        <v>593.56968460359997</v>
      </c>
      <c r="M611" s="7">
        <v>585.19083565749997</v>
      </c>
      <c r="N611" s="7">
        <v>589.02991957120003</v>
      </c>
      <c r="O611" s="7">
        <v>593.56968460359997</v>
      </c>
      <c r="P611" s="7">
        <v>585.19083565749997</v>
      </c>
      <c r="Q611">
        <v>1</v>
      </c>
      <c r="R611">
        <v>0</v>
      </c>
      <c r="S611" s="11">
        <v>45796.666666666664</v>
      </c>
      <c r="T611">
        <v>1895</v>
      </c>
    </row>
    <row r="612" spans="1:20">
      <c r="A612" s="11">
        <v>45796.541666666664</v>
      </c>
      <c r="B612" s="11">
        <v>45796.5625</v>
      </c>
      <c r="C612" s="10">
        <v>45796</v>
      </c>
      <c r="D612" s="7">
        <v>591.69870000000003</v>
      </c>
      <c r="E612" s="7">
        <v>3173395</v>
      </c>
      <c r="F612" s="7">
        <v>3173395</v>
      </c>
      <c r="G612" s="7">
        <v>24852870</v>
      </c>
      <c r="H612" s="7">
        <v>587.93690000000004</v>
      </c>
      <c r="I612" s="7">
        <v>590.81020000000001</v>
      </c>
      <c r="J612" s="7">
        <v>14</v>
      </c>
      <c r="K612" s="7">
        <v>5.0215236000000002E-3</v>
      </c>
      <c r="L612" s="7">
        <v>593.77696738279997</v>
      </c>
      <c r="M612" s="7">
        <v>584.98456096100006</v>
      </c>
      <c r="N612" s="7">
        <v>589.37068884530004</v>
      </c>
      <c r="O612" s="7">
        <v>593.77696738279997</v>
      </c>
      <c r="P612" s="7">
        <v>584.98456096100006</v>
      </c>
      <c r="Q612">
        <v>1</v>
      </c>
      <c r="R612">
        <v>0</v>
      </c>
      <c r="S612" s="11">
        <v>45796.666666666664</v>
      </c>
      <c r="T612">
        <v>1894</v>
      </c>
    </row>
    <row r="613" spans="1:20">
      <c r="A613" s="11">
        <v>45796.5625</v>
      </c>
      <c r="B613" s="11">
        <v>45796.583333333336</v>
      </c>
      <c r="C613" s="10">
        <v>45796</v>
      </c>
      <c r="D613" s="7">
        <v>590.93970000000002</v>
      </c>
      <c r="E613" s="7">
        <v>2168398</v>
      </c>
      <c r="F613" s="7">
        <v>2168398</v>
      </c>
      <c r="G613" s="7">
        <v>27021268</v>
      </c>
      <c r="H613" s="7">
        <v>587.93690000000004</v>
      </c>
      <c r="I613" s="7">
        <v>590.81020000000001</v>
      </c>
      <c r="J613" s="7">
        <v>14</v>
      </c>
      <c r="K613" s="7">
        <v>4.8835744999999996E-3</v>
      </c>
      <c r="L613" s="7">
        <v>593.69546560499998</v>
      </c>
      <c r="M613" s="7">
        <v>585.06566636950004</v>
      </c>
      <c r="N613" s="7">
        <v>589.49659857869995</v>
      </c>
      <c r="O613" s="7">
        <v>593.69546560499998</v>
      </c>
      <c r="P613" s="7">
        <v>585.06566636950004</v>
      </c>
      <c r="Q613">
        <v>1</v>
      </c>
      <c r="R613">
        <v>0</v>
      </c>
      <c r="S613" s="11">
        <v>45796.666666666664</v>
      </c>
      <c r="T613">
        <v>1893</v>
      </c>
    </row>
    <row r="614" spans="1:20">
      <c r="A614" s="11">
        <v>45796.583333333336</v>
      </c>
      <c r="B614" s="11">
        <v>45796.604166666664</v>
      </c>
      <c r="C614" s="10">
        <v>45796</v>
      </c>
      <c r="D614" s="7">
        <v>590.37289999999996</v>
      </c>
      <c r="E614" s="7">
        <v>2588799</v>
      </c>
      <c r="F614" s="7">
        <v>2588799</v>
      </c>
      <c r="G614" s="7">
        <v>29610067</v>
      </c>
      <c r="H614" s="7">
        <v>587.93690000000004</v>
      </c>
      <c r="I614" s="7">
        <v>590.81020000000001</v>
      </c>
      <c r="J614" s="7">
        <v>14</v>
      </c>
      <c r="K614" s="7">
        <v>5.8724551999999996E-3</v>
      </c>
      <c r="L614" s="7">
        <v>594.27970645239998</v>
      </c>
      <c r="M614" s="7">
        <v>584.4842668732</v>
      </c>
      <c r="N614" s="7">
        <v>589.5732133409</v>
      </c>
      <c r="O614" s="7">
        <v>594.27970645239998</v>
      </c>
      <c r="P614" s="7">
        <v>584.4842668732</v>
      </c>
      <c r="Q614">
        <v>1</v>
      </c>
      <c r="R614">
        <v>0</v>
      </c>
      <c r="S614" s="11">
        <v>45796.666666666664</v>
      </c>
      <c r="T614">
        <v>1892</v>
      </c>
    </row>
    <row r="615" spans="1:20">
      <c r="A615" s="11">
        <v>45796.604166666664</v>
      </c>
      <c r="B615" s="11">
        <v>45796.625</v>
      </c>
      <c r="C615" s="10">
        <v>45796</v>
      </c>
      <c r="D615" s="7">
        <v>591.02909999999997</v>
      </c>
      <c r="E615" s="7">
        <v>2077492</v>
      </c>
      <c r="F615" s="7">
        <v>2077492</v>
      </c>
      <c r="G615" s="7">
        <v>31687559</v>
      </c>
      <c r="H615" s="7">
        <v>587.93690000000004</v>
      </c>
      <c r="I615" s="7">
        <v>590.81020000000001</v>
      </c>
      <c r="J615" s="7">
        <v>14</v>
      </c>
      <c r="K615" s="7">
        <v>5.2536566999999996E-3</v>
      </c>
      <c r="L615" s="7">
        <v>593.91411398109994</v>
      </c>
      <c r="M615" s="7">
        <v>584.84808135080004</v>
      </c>
      <c r="N615" s="7">
        <v>589.66866382629996</v>
      </c>
      <c r="O615" s="7">
        <v>593.91411398109994</v>
      </c>
      <c r="P615" s="7">
        <v>584.84808135080004</v>
      </c>
      <c r="Q615">
        <v>1</v>
      </c>
      <c r="R615">
        <v>0</v>
      </c>
      <c r="S615" s="11">
        <v>45796.666666666664</v>
      </c>
      <c r="T615">
        <v>1891</v>
      </c>
    </row>
    <row r="616" spans="1:20">
      <c r="A616" s="11">
        <v>45796.625</v>
      </c>
      <c r="B616" s="11">
        <v>45796.645833333336</v>
      </c>
      <c r="C616" s="10">
        <v>45796</v>
      </c>
      <c r="D616" s="7">
        <v>590.16409999999996</v>
      </c>
      <c r="E616" s="7">
        <v>2680908</v>
      </c>
      <c r="F616" s="7">
        <v>2680908</v>
      </c>
      <c r="G616" s="7">
        <v>34368467</v>
      </c>
      <c r="H616" s="7">
        <v>587.93690000000004</v>
      </c>
      <c r="I616" s="7">
        <v>590.81020000000001</v>
      </c>
      <c r="J616" s="7">
        <v>14</v>
      </c>
      <c r="K616" s="7">
        <v>5.6619777000000001E-3</v>
      </c>
      <c r="L616" s="7">
        <v>594.15535418180002</v>
      </c>
      <c r="M616" s="7">
        <v>584.60801437869998</v>
      </c>
      <c r="N616" s="7">
        <v>589.70731026349995</v>
      </c>
      <c r="O616" s="7">
        <v>594.15535418180002</v>
      </c>
      <c r="P616" s="7">
        <v>584.60801437869998</v>
      </c>
      <c r="Q616">
        <v>1</v>
      </c>
      <c r="R616">
        <v>0</v>
      </c>
      <c r="S616" s="11">
        <v>45796.666666666664</v>
      </c>
      <c r="T616">
        <v>1890</v>
      </c>
    </row>
    <row r="617" spans="1:20">
      <c r="A617" s="11">
        <v>45796.645833333336</v>
      </c>
      <c r="B617" s="11">
        <v>45796.666666666664</v>
      </c>
      <c r="C617" s="10">
        <v>45796</v>
      </c>
      <c r="D617" s="7">
        <v>591.45669999999996</v>
      </c>
      <c r="E617" s="7">
        <v>8309004</v>
      </c>
      <c r="F617" s="7">
        <v>8309004</v>
      </c>
      <c r="G617" s="7">
        <v>42677471</v>
      </c>
      <c r="H617" s="7">
        <v>587.93690000000004</v>
      </c>
      <c r="I617" s="7">
        <v>590.81020000000001</v>
      </c>
      <c r="J617" s="7">
        <v>14</v>
      </c>
      <c r="K617" s="7">
        <v>5.1877167E-3</v>
      </c>
      <c r="L617" s="7">
        <v>593.87515593490002</v>
      </c>
      <c r="M617" s="7">
        <v>584.88684993139998</v>
      </c>
      <c r="N617" s="7">
        <v>590.04790416410003</v>
      </c>
      <c r="O617" s="7">
        <v>593.87515593490002</v>
      </c>
      <c r="P617" s="7">
        <v>584.88684993139998</v>
      </c>
      <c r="Q617">
        <v>1</v>
      </c>
      <c r="R617">
        <v>1</v>
      </c>
      <c r="S617" s="11">
        <v>45796.666666666664</v>
      </c>
      <c r="T617">
        <v>1889</v>
      </c>
    </row>
    <row r="618" spans="1:20">
      <c r="A618" s="11">
        <v>45797.395833333336</v>
      </c>
      <c r="B618" s="11">
        <v>45797.416666666664</v>
      </c>
      <c r="C618" s="10">
        <v>45797</v>
      </c>
      <c r="D618" s="7">
        <v>589.43830000000003</v>
      </c>
      <c r="E618" s="7">
        <v>4392223</v>
      </c>
      <c r="F618" s="7">
        <v>4392223</v>
      </c>
      <c r="G618" s="7">
        <v>4392223</v>
      </c>
      <c r="H618" s="7">
        <v>589.43830000000003</v>
      </c>
      <c r="I618" s="7">
        <v>591.45650000000001</v>
      </c>
      <c r="J618" s="7">
        <v>14</v>
      </c>
      <c r="K618" s="7">
        <v>0</v>
      </c>
      <c r="L618" s="7">
        <v>591.45650000000001</v>
      </c>
      <c r="M618" s="7">
        <v>589.43830000000003</v>
      </c>
      <c r="N618" s="7">
        <v>589.43830000000003</v>
      </c>
      <c r="O618" s="7">
        <v>591.45650000000001</v>
      </c>
      <c r="P618" s="7">
        <v>589.43830000000003</v>
      </c>
      <c r="Q618">
        <v>1</v>
      </c>
      <c r="R618">
        <v>0</v>
      </c>
      <c r="S618" s="11">
        <v>45797.666666666664</v>
      </c>
      <c r="T618">
        <v>1887</v>
      </c>
    </row>
    <row r="619" spans="1:20">
      <c r="A619" s="11">
        <v>45797.416666666664</v>
      </c>
      <c r="B619" s="11">
        <v>45797.4375</v>
      </c>
      <c r="C619" s="10">
        <v>45797</v>
      </c>
      <c r="D619" s="7">
        <v>589.48800000000006</v>
      </c>
      <c r="E619" s="7">
        <v>2645656</v>
      </c>
      <c r="F619" s="7">
        <v>2645656</v>
      </c>
      <c r="G619" s="7">
        <v>7037879</v>
      </c>
      <c r="H619" s="7">
        <v>589.43830000000003</v>
      </c>
      <c r="I619" s="7">
        <v>591.45650000000001</v>
      </c>
      <c r="J619" s="7">
        <v>14</v>
      </c>
      <c r="K619" s="7">
        <v>2.4566321999999999E-3</v>
      </c>
      <c r="L619" s="7">
        <v>592.90949110350005</v>
      </c>
      <c r="M619" s="7">
        <v>587.99026687160006</v>
      </c>
      <c r="N619" s="7">
        <v>589.45698305819997</v>
      </c>
      <c r="O619" s="7">
        <v>592.90949110350005</v>
      </c>
      <c r="P619" s="7">
        <v>587.99026687160006</v>
      </c>
      <c r="Q619">
        <v>1</v>
      </c>
      <c r="R619">
        <v>0</v>
      </c>
      <c r="S619" s="11">
        <v>45797.666666666664</v>
      </c>
      <c r="T619">
        <v>1886</v>
      </c>
    </row>
    <row r="620" spans="1:20">
      <c r="A620" s="11">
        <v>45797.4375</v>
      </c>
      <c r="B620" s="11">
        <v>45797.458333333336</v>
      </c>
      <c r="C620" s="10">
        <v>45797</v>
      </c>
      <c r="D620" s="7">
        <v>589.48299999999995</v>
      </c>
      <c r="E620" s="7">
        <v>2256132</v>
      </c>
      <c r="F620" s="7">
        <v>2256132</v>
      </c>
      <c r="G620" s="7">
        <v>9294011</v>
      </c>
      <c r="H620" s="7">
        <v>589.43830000000003</v>
      </c>
      <c r="I620" s="7">
        <v>591.45650000000001</v>
      </c>
      <c r="J620" s="7">
        <v>14</v>
      </c>
      <c r="K620" s="7">
        <v>3.0738103999999999E-3</v>
      </c>
      <c r="L620" s="7">
        <v>593.27452513000003</v>
      </c>
      <c r="M620" s="7">
        <v>587.62647843410002</v>
      </c>
      <c r="N620" s="7">
        <v>589.46329870119996</v>
      </c>
      <c r="O620" s="7">
        <v>593.27452513000003</v>
      </c>
      <c r="P620" s="7">
        <v>587.62647843410002</v>
      </c>
      <c r="Q620">
        <v>1</v>
      </c>
      <c r="R620">
        <v>0</v>
      </c>
      <c r="S620" s="11">
        <v>45797.666666666664</v>
      </c>
      <c r="T620">
        <v>1885</v>
      </c>
    </row>
    <row r="621" spans="1:20">
      <c r="A621" s="11">
        <v>45797.458333333336</v>
      </c>
      <c r="B621" s="11">
        <v>45797.479166666664</v>
      </c>
      <c r="C621" s="10">
        <v>45797</v>
      </c>
      <c r="D621" s="7">
        <v>590.05470000000003</v>
      </c>
      <c r="E621" s="7">
        <v>1767370</v>
      </c>
      <c r="F621" s="7">
        <v>1767370</v>
      </c>
      <c r="G621" s="7">
        <v>11061381</v>
      </c>
      <c r="H621" s="7">
        <v>589.43830000000003</v>
      </c>
      <c r="I621" s="7">
        <v>591.45650000000001</v>
      </c>
      <c r="J621" s="7">
        <v>14</v>
      </c>
      <c r="K621" s="7">
        <v>3.7686169000000001E-3</v>
      </c>
      <c r="L621" s="7">
        <v>593.68547293829999</v>
      </c>
      <c r="M621" s="7">
        <v>587.21693288419999</v>
      </c>
      <c r="N621" s="7">
        <v>589.55779186740006</v>
      </c>
      <c r="O621" s="7">
        <v>593.68547293829999</v>
      </c>
      <c r="P621" s="7">
        <v>587.21693288419999</v>
      </c>
      <c r="Q621">
        <v>1</v>
      </c>
      <c r="R621">
        <v>0</v>
      </c>
      <c r="S621" s="11">
        <v>45797.666666666664</v>
      </c>
      <c r="T621">
        <v>1884</v>
      </c>
    </row>
    <row r="622" spans="1:20">
      <c r="A622" s="11">
        <v>45797.479166666664</v>
      </c>
      <c r="B622" s="11">
        <v>45797.5</v>
      </c>
      <c r="C622" s="10">
        <v>45797</v>
      </c>
      <c r="D622" s="7">
        <v>589.83600000000001</v>
      </c>
      <c r="E622" s="7">
        <v>1694275</v>
      </c>
      <c r="F622" s="7">
        <v>1694275</v>
      </c>
      <c r="G622" s="7">
        <v>12755656</v>
      </c>
      <c r="H622" s="7">
        <v>589.43830000000003</v>
      </c>
      <c r="I622" s="7">
        <v>591.45650000000001</v>
      </c>
      <c r="J622" s="7">
        <v>14</v>
      </c>
      <c r="K622" s="7">
        <v>3.8828691999999998E-3</v>
      </c>
      <c r="L622" s="7">
        <v>593.75304823160002</v>
      </c>
      <c r="M622" s="7">
        <v>587.14958817510001</v>
      </c>
      <c r="N622" s="7">
        <v>589.59474497149995</v>
      </c>
      <c r="O622" s="7">
        <v>593.75304823160002</v>
      </c>
      <c r="P622" s="7">
        <v>587.14958817510001</v>
      </c>
      <c r="Q622">
        <v>1</v>
      </c>
      <c r="R622">
        <v>0</v>
      </c>
      <c r="S622" s="11">
        <v>45797.666666666664</v>
      </c>
      <c r="T622">
        <v>1883</v>
      </c>
    </row>
    <row r="623" spans="1:20">
      <c r="A623" s="11">
        <v>45797.5</v>
      </c>
      <c r="B623" s="11">
        <v>45797.520833333336</v>
      </c>
      <c r="C623" s="10">
        <v>45797</v>
      </c>
      <c r="D623" s="7">
        <v>589.28909999999996</v>
      </c>
      <c r="E623" s="7">
        <v>1711497</v>
      </c>
      <c r="F623" s="7">
        <v>1711497</v>
      </c>
      <c r="G623" s="7">
        <v>14467153</v>
      </c>
      <c r="H623" s="7">
        <v>589.43830000000003</v>
      </c>
      <c r="I623" s="7">
        <v>591.45650000000001</v>
      </c>
      <c r="J623" s="7">
        <v>14</v>
      </c>
      <c r="K623" s="7">
        <v>4.4742807000000004E-3</v>
      </c>
      <c r="L623" s="7">
        <v>594.10284239520001</v>
      </c>
      <c r="M623" s="7">
        <v>586.80098759810005</v>
      </c>
      <c r="N623" s="7">
        <v>589.5585864784</v>
      </c>
      <c r="O623" s="7">
        <v>594.10284239520001</v>
      </c>
      <c r="P623" s="7">
        <v>586.80098759810005</v>
      </c>
      <c r="Q623">
        <v>1</v>
      </c>
      <c r="R623">
        <v>0</v>
      </c>
      <c r="S623" s="11">
        <v>45797.666666666664</v>
      </c>
      <c r="T623">
        <v>1882</v>
      </c>
    </row>
    <row r="624" spans="1:20">
      <c r="A624" s="11">
        <v>45797.520833333336</v>
      </c>
      <c r="B624" s="11">
        <v>45797.541666666664</v>
      </c>
      <c r="C624" s="10">
        <v>45797</v>
      </c>
      <c r="D624" s="7">
        <v>590.00509999999997</v>
      </c>
      <c r="E624" s="7">
        <v>1688715</v>
      </c>
      <c r="F624" s="7">
        <v>1688715</v>
      </c>
      <c r="G624" s="7">
        <v>16155868</v>
      </c>
      <c r="H624" s="7">
        <v>589.43830000000003</v>
      </c>
      <c r="I624" s="7">
        <v>591.45650000000001</v>
      </c>
      <c r="J624" s="7">
        <v>14</v>
      </c>
      <c r="K624" s="7">
        <v>5.0022898999999999E-3</v>
      </c>
      <c r="L624" s="7">
        <v>594.41513688919997</v>
      </c>
      <c r="M624" s="7">
        <v>586.48975873229995</v>
      </c>
      <c r="N624" s="7">
        <v>589.60525893709996</v>
      </c>
      <c r="O624" s="7">
        <v>594.41513688919997</v>
      </c>
      <c r="P624" s="7">
        <v>586.48975873229995</v>
      </c>
      <c r="Q624">
        <v>1</v>
      </c>
      <c r="R624">
        <v>0</v>
      </c>
      <c r="S624" s="11">
        <v>45797.666666666664</v>
      </c>
      <c r="T624">
        <v>1881</v>
      </c>
    </row>
    <row r="625" spans="1:20">
      <c r="A625" s="11">
        <v>45797.541666666664</v>
      </c>
      <c r="B625" s="11">
        <v>45797.5625</v>
      </c>
      <c r="C625" s="10">
        <v>45797</v>
      </c>
      <c r="D625" s="7">
        <v>590.08450000000005</v>
      </c>
      <c r="E625" s="7">
        <v>1907083</v>
      </c>
      <c r="F625" s="7">
        <v>1907083</v>
      </c>
      <c r="G625" s="7">
        <v>18062951</v>
      </c>
      <c r="H625" s="7">
        <v>589.43830000000003</v>
      </c>
      <c r="I625" s="7">
        <v>591.45650000000001</v>
      </c>
      <c r="J625" s="7">
        <v>14</v>
      </c>
      <c r="K625" s="7">
        <v>5.2105444999999998E-3</v>
      </c>
      <c r="L625" s="7">
        <v>594.53831038780004</v>
      </c>
      <c r="M625" s="7">
        <v>586.367005533</v>
      </c>
      <c r="N625" s="7">
        <v>589.65585711920005</v>
      </c>
      <c r="O625" s="7">
        <v>594.53831038780004</v>
      </c>
      <c r="P625" s="7">
        <v>586.367005533</v>
      </c>
      <c r="Q625">
        <v>1</v>
      </c>
      <c r="R625">
        <v>0</v>
      </c>
      <c r="S625" s="11">
        <v>45797.666666666664</v>
      </c>
      <c r="T625">
        <v>1880</v>
      </c>
    </row>
    <row r="626" spans="1:20">
      <c r="A626" s="11">
        <v>45797.5625</v>
      </c>
      <c r="B626" s="11">
        <v>45797.583333333336</v>
      </c>
      <c r="C626" s="10">
        <v>45797</v>
      </c>
      <c r="D626" s="7">
        <v>589.55759999999998</v>
      </c>
      <c r="E626" s="7">
        <v>2159866</v>
      </c>
      <c r="F626" s="7">
        <v>2159866</v>
      </c>
      <c r="G626" s="7">
        <v>20222817</v>
      </c>
      <c r="H626" s="7">
        <v>589.43830000000003</v>
      </c>
      <c r="I626" s="7">
        <v>591.45650000000001</v>
      </c>
      <c r="J626" s="7">
        <v>14</v>
      </c>
      <c r="K626" s="7">
        <v>4.7009273000000002E-3</v>
      </c>
      <c r="L626" s="7">
        <v>594.23689399509999</v>
      </c>
      <c r="M626" s="7">
        <v>586.6673934163</v>
      </c>
      <c r="N626" s="7">
        <v>589.64536292289995</v>
      </c>
      <c r="O626" s="7">
        <v>594.23689399509999</v>
      </c>
      <c r="P626" s="7">
        <v>586.6673934163</v>
      </c>
      <c r="Q626">
        <v>1</v>
      </c>
      <c r="R626">
        <v>0</v>
      </c>
      <c r="S626" s="11">
        <v>45797.666666666664</v>
      </c>
      <c r="T626">
        <v>1879</v>
      </c>
    </row>
    <row r="627" spans="1:20">
      <c r="A627" s="11">
        <v>45797.583333333336</v>
      </c>
      <c r="B627" s="11">
        <v>45797.604166666664</v>
      </c>
      <c r="C627" s="10">
        <v>45797</v>
      </c>
      <c r="D627" s="7">
        <v>587.37009999999998</v>
      </c>
      <c r="E627" s="7">
        <v>3528704</v>
      </c>
      <c r="F627" s="7">
        <v>3528704</v>
      </c>
      <c r="G627" s="7">
        <v>23751521</v>
      </c>
      <c r="H627" s="7">
        <v>589.43830000000003</v>
      </c>
      <c r="I627" s="7">
        <v>591.45650000000001</v>
      </c>
      <c r="J627" s="7">
        <v>14</v>
      </c>
      <c r="K627" s="7">
        <v>5.6079648999999999E-3</v>
      </c>
      <c r="L627" s="7">
        <v>594.7733672828</v>
      </c>
      <c r="M627" s="7">
        <v>586.13275071190003</v>
      </c>
      <c r="N627" s="7">
        <v>589.30733280779998</v>
      </c>
      <c r="O627" s="7">
        <v>594.7733672828</v>
      </c>
      <c r="P627" s="7">
        <v>586.13275071190003</v>
      </c>
      <c r="Q627">
        <v>1</v>
      </c>
      <c r="R627">
        <v>0</v>
      </c>
      <c r="S627" s="11">
        <v>45797.666666666664</v>
      </c>
      <c r="T627">
        <v>1878</v>
      </c>
    </row>
    <row r="628" spans="1:20">
      <c r="A628" s="11">
        <v>45797.604166666664</v>
      </c>
      <c r="B628" s="11">
        <v>45797.625</v>
      </c>
      <c r="C628" s="10">
        <v>45797</v>
      </c>
      <c r="D628" s="7">
        <v>587.46460000000002</v>
      </c>
      <c r="E628" s="7">
        <v>3382890</v>
      </c>
      <c r="F628" s="7">
        <v>3382890</v>
      </c>
      <c r="G628" s="7">
        <v>27134411</v>
      </c>
      <c r="H628" s="7">
        <v>589.43830000000003</v>
      </c>
      <c r="I628" s="7">
        <v>591.45650000000001</v>
      </c>
      <c r="J628" s="7">
        <v>14</v>
      </c>
      <c r="K628" s="7">
        <v>5.1415382000000003E-3</v>
      </c>
      <c r="L628" s="7">
        <v>594.49749617489999</v>
      </c>
      <c r="M628" s="7">
        <v>586.40768047749998</v>
      </c>
      <c r="N628" s="7">
        <v>589.07759638979996</v>
      </c>
      <c r="O628" s="7">
        <v>594.49749617489999</v>
      </c>
      <c r="P628" s="7">
        <v>586.40768047749998</v>
      </c>
      <c r="Q628">
        <v>1</v>
      </c>
      <c r="R628">
        <v>0</v>
      </c>
      <c r="S628" s="11">
        <v>45797.666666666664</v>
      </c>
      <c r="T628">
        <v>1877</v>
      </c>
    </row>
    <row r="629" spans="1:20">
      <c r="A629" s="11">
        <v>45797.625</v>
      </c>
      <c r="B629" s="11">
        <v>45797.645833333336</v>
      </c>
      <c r="C629" s="10">
        <v>45797</v>
      </c>
      <c r="D629" s="7">
        <v>588.04629999999997</v>
      </c>
      <c r="E629" s="7">
        <v>5245969</v>
      </c>
      <c r="F629" s="7">
        <v>5245969</v>
      </c>
      <c r="G629" s="7">
        <v>32380380</v>
      </c>
      <c r="H629" s="7">
        <v>589.43830000000003</v>
      </c>
      <c r="I629" s="7">
        <v>591.45650000000001</v>
      </c>
      <c r="J629" s="7">
        <v>14</v>
      </c>
      <c r="K629" s="7">
        <v>5.4019604000000001E-3</v>
      </c>
      <c r="L629" s="7">
        <v>594.65152461030004</v>
      </c>
      <c r="M629" s="7">
        <v>586.25417762619998</v>
      </c>
      <c r="N629" s="7">
        <v>588.91051530890002</v>
      </c>
      <c r="O629" s="7">
        <v>594.65152461030004</v>
      </c>
      <c r="P629" s="7">
        <v>586.25417762619998</v>
      </c>
      <c r="Q629">
        <v>1</v>
      </c>
      <c r="R629">
        <v>0</v>
      </c>
      <c r="S629" s="11">
        <v>45797.666666666664</v>
      </c>
      <c r="T629">
        <v>1876</v>
      </c>
    </row>
    <row r="630" spans="1:20">
      <c r="A630" s="11">
        <v>45797.645833333336</v>
      </c>
      <c r="B630" s="11">
        <v>45797.666666666664</v>
      </c>
      <c r="C630" s="10">
        <v>45797</v>
      </c>
      <c r="D630" s="7">
        <v>589.46810000000005</v>
      </c>
      <c r="E630" s="7">
        <v>7892994</v>
      </c>
      <c r="F630" s="7">
        <v>7892994</v>
      </c>
      <c r="G630" s="7">
        <v>40273374</v>
      </c>
      <c r="H630" s="7">
        <v>589.43830000000003</v>
      </c>
      <c r="I630" s="7">
        <v>591.45650000000001</v>
      </c>
      <c r="J630" s="7">
        <v>14</v>
      </c>
      <c r="K630" s="7">
        <v>5.1301439000000001E-3</v>
      </c>
      <c r="L630" s="7">
        <v>594.49075692869997</v>
      </c>
      <c r="M630" s="7">
        <v>586.41439672759998</v>
      </c>
      <c r="N630" s="7">
        <v>589.01005330190003</v>
      </c>
      <c r="O630" s="7">
        <v>594.49075692869997</v>
      </c>
      <c r="P630" s="7">
        <v>586.41439672759998</v>
      </c>
      <c r="Q630">
        <v>1</v>
      </c>
      <c r="R630">
        <v>1</v>
      </c>
      <c r="S630" s="11">
        <v>45797.666666666664</v>
      </c>
      <c r="T630">
        <v>1875</v>
      </c>
    </row>
    <row r="631" spans="1:20">
      <c r="A631" s="11">
        <v>45798.395833333336</v>
      </c>
      <c r="B631" s="11">
        <v>45798.416666666664</v>
      </c>
      <c r="C631" s="10">
        <v>45798</v>
      </c>
      <c r="D631" s="7">
        <v>586.62440000000004</v>
      </c>
      <c r="E631" s="7">
        <v>5480356</v>
      </c>
      <c r="F631" s="7">
        <v>5480356</v>
      </c>
      <c r="G631" s="7">
        <v>5480356</v>
      </c>
      <c r="H631" s="7">
        <v>586.62440000000004</v>
      </c>
      <c r="I631" s="7">
        <v>589.46789999999999</v>
      </c>
      <c r="J631" s="7">
        <v>14</v>
      </c>
      <c r="K631" s="7">
        <v>0</v>
      </c>
      <c r="L631" s="7">
        <v>589.46789999999999</v>
      </c>
      <c r="M631" s="7">
        <v>586.62440000000004</v>
      </c>
      <c r="N631" s="7">
        <v>586.62440000000004</v>
      </c>
      <c r="O631" s="7">
        <v>589.46789999999999</v>
      </c>
      <c r="P631" s="7">
        <v>586.62440000000004</v>
      </c>
      <c r="Q631">
        <v>1</v>
      </c>
      <c r="R631">
        <v>0</v>
      </c>
      <c r="S631" s="11">
        <v>45798.666666666664</v>
      </c>
      <c r="T631">
        <v>1873</v>
      </c>
    </row>
    <row r="632" spans="1:20">
      <c r="A632" s="11">
        <v>45798.416666666664</v>
      </c>
      <c r="B632" s="11">
        <v>45798.4375</v>
      </c>
      <c r="C632" s="10">
        <v>45798</v>
      </c>
      <c r="D632" s="7">
        <v>586.29560000000004</v>
      </c>
      <c r="E632" s="7">
        <v>4056563</v>
      </c>
      <c r="F632" s="7">
        <v>4056563</v>
      </c>
      <c r="G632" s="7">
        <v>9536919</v>
      </c>
      <c r="H632" s="7">
        <v>586.62440000000004</v>
      </c>
      <c r="I632" s="7">
        <v>589.46789999999999</v>
      </c>
      <c r="J632" s="7">
        <v>14</v>
      </c>
      <c r="K632" s="7">
        <v>1.858766E-3</v>
      </c>
      <c r="L632" s="7">
        <v>590.56358286240004</v>
      </c>
      <c r="M632" s="7">
        <v>585.53400253860002</v>
      </c>
      <c r="N632" s="7">
        <v>586.48454373039999</v>
      </c>
      <c r="O632" s="7">
        <v>590.56358286240004</v>
      </c>
      <c r="P632" s="7">
        <v>585.53400253860002</v>
      </c>
      <c r="Q632">
        <v>1</v>
      </c>
      <c r="R632">
        <v>0</v>
      </c>
      <c r="S632" s="11">
        <v>45798.666666666664</v>
      </c>
      <c r="T632">
        <v>1872</v>
      </c>
    </row>
    <row r="633" spans="1:20">
      <c r="A633" s="11">
        <v>45798.4375</v>
      </c>
      <c r="B633" s="11">
        <v>45798.458333333336</v>
      </c>
      <c r="C633" s="10">
        <v>45798</v>
      </c>
      <c r="D633" s="7">
        <v>587.32039999999995</v>
      </c>
      <c r="E633" s="7">
        <v>2727442</v>
      </c>
      <c r="F633" s="7">
        <v>2727442</v>
      </c>
      <c r="G633" s="7">
        <v>12264361</v>
      </c>
      <c r="H633" s="7">
        <v>586.62440000000004</v>
      </c>
      <c r="I633" s="7">
        <v>589.46789999999999</v>
      </c>
      <c r="J633" s="7">
        <v>14</v>
      </c>
      <c r="K633" s="7">
        <v>2.3981993999999999E-3</v>
      </c>
      <c r="L633" s="7">
        <v>590.88156158310005</v>
      </c>
      <c r="M633" s="7">
        <v>585.21755769699996</v>
      </c>
      <c r="N633" s="7">
        <v>586.67042781320004</v>
      </c>
      <c r="O633" s="7">
        <v>590.88156158310005</v>
      </c>
      <c r="P633" s="7">
        <v>585.21755769699996</v>
      </c>
      <c r="Q633">
        <v>1</v>
      </c>
      <c r="R633">
        <v>0</v>
      </c>
      <c r="S633" s="11">
        <v>45798.666666666664</v>
      </c>
      <c r="T633">
        <v>1871</v>
      </c>
    </row>
    <row r="634" spans="1:20">
      <c r="A634" s="11">
        <v>45798.458333333336</v>
      </c>
      <c r="B634" s="11">
        <v>45798.479166666664</v>
      </c>
      <c r="C634" s="10">
        <v>45798</v>
      </c>
      <c r="D634" s="7">
        <v>588.40419999999995</v>
      </c>
      <c r="E634" s="7">
        <v>3441016</v>
      </c>
      <c r="F634" s="7">
        <v>3441016</v>
      </c>
      <c r="G634" s="7">
        <v>15705377</v>
      </c>
      <c r="H634" s="7">
        <v>586.62440000000004</v>
      </c>
      <c r="I634" s="7">
        <v>589.46789999999999</v>
      </c>
      <c r="J634" s="7">
        <v>14</v>
      </c>
      <c r="K634" s="7">
        <v>2.8840840999999999E-3</v>
      </c>
      <c r="L634" s="7">
        <v>591.16797501789995</v>
      </c>
      <c r="M634" s="7">
        <v>584.93252587539996</v>
      </c>
      <c r="N634" s="7">
        <v>587.05029375560002</v>
      </c>
      <c r="O634" s="7">
        <v>591.16797501789995</v>
      </c>
      <c r="P634" s="7">
        <v>584.93252587539996</v>
      </c>
      <c r="Q634">
        <v>1</v>
      </c>
      <c r="R634">
        <v>0</v>
      </c>
      <c r="S634" s="11">
        <v>45798.666666666664</v>
      </c>
      <c r="T634">
        <v>1870</v>
      </c>
    </row>
    <row r="635" spans="1:20">
      <c r="A635" s="11">
        <v>45798.479166666664</v>
      </c>
      <c r="B635" s="11">
        <v>45798.5</v>
      </c>
      <c r="C635" s="10">
        <v>45798</v>
      </c>
      <c r="D635" s="7">
        <v>588.37440000000004</v>
      </c>
      <c r="E635" s="7">
        <v>2113481</v>
      </c>
      <c r="F635" s="7">
        <v>2113481</v>
      </c>
      <c r="G635" s="7">
        <v>17818858</v>
      </c>
      <c r="H635" s="7">
        <v>586.62440000000004</v>
      </c>
      <c r="I635" s="7">
        <v>589.46789999999999</v>
      </c>
      <c r="J635" s="7">
        <v>14</v>
      </c>
      <c r="K635" s="7">
        <v>2.9157936000000001E-3</v>
      </c>
      <c r="L635" s="7">
        <v>591.18666673669998</v>
      </c>
      <c r="M635" s="7">
        <v>584.91392432249995</v>
      </c>
      <c r="N635" s="7">
        <v>587.20734497570004</v>
      </c>
      <c r="O635" s="7">
        <v>591.18666673669998</v>
      </c>
      <c r="P635" s="7">
        <v>584.91392432249995</v>
      </c>
      <c r="Q635">
        <v>1</v>
      </c>
      <c r="R635">
        <v>0</v>
      </c>
      <c r="S635" s="11">
        <v>45798.666666666664</v>
      </c>
      <c r="T635">
        <v>1869</v>
      </c>
    </row>
    <row r="636" spans="1:20">
      <c r="A636" s="11">
        <v>45798.5</v>
      </c>
      <c r="B636" s="11">
        <v>45798.520833333336</v>
      </c>
      <c r="C636" s="10">
        <v>45798</v>
      </c>
      <c r="D636" s="7">
        <v>588.39430000000004</v>
      </c>
      <c r="E636" s="7">
        <v>2144817</v>
      </c>
      <c r="F636" s="7">
        <v>2144817</v>
      </c>
      <c r="G636" s="7">
        <v>19963675</v>
      </c>
      <c r="H636" s="7">
        <v>586.62440000000004</v>
      </c>
      <c r="I636" s="7">
        <v>589.46789999999999</v>
      </c>
      <c r="J636" s="7">
        <v>14</v>
      </c>
      <c r="K636" s="7">
        <v>3.6537802000000002E-3</v>
      </c>
      <c r="L636" s="7">
        <v>591.62168611389995</v>
      </c>
      <c r="M636" s="7">
        <v>584.48100340999997</v>
      </c>
      <c r="N636" s="7">
        <v>587.33486665270004</v>
      </c>
      <c r="O636" s="7">
        <v>591.62168611389995</v>
      </c>
      <c r="P636" s="7">
        <v>584.48100340999997</v>
      </c>
      <c r="Q636">
        <v>1</v>
      </c>
      <c r="R636">
        <v>0</v>
      </c>
      <c r="S636" s="11">
        <v>45798.666666666664</v>
      </c>
      <c r="T636">
        <v>1868</v>
      </c>
    </row>
    <row r="637" spans="1:20">
      <c r="A637" s="11">
        <v>45798.520833333336</v>
      </c>
      <c r="B637" s="11">
        <v>45798.541666666664</v>
      </c>
      <c r="C637" s="10">
        <v>45798</v>
      </c>
      <c r="D637" s="7">
        <v>588.31479999999999</v>
      </c>
      <c r="E637" s="7">
        <v>2321327</v>
      </c>
      <c r="F637" s="7">
        <v>2321327</v>
      </c>
      <c r="G637" s="7">
        <v>22285002</v>
      </c>
      <c r="H637" s="7">
        <v>586.62440000000004</v>
      </c>
      <c r="I637" s="7">
        <v>589.46789999999999</v>
      </c>
      <c r="J637" s="7">
        <v>14</v>
      </c>
      <c r="K637" s="7">
        <v>4.0398856999999998E-3</v>
      </c>
      <c r="L637" s="7">
        <v>591.8492829475</v>
      </c>
      <c r="M637" s="7">
        <v>584.25450446750006</v>
      </c>
      <c r="N637" s="7">
        <v>587.43694183929995</v>
      </c>
      <c r="O637" s="7">
        <v>591.8492829475</v>
      </c>
      <c r="P637" s="7">
        <v>584.25450446750006</v>
      </c>
      <c r="Q637">
        <v>1</v>
      </c>
      <c r="R637">
        <v>0</v>
      </c>
      <c r="S637" s="11">
        <v>45798.666666666664</v>
      </c>
      <c r="T637">
        <v>1867</v>
      </c>
    </row>
    <row r="638" spans="1:20">
      <c r="A638" s="11">
        <v>45798.541666666664</v>
      </c>
      <c r="B638" s="11">
        <v>45798.5625</v>
      </c>
      <c r="C638" s="10">
        <v>45798</v>
      </c>
      <c r="D638" s="7">
        <v>581.13589999999999</v>
      </c>
      <c r="E638" s="7">
        <v>8258648</v>
      </c>
      <c r="F638" s="7">
        <v>8258648</v>
      </c>
      <c r="G638" s="7">
        <v>30543650</v>
      </c>
      <c r="H638" s="7">
        <v>586.62440000000004</v>
      </c>
      <c r="I638" s="7">
        <v>589.46789999999999</v>
      </c>
      <c r="J638" s="7">
        <v>14</v>
      </c>
      <c r="K638" s="7">
        <v>4.2050100999999999E-3</v>
      </c>
      <c r="L638" s="7">
        <v>591.94661845300004</v>
      </c>
      <c r="M638" s="7">
        <v>584.15763849309997</v>
      </c>
      <c r="N638" s="7">
        <v>585.73321335289995</v>
      </c>
      <c r="O638" s="7">
        <v>591.94661845300004</v>
      </c>
      <c r="P638" s="7">
        <v>584.15763849309997</v>
      </c>
      <c r="Q638">
        <v>1</v>
      </c>
      <c r="R638">
        <v>0</v>
      </c>
      <c r="S638" s="11">
        <v>45798.666666666664</v>
      </c>
      <c r="T638">
        <v>1866</v>
      </c>
    </row>
    <row r="639" spans="1:20">
      <c r="A639" s="11">
        <v>45798.5625</v>
      </c>
      <c r="B639" s="11">
        <v>45798.583333333336</v>
      </c>
      <c r="C639" s="10">
        <v>45798</v>
      </c>
      <c r="D639" s="7">
        <v>582.96540000000005</v>
      </c>
      <c r="E639" s="7">
        <v>8351501</v>
      </c>
      <c r="F639" s="7">
        <v>8351501</v>
      </c>
      <c r="G639" s="7">
        <v>38895151</v>
      </c>
      <c r="H639" s="7">
        <v>586.62440000000004</v>
      </c>
      <c r="I639" s="7">
        <v>589.46789999999999</v>
      </c>
      <c r="J639" s="7">
        <v>14</v>
      </c>
      <c r="K639" s="7">
        <v>3.5530912E-3</v>
      </c>
      <c r="L639" s="7">
        <v>591.56233318470004</v>
      </c>
      <c r="M639" s="7">
        <v>584.54007003009997</v>
      </c>
      <c r="N639" s="7">
        <v>585.13891315369995</v>
      </c>
      <c r="O639" s="7">
        <v>591.56233318470004</v>
      </c>
      <c r="P639" s="7">
        <v>584.54007003009997</v>
      </c>
      <c r="Q639">
        <v>1</v>
      </c>
      <c r="R639">
        <v>0</v>
      </c>
      <c r="S639" s="11">
        <v>45798.666666666664</v>
      </c>
      <c r="T639">
        <v>1865</v>
      </c>
    </row>
    <row r="640" spans="1:20">
      <c r="A640" s="11">
        <v>45798.583333333336</v>
      </c>
      <c r="B640" s="11">
        <v>45798.604166666664</v>
      </c>
      <c r="C640" s="10">
        <v>45798</v>
      </c>
      <c r="D640" s="7">
        <v>581.86180000000002</v>
      </c>
      <c r="E640" s="7">
        <v>3749148</v>
      </c>
      <c r="F640" s="7">
        <v>3749148</v>
      </c>
      <c r="G640" s="7">
        <v>42644299</v>
      </c>
      <c r="H640" s="7">
        <v>586.62440000000004</v>
      </c>
      <c r="I640" s="7">
        <v>589.46789999999999</v>
      </c>
      <c r="J640" s="7">
        <v>14</v>
      </c>
      <c r="K640" s="7">
        <v>4.7114684E-3</v>
      </c>
      <c r="L640" s="7">
        <v>592.24515938820002</v>
      </c>
      <c r="M640" s="7">
        <v>583.86053767229998</v>
      </c>
      <c r="N640" s="7">
        <v>584.85080002929999</v>
      </c>
      <c r="O640" s="7">
        <v>592.24515938820002</v>
      </c>
      <c r="P640" s="7">
        <v>583.86053767229998</v>
      </c>
      <c r="Q640">
        <v>1</v>
      </c>
      <c r="R640">
        <v>0</v>
      </c>
      <c r="S640" s="11">
        <v>45798.666666666664</v>
      </c>
      <c r="T640">
        <v>1864</v>
      </c>
    </row>
    <row r="641" spans="1:20">
      <c r="A641" s="11">
        <v>45798.604166666664</v>
      </c>
      <c r="B641" s="11">
        <v>45798.625</v>
      </c>
      <c r="C641" s="10">
        <v>45798</v>
      </c>
      <c r="D641" s="7">
        <v>580.7183</v>
      </c>
      <c r="E641" s="7">
        <v>3582801</v>
      </c>
      <c r="F641" s="7">
        <v>3582801</v>
      </c>
      <c r="G641" s="7">
        <v>46227100</v>
      </c>
      <c r="H641" s="7">
        <v>586.62440000000004</v>
      </c>
      <c r="I641" s="7">
        <v>589.46789999999999</v>
      </c>
      <c r="J641" s="7">
        <v>14</v>
      </c>
      <c r="K641" s="7">
        <v>4.3443453E-3</v>
      </c>
      <c r="L641" s="7">
        <v>592.02875210720003</v>
      </c>
      <c r="M641" s="7">
        <v>584.07590103860002</v>
      </c>
      <c r="N641" s="7">
        <v>584.53051333079998</v>
      </c>
      <c r="O641" s="7">
        <v>592.02875210720003</v>
      </c>
      <c r="P641" s="7">
        <v>584.07590103860002</v>
      </c>
      <c r="Q641">
        <v>1</v>
      </c>
      <c r="R641">
        <v>0</v>
      </c>
      <c r="S641" s="11">
        <v>45798.666666666664</v>
      </c>
      <c r="T641">
        <v>1863</v>
      </c>
    </row>
    <row r="642" spans="1:20">
      <c r="A642" s="11">
        <v>45798.625</v>
      </c>
      <c r="B642" s="11">
        <v>45798.645833333336</v>
      </c>
      <c r="C642" s="10">
        <v>45798</v>
      </c>
      <c r="D642" s="7">
        <v>578.98820000000001</v>
      </c>
      <c r="E642" s="7">
        <v>6031424</v>
      </c>
      <c r="F642" s="7">
        <v>6031424</v>
      </c>
      <c r="G642" s="7">
        <v>52258524</v>
      </c>
      <c r="H642" s="7">
        <v>586.62440000000004</v>
      </c>
      <c r="I642" s="7">
        <v>589.46789999999999</v>
      </c>
      <c r="J642" s="7">
        <v>14</v>
      </c>
      <c r="K642" s="7">
        <v>4.4991485999999999E-3</v>
      </c>
      <c r="L642" s="7">
        <v>592.12000365009999</v>
      </c>
      <c r="M642" s="7">
        <v>583.98508967880002</v>
      </c>
      <c r="N642" s="7">
        <v>583.89084655340002</v>
      </c>
      <c r="O642" s="7">
        <v>592.12000365009999</v>
      </c>
      <c r="P642" s="7">
        <v>583.89084655340002</v>
      </c>
      <c r="Q642">
        <v>1</v>
      </c>
      <c r="R642">
        <v>0</v>
      </c>
      <c r="S642" s="11">
        <v>45798.666666666664</v>
      </c>
      <c r="T642">
        <v>1862</v>
      </c>
    </row>
    <row r="643" spans="1:20">
      <c r="A643" s="11">
        <v>45798.645833333336</v>
      </c>
      <c r="B643" s="11">
        <v>45798.666666666664</v>
      </c>
      <c r="C643" s="10">
        <v>45798</v>
      </c>
      <c r="D643" s="7">
        <v>579.53510000000006</v>
      </c>
      <c r="E643" s="7">
        <v>12506785</v>
      </c>
      <c r="F643" s="7">
        <v>12506785</v>
      </c>
      <c r="G643" s="7">
        <v>64765309</v>
      </c>
      <c r="H643" s="7">
        <v>586.62440000000004</v>
      </c>
      <c r="I643" s="7">
        <v>589.46789999999999</v>
      </c>
      <c r="J643" s="7">
        <v>14</v>
      </c>
      <c r="K643" s="7">
        <v>3.4447251000000001E-3</v>
      </c>
      <c r="L643" s="7">
        <v>591.49845488079995</v>
      </c>
      <c r="M643" s="7">
        <v>584.60364019509996</v>
      </c>
      <c r="N643" s="7">
        <v>583.0727492259</v>
      </c>
      <c r="O643" s="7">
        <v>591.49845488079995</v>
      </c>
      <c r="P643" s="7">
        <v>583.0727492259</v>
      </c>
      <c r="Q643">
        <v>1</v>
      </c>
      <c r="R643">
        <v>1</v>
      </c>
      <c r="S643" s="11">
        <v>45798.666666666664</v>
      </c>
      <c r="T643">
        <v>1861</v>
      </c>
    </row>
    <row r="644" spans="1:20">
      <c r="A644" s="11">
        <v>45799.395833333336</v>
      </c>
      <c r="B644" s="11">
        <v>45799.416666666664</v>
      </c>
      <c r="C644" s="10">
        <v>45799</v>
      </c>
      <c r="D644" s="7">
        <v>581.01660000000004</v>
      </c>
      <c r="E644" s="7">
        <v>6093612</v>
      </c>
      <c r="F644" s="7">
        <v>6093612</v>
      </c>
      <c r="G644" s="7">
        <v>6093612</v>
      </c>
      <c r="H644" s="7">
        <v>581.01660000000004</v>
      </c>
      <c r="I644" s="7">
        <v>579.53489999999999</v>
      </c>
      <c r="J644" s="7">
        <v>14</v>
      </c>
      <c r="K644" s="7">
        <v>0</v>
      </c>
      <c r="L644" s="7">
        <v>581.01660000000004</v>
      </c>
      <c r="M644" s="7">
        <v>579.53489999999999</v>
      </c>
      <c r="N644" s="7">
        <v>581.01660000000004</v>
      </c>
      <c r="O644" s="7">
        <v>581.01660000000004</v>
      </c>
      <c r="P644" s="7">
        <v>579.53489999999999</v>
      </c>
      <c r="Q644">
        <v>1</v>
      </c>
      <c r="R644">
        <v>0</v>
      </c>
      <c r="S644" s="11">
        <v>45799.666666666664</v>
      </c>
      <c r="T644">
        <v>1859</v>
      </c>
    </row>
    <row r="645" spans="1:20">
      <c r="A645" s="11">
        <v>45799.416666666664</v>
      </c>
      <c r="B645" s="11">
        <v>45799.4375</v>
      </c>
      <c r="C645" s="10">
        <v>45799</v>
      </c>
      <c r="D645" s="7">
        <v>579.53510000000006</v>
      </c>
      <c r="E645" s="7">
        <v>3858318</v>
      </c>
      <c r="F645" s="7">
        <v>3858318</v>
      </c>
      <c r="G645" s="7">
        <v>9951930</v>
      </c>
      <c r="H645" s="7">
        <v>581.01660000000004</v>
      </c>
      <c r="I645" s="7">
        <v>579.53489999999999</v>
      </c>
      <c r="J645" s="7">
        <v>14</v>
      </c>
      <c r="K645" s="7">
        <v>1.6987141000000001E-3</v>
      </c>
      <c r="L645" s="7">
        <v>582.00358108579996</v>
      </c>
      <c r="M645" s="7">
        <v>578.55043589879995</v>
      </c>
      <c r="N645" s="7">
        <v>580.44222918779997</v>
      </c>
      <c r="O645" s="7">
        <v>582.00358108579996</v>
      </c>
      <c r="P645" s="7">
        <v>578.55043589879995</v>
      </c>
      <c r="Q645">
        <v>1</v>
      </c>
      <c r="R645">
        <v>0</v>
      </c>
      <c r="S645" s="11">
        <v>45799.666666666664</v>
      </c>
      <c r="T645">
        <v>1858</v>
      </c>
    </row>
    <row r="646" spans="1:20">
      <c r="A646" s="11">
        <v>45799.4375</v>
      </c>
      <c r="B646" s="11">
        <v>45799.458333333336</v>
      </c>
      <c r="C646" s="10">
        <v>45799</v>
      </c>
      <c r="D646" s="7">
        <v>579.74390000000005</v>
      </c>
      <c r="E646" s="7">
        <v>3675535</v>
      </c>
      <c r="F646" s="7">
        <v>3675535</v>
      </c>
      <c r="G646" s="7">
        <v>13627465</v>
      </c>
      <c r="H646" s="7">
        <v>581.01660000000004</v>
      </c>
      <c r="I646" s="7">
        <v>579.53489999999999</v>
      </c>
      <c r="J646" s="7">
        <v>14</v>
      </c>
      <c r="K646" s="7">
        <v>2.1133785000000001E-3</v>
      </c>
      <c r="L646" s="7">
        <v>582.24450800550005</v>
      </c>
      <c r="M646" s="7">
        <v>578.31012338749997</v>
      </c>
      <c r="N646" s="7">
        <v>580.25387916299997</v>
      </c>
      <c r="O646" s="7">
        <v>582.24450800550005</v>
      </c>
      <c r="P646" s="7">
        <v>578.31012338749997</v>
      </c>
      <c r="Q646">
        <v>1</v>
      </c>
      <c r="R646">
        <v>0</v>
      </c>
      <c r="S646" s="11">
        <v>45799.666666666664</v>
      </c>
      <c r="T646">
        <v>1857</v>
      </c>
    </row>
    <row r="647" spans="1:20">
      <c r="A647" s="11">
        <v>45799.458333333336</v>
      </c>
      <c r="B647" s="11">
        <v>45799.479166666664</v>
      </c>
      <c r="C647" s="10">
        <v>45799</v>
      </c>
      <c r="D647" s="7">
        <v>579.1866</v>
      </c>
      <c r="E647" s="7">
        <v>3030081</v>
      </c>
      <c r="F647" s="7">
        <v>3030081</v>
      </c>
      <c r="G647" s="7">
        <v>16657546</v>
      </c>
      <c r="H647" s="7">
        <v>581.01660000000004</v>
      </c>
      <c r="I647" s="7">
        <v>579.53489999999999</v>
      </c>
      <c r="J647" s="7">
        <v>14</v>
      </c>
      <c r="K647" s="7">
        <v>2.7337795000000002E-3</v>
      </c>
      <c r="L647" s="7">
        <v>582.60497127010001</v>
      </c>
      <c r="M647" s="7">
        <v>577.950579371</v>
      </c>
      <c r="N647" s="7">
        <v>580.05973638149999</v>
      </c>
      <c r="O647" s="7">
        <v>582.60497127010001</v>
      </c>
      <c r="P647" s="7">
        <v>577.950579371</v>
      </c>
      <c r="Q647">
        <v>1</v>
      </c>
      <c r="R647">
        <v>0</v>
      </c>
      <c r="S647" s="11">
        <v>45799.666666666664</v>
      </c>
      <c r="T647">
        <v>1856</v>
      </c>
    </row>
    <row r="648" spans="1:20">
      <c r="A648" s="11">
        <v>45799.479166666664</v>
      </c>
      <c r="B648" s="11">
        <v>45799.5</v>
      </c>
      <c r="C648" s="10">
        <v>45799</v>
      </c>
      <c r="D648" s="7">
        <v>580.97680000000003</v>
      </c>
      <c r="E648" s="7">
        <v>2708930</v>
      </c>
      <c r="F648" s="7">
        <v>2708930</v>
      </c>
      <c r="G648" s="7">
        <v>19366476</v>
      </c>
      <c r="H648" s="7">
        <v>581.01660000000004</v>
      </c>
      <c r="I648" s="7">
        <v>579.53489999999999</v>
      </c>
      <c r="J648" s="7">
        <v>14</v>
      </c>
      <c r="K648" s="7">
        <v>3.1120867999999999E-3</v>
      </c>
      <c r="L648" s="7">
        <v>582.82477408470004</v>
      </c>
      <c r="M648" s="7">
        <v>577.73133709429999</v>
      </c>
      <c r="N648" s="7">
        <v>580.1880127467</v>
      </c>
      <c r="O648" s="7">
        <v>582.82477408470004</v>
      </c>
      <c r="P648" s="7">
        <v>577.73133709429999</v>
      </c>
      <c r="Q648">
        <v>1</v>
      </c>
      <c r="R648">
        <v>0</v>
      </c>
      <c r="S648" s="11">
        <v>45799.666666666664</v>
      </c>
      <c r="T648">
        <v>1855</v>
      </c>
    </row>
    <row r="649" spans="1:20">
      <c r="A649" s="11">
        <v>45799.5</v>
      </c>
      <c r="B649" s="11">
        <v>45799.520833333336</v>
      </c>
      <c r="C649" s="10">
        <v>45799</v>
      </c>
      <c r="D649" s="7">
        <v>581.00670000000002</v>
      </c>
      <c r="E649" s="7">
        <v>2853261</v>
      </c>
      <c r="F649" s="7">
        <v>2853261</v>
      </c>
      <c r="G649" s="7">
        <v>22219737</v>
      </c>
      <c r="H649" s="7">
        <v>581.01660000000004</v>
      </c>
      <c r="I649" s="7">
        <v>579.53489999999999</v>
      </c>
      <c r="J649" s="7">
        <v>14</v>
      </c>
      <c r="K649" s="7">
        <v>3.8463441999999999E-3</v>
      </c>
      <c r="L649" s="7">
        <v>583.25138983140005</v>
      </c>
      <c r="M649" s="7">
        <v>577.30580929680002</v>
      </c>
      <c r="N649" s="7">
        <v>580.29314128220005</v>
      </c>
      <c r="O649" s="7">
        <v>583.25138983140005</v>
      </c>
      <c r="P649" s="7">
        <v>577.30580929680002</v>
      </c>
      <c r="Q649">
        <v>1</v>
      </c>
      <c r="R649">
        <v>0</v>
      </c>
      <c r="S649" s="11">
        <v>45799.666666666664</v>
      </c>
      <c r="T649">
        <v>1854</v>
      </c>
    </row>
    <row r="650" spans="1:20">
      <c r="A650" s="11">
        <v>45799.520833333336</v>
      </c>
      <c r="B650" s="11">
        <v>45799.541666666664</v>
      </c>
      <c r="C650" s="10">
        <v>45799</v>
      </c>
      <c r="D650" s="7">
        <v>579.75890000000004</v>
      </c>
      <c r="E650" s="7">
        <v>2113958</v>
      </c>
      <c r="F650" s="7">
        <v>2113958</v>
      </c>
      <c r="G650" s="7">
        <v>24333695</v>
      </c>
      <c r="H650" s="7">
        <v>581.01660000000004</v>
      </c>
      <c r="I650" s="7">
        <v>579.53489999999999</v>
      </c>
      <c r="J650" s="7">
        <v>14</v>
      </c>
      <c r="K650" s="7">
        <v>4.1526860000000001E-3</v>
      </c>
      <c r="L650" s="7">
        <v>583.42937948170004</v>
      </c>
      <c r="M650" s="7">
        <v>577.12827355310003</v>
      </c>
      <c r="N650" s="7">
        <v>580.24672976800002</v>
      </c>
      <c r="O650" s="7">
        <v>583.42937948170004</v>
      </c>
      <c r="P650" s="7">
        <v>577.12827355310003</v>
      </c>
      <c r="Q650">
        <v>1</v>
      </c>
      <c r="R650">
        <v>0</v>
      </c>
      <c r="S650" s="11">
        <v>45799.666666666664</v>
      </c>
      <c r="T650">
        <v>1853</v>
      </c>
    </row>
    <row r="651" spans="1:20">
      <c r="A651" s="11">
        <v>45799.541666666664</v>
      </c>
      <c r="B651" s="11">
        <v>45799.5625</v>
      </c>
      <c r="C651" s="10">
        <v>45799</v>
      </c>
      <c r="D651" s="7">
        <v>581.32479999999998</v>
      </c>
      <c r="E651" s="7">
        <v>2650968</v>
      </c>
      <c r="F651" s="7">
        <v>2650968</v>
      </c>
      <c r="G651" s="7">
        <v>26984663</v>
      </c>
      <c r="H651" s="7">
        <v>581.01660000000004</v>
      </c>
      <c r="I651" s="7">
        <v>579.53489999999999</v>
      </c>
      <c r="J651" s="7">
        <v>14</v>
      </c>
      <c r="K651" s="7">
        <v>4.7637021999999999E-3</v>
      </c>
      <c r="L651" s="7">
        <v>583.78439004359996</v>
      </c>
      <c r="M651" s="7">
        <v>576.77416833389998</v>
      </c>
      <c r="N651" s="7">
        <v>580.35263917609996</v>
      </c>
      <c r="O651" s="7">
        <v>583.78439004359996</v>
      </c>
      <c r="P651" s="7">
        <v>576.77416833389998</v>
      </c>
      <c r="Q651">
        <v>1</v>
      </c>
      <c r="R651">
        <v>0</v>
      </c>
      <c r="S651" s="11">
        <v>45799.666666666664</v>
      </c>
      <c r="T651">
        <v>1852</v>
      </c>
    </row>
    <row r="652" spans="1:20">
      <c r="A652" s="11">
        <v>45799.5625</v>
      </c>
      <c r="B652" s="11">
        <v>45799.583333333336</v>
      </c>
      <c r="C652" s="10">
        <v>45799</v>
      </c>
      <c r="D652" s="7">
        <v>582.00099999999998</v>
      </c>
      <c r="E652" s="7">
        <v>2288071</v>
      </c>
      <c r="F652" s="7">
        <v>2288071</v>
      </c>
      <c r="G652" s="7">
        <v>29272734</v>
      </c>
      <c r="H652" s="7">
        <v>581.01660000000004</v>
      </c>
      <c r="I652" s="7">
        <v>579.53489999999999</v>
      </c>
      <c r="J652" s="7">
        <v>14</v>
      </c>
      <c r="K652" s="7">
        <v>3.9833276000000003E-3</v>
      </c>
      <c r="L652" s="7">
        <v>583.33097947559997</v>
      </c>
      <c r="M652" s="7">
        <v>577.22642262099998</v>
      </c>
      <c r="N652" s="7">
        <v>580.48148148370001</v>
      </c>
      <c r="O652" s="7">
        <v>583.33097947559997</v>
      </c>
      <c r="P652" s="7">
        <v>577.22642262099998</v>
      </c>
      <c r="Q652">
        <v>1</v>
      </c>
      <c r="R652">
        <v>0</v>
      </c>
      <c r="S652" s="11">
        <v>45799.666666666664</v>
      </c>
      <c r="T652">
        <v>1851</v>
      </c>
    </row>
    <row r="653" spans="1:20">
      <c r="A653" s="11">
        <v>45799.583333333336</v>
      </c>
      <c r="B653" s="11">
        <v>45799.604166666664</v>
      </c>
      <c r="C653" s="10">
        <v>45799</v>
      </c>
      <c r="D653" s="7">
        <v>582.16999999999996</v>
      </c>
      <c r="E653" s="7">
        <v>2643131</v>
      </c>
      <c r="F653" s="7">
        <v>2643131</v>
      </c>
      <c r="G653" s="7">
        <v>31915865</v>
      </c>
      <c r="H653" s="7">
        <v>581.01660000000004</v>
      </c>
      <c r="I653" s="7">
        <v>579.53489999999999</v>
      </c>
      <c r="J653" s="7">
        <v>14</v>
      </c>
      <c r="K653" s="7">
        <v>5.1110488999999999E-3</v>
      </c>
      <c r="L653" s="7">
        <v>583.98620425599995</v>
      </c>
      <c r="M653" s="7">
        <v>576.57286878519994</v>
      </c>
      <c r="N653" s="7">
        <v>580.62131713079998</v>
      </c>
      <c r="O653" s="7">
        <v>583.98620425599995</v>
      </c>
      <c r="P653" s="7">
        <v>576.57286878519994</v>
      </c>
      <c r="Q653">
        <v>1</v>
      </c>
      <c r="R653">
        <v>0</v>
      </c>
      <c r="S653" s="11">
        <v>45799.666666666664</v>
      </c>
      <c r="T653">
        <v>1850</v>
      </c>
    </row>
    <row r="654" spans="1:20">
      <c r="A654" s="11">
        <v>45799.604166666664</v>
      </c>
      <c r="B654" s="11">
        <v>45799.625</v>
      </c>
      <c r="C654" s="10">
        <v>45799</v>
      </c>
      <c r="D654" s="7">
        <v>582.50310000000002</v>
      </c>
      <c r="E654" s="7">
        <v>2340025</v>
      </c>
      <c r="F654" s="7">
        <v>2340025</v>
      </c>
      <c r="G654" s="7">
        <v>34255890</v>
      </c>
      <c r="H654" s="7">
        <v>581.01660000000004</v>
      </c>
      <c r="I654" s="7">
        <v>579.53489999999999</v>
      </c>
      <c r="J654" s="7">
        <v>14</v>
      </c>
      <c r="K654" s="7">
        <v>4.9016301000000002E-3</v>
      </c>
      <c r="L654" s="7">
        <v>583.86452843580003</v>
      </c>
      <c r="M654" s="7">
        <v>576.69423430949996</v>
      </c>
      <c r="N654" s="7">
        <v>580.74986200169997</v>
      </c>
      <c r="O654" s="7">
        <v>583.86452843580003</v>
      </c>
      <c r="P654" s="7">
        <v>576.69423430949996</v>
      </c>
      <c r="Q654">
        <v>1</v>
      </c>
      <c r="R654">
        <v>0</v>
      </c>
      <c r="S654" s="11">
        <v>45799.666666666664</v>
      </c>
      <c r="T654">
        <v>1849</v>
      </c>
    </row>
    <row r="655" spans="1:20">
      <c r="A655" s="11">
        <v>45799.625</v>
      </c>
      <c r="B655" s="11">
        <v>45799.645833333336</v>
      </c>
      <c r="C655" s="10">
        <v>45799</v>
      </c>
      <c r="D655" s="7">
        <v>583.15930000000003</v>
      </c>
      <c r="E655" s="7">
        <v>3329807</v>
      </c>
      <c r="F655" s="7">
        <v>3329807</v>
      </c>
      <c r="G655" s="7">
        <v>37585697</v>
      </c>
      <c r="H655" s="7">
        <v>581.01660000000004</v>
      </c>
      <c r="I655" s="7">
        <v>579.53489999999999</v>
      </c>
      <c r="J655" s="7">
        <v>14</v>
      </c>
      <c r="K655" s="7">
        <v>5.2212214999999996E-3</v>
      </c>
      <c r="L655" s="7">
        <v>584.05021636460003</v>
      </c>
      <c r="M655" s="7">
        <v>576.50901991930004</v>
      </c>
      <c r="N655" s="7">
        <v>580.96331988999998</v>
      </c>
      <c r="O655" s="7">
        <v>584.05021636460003</v>
      </c>
      <c r="P655" s="7">
        <v>576.50901991930004</v>
      </c>
      <c r="Q655">
        <v>1</v>
      </c>
      <c r="R655">
        <v>0</v>
      </c>
      <c r="S655" s="11">
        <v>45799.666666666664</v>
      </c>
      <c r="T655">
        <v>1848</v>
      </c>
    </row>
    <row r="656" spans="1:20">
      <c r="A656" s="11">
        <v>45799.645833333336</v>
      </c>
      <c r="B656" s="11">
        <v>45799.666666666664</v>
      </c>
      <c r="C656" s="10">
        <v>45799</v>
      </c>
      <c r="D656" s="7">
        <v>579.76379999999995</v>
      </c>
      <c r="E656" s="7">
        <v>11357963</v>
      </c>
      <c r="F656" s="7">
        <v>11357963</v>
      </c>
      <c r="G656" s="7">
        <v>48943660</v>
      </c>
      <c r="H656" s="7">
        <v>581.01660000000004</v>
      </c>
      <c r="I656" s="7">
        <v>579.53489999999999</v>
      </c>
      <c r="J656" s="7">
        <v>14</v>
      </c>
      <c r="K656" s="7">
        <v>4.0505018E-3</v>
      </c>
      <c r="L656" s="7">
        <v>583.3700088045</v>
      </c>
      <c r="M656" s="7">
        <v>577.18749282409999</v>
      </c>
      <c r="N656" s="7">
        <v>580.68263630080003</v>
      </c>
      <c r="O656" s="7">
        <v>583.3700088045</v>
      </c>
      <c r="P656" s="7">
        <v>577.18749282409999</v>
      </c>
      <c r="Q656">
        <v>1</v>
      </c>
      <c r="R656">
        <v>1</v>
      </c>
      <c r="S656" s="11">
        <v>45799.666666666664</v>
      </c>
      <c r="T656">
        <v>1847</v>
      </c>
    </row>
    <row r="657" spans="1:20">
      <c r="A657" s="11">
        <v>45800.395833333336</v>
      </c>
      <c r="B657" s="11">
        <v>45800.416666666664</v>
      </c>
      <c r="C657" s="10">
        <v>45800</v>
      </c>
      <c r="D657" s="7">
        <v>573.46990000000005</v>
      </c>
      <c r="E657" s="7">
        <v>8722413</v>
      </c>
      <c r="F657" s="7">
        <v>8722413</v>
      </c>
      <c r="G657" s="7">
        <v>8722413</v>
      </c>
      <c r="H657" s="7">
        <v>573.46990000000005</v>
      </c>
      <c r="I657" s="7">
        <v>579.76350000000002</v>
      </c>
      <c r="J657" s="7">
        <v>14</v>
      </c>
      <c r="K657" s="7">
        <v>0</v>
      </c>
      <c r="L657" s="7">
        <v>579.76350000000002</v>
      </c>
      <c r="M657" s="7">
        <v>573.46990000000005</v>
      </c>
      <c r="N657" s="7">
        <v>573.46990000000005</v>
      </c>
      <c r="O657" s="7">
        <v>579.76350000000002</v>
      </c>
      <c r="P657" s="7">
        <v>573.46990000000005</v>
      </c>
      <c r="Q657">
        <v>1</v>
      </c>
      <c r="R657">
        <v>0</v>
      </c>
      <c r="S657" s="11">
        <v>45800.666666666664</v>
      </c>
      <c r="T657">
        <v>1845</v>
      </c>
    </row>
    <row r="658" spans="1:20">
      <c r="A658" s="11">
        <v>45800.416666666664</v>
      </c>
      <c r="B658" s="11">
        <v>45800.4375</v>
      </c>
      <c r="C658" s="10">
        <v>45800</v>
      </c>
      <c r="D658" s="7">
        <v>574.40449999999998</v>
      </c>
      <c r="E658" s="7">
        <v>4739860</v>
      </c>
      <c r="F658" s="7">
        <v>4739860</v>
      </c>
      <c r="G658" s="7">
        <v>13462273</v>
      </c>
      <c r="H658" s="7">
        <v>573.46990000000005</v>
      </c>
      <c r="I658" s="7">
        <v>579.76350000000002</v>
      </c>
      <c r="J658" s="7">
        <v>14</v>
      </c>
      <c r="K658" s="7">
        <v>1.5243183000000001E-3</v>
      </c>
      <c r="L658" s="7">
        <v>580.64724409250005</v>
      </c>
      <c r="M658" s="7">
        <v>572.5957493569</v>
      </c>
      <c r="N658" s="7">
        <v>573.79895833629996</v>
      </c>
      <c r="O658" s="7">
        <v>580.64724409250005</v>
      </c>
      <c r="P658" s="7">
        <v>572.5957493569</v>
      </c>
      <c r="Q658">
        <v>1</v>
      </c>
      <c r="R658">
        <v>0</v>
      </c>
      <c r="S658" s="11">
        <v>45800.666666666664</v>
      </c>
      <c r="T658">
        <v>1844</v>
      </c>
    </row>
    <row r="659" spans="1:20">
      <c r="A659" s="11">
        <v>45800.4375</v>
      </c>
      <c r="B659" s="11">
        <v>45800.458333333336</v>
      </c>
      <c r="C659" s="10">
        <v>45800</v>
      </c>
      <c r="D659" s="7">
        <v>573.89250000000004</v>
      </c>
      <c r="E659" s="7">
        <v>2800811</v>
      </c>
      <c r="F659" s="7">
        <v>2800811</v>
      </c>
      <c r="G659" s="7">
        <v>16263084</v>
      </c>
      <c r="H659" s="7">
        <v>573.46990000000005</v>
      </c>
      <c r="I659" s="7">
        <v>579.76350000000002</v>
      </c>
      <c r="J659" s="7">
        <v>14</v>
      </c>
      <c r="K659" s="7">
        <v>1.9808069000000002E-3</v>
      </c>
      <c r="L659" s="7">
        <v>580.91189954380002</v>
      </c>
      <c r="M659" s="7">
        <v>572.33396686250001</v>
      </c>
      <c r="N659" s="7">
        <v>573.81506798199996</v>
      </c>
      <c r="O659" s="7">
        <v>580.91189954380002</v>
      </c>
      <c r="P659" s="7">
        <v>572.33396686250001</v>
      </c>
      <c r="Q659">
        <v>1</v>
      </c>
      <c r="R659">
        <v>0</v>
      </c>
      <c r="S659" s="11">
        <v>45800.666666666664</v>
      </c>
      <c r="T659">
        <v>1843</v>
      </c>
    </row>
    <row r="660" spans="1:20">
      <c r="A660" s="11">
        <v>45800.458333333336</v>
      </c>
      <c r="B660" s="11">
        <v>45800.479166666664</v>
      </c>
      <c r="C660" s="10">
        <v>45800</v>
      </c>
      <c r="D660" s="7">
        <v>575.13040000000001</v>
      </c>
      <c r="E660" s="7">
        <v>2554211</v>
      </c>
      <c r="F660" s="7">
        <v>2554211</v>
      </c>
      <c r="G660" s="7">
        <v>18817295</v>
      </c>
      <c r="H660" s="7">
        <v>573.46990000000005</v>
      </c>
      <c r="I660" s="7">
        <v>579.76350000000002</v>
      </c>
      <c r="J660" s="7">
        <v>14</v>
      </c>
      <c r="K660" s="7">
        <v>2.7996592E-3</v>
      </c>
      <c r="L660" s="7">
        <v>581.38664019869998</v>
      </c>
      <c r="M660" s="7">
        <v>571.86437973629995</v>
      </c>
      <c r="N660" s="7">
        <v>573.99360775130003</v>
      </c>
      <c r="O660" s="7">
        <v>581.38664019869998</v>
      </c>
      <c r="P660" s="7">
        <v>571.86437973629995</v>
      </c>
      <c r="Q660">
        <v>1</v>
      </c>
      <c r="R660">
        <v>0</v>
      </c>
      <c r="S660" s="11">
        <v>45800.666666666664</v>
      </c>
      <c r="T660">
        <v>1842</v>
      </c>
    </row>
    <row r="661" spans="1:20">
      <c r="A661" s="11">
        <v>45800.479166666664</v>
      </c>
      <c r="B661" s="11">
        <v>45800.5</v>
      </c>
      <c r="C661" s="10">
        <v>45800</v>
      </c>
      <c r="D661" s="7">
        <v>574.73270000000002</v>
      </c>
      <c r="E661" s="7">
        <v>2461738</v>
      </c>
      <c r="F661" s="7">
        <v>2461738</v>
      </c>
      <c r="G661" s="7">
        <v>21279033</v>
      </c>
      <c r="H661" s="7">
        <v>573.46990000000005</v>
      </c>
      <c r="I661" s="7">
        <v>579.76350000000002</v>
      </c>
      <c r="J661" s="7">
        <v>14</v>
      </c>
      <c r="K661" s="7">
        <v>2.7607711E-3</v>
      </c>
      <c r="L661" s="7">
        <v>581.36409430619995</v>
      </c>
      <c r="M661" s="7">
        <v>571.88668088270003</v>
      </c>
      <c r="N661" s="7">
        <v>574.07911217599997</v>
      </c>
      <c r="O661" s="7">
        <v>581.36409430619995</v>
      </c>
      <c r="P661" s="7">
        <v>571.88668088270003</v>
      </c>
      <c r="Q661">
        <v>1</v>
      </c>
      <c r="R661">
        <v>0</v>
      </c>
      <c r="S661" s="11">
        <v>45800.666666666664</v>
      </c>
      <c r="T661">
        <v>1841</v>
      </c>
    </row>
    <row r="662" spans="1:20">
      <c r="A662" s="11">
        <v>45800.5</v>
      </c>
      <c r="B662" s="11">
        <v>45800.520833333336</v>
      </c>
      <c r="C662" s="10">
        <v>45800</v>
      </c>
      <c r="D662" s="7">
        <v>575.3193</v>
      </c>
      <c r="E662" s="7">
        <v>2153142</v>
      </c>
      <c r="F662" s="7">
        <v>2153142</v>
      </c>
      <c r="G662" s="7">
        <v>23432175</v>
      </c>
      <c r="H662" s="7">
        <v>573.46990000000005</v>
      </c>
      <c r="I662" s="7">
        <v>579.76350000000002</v>
      </c>
      <c r="J662" s="7">
        <v>14</v>
      </c>
      <c r="K662" s="7">
        <v>3.3671131000000002E-3</v>
      </c>
      <c r="L662" s="7">
        <v>581.71562929380002</v>
      </c>
      <c r="M662" s="7">
        <v>571.53896196949995</v>
      </c>
      <c r="N662" s="7">
        <v>574.19307088840003</v>
      </c>
      <c r="O662" s="7">
        <v>581.71562929380002</v>
      </c>
      <c r="P662" s="7">
        <v>571.53896196949995</v>
      </c>
      <c r="Q662">
        <v>1</v>
      </c>
      <c r="R662">
        <v>0</v>
      </c>
      <c r="S662" s="11">
        <v>45800.666666666664</v>
      </c>
      <c r="T662">
        <v>1840</v>
      </c>
    </row>
    <row r="663" spans="1:20">
      <c r="A663" s="11">
        <v>45800.520833333336</v>
      </c>
      <c r="B663" s="11">
        <v>45800.541666666664</v>
      </c>
      <c r="C663" s="10">
        <v>45800</v>
      </c>
      <c r="D663" s="7">
        <v>575.68709999999999</v>
      </c>
      <c r="E663" s="7">
        <v>1975951</v>
      </c>
      <c r="F663" s="7">
        <v>1975951</v>
      </c>
      <c r="G663" s="7">
        <v>25408126</v>
      </c>
      <c r="H663" s="7">
        <v>573.46990000000005</v>
      </c>
      <c r="I663" s="7">
        <v>579.76350000000002</v>
      </c>
      <c r="J663" s="7">
        <v>14</v>
      </c>
      <c r="K663" s="7">
        <v>3.7964495000000001E-3</v>
      </c>
      <c r="L663" s="7">
        <v>581.96454283460002</v>
      </c>
      <c r="M663" s="7">
        <v>571.29275049980004</v>
      </c>
      <c r="N663" s="7">
        <v>574.30925924149994</v>
      </c>
      <c r="O663" s="7">
        <v>581.96454283460002</v>
      </c>
      <c r="P663" s="7">
        <v>571.29275049980004</v>
      </c>
      <c r="Q663">
        <v>1</v>
      </c>
      <c r="R663">
        <v>0</v>
      </c>
      <c r="S663" s="11">
        <v>45800.666666666664</v>
      </c>
      <c r="T663">
        <v>1839</v>
      </c>
    </row>
    <row r="664" spans="1:20">
      <c r="A664" s="11">
        <v>45800.541666666664</v>
      </c>
      <c r="B664" s="11">
        <v>45800.5625</v>
      </c>
      <c r="C664" s="10">
        <v>45800</v>
      </c>
      <c r="D664" s="7">
        <v>577.72550000000001</v>
      </c>
      <c r="E664" s="7">
        <v>2455264</v>
      </c>
      <c r="F664" s="7">
        <v>2455264</v>
      </c>
      <c r="G664" s="7">
        <v>27863390</v>
      </c>
      <c r="H664" s="7">
        <v>573.46990000000005</v>
      </c>
      <c r="I664" s="7">
        <v>579.76350000000002</v>
      </c>
      <c r="J664" s="7">
        <v>14</v>
      </c>
      <c r="K664" s="7">
        <v>4.3832567000000001E-3</v>
      </c>
      <c r="L664" s="7">
        <v>582.30475223450003</v>
      </c>
      <c r="M664" s="7">
        <v>570.95623422970004</v>
      </c>
      <c r="N664" s="7">
        <v>574.61029127500001</v>
      </c>
      <c r="O664" s="7">
        <v>582.30475223450003</v>
      </c>
      <c r="P664" s="7">
        <v>570.95623422970004</v>
      </c>
      <c r="Q664">
        <v>1</v>
      </c>
      <c r="R664">
        <v>0</v>
      </c>
      <c r="S664" s="11">
        <v>45800.666666666664</v>
      </c>
      <c r="T664">
        <v>1838</v>
      </c>
    </row>
    <row r="665" spans="1:20">
      <c r="A665" s="11">
        <v>45800.5625</v>
      </c>
      <c r="B665" s="11">
        <v>45800.583333333336</v>
      </c>
      <c r="C665" s="10">
        <v>45800</v>
      </c>
      <c r="D665" s="7">
        <v>577.52670000000001</v>
      </c>
      <c r="E665" s="7">
        <v>2001201</v>
      </c>
      <c r="F665" s="7">
        <v>2001201</v>
      </c>
      <c r="G665" s="7">
        <v>29864591</v>
      </c>
      <c r="H665" s="7">
        <v>573.46990000000005</v>
      </c>
      <c r="I665" s="7">
        <v>579.76350000000002</v>
      </c>
      <c r="J665" s="7">
        <v>14</v>
      </c>
      <c r="K665" s="7">
        <v>3.6270733999999999E-3</v>
      </c>
      <c r="L665" s="7">
        <v>581.86634477040002</v>
      </c>
      <c r="M665" s="7">
        <v>571.38988257879998</v>
      </c>
      <c r="N665" s="7">
        <v>574.80571735850003</v>
      </c>
      <c r="O665" s="7">
        <v>581.86634477040002</v>
      </c>
      <c r="P665" s="7">
        <v>571.38988257879998</v>
      </c>
      <c r="Q665">
        <v>1</v>
      </c>
      <c r="R665">
        <v>0</v>
      </c>
      <c r="S665" s="11">
        <v>45800.666666666664</v>
      </c>
      <c r="T665">
        <v>1837</v>
      </c>
    </row>
    <row r="666" spans="1:20">
      <c r="A666" s="11">
        <v>45800.583333333336</v>
      </c>
      <c r="B666" s="11">
        <v>45800.604166666664</v>
      </c>
      <c r="C666" s="10">
        <v>45800</v>
      </c>
      <c r="D666" s="7">
        <v>577.37750000000005</v>
      </c>
      <c r="E666" s="7">
        <v>3195214</v>
      </c>
      <c r="F666" s="7">
        <v>3195214</v>
      </c>
      <c r="G666" s="7">
        <v>33059805</v>
      </c>
      <c r="H666" s="7">
        <v>573.46990000000005</v>
      </c>
      <c r="I666" s="7">
        <v>579.76350000000002</v>
      </c>
      <c r="J666" s="7">
        <v>14</v>
      </c>
      <c r="K666" s="7">
        <v>4.7191565000000001E-3</v>
      </c>
      <c r="L666" s="7">
        <v>582.49949468839998</v>
      </c>
      <c r="M666" s="7">
        <v>570.76360579489995</v>
      </c>
      <c r="N666" s="7">
        <v>575.05427889429996</v>
      </c>
      <c r="O666" s="7">
        <v>582.49949468839998</v>
      </c>
      <c r="P666" s="7">
        <v>570.76360579489995</v>
      </c>
      <c r="Q666">
        <v>1</v>
      </c>
      <c r="R666">
        <v>0</v>
      </c>
      <c r="S666" s="11">
        <v>45800.666666666664</v>
      </c>
      <c r="T666">
        <v>1836</v>
      </c>
    </row>
    <row r="667" spans="1:20">
      <c r="A667" s="11">
        <v>45800.604166666664</v>
      </c>
      <c r="B667" s="11">
        <v>45800.625</v>
      </c>
      <c r="C667" s="10">
        <v>45800</v>
      </c>
      <c r="D667" s="7">
        <v>577.39739999999995</v>
      </c>
      <c r="E667" s="7">
        <v>1807107</v>
      </c>
      <c r="F667" s="7">
        <v>1807107</v>
      </c>
      <c r="G667" s="7">
        <v>34866912</v>
      </c>
      <c r="H667" s="7">
        <v>573.46990000000005</v>
      </c>
      <c r="I667" s="7">
        <v>579.76350000000002</v>
      </c>
      <c r="J667" s="7">
        <v>14</v>
      </c>
      <c r="K667" s="7">
        <v>4.6311855999999997E-3</v>
      </c>
      <c r="L667" s="7">
        <v>582.44849236610003</v>
      </c>
      <c r="M667" s="7">
        <v>570.81405446350004</v>
      </c>
      <c r="N667" s="7">
        <v>575.17571983380003</v>
      </c>
      <c r="O667" s="7">
        <v>582.44849236610003</v>
      </c>
      <c r="P667" s="7">
        <v>570.81405446350004</v>
      </c>
      <c r="Q667">
        <v>1</v>
      </c>
      <c r="R667">
        <v>0</v>
      </c>
      <c r="S667" s="11">
        <v>45800.666666666664</v>
      </c>
      <c r="T667">
        <v>1835</v>
      </c>
    </row>
    <row r="668" spans="1:20">
      <c r="A668" s="11">
        <v>45800.625</v>
      </c>
      <c r="B668" s="11">
        <v>45800.645833333336</v>
      </c>
      <c r="C668" s="10">
        <v>45800</v>
      </c>
      <c r="D668" s="7">
        <v>576.46280000000002</v>
      </c>
      <c r="E668" s="7">
        <v>3088211</v>
      </c>
      <c r="F668" s="7">
        <v>3088211</v>
      </c>
      <c r="G668" s="7">
        <v>37955123</v>
      </c>
      <c r="H668" s="7">
        <v>573.46990000000005</v>
      </c>
      <c r="I668" s="7">
        <v>579.76350000000002</v>
      </c>
      <c r="J668" s="7">
        <v>14</v>
      </c>
      <c r="K668" s="7">
        <v>4.9585621000000002E-3</v>
      </c>
      <c r="L668" s="7">
        <v>582.63829330900001</v>
      </c>
      <c r="M668" s="7">
        <v>570.62631389729995</v>
      </c>
      <c r="N668" s="7">
        <v>575.28044285440001</v>
      </c>
      <c r="O668" s="7">
        <v>582.63829330900001</v>
      </c>
      <c r="P668" s="7">
        <v>570.62631389729995</v>
      </c>
      <c r="Q668">
        <v>1</v>
      </c>
      <c r="R668">
        <v>0</v>
      </c>
      <c r="S668" s="11">
        <v>45800.666666666664</v>
      </c>
      <c r="T668">
        <v>1834</v>
      </c>
    </row>
    <row r="669" spans="1:20">
      <c r="A669" s="11">
        <v>45800.645833333336</v>
      </c>
      <c r="B669" s="11">
        <v>45800.666666666664</v>
      </c>
      <c r="C669" s="10">
        <v>45800</v>
      </c>
      <c r="D669" s="7">
        <v>575.80650000000003</v>
      </c>
      <c r="E669" s="7">
        <v>8865369</v>
      </c>
      <c r="F669" s="7">
        <v>8865369</v>
      </c>
      <c r="G669" s="7">
        <v>46820492</v>
      </c>
      <c r="H669" s="7">
        <v>573.46990000000005</v>
      </c>
      <c r="I669" s="7">
        <v>579.76350000000002</v>
      </c>
      <c r="J669" s="7">
        <v>14</v>
      </c>
      <c r="K669" s="7">
        <v>3.7887199000000002E-3</v>
      </c>
      <c r="L669" s="7">
        <v>581.96006151309996</v>
      </c>
      <c r="M669" s="7">
        <v>571.29718317449999</v>
      </c>
      <c r="N669" s="7">
        <v>575.38192529640003</v>
      </c>
      <c r="O669" s="7">
        <v>581.96006151309996</v>
      </c>
      <c r="P669" s="7">
        <v>571.29718317449999</v>
      </c>
      <c r="Q669">
        <v>1</v>
      </c>
      <c r="R669">
        <v>1</v>
      </c>
      <c r="S669" s="11">
        <v>45800.666666666664</v>
      </c>
      <c r="T669">
        <v>1833</v>
      </c>
    </row>
    <row r="670" spans="1:20">
      <c r="A670" s="11">
        <v>45804.395833333336</v>
      </c>
      <c r="B670" s="11">
        <v>45804.416666666664</v>
      </c>
      <c r="C670" s="10">
        <v>45804</v>
      </c>
      <c r="D670" s="7">
        <v>582.95540000000005</v>
      </c>
      <c r="E670" s="7">
        <v>6670511</v>
      </c>
      <c r="F670" s="7">
        <v>6670511</v>
      </c>
      <c r="G670" s="7">
        <v>6670511</v>
      </c>
      <c r="H670" s="7">
        <v>582.95540000000005</v>
      </c>
      <c r="I670" s="7">
        <v>575.80629999999996</v>
      </c>
      <c r="J670" s="7">
        <v>14</v>
      </c>
      <c r="K670" s="7">
        <v>0</v>
      </c>
      <c r="L670" s="7">
        <v>582.95540000000005</v>
      </c>
      <c r="M670" s="7">
        <v>575.80629999999996</v>
      </c>
      <c r="N670" s="7">
        <v>582.95540000000005</v>
      </c>
      <c r="O670" s="7">
        <v>582.95540000000005</v>
      </c>
      <c r="P670" s="7">
        <v>575.80629999999996</v>
      </c>
      <c r="Q670">
        <v>1</v>
      </c>
      <c r="R670">
        <v>0</v>
      </c>
      <c r="S670" s="11">
        <v>45804.666666666664</v>
      </c>
      <c r="T670">
        <v>1831</v>
      </c>
    </row>
    <row r="671" spans="1:20">
      <c r="A671" s="11">
        <v>45804.416666666664</v>
      </c>
      <c r="B671" s="11">
        <v>45804.4375</v>
      </c>
      <c r="C671" s="10">
        <v>45804</v>
      </c>
      <c r="D671" s="7">
        <v>584.52560000000005</v>
      </c>
      <c r="E671" s="7">
        <v>4890155</v>
      </c>
      <c r="F671" s="7">
        <v>4890155</v>
      </c>
      <c r="G671" s="7">
        <v>11560666</v>
      </c>
      <c r="H671" s="7">
        <v>582.95540000000005</v>
      </c>
      <c r="I671" s="7">
        <v>575.80629999999996</v>
      </c>
      <c r="J671" s="7">
        <v>14</v>
      </c>
      <c r="K671" s="7">
        <v>1.6298841000000001E-3</v>
      </c>
      <c r="L671" s="7">
        <v>583.90554975270004</v>
      </c>
      <c r="M671" s="7">
        <v>574.86780245190005</v>
      </c>
      <c r="N671" s="7">
        <v>583.61959368750001</v>
      </c>
      <c r="O671" s="7">
        <v>583.90554975270004</v>
      </c>
      <c r="P671" s="7">
        <v>574.86780245190005</v>
      </c>
      <c r="Q671">
        <v>1</v>
      </c>
      <c r="R671">
        <v>0</v>
      </c>
      <c r="S671" s="11">
        <v>45804.666666666664</v>
      </c>
      <c r="T671">
        <v>1830</v>
      </c>
    </row>
    <row r="672" spans="1:20">
      <c r="A672" s="11">
        <v>45804.4375</v>
      </c>
      <c r="B672" s="11">
        <v>45804.458333333336</v>
      </c>
      <c r="C672" s="10">
        <v>45804</v>
      </c>
      <c r="D672" s="7">
        <v>584.71040000000005</v>
      </c>
      <c r="E672" s="7">
        <v>2884693</v>
      </c>
      <c r="F672" s="7">
        <v>2884693</v>
      </c>
      <c r="G672" s="7">
        <v>14445359</v>
      </c>
      <c r="H672" s="7">
        <v>582.95540000000005</v>
      </c>
      <c r="I672" s="7">
        <v>575.80629999999996</v>
      </c>
      <c r="J672" s="7">
        <v>14</v>
      </c>
      <c r="K672" s="7">
        <v>1.8928252E-3</v>
      </c>
      <c r="L672" s="7">
        <v>584.05883264659997</v>
      </c>
      <c r="M672" s="7">
        <v>574.71639934970005</v>
      </c>
      <c r="N672" s="7">
        <v>583.83742429560004</v>
      </c>
      <c r="O672" s="7">
        <v>584.05883264659997</v>
      </c>
      <c r="P672" s="7">
        <v>574.71639934970005</v>
      </c>
      <c r="Q672">
        <v>1</v>
      </c>
      <c r="R672">
        <v>0</v>
      </c>
      <c r="S672" s="11">
        <v>45804.666666666664</v>
      </c>
      <c r="T672">
        <v>1829</v>
      </c>
    </row>
    <row r="673" spans="1:20">
      <c r="A673" s="11">
        <v>45804.458333333336</v>
      </c>
      <c r="B673" s="11">
        <v>45804.479166666664</v>
      </c>
      <c r="C673" s="10">
        <v>45804</v>
      </c>
      <c r="D673" s="7">
        <v>585.44119999999998</v>
      </c>
      <c r="E673" s="7">
        <v>2881293</v>
      </c>
      <c r="F673" s="7">
        <v>2881293</v>
      </c>
      <c r="G673" s="7">
        <v>17326652</v>
      </c>
      <c r="H673" s="7">
        <v>582.95540000000005</v>
      </c>
      <c r="I673" s="7">
        <v>575.80629999999996</v>
      </c>
      <c r="J673" s="7">
        <v>14</v>
      </c>
      <c r="K673" s="7">
        <v>2.8772553000000001E-3</v>
      </c>
      <c r="L673" s="7">
        <v>584.6327115158</v>
      </c>
      <c r="M673" s="7">
        <v>574.14955827009999</v>
      </c>
      <c r="N673" s="7">
        <v>584.10412023369997</v>
      </c>
      <c r="O673" s="7">
        <v>584.6327115158</v>
      </c>
      <c r="P673" s="7">
        <v>574.14955827009999</v>
      </c>
      <c r="Q673">
        <v>1</v>
      </c>
      <c r="R673">
        <v>0</v>
      </c>
      <c r="S673" s="11">
        <v>45804.666666666664</v>
      </c>
      <c r="T673">
        <v>1828</v>
      </c>
    </row>
    <row r="674" spans="1:20">
      <c r="A674" s="11">
        <v>45804.479166666664</v>
      </c>
      <c r="B674" s="11">
        <v>45804.5</v>
      </c>
      <c r="C674" s="10">
        <v>45804</v>
      </c>
      <c r="D674" s="7">
        <v>585.61019999999996</v>
      </c>
      <c r="E674" s="7">
        <v>2460875</v>
      </c>
      <c r="F674" s="7">
        <v>2460875</v>
      </c>
      <c r="G674" s="7">
        <v>19787527</v>
      </c>
      <c r="H674" s="7">
        <v>582.95540000000005</v>
      </c>
      <c r="I674" s="7">
        <v>575.80629999999996</v>
      </c>
      <c r="J674" s="7">
        <v>14</v>
      </c>
      <c r="K674" s="7">
        <v>2.7647624000000002E-3</v>
      </c>
      <c r="L674" s="7">
        <v>584.5671331584</v>
      </c>
      <c r="M674" s="7">
        <v>574.21433240429997</v>
      </c>
      <c r="N674" s="7">
        <v>584.29142378330005</v>
      </c>
      <c r="O674" s="7">
        <v>584.5671331584</v>
      </c>
      <c r="P674" s="7">
        <v>574.21433240429997</v>
      </c>
      <c r="Q674">
        <v>1</v>
      </c>
      <c r="R674">
        <v>0</v>
      </c>
      <c r="S674" s="11">
        <v>45804.666666666664</v>
      </c>
      <c r="T674">
        <v>1827</v>
      </c>
    </row>
    <row r="675" spans="1:20">
      <c r="A675" s="11">
        <v>45804.5</v>
      </c>
      <c r="B675" s="11">
        <v>45804.520833333336</v>
      </c>
      <c r="C675" s="10">
        <v>45804</v>
      </c>
      <c r="D675" s="7">
        <v>585.99800000000005</v>
      </c>
      <c r="E675" s="7">
        <v>2650842</v>
      </c>
      <c r="F675" s="7">
        <v>2650842</v>
      </c>
      <c r="G675" s="7">
        <v>22438369</v>
      </c>
      <c r="H675" s="7">
        <v>582.95540000000005</v>
      </c>
      <c r="I675" s="7">
        <v>575.80629999999996</v>
      </c>
      <c r="J675" s="7">
        <v>14</v>
      </c>
      <c r="K675" s="7">
        <v>3.3567468000000001E-3</v>
      </c>
      <c r="L675" s="7">
        <v>584.91223367329997</v>
      </c>
      <c r="M675" s="7">
        <v>573.87346404519997</v>
      </c>
      <c r="N675" s="7">
        <v>584.49303665059995</v>
      </c>
      <c r="O675" s="7">
        <v>584.91223367329997</v>
      </c>
      <c r="P675" s="7">
        <v>573.87346404519997</v>
      </c>
      <c r="Q675">
        <v>1</v>
      </c>
      <c r="R675">
        <v>0</v>
      </c>
      <c r="S675" s="11">
        <v>45804.666666666664</v>
      </c>
      <c r="T675">
        <v>1826</v>
      </c>
    </row>
    <row r="676" spans="1:20">
      <c r="A676" s="11">
        <v>45804.520833333336</v>
      </c>
      <c r="B676" s="11">
        <v>45804.541666666664</v>
      </c>
      <c r="C676" s="10">
        <v>45804</v>
      </c>
      <c r="D676" s="7">
        <v>586.5829</v>
      </c>
      <c r="E676" s="7">
        <v>3420658</v>
      </c>
      <c r="F676" s="7">
        <v>3420658</v>
      </c>
      <c r="G676" s="7">
        <v>25859027</v>
      </c>
      <c r="H676" s="7">
        <v>582.95540000000005</v>
      </c>
      <c r="I676" s="7">
        <v>575.80629999999996</v>
      </c>
      <c r="J676" s="7">
        <v>14</v>
      </c>
      <c r="K676" s="7">
        <v>3.8470955000000002E-3</v>
      </c>
      <c r="L676" s="7">
        <v>585.19808508400001</v>
      </c>
      <c r="M676" s="7">
        <v>573.59111818630004</v>
      </c>
      <c r="N676" s="7">
        <v>584.76948586829997</v>
      </c>
      <c r="O676" s="7">
        <v>585.19808508400001</v>
      </c>
      <c r="P676" s="7">
        <v>573.59111818630004</v>
      </c>
      <c r="Q676">
        <v>1</v>
      </c>
      <c r="R676">
        <v>0</v>
      </c>
      <c r="S676" s="11">
        <v>45804.666666666664</v>
      </c>
      <c r="T676">
        <v>1825</v>
      </c>
    </row>
    <row r="677" spans="1:20">
      <c r="A677" s="11">
        <v>45804.541666666664</v>
      </c>
      <c r="B677" s="11">
        <v>45804.5625</v>
      </c>
      <c r="C677" s="10">
        <v>45804</v>
      </c>
      <c r="D677" s="7">
        <v>586.80340000000001</v>
      </c>
      <c r="E677" s="7">
        <v>1772363</v>
      </c>
      <c r="F677" s="7">
        <v>1772363</v>
      </c>
      <c r="G677" s="7">
        <v>27631390</v>
      </c>
      <c r="H677" s="7">
        <v>582.95540000000005</v>
      </c>
      <c r="I677" s="7">
        <v>575.80629999999996</v>
      </c>
      <c r="J677" s="7">
        <v>14</v>
      </c>
      <c r="K677" s="7">
        <v>4.7498738000000002E-3</v>
      </c>
      <c r="L677" s="7">
        <v>585.72436460330005</v>
      </c>
      <c r="M677" s="7">
        <v>573.0712927198</v>
      </c>
      <c r="N677" s="7">
        <v>584.89994742500005</v>
      </c>
      <c r="O677" s="7">
        <v>585.72436460330005</v>
      </c>
      <c r="P677" s="7">
        <v>573.0712927198</v>
      </c>
      <c r="Q677">
        <v>1</v>
      </c>
      <c r="R677">
        <v>0</v>
      </c>
      <c r="S677" s="11">
        <v>45804.666666666664</v>
      </c>
      <c r="T677">
        <v>1824</v>
      </c>
    </row>
    <row r="678" spans="1:20">
      <c r="A678" s="11">
        <v>45804.5625</v>
      </c>
      <c r="B678" s="11">
        <v>45804.583333333336</v>
      </c>
      <c r="C678" s="10">
        <v>45804</v>
      </c>
      <c r="D678" s="7">
        <v>587.62369999999999</v>
      </c>
      <c r="E678" s="7">
        <v>2011967</v>
      </c>
      <c r="F678" s="7">
        <v>2011967</v>
      </c>
      <c r="G678" s="7">
        <v>29643357</v>
      </c>
      <c r="H678" s="7">
        <v>582.95540000000005</v>
      </c>
      <c r="I678" s="7">
        <v>575.80629999999996</v>
      </c>
      <c r="J678" s="7">
        <v>14</v>
      </c>
      <c r="K678" s="7">
        <v>3.8941854999999998E-3</v>
      </c>
      <c r="L678" s="7">
        <v>585.22553647029997</v>
      </c>
      <c r="M678" s="7">
        <v>573.56400345129998</v>
      </c>
      <c r="N678" s="7">
        <v>585.08481516100005</v>
      </c>
      <c r="O678" s="7">
        <v>585.22553647029997</v>
      </c>
      <c r="P678" s="7">
        <v>573.56400345129998</v>
      </c>
      <c r="Q678">
        <v>1</v>
      </c>
      <c r="R678">
        <v>0</v>
      </c>
      <c r="S678" s="11">
        <v>45804.666666666664</v>
      </c>
      <c r="T678">
        <v>1823</v>
      </c>
    </row>
    <row r="679" spans="1:20">
      <c r="A679" s="11">
        <v>45804.583333333336</v>
      </c>
      <c r="B679" s="11">
        <v>45804.604166666664</v>
      </c>
      <c r="C679" s="10">
        <v>45804</v>
      </c>
      <c r="D679" s="7">
        <v>587.32039999999995</v>
      </c>
      <c r="E679" s="7">
        <v>2550376</v>
      </c>
      <c r="F679" s="7">
        <v>2550376</v>
      </c>
      <c r="G679" s="7">
        <v>32193733</v>
      </c>
      <c r="H679" s="7">
        <v>582.95540000000005</v>
      </c>
      <c r="I679" s="7">
        <v>575.80629999999996</v>
      </c>
      <c r="J679" s="7">
        <v>14</v>
      </c>
      <c r="K679" s="7">
        <v>4.9106781000000004E-3</v>
      </c>
      <c r="L679" s="7">
        <v>585.81810631229996</v>
      </c>
      <c r="M679" s="7">
        <v>572.97870061649996</v>
      </c>
      <c r="N679" s="7">
        <v>585.26191739139995</v>
      </c>
      <c r="O679" s="7">
        <v>585.81810631229996</v>
      </c>
      <c r="P679" s="7">
        <v>572.97870061649996</v>
      </c>
      <c r="Q679">
        <v>1</v>
      </c>
      <c r="R679">
        <v>0</v>
      </c>
      <c r="S679" s="11">
        <v>45804.666666666664</v>
      </c>
      <c r="T679">
        <v>1822</v>
      </c>
    </row>
    <row r="680" spans="1:20">
      <c r="A680" s="11">
        <v>45804.604166666664</v>
      </c>
      <c r="B680" s="11">
        <v>45804.625</v>
      </c>
      <c r="C680" s="10">
        <v>45804</v>
      </c>
      <c r="D680" s="7">
        <v>586.97249999999997</v>
      </c>
      <c r="E680" s="7">
        <v>2508350</v>
      </c>
      <c r="F680" s="7">
        <v>2508350</v>
      </c>
      <c r="G680" s="7">
        <v>34702083</v>
      </c>
      <c r="H680" s="7">
        <v>582.95540000000005</v>
      </c>
      <c r="I680" s="7">
        <v>575.80629999999996</v>
      </c>
      <c r="J680" s="7">
        <v>14</v>
      </c>
      <c r="K680" s="7">
        <v>4.8695146000000003E-3</v>
      </c>
      <c r="L680" s="7">
        <v>585.7941098412</v>
      </c>
      <c r="M680" s="7">
        <v>573.00240280569994</v>
      </c>
      <c r="N680" s="7">
        <v>585.38556241549998</v>
      </c>
      <c r="O680" s="7">
        <v>585.7941098412</v>
      </c>
      <c r="P680" s="7">
        <v>573.00240280569994</v>
      </c>
      <c r="Q680">
        <v>1</v>
      </c>
      <c r="R680">
        <v>0</v>
      </c>
      <c r="S680" s="11">
        <v>45804.666666666664</v>
      </c>
      <c r="T680">
        <v>1821</v>
      </c>
    </row>
    <row r="681" spans="1:20">
      <c r="A681" s="11">
        <v>45804.625</v>
      </c>
      <c r="B681" s="11">
        <v>45804.645833333336</v>
      </c>
      <c r="C681" s="10">
        <v>45804</v>
      </c>
      <c r="D681" s="7">
        <v>586.95259999999996</v>
      </c>
      <c r="E681" s="7">
        <v>3981900</v>
      </c>
      <c r="F681" s="7">
        <v>3981900</v>
      </c>
      <c r="G681" s="7">
        <v>38683983</v>
      </c>
      <c r="H681" s="7">
        <v>582.95540000000005</v>
      </c>
      <c r="I681" s="7">
        <v>575.80629999999996</v>
      </c>
      <c r="J681" s="7">
        <v>14</v>
      </c>
      <c r="K681" s="7">
        <v>5.2249104999999999E-3</v>
      </c>
      <c r="L681" s="7">
        <v>586.00128977810004</v>
      </c>
      <c r="M681" s="7">
        <v>572.79776362940004</v>
      </c>
      <c r="N681" s="7">
        <v>585.54686397939997</v>
      </c>
      <c r="O681" s="7">
        <v>586.00128977810004</v>
      </c>
      <c r="P681" s="7">
        <v>572.79776362940004</v>
      </c>
      <c r="Q681">
        <v>1</v>
      </c>
      <c r="R681">
        <v>0</v>
      </c>
      <c r="S681" s="11">
        <v>45804.666666666664</v>
      </c>
      <c r="T681">
        <v>1820</v>
      </c>
    </row>
    <row r="682" spans="1:20">
      <c r="A682" s="11">
        <v>45804.645833333336</v>
      </c>
      <c r="B682" s="11">
        <v>45804.666666666664</v>
      </c>
      <c r="C682" s="10">
        <v>45804</v>
      </c>
      <c r="D682" s="7">
        <v>587.77779999999996</v>
      </c>
      <c r="E682" s="7">
        <v>11500949</v>
      </c>
      <c r="F682" s="7">
        <v>11500949</v>
      </c>
      <c r="G682" s="7">
        <v>50184932</v>
      </c>
      <c r="H682" s="7">
        <v>582.95540000000005</v>
      </c>
      <c r="I682" s="7">
        <v>575.80629999999996</v>
      </c>
      <c r="J682" s="7">
        <v>14</v>
      </c>
      <c r="K682" s="7">
        <v>4.0430205999999998E-3</v>
      </c>
      <c r="L682" s="7">
        <v>585.31230067340005</v>
      </c>
      <c r="M682" s="7">
        <v>573.47830328489999</v>
      </c>
      <c r="N682" s="7">
        <v>586.05813061610002</v>
      </c>
      <c r="O682" s="7">
        <v>586.05813061610002</v>
      </c>
      <c r="P682" s="7">
        <v>573.47830328489999</v>
      </c>
      <c r="Q682">
        <v>1</v>
      </c>
      <c r="R682">
        <v>1</v>
      </c>
      <c r="S682" s="11">
        <v>45804.666666666664</v>
      </c>
      <c r="T682">
        <v>1819</v>
      </c>
    </row>
    <row r="683" spans="1:20">
      <c r="A683" s="11">
        <v>45805.395833333336</v>
      </c>
      <c r="B683" s="11">
        <v>45805.416666666664</v>
      </c>
      <c r="C683" s="10">
        <v>45805</v>
      </c>
      <c r="D683" s="7">
        <v>587.39</v>
      </c>
      <c r="E683" s="7">
        <v>5836764</v>
      </c>
      <c r="F683" s="7">
        <v>5836764</v>
      </c>
      <c r="G683" s="7">
        <v>5836764</v>
      </c>
      <c r="H683" s="7">
        <v>587.39</v>
      </c>
      <c r="I683" s="7">
        <v>587.77760000000001</v>
      </c>
      <c r="J683" s="7">
        <v>14</v>
      </c>
      <c r="K683" s="7">
        <v>0</v>
      </c>
      <c r="L683" s="7">
        <v>587.77760000000001</v>
      </c>
      <c r="M683" s="7">
        <v>587.39</v>
      </c>
      <c r="N683" s="7">
        <v>587.39</v>
      </c>
      <c r="O683" s="7">
        <v>587.77760000000001</v>
      </c>
      <c r="P683" s="7">
        <v>587.39</v>
      </c>
      <c r="Q683">
        <v>1</v>
      </c>
      <c r="R683">
        <v>0</v>
      </c>
      <c r="S683" s="11">
        <v>45805.666666666664</v>
      </c>
      <c r="T683">
        <v>1817</v>
      </c>
    </row>
    <row r="684" spans="1:20">
      <c r="A684" s="11">
        <v>45805.416666666664</v>
      </c>
      <c r="B684" s="11">
        <v>45805.4375</v>
      </c>
      <c r="C684" s="10">
        <v>45805</v>
      </c>
      <c r="D684" s="7">
        <v>586.84810000000004</v>
      </c>
      <c r="E684" s="7">
        <v>3006119</v>
      </c>
      <c r="F684" s="7">
        <v>3006119</v>
      </c>
      <c r="G684" s="7">
        <v>8842883</v>
      </c>
      <c r="H684" s="7">
        <v>587.39</v>
      </c>
      <c r="I684" s="7">
        <v>587.77760000000001</v>
      </c>
      <c r="J684" s="7">
        <v>14</v>
      </c>
      <c r="K684" s="7">
        <v>1.4174013999999999E-3</v>
      </c>
      <c r="L684" s="7">
        <v>588.61071676489996</v>
      </c>
      <c r="M684" s="7">
        <v>586.55743261980001</v>
      </c>
      <c r="N684" s="7">
        <v>587.20578226400005</v>
      </c>
      <c r="O684" s="7">
        <v>588.61071676489996</v>
      </c>
      <c r="P684" s="7">
        <v>586.55743261980001</v>
      </c>
      <c r="Q684">
        <v>1</v>
      </c>
      <c r="R684">
        <v>0</v>
      </c>
      <c r="S684" s="11">
        <v>45805.666666666664</v>
      </c>
      <c r="T684">
        <v>1816</v>
      </c>
    </row>
    <row r="685" spans="1:20">
      <c r="A685" s="11">
        <v>45805.4375</v>
      </c>
      <c r="B685" s="11">
        <v>45805.458333333336</v>
      </c>
      <c r="C685" s="10">
        <v>45805</v>
      </c>
      <c r="D685" s="7">
        <v>585.98310000000004</v>
      </c>
      <c r="E685" s="7">
        <v>2726017</v>
      </c>
      <c r="F685" s="7">
        <v>2726017</v>
      </c>
      <c r="G685" s="7">
        <v>11568900</v>
      </c>
      <c r="H685" s="7">
        <v>587.39</v>
      </c>
      <c r="I685" s="7">
        <v>587.77760000000001</v>
      </c>
      <c r="J685" s="7">
        <v>14</v>
      </c>
      <c r="K685" s="7">
        <v>1.6709481E-3</v>
      </c>
      <c r="L685" s="7">
        <v>588.75974584820005</v>
      </c>
      <c r="M685" s="7">
        <v>586.40850181129997</v>
      </c>
      <c r="N685" s="7">
        <v>586.91767772189996</v>
      </c>
      <c r="O685" s="7">
        <v>588.75974584820005</v>
      </c>
      <c r="P685" s="7">
        <v>586.40850181129997</v>
      </c>
      <c r="Q685">
        <v>1</v>
      </c>
      <c r="R685">
        <v>0</v>
      </c>
      <c r="S685" s="11">
        <v>45805.666666666664</v>
      </c>
      <c r="T685">
        <v>1815</v>
      </c>
    </row>
    <row r="686" spans="1:20">
      <c r="A686" s="11">
        <v>45805.458333333336</v>
      </c>
      <c r="B686" s="11">
        <v>45805.479166666664</v>
      </c>
      <c r="C686" s="10">
        <v>45805</v>
      </c>
      <c r="D686" s="7">
        <v>585.98800000000006</v>
      </c>
      <c r="E686" s="7">
        <v>2421661</v>
      </c>
      <c r="F686" s="7">
        <v>2421661</v>
      </c>
      <c r="G686" s="7">
        <v>13990561</v>
      </c>
      <c r="H686" s="7">
        <v>587.39</v>
      </c>
      <c r="I686" s="7">
        <v>587.77760000000001</v>
      </c>
      <c r="J686" s="7">
        <v>14</v>
      </c>
      <c r="K686" s="7">
        <v>2.6500851E-3</v>
      </c>
      <c r="L686" s="7">
        <v>589.3352606743</v>
      </c>
      <c r="M686" s="7">
        <v>585.8333664987</v>
      </c>
      <c r="N686" s="7">
        <v>586.75675749280003</v>
      </c>
      <c r="O686" s="7">
        <v>589.3352606743</v>
      </c>
      <c r="P686" s="7">
        <v>585.8333664987</v>
      </c>
      <c r="Q686">
        <v>1</v>
      </c>
      <c r="R686">
        <v>0</v>
      </c>
      <c r="S686" s="11">
        <v>45805.666666666664</v>
      </c>
      <c r="T686">
        <v>1814</v>
      </c>
    </row>
    <row r="687" spans="1:20">
      <c r="A687" s="11">
        <v>45805.479166666664</v>
      </c>
      <c r="B687" s="11">
        <v>45805.5</v>
      </c>
      <c r="C687" s="10">
        <v>45805</v>
      </c>
      <c r="D687" s="7">
        <v>585.7296</v>
      </c>
      <c r="E687" s="7">
        <v>2166418</v>
      </c>
      <c r="F687" s="7">
        <v>2166418</v>
      </c>
      <c r="G687" s="7">
        <v>16156979</v>
      </c>
      <c r="H687" s="7">
        <v>587.39</v>
      </c>
      <c r="I687" s="7">
        <v>587.77760000000001</v>
      </c>
      <c r="J687" s="7">
        <v>14</v>
      </c>
      <c r="K687" s="7">
        <v>2.7140024999999998E-3</v>
      </c>
      <c r="L687" s="7">
        <v>589.37282988150002</v>
      </c>
      <c r="M687" s="7">
        <v>585.79582206589998</v>
      </c>
      <c r="N687" s="7">
        <v>586.61903047819999</v>
      </c>
      <c r="O687" s="7">
        <v>589.37282988150002</v>
      </c>
      <c r="P687" s="7">
        <v>585.79582206589998</v>
      </c>
      <c r="Q687">
        <v>1</v>
      </c>
      <c r="R687">
        <v>0</v>
      </c>
      <c r="S687" s="11">
        <v>45805.666666666664</v>
      </c>
      <c r="T687">
        <v>1813</v>
      </c>
    </row>
    <row r="688" spans="1:20">
      <c r="A688" s="11">
        <v>45805.5</v>
      </c>
      <c r="B688" s="11">
        <v>45805.520833333336</v>
      </c>
      <c r="C688" s="10">
        <v>45805</v>
      </c>
      <c r="D688" s="7">
        <v>586.46529999999996</v>
      </c>
      <c r="E688" s="7">
        <v>1784362</v>
      </c>
      <c r="F688" s="7">
        <v>1784362</v>
      </c>
      <c r="G688" s="7">
        <v>17941341</v>
      </c>
      <c r="H688" s="7">
        <v>587.39</v>
      </c>
      <c r="I688" s="7">
        <v>587.77760000000001</v>
      </c>
      <c r="J688" s="7">
        <v>14</v>
      </c>
      <c r="K688" s="7">
        <v>3.3426009000000001E-3</v>
      </c>
      <c r="L688" s="7">
        <v>589.74230591610001</v>
      </c>
      <c r="M688" s="7">
        <v>585.42658967600005</v>
      </c>
      <c r="N688" s="7">
        <v>586.60374116269998</v>
      </c>
      <c r="O688" s="7">
        <v>589.74230591610001</v>
      </c>
      <c r="P688" s="7">
        <v>585.42658967600005</v>
      </c>
      <c r="Q688">
        <v>1</v>
      </c>
      <c r="R688">
        <v>0</v>
      </c>
      <c r="S688" s="11">
        <v>45805.666666666664</v>
      </c>
      <c r="T688">
        <v>1812</v>
      </c>
    </row>
    <row r="689" spans="1:20">
      <c r="A689" s="11">
        <v>45805.520833333336</v>
      </c>
      <c r="B689" s="11">
        <v>45805.541666666664</v>
      </c>
      <c r="C689" s="10">
        <v>45805</v>
      </c>
      <c r="D689" s="7">
        <v>586.61440000000005</v>
      </c>
      <c r="E689" s="7">
        <v>1613462</v>
      </c>
      <c r="F689" s="7">
        <v>1613462</v>
      </c>
      <c r="G689" s="7">
        <v>19554803</v>
      </c>
      <c r="H689" s="7">
        <v>587.39</v>
      </c>
      <c r="I689" s="7">
        <v>587.77760000000001</v>
      </c>
      <c r="J689" s="7">
        <v>14</v>
      </c>
      <c r="K689" s="7">
        <v>4.0590178000000001E-3</v>
      </c>
      <c r="L689" s="7">
        <v>590.16339973929996</v>
      </c>
      <c r="M689" s="7">
        <v>585.00577353599999</v>
      </c>
      <c r="N689" s="7">
        <v>586.60462062080001</v>
      </c>
      <c r="O689" s="7">
        <v>590.16339973929996</v>
      </c>
      <c r="P689" s="7">
        <v>585.00577353599999</v>
      </c>
      <c r="Q689">
        <v>1</v>
      </c>
      <c r="R689">
        <v>0</v>
      </c>
      <c r="S689" s="11">
        <v>45805.666666666664</v>
      </c>
      <c r="T689">
        <v>1811</v>
      </c>
    </row>
    <row r="690" spans="1:20">
      <c r="A690" s="11">
        <v>45805.541666666664</v>
      </c>
      <c r="B690" s="11">
        <v>45805.5625</v>
      </c>
      <c r="C690" s="10">
        <v>45805</v>
      </c>
      <c r="D690" s="7">
        <v>586.89790000000005</v>
      </c>
      <c r="E690" s="7">
        <v>1864822</v>
      </c>
      <c r="F690" s="7">
        <v>1864822</v>
      </c>
      <c r="G690" s="7">
        <v>21419625</v>
      </c>
      <c r="H690" s="7">
        <v>587.39</v>
      </c>
      <c r="I690" s="7">
        <v>587.77760000000001</v>
      </c>
      <c r="J690" s="7">
        <v>14</v>
      </c>
      <c r="K690" s="7">
        <v>4.9345198999999999E-3</v>
      </c>
      <c r="L690" s="7">
        <v>590.67800028390002</v>
      </c>
      <c r="M690" s="7">
        <v>584.49151233600003</v>
      </c>
      <c r="N690" s="7">
        <v>586.63015392670002</v>
      </c>
      <c r="O690" s="7">
        <v>590.67800028390002</v>
      </c>
      <c r="P690" s="7">
        <v>584.49151233600003</v>
      </c>
      <c r="Q690">
        <v>1</v>
      </c>
      <c r="R690">
        <v>0</v>
      </c>
      <c r="S690" s="11">
        <v>45805.666666666664</v>
      </c>
      <c r="T690">
        <v>1810</v>
      </c>
    </row>
    <row r="691" spans="1:20">
      <c r="A691" s="11">
        <v>45805.5625</v>
      </c>
      <c r="B691" s="11">
        <v>45805.583333333336</v>
      </c>
      <c r="C691" s="10">
        <v>45805</v>
      </c>
      <c r="D691" s="7">
        <v>586.35350000000005</v>
      </c>
      <c r="E691" s="7">
        <v>1748100</v>
      </c>
      <c r="F691" s="7">
        <v>1748100</v>
      </c>
      <c r="G691" s="7">
        <v>23167725</v>
      </c>
      <c r="H691" s="7">
        <v>587.39</v>
      </c>
      <c r="I691" s="7">
        <v>587.77760000000001</v>
      </c>
      <c r="J691" s="7">
        <v>14</v>
      </c>
      <c r="K691" s="7">
        <v>4.3355086000000003E-3</v>
      </c>
      <c r="L691" s="7">
        <v>590.32591482470002</v>
      </c>
      <c r="M691" s="7">
        <v>584.84336561839996</v>
      </c>
      <c r="N691" s="7">
        <v>586.60927925169995</v>
      </c>
      <c r="O691" s="7">
        <v>590.32591482470002</v>
      </c>
      <c r="P691" s="7">
        <v>584.84336561839996</v>
      </c>
      <c r="Q691">
        <v>1</v>
      </c>
      <c r="R691">
        <v>0</v>
      </c>
      <c r="S691" s="11">
        <v>45805.666666666664</v>
      </c>
      <c r="T691">
        <v>1809</v>
      </c>
    </row>
    <row r="692" spans="1:20">
      <c r="A692" s="11">
        <v>45805.583333333336</v>
      </c>
      <c r="B692" s="11">
        <v>45805.604166666664</v>
      </c>
      <c r="C692" s="10">
        <v>45805</v>
      </c>
      <c r="D692" s="7">
        <v>586.73379999999997</v>
      </c>
      <c r="E692" s="7">
        <v>1869125</v>
      </c>
      <c r="F692" s="7">
        <v>1869125</v>
      </c>
      <c r="G692" s="7">
        <v>25036850</v>
      </c>
      <c r="H692" s="7">
        <v>587.39</v>
      </c>
      <c r="I692" s="7">
        <v>587.77760000000001</v>
      </c>
      <c r="J692" s="7">
        <v>14</v>
      </c>
      <c r="K692" s="7">
        <v>5.0585637000000001E-3</v>
      </c>
      <c r="L692" s="7">
        <v>590.75091041380006</v>
      </c>
      <c r="M692" s="7">
        <v>584.41865028550001</v>
      </c>
      <c r="N692" s="7">
        <v>586.61857534299997</v>
      </c>
      <c r="O692" s="7">
        <v>590.75091041380006</v>
      </c>
      <c r="P692" s="7">
        <v>584.41865028550001</v>
      </c>
      <c r="Q692">
        <v>1</v>
      </c>
      <c r="R692">
        <v>0</v>
      </c>
      <c r="S692" s="11">
        <v>45805.666666666664</v>
      </c>
      <c r="T692">
        <v>1808</v>
      </c>
    </row>
    <row r="693" spans="1:20">
      <c r="A693" s="11">
        <v>45805.604166666664</v>
      </c>
      <c r="B693" s="11">
        <v>45805.625</v>
      </c>
      <c r="C693" s="10">
        <v>45805</v>
      </c>
      <c r="D693" s="7">
        <v>586.3759</v>
      </c>
      <c r="E693" s="7">
        <v>4363642</v>
      </c>
      <c r="F693" s="7">
        <v>4363642</v>
      </c>
      <c r="G693" s="7">
        <v>29400492</v>
      </c>
      <c r="H693" s="7">
        <v>587.39</v>
      </c>
      <c r="I693" s="7">
        <v>587.77760000000001</v>
      </c>
      <c r="J693" s="7">
        <v>14</v>
      </c>
      <c r="K693" s="7">
        <v>4.9042796999999999E-3</v>
      </c>
      <c r="L693" s="7">
        <v>590.66022572429995</v>
      </c>
      <c r="M693" s="7">
        <v>584.50927517449998</v>
      </c>
      <c r="N693" s="7">
        <v>586.58255729550001</v>
      </c>
      <c r="O693" s="7">
        <v>590.66022572429995</v>
      </c>
      <c r="P693" s="7">
        <v>584.50927517449998</v>
      </c>
      <c r="Q693">
        <v>1</v>
      </c>
      <c r="R693">
        <v>0</v>
      </c>
      <c r="S693" s="11">
        <v>45805.666666666664</v>
      </c>
      <c r="T693">
        <v>1807</v>
      </c>
    </row>
    <row r="694" spans="1:20">
      <c r="A694" s="11">
        <v>45805.625</v>
      </c>
      <c r="B694" s="11">
        <v>45805.645833333336</v>
      </c>
      <c r="C694" s="10">
        <v>45805</v>
      </c>
      <c r="D694" s="7">
        <v>586.0471</v>
      </c>
      <c r="E694" s="7">
        <v>4541992</v>
      </c>
      <c r="F694" s="7">
        <v>4541992</v>
      </c>
      <c r="G694" s="7">
        <v>33942484</v>
      </c>
      <c r="H694" s="7">
        <v>587.39</v>
      </c>
      <c r="I694" s="7">
        <v>587.77760000000001</v>
      </c>
      <c r="J694" s="7">
        <v>14</v>
      </c>
      <c r="K694" s="7">
        <v>5.2841585000000003E-3</v>
      </c>
      <c r="L694" s="7">
        <v>590.88351002360002</v>
      </c>
      <c r="M694" s="7">
        <v>584.28613811629998</v>
      </c>
      <c r="N694" s="7">
        <v>586.51090541660005</v>
      </c>
      <c r="O694" s="7">
        <v>590.88351002360002</v>
      </c>
      <c r="P694" s="7">
        <v>584.28613811629998</v>
      </c>
      <c r="Q694">
        <v>1</v>
      </c>
      <c r="R694">
        <v>0</v>
      </c>
      <c r="S694" s="11">
        <v>45805.666666666664</v>
      </c>
      <c r="T694">
        <v>1806</v>
      </c>
    </row>
    <row r="695" spans="1:20">
      <c r="A695" s="11">
        <v>45805.645833333336</v>
      </c>
      <c r="B695" s="11">
        <v>45805.666666666664</v>
      </c>
      <c r="C695" s="10">
        <v>45805</v>
      </c>
      <c r="D695" s="7">
        <v>584.37729999999999</v>
      </c>
      <c r="E695" s="7">
        <v>10194983</v>
      </c>
      <c r="F695" s="7">
        <v>10194983</v>
      </c>
      <c r="G695" s="7">
        <v>44137467</v>
      </c>
      <c r="H695" s="7">
        <v>587.39</v>
      </c>
      <c r="I695" s="7">
        <v>587.77760000000001</v>
      </c>
      <c r="J695" s="7">
        <v>14</v>
      </c>
      <c r="K695" s="7">
        <v>4.4596666000000004E-3</v>
      </c>
      <c r="L695" s="7">
        <v>590.39889210700005</v>
      </c>
      <c r="M695" s="7">
        <v>584.77043645979995</v>
      </c>
      <c r="N695" s="7">
        <v>586.01807987790005</v>
      </c>
      <c r="O695" s="7">
        <v>590.39889210700005</v>
      </c>
      <c r="P695" s="7">
        <v>584.77043645979995</v>
      </c>
      <c r="Q695">
        <v>1</v>
      </c>
      <c r="R695">
        <v>1</v>
      </c>
      <c r="S695" s="11">
        <v>45805.666666666664</v>
      </c>
      <c r="T695">
        <v>1805</v>
      </c>
    </row>
    <row r="696" spans="1:20">
      <c r="A696" s="11">
        <v>45806.395833333336</v>
      </c>
      <c r="B696" s="11">
        <v>45806.416666666664</v>
      </c>
      <c r="C696" s="10">
        <v>45806</v>
      </c>
      <c r="D696" s="7">
        <v>587.80269999999996</v>
      </c>
      <c r="E696" s="7">
        <v>6192921</v>
      </c>
      <c r="F696" s="7">
        <v>6192921</v>
      </c>
      <c r="G696" s="7">
        <v>6192921</v>
      </c>
      <c r="H696" s="7">
        <v>587.80269999999996</v>
      </c>
      <c r="I696" s="7">
        <v>584.37710000000004</v>
      </c>
      <c r="J696" s="7">
        <v>14</v>
      </c>
      <c r="K696" s="7">
        <v>0</v>
      </c>
      <c r="L696" s="7">
        <v>587.80269999999996</v>
      </c>
      <c r="M696" s="7">
        <v>584.37710000000004</v>
      </c>
      <c r="N696" s="7">
        <v>587.80269999999996</v>
      </c>
      <c r="O696" s="7">
        <v>587.80269999999996</v>
      </c>
      <c r="P696" s="7">
        <v>584.37710000000004</v>
      </c>
      <c r="Q696">
        <v>1</v>
      </c>
      <c r="R696">
        <v>0</v>
      </c>
      <c r="S696" s="11">
        <v>45806.666666666664</v>
      </c>
      <c r="T696">
        <v>1803</v>
      </c>
    </row>
    <row r="697" spans="1:20">
      <c r="A697" s="11">
        <v>45806.416666666664</v>
      </c>
      <c r="B697" s="11">
        <v>45806.4375</v>
      </c>
      <c r="C697" s="10">
        <v>45806</v>
      </c>
      <c r="D697" s="7">
        <v>586.65300000000002</v>
      </c>
      <c r="E697" s="7">
        <v>4691962</v>
      </c>
      <c r="F697" s="7">
        <v>4691962</v>
      </c>
      <c r="G697" s="7">
        <v>10884883</v>
      </c>
      <c r="H697" s="7">
        <v>587.80269999999996</v>
      </c>
      <c r="I697" s="7">
        <v>584.37710000000004</v>
      </c>
      <c r="J697" s="7">
        <v>14</v>
      </c>
      <c r="K697" s="7">
        <v>1.4184141E-3</v>
      </c>
      <c r="L697" s="7">
        <v>588.63644762009994</v>
      </c>
      <c r="M697" s="7">
        <v>583.54821129920003</v>
      </c>
      <c r="N697" s="7">
        <v>587.30711831010001</v>
      </c>
      <c r="O697" s="7">
        <v>588.63644762009994</v>
      </c>
      <c r="P697" s="7">
        <v>583.54821129920003</v>
      </c>
      <c r="Q697">
        <v>1</v>
      </c>
      <c r="R697">
        <v>0</v>
      </c>
      <c r="S697" s="11">
        <v>45806.666666666664</v>
      </c>
      <c r="T697">
        <v>1802</v>
      </c>
    </row>
    <row r="698" spans="1:20">
      <c r="A698" s="11">
        <v>45806.4375</v>
      </c>
      <c r="B698" s="11">
        <v>45806.458333333336</v>
      </c>
      <c r="C698" s="10">
        <v>45806</v>
      </c>
      <c r="D698" s="7">
        <v>587.55909999999994</v>
      </c>
      <c r="E698" s="7">
        <v>2505845</v>
      </c>
      <c r="F698" s="7">
        <v>2505845</v>
      </c>
      <c r="G698" s="7">
        <v>13390728</v>
      </c>
      <c r="H698" s="7">
        <v>587.80269999999996</v>
      </c>
      <c r="I698" s="7">
        <v>584.37710000000004</v>
      </c>
      <c r="J698" s="7">
        <v>14</v>
      </c>
      <c r="K698" s="7">
        <v>1.5977116999999999E-3</v>
      </c>
      <c r="L698" s="7">
        <v>588.74183926089995</v>
      </c>
      <c r="M698" s="7">
        <v>583.44343386030005</v>
      </c>
      <c r="N698" s="7">
        <v>587.35427236010003</v>
      </c>
      <c r="O698" s="7">
        <v>588.74183926089995</v>
      </c>
      <c r="P698" s="7">
        <v>583.44343386030005</v>
      </c>
      <c r="Q698">
        <v>1</v>
      </c>
      <c r="R698">
        <v>0</v>
      </c>
      <c r="S698" s="11">
        <v>45806.666666666664</v>
      </c>
      <c r="T698">
        <v>1801</v>
      </c>
    </row>
    <row r="699" spans="1:20">
      <c r="A699" s="11">
        <v>45806.458333333336</v>
      </c>
      <c r="B699" s="11">
        <v>45806.479166666664</v>
      </c>
      <c r="C699" s="10">
        <v>45806</v>
      </c>
      <c r="D699" s="7">
        <v>587.33040000000005</v>
      </c>
      <c r="E699" s="7">
        <v>2297572</v>
      </c>
      <c r="F699" s="7">
        <v>2297572</v>
      </c>
      <c r="G699" s="7">
        <v>15688300</v>
      </c>
      <c r="H699" s="7">
        <v>587.80269999999996</v>
      </c>
      <c r="I699" s="7">
        <v>584.37710000000004</v>
      </c>
      <c r="J699" s="7">
        <v>14</v>
      </c>
      <c r="K699" s="7">
        <v>2.5380774999999999E-3</v>
      </c>
      <c r="L699" s="7">
        <v>589.29458880870004</v>
      </c>
      <c r="M699" s="7">
        <v>582.8939056296</v>
      </c>
      <c r="N699" s="7">
        <v>587.35077622179995</v>
      </c>
      <c r="O699" s="7">
        <v>589.29458880870004</v>
      </c>
      <c r="P699" s="7">
        <v>582.8939056296</v>
      </c>
      <c r="Q699">
        <v>1</v>
      </c>
      <c r="R699">
        <v>0</v>
      </c>
      <c r="S699" s="11">
        <v>45806.666666666664</v>
      </c>
      <c r="T699">
        <v>1800</v>
      </c>
    </row>
    <row r="700" spans="1:20">
      <c r="A700" s="11">
        <v>45806.479166666664</v>
      </c>
      <c r="B700" s="11">
        <v>45806.5</v>
      </c>
      <c r="C700" s="10">
        <v>45806</v>
      </c>
      <c r="D700" s="7">
        <v>583.77080000000001</v>
      </c>
      <c r="E700" s="7">
        <v>3661581</v>
      </c>
      <c r="F700" s="7">
        <v>3661581</v>
      </c>
      <c r="G700" s="7">
        <v>19349881</v>
      </c>
      <c r="H700" s="7">
        <v>587.80269999999996</v>
      </c>
      <c r="I700" s="7">
        <v>584.37710000000004</v>
      </c>
      <c r="J700" s="7">
        <v>14</v>
      </c>
      <c r="K700" s="7">
        <v>2.7301291E-3</v>
      </c>
      <c r="L700" s="7">
        <v>589.40747724139999</v>
      </c>
      <c r="M700" s="7">
        <v>582.78167508879994</v>
      </c>
      <c r="N700" s="7">
        <v>586.67333676290002</v>
      </c>
      <c r="O700" s="7">
        <v>589.40747724139999</v>
      </c>
      <c r="P700" s="7">
        <v>582.78167508879994</v>
      </c>
      <c r="Q700">
        <v>1</v>
      </c>
      <c r="R700">
        <v>0</v>
      </c>
      <c r="S700" s="11">
        <v>45806.666666666664</v>
      </c>
      <c r="T700">
        <v>1799</v>
      </c>
    </row>
    <row r="701" spans="1:20">
      <c r="A701" s="11">
        <v>45806.5</v>
      </c>
      <c r="B701" s="11">
        <v>45806.520833333336</v>
      </c>
      <c r="C701" s="10">
        <v>45806</v>
      </c>
      <c r="D701" s="7">
        <v>585.62019999999995</v>
      </c>
      <c r="E701" s="7">
        <v>3611933</v>
      </c>
      <c r="F701" s="7">
        <v>3611933</v>
      </c>
      <c r="G701" s="7">
        <v>22961814</v>
      </c>
      <c r="H701" s="7">
        <v>587.80269999999996</v>
      </c>
      <c r="I701" s="7">
        <v>584.37710000000004</v>
      </c>
      <c r="J701" s="7">
        <v>14</v>
      </c>
      <c r="K701" s="7">
        <v>3.1852729000000001E-3</v>
      </c>
      <c r="L701" s="7">
        <v>589.67501198399998</v>
      </c>
      <c r="M701" s="7">
        <v>582.51569948669999</v>
      </c>
      <c r="N701" s="7">
        <v>586.50767653119999</v>
      </c>
      <c r="O701" s="7">
        <v>589.67501198399998</v>
      </c>
      <c r="P701" s="7">
        <v>582.51569948669999</v>
      </c>
      <c r="Q701">
        <v>1</v>
      </c>
      <c r="R701">
        <v>0</v>
      </c>
      <c r="S701" s="11">
        <v>45806.666666666664</v>
      </c>
      <c r="T701">
        <v>1798</v>
      </c>
    </row>
    <row r="702" spans="1:20">
      <c r="A702" s="11">
        <v>45806.520833333336</v>
      </c>
      <c r="B702" s="11">
        <v>45806.541666666664</v>
      </c>
      <c r="C702" s="10">
        <v>45806</v>
      </c>
      <c r="D702" s="7">
        <v>586.38580000000002</v>
      </c>
      <c r="E702" s="7">
        <v>1948845</v>
      </c>
      <c r="F702" s="7">
        <v>1948845</v>
      </c>
      <c r="G702" s="7">
        <v>24910659</v>
      </c>
      <c r="H702" s="7">
        <v>587.80269999999996</v>
      </c>
      <c r="I702" s="7">
        <v>584.37710000000004</v>
      </c>
      <c r="J702" s="7">
        <v>14</v>
      </c>
      <c r="K702" s="7">
        <v>4.1418794000000004E-3</v>
      </c>
      <c r="L702" s="7">
        <v>590.23730790980005</v>
      </c>
      <c r="M702" s="7">
        <v>581.9566805124</v>
      </c>
      <c r="N702" s="7">
        <v>586.49814171850005</v>
      </c>
      <c r="O702" s="7">
        <v>590.23730790980005</v>
      </c>
      <c r="P702" s="7">
        <v>581.9566805124</v>
      </c>
      <c r="Q702">
        <v>1</v>
      </c>
      <c r="R702">
        <v>0</v>
      </c>
      <c r="S702" s="11">
        <v>45806.666666666664</v>
      </c>
      <c r="T702">
        <v>1797</v>
      </c>
    </row>
    <row r="703" spans="1:20">
      <c r="A703" s="11">
        <v>45806.541666666664</v>
      </c>
      <c r="B703" s="11">
        <v>45806.5625</v>
      </c>
      <c r="C703" s="10">
        <v>45806</v>
      </c>
      <c r="D703" s="7">
        <v>585.95839999999998</v>
      </c>
      <c r="E703" s="7">
        <v>2014830</v>
      </c>
      <c r="F703" s="7">
        <v>2014830</v>
      </c>
      <c r="G703" s="7">
        <v>26925489</v>
      </c>
      <c r="H703" s="7">
        <v>587.80269999999996</v>
      </c>
      <c r="I703" s="7">
        <v>584.37710000000004</v>
      </c>
      <c r="J703" s="7">
        <v>14</v>
      </c>
      <c r="K703" s="7">
        <v>4.9854538000000002E-3</v>
      </c>
      <c r="L703" s="7">
        <v>590.73316317880005</v>
      </c>
      <c r="M703" s="7">
        <v>581.4637149916</v>
      </c>
      <c r="N703" s="7">
        <v>586.45775293270003</v>
      </c>
      <c r="O703" s="7">
        <v>590.73316317880005</v>
      </c>
      <c r="P703" s="7">
        <v>581.4637149916</v>
      </c>
      <c r="Q703">
        <v>1</v>
      </c>
      <c r="R703">
        <v>0</v>
      </c>
      <c r="S703" s="11">
        <v>45806.666666666664</v>
      </c>
      <c r="T703">
        <v>1796</v>
      </c>
    </row>
    <row r="704" spans="1:20">
      <c r="A704" s="11">
        <v>45806.5625</v>
      </c>
      <c r="B704" s="11">
        <v>45806.583333333336</v>
      </c>
      <c r="C704" s="10">
        <v>45806</v>
      </c>
      <c r="D704" s="7">
        <v>585.23239999999998</v>
      </c>
      <c r="E704" s="7">
        <v>2066677</v>
      </c>
      <c r="F704" s="7">
        <v>2066677</v>
      </c>
      <c r="G704" s="7">
        <v>28992166</v>
      </c>
      <c r="H704" s="7">
        <v>587.80269999999996</v>
      </c>
      <c r="I704" s="7">
        <v>584.37710000000004</v>
      </c>
      <c r="J704" s="7">
        <v>14</v>
      </c>
      <c r="K704" s="7">
        <v>4.2032297E-3</v>
      </c>
      <c r="L704" s="7">
        <v>590.2733697745</v>
      </c>
      <c r="M704" s="7">
        <v>581.92082880919997</v>
      </c>
      <c r="N704" s="7">
        <v>586.37040489799995</v>
      </c>
      <c r="O704" s="7">
        <v>590.2733697745</v>
      </c>
      <c r="P704" s="7">
        <v>581.92082880919997</v>
      </c>
      <c r="Q704">
        <v>1</v>
      </c>
      <c r="R704">
        <v>0</v>
      </c>
      <c r="S704" s="11">
        <v>45806.666666666664</v>
      </c>
      <c r="T704">
        <v>1795</v>
      </c>
    </row>
    <row r="705" spans="1:20">
      <c r="A705" s="11">
        <v>45806.583333333336</v>
      </c>
      <c r="B705" s="11">
        <v>45806.604166666664</v>
      </c>
      <c r="C705" s="10">
        <v>45806</v>
      </c>
      <c r="D705" s="7">
        <v>584.69550000000004</v>
      </c>
      <c r="E705" s="7">
        <v>2493639</v>
      </c>
      <c r="F705" s="7">
        <v>2493639</v>
      </c>
      <c r="G705" s="7">
        <v>31485805</v>
      </c>
      <c r="H705" s="7">
        <v>587.80269999999996</v>
      </c>
      <c r="I705" s="7">
        <v>584.37710000000004</v>
      </c>
      <c r="J705" s="7">
        <v>14</v>
      </c>
      <c r="K705" s="7">
        <v>4.7082688999999997E-3</v>
      </c>
      <c r="L705" s="7">
        <v>590.57023318530003</v>
      </c>
      <c r="M705" s="7">
        <v>581.62569546069994</v>
      </c>
      <c r="N705" s="7">
        <v>586.23775438530004</v>
      </c>
      <c r="O705" s="7">
        <v>590.57023318530003</v>
      </c>
      <c r="P705" s="7">
        <v>581.62569546069994</v>
      </c>
      <c r="Q705">
        <v>1</v>
      </c>
      <c r="R705">
        <v>0</v>
      </c>
      <c r="S705" s="11">
        <v>45806.666666666664</v>
      </c>
      <c r="T705">
        <v>1794</v>
      </c>
    </row>
    <row r="706" spans="1:20">
      <c r="A706" s="11">
        <v>45806.604166666664</v>
      </c>
      <c r="B706" s="11">
        <v>45806.625</v>
      </c>
      <c r="C706" s="10">
        <v>45806</v>
      </c>
      <c r="D706" s="7">
        <v>585.43619999999999</v>
      </c>
      <c r="E706" s="7">
        <v>2301474</v>
      </c>
      <c r="F706" s="7">
        <v>2301474</v>
      </c>
      <c r="G706" s="7">
        <v>33787279</v>
      </c>
      <c r="H706" s="7">
        <v>587.80269999999996</v>
      </c>
      <c r="I706" s="7">
        <v>584.37710000000004</v>
      </c>
      <c r="J706" s="7">
        <v>14</v>
      </c>
      <c r="K706" s="7">
        <v>4.9588870000000004E-3</v>
      </c>
      <c r="L706" s="7">
        <v>590.71754714259998</v>
      </c>
      <c r="M706" s="7">
        <v>581.47924002059995</v>
      </c>
      <c r="N706" s="7">
        <v>586.18315523939998</v>
      </c>
      <c r="O706" s="7">
        <v>590.71754714259998</v>
      </c>
      <c r="P706" s="7">
        <v>581.47924002059995</v>
      </c>
      <c r="Q706">
        <v>1</v>
      </c>
      <c r="R706">
        <v>0</v>
      </c>
      <c r="S706" s="11">
        <v>45806.666666666664</v>
      </c>
      <c r="T706">
        <v>1793</v>
      </c>
    </row>
    <row r="707" spans="1:20">
      <c r="A707" s="11">
        <v>45806.625</v>
      </c>
      <c r="B707" s="11">
        <v>45806.645833333336</v>
      </c>
      <c r="C707" s="10">
        <v>45806</v>
      </c>
      <c r="D707" s="7">
        <v>585.57039999999995</v>
      </c>
      <c r="E707" s="7">
        <v>3661753</v>
      </c>
      <c r="F707" s="7">
        <v>3661753</v>
      </c>
      <c r="G707" s="7">
        <v>37449032</v>
      </c>
      <c r="H707" s="7">
        <v>587.80269999999996</v>
      </c>
      <c r="I707" s="7">
        <v>584.37710000000004</v>
      </c>
      <c r="J707" s="7">
        <v>14</v>
      </c>
      <c r="K707" s="7">
        <v>5.0211696999999996E-3</v>
      </c>
      <c r="L707" s="7">
        <v>590.7541571017</v>
      </c>
      <c r="M707" s="7">
        <v>581.44284341720004</v>
      </c>
      <c r="N707" s="7">
        <v>586.12324025049998</v>
      </c>
      <c r="O707" s="7">
        <v>590.7541571017</v>
      </c>
      <c r="P707" s="7">
        <v>581.44284341720004</v>
      </c>
      <c r="Q707">
        <v>1</v>
      </c>
      <c r="R707">
        <v>0</v>
      </c>
      <c r="S707" s="11">
        <v>45806.666666666664</v>
      </c>
      <c r="T707">
        <v>1792</v>
      </c>
    </row>
    <row r="708" spans="1:20">
      <c r="A708" s="11">
        <v>45806.645833333336</v>
      </c>
      <c r="B708" s="11">
        <v>45806.666666666664</v>
      </c>
      <c r="C708" s="10">
        <v>45806</v>
      </c>
      <c r="D708" s="7">
        <v>586.68409999999994</v>
      </c>
      <c r="E708" s="7">
        <v>8250133</v>
      </c>
      <c r="F708" s="7">
        <v>8250133</v>
      </c>
      <c r="G708" s="7">
        <v>45699165</v>
      </c>
      <c r="H708" s="7">
        <v>587.80269999999996</v>
      </c>
      <c r="I708" s="7">
        <v>584.37710000000004</v>
      </c>
      <c r="J708" s="7">
        <v>14</v>
      </c>
      <c r="K708" s="7">
        <v>4.8018460999999998E-3</v>
      </c>
      <c r="L708" s="7">
        <v>590.62523809920003</v>
      </c>
      <c r="M708" s="7">
        <v>581.57101110480005</v>
      </c>
      <c r="N708" s="7">
        <v>586.2244930311</v>
      </c>
      <c r="O708" s="7">
        <v>590.62523809920003</v>
      </c>
      <c r="P708" s="7">
        <v>581.57101110480005</v>
      </c>
      <c r="Q708">
        <v>1</v>
      </c>
      <c r="R708">
        <v>1</v>
      </c>
      <c r="S708" s="11">
        <v>45806.666666666664</v>
      </c>
      <c r="T708">
        <v>1791</v>
      </c>
    </row>
    <row r="709" spans="1:20">
      <c r="A709" s="11">
        <v>45807.395833333336</v>
      </c>
      <c r="B709" s="11">
        <v>45807.416666666664</v>
      </c>
      <c r="C709" s="10">
        <v>45807</v>
      </c>
      <c r="D709" s="7">
        <v>584.06910000000005</v>
      </c>
      <c r="E709" s="7">
        <v>4802709</v>
      </c>
      <c r="F709" s="7">
        <v>4802709</v>
      </c>
      <c r="G709" s="7">
        <v>4802709</v>
      </c>
      <c r="H709" s="7">
        <v>584.06910000000005</v>
      </c>
      <c r="I709" s="7">
        <v>586.68380000000002</v>
      </c>
      <c r="J709" s="7">
        <v>14</v>
      </c>
      <c r="K709" s="7">
        <v>0</v>
      </c>
      <c r="L709" s="7">
        <v>586.68380000000002</v>
      </c>
      <c r="M709" s="7">
        <v>584.06910000000005</v>
      </c>
      <c r="N709" s="7">
        <v>584.06910000000005</v>
      </c>
      <c r="O709" s="7">
        <v>586.68380000000002</v>
      </c>
      <c r="P709" s="7">
        <v>584.06910000000005</v>
      </c>
      <c r="Q709">
        <v>1</v>
      </c>
      <c r="R709">
        <v>0</v>
      </c>
      <c r="S709" s="11">
        <v>45807.666666666664</v>
      </c>
      <c r="T709">
        <v>1789</v>
      </c>
    </row>
    <row r="710" spans="1:20">
      <c r="A710" s="11">
        <v>45807.416666666664</v>
      </c>
      <c r="B710" s="11">
        <v>45807.4375</v>
      </c>
      <c r="C710" s="10">
        <v>45807</v>
      </c>
      <c r="D710" s="7">
        <v>586.1671</v>
      </c>
      <c r="E710" s="7">
        <v>3679222</v>
      </c>
      <c r="F710" s="7">
        <v>3679222</v>
      </c>
      <c r="G710" s="7">
        <v>8481931</v>
      </c>
      <c r="H710" s="7">
        <v>584.06910000000005</v>
      </c>
      <c r="I710" s="7">
        <v>586.68380000000002</v>
      </c>
      <c r="J710" s="7">
        <v>14</v>
      </c>
      <c r="K710" s="7">
        <v>1.5100077000000001E-3</v>
      </c>
      <c r="L710" s="7">
        <v>587.56969705350002</v>
      </c>
      <c r="M710" s="7">
        <v>583.18715116359999</v>
      </c>
      <c r="N710" s="7">
        <v>584.97915311830002</v>
      </c>
      <c r="O710" s="7">
        <v>587.56969705350002</v>
      </c>
      <c r="P710" s="7">
        <v>583.18715116359999</v>
      </c>
      <c r="Q710">
        <v>1</v>
      </c>
      <c r="R710">
        <v>0</v>
      </c>
      <c r="S710" s="11">
        <v>45807.666666666664</v>
      </c>
      <c r="T710">
        <v>1788</v>
      </c>
    </row>
    <row r="711" spans="1:20">
      <c r="A711" s="11">
        <v>45807.4375</v>
      </c>
      <c r="B711" s="11">
        <v>45807.458333333336</v>
      </c>
      <c r="C711" s="10">
        <v>45807</v>
      </c>
      <c r="D711" s="7">
        <v>585.32190000000003</v>
      </c>
      <c r="E711" s="7">
        <v>2324099</v>
      </c>
      <c r="F711" s="7">
        <v>2324099</v>
      </c>
      <c r="G711" s="7">
        <v>10806030</v>
      </c>
      <c r="H711" s="7">
        <v>584.06910000000005</v>
      </c>
      <c r="I711" s="7">
        <v>586.68380000000002</v>
      </c>
      <c r="J711" s="7">
        <v>14</v>
      </c>
      <c r="K711" s="7">
        <v>1.401904E-3</v>
      </c>
      <c r="L711" s="7">
        <v>587.50627436620005</v>
      </c>
      <c r="M711" s="7">
        <v>583.25029119220005</v>
      </c>
      <c r="N711" s="7">
        <v>585.05286915329998</v>
      </c>
      <c r="O711" s="7">
        <v>587.50627436620005</v>
      </c>
      <c r="P711" s="7">
        <v>583.25029119220005</v>
      </c>
      <c r="Q711">
        <v>1</v>
      </c>
      <c r="R711">
        <v>0</v>
      </c>
      <c r="S711" s="11">
        <v>45807.666666666664</v>
      </c>
      <c r="T711">
        <v>1787</v>
      </c>
    </row>
    <row r="712" spans="1:20">
      <c r="A712" s="11">
        <v>45807.458333333336</v>
      </c>
      <c r="B712" s="11">
        <v>45807.479166666664</v>
      </c>
      <c r="C712" s="10">
        <v>45807</v>
      </c>
      <c r="D712" s="7">
        <v>585.65</v>
      </c>
      <c r="E712" s="7">
        <v>1713252</v>
      </c>
      <c r="F712" s="7">
        <v>1713252</v>
      </c>
      <c r="G712" s="7">
        <v>12519282</v>
      </c>
      <c r="H712" s="7">
        <v>584.06910000000005</v>
      </c>
      <c r="I712" s="7">
        <v>586.68380000000002</v>
      </c>
      <c r="J712" s="7">
        <v>14</v>
      </c>
      <c r="K712" s="7">
        <v>2.3282749999999999E-3</v>
      </c>
      <c r="L712" s="7">
        <v>588.04976125079997</v>
      </c>
      <c r="M712" s="7">
        <v>582.70922648989995</v>
      </c>
      <c r="N712" s="7">
        <v>585.13458594960002</v>
      </c>
      <c r="O712" s="7">
        <v>588.04976125079997</v>
      </c>
      <c r="P712" s="7">
        <v>582.70922648989995</v>
      </c>
      <c r="Q712">
        <v>1</v>
      </c>
      <c r="R712">
        <v>0</v>
      </c>
      <c r="S712" s="11">
        <v>45807.666666666664</v>
      </c>
      <c r="T712">
        <v>1786</v>
      </c>
    </row>
    <row r="713" spans="1:20">
      <c r="A713" s="11">
        <v>45807.479166666664</v>
      </c>
      <c r="B713" s="11">
        <v>45807.5</v>
      </c>
      <c r="C713" s="10">
        <v>45807</v>
      </c>
      <c r="D713" s="7">
        <v>584.68050000000005</v>
      </c>
      <c r="E713" s="7">
        <v>2237111</v>
      </c>
      <c r="F713" s="7">
        <v>2237111</v>
      </c>
      <c r="G713" s="7">
        <v>14756393</v>
      </c>
      <c r="H713" s="7">
        <v>584.06910000000005</v>
      </c>
      <c r="I713" s="7">
        <v>586.68380000000002</v>
      </c>
      <c r="J713" s="7">
        <v>14</v>
      </c>
      <c r="K713" s="7">
        <v>2.6755743000000001E-3</v>
      </c>
      <c r="L713" s="7">
        <v>588.25351611270003</v>
      </c>
      <c r="M713" s="7">
        <v>582.50637971150002</v>
      </c>
      <c r="N713" s="7">
        <v>585.06574523270001</v>
      </c>
      <c r="O713" s="7">
        <v>588.25351611270003</v>
      </c>
      <c r="P713" s="7">
        <v>582.50637971150002</v>
      </c>
      <c r="Q713">
        <v>1</v>
      </c>
      <c r="R713">
        <v>0</v>
      </c>
      <c r="S713" s="11">
        <v>45807.666666666664</v>
      </c>
      <c r="T713">
        <v>1785</v>
      </c>
    </row>
    <row r="714" spans="1:20">
      <c r="A714" s="11">
        <v>45807.5</v>
      </c>
      <c r="B714" s="11">
        <v>45807.520833333336</v>
      </c>
      <c r="C714" s="10">
        <v>45807</v>
      </c>
      <c r="D714" s="7">
        <v>581.75239999999997</v>
      </c>
      <c r="E714" s="7">
        <v>4529583</v>
      </c>
      <c r="F714" s="7">
        <v>4529583</v>
      </c>
      <c r="G714" s="7">
        <v>19285976</v>
      </c>
      <c r="H714" s="7">
        <v>584.06910000000005</v>
      </c>
      <c r="I714" s="7">
        <v>586.68380000000002</v>
      </c>
      <c r="J714" s="7">
        <v>14</v>
      </c>
      <c r="K714" s="7">
        <v>2.8515249000000001E-3</v>
      </c>
      <c r="L714" s="7">
        <v>588.35674346400003</v>
      </c>
      <c r="M714" s="7">
        <v>582.40361241820005</v>
      </c>
      <c r="N714" s="7">
        <v>584.2875594546</v>
      </c>
      <c r="O714" s="7">
        <v>588.35674346400003</v>
      </c>
      <c r="P714" s="7">
        <v>582.40361241820005</v>
      </c>
      <c r="Q714">
        <v>1</v>
      </c>
      <c r="R714">
        <v>0</v>
      </c>
      <c r="S714" s="11">
        <v>45807.666666666664</v>
      </c>
      <c r="T714">
        <v>1784</v>
      </c>
    </row>
    <row r="715" spans="1:20">
      <c r="A715" s="11">
        <v>45807.520833333336</v>
      </c>
      <c r="B715" s="11">
        <v>45807.541666666664</v>
      </c>
      <c r="C715" s="10">
        <v>45807</v>
      </c>
      <c r="D715" s="7">
        <v>580.7183</v>
      </c>
      <c r="E715" s="7">
        <v>6388237</v>
      </c>
      <c r="F715" s="7">
        <v>6388237</v>
      </c>
      <c r="G715" s="7">
        <v>25674213</v>
      </c>
      <c r="H715" s="7">
        <v>584.06910000000005</v>
      </c>
      <c r="I715" s="7">
        <v>586.68380000000002</v>
      </c>
      <c r="J715" s="7">
        <v>14</v>
      </c>
      <c r="K715" s="7">
        <v>3.5479537999999998E-3</v>
      </c>
      <c r="L715" s="7">
        <v>588.76532699790005</v>
      </c>
      <c r="M715" s="7">
        <v>581.99684983680004</v>
      </c>
      <c r="N715" s="7">
        <v>583.39945919189995</v>
      </c>
      <c r="O715" s="7">
        <v>588.76532699790005</v>
      </c>
      <c r="P715" s="7">
        <v>581.99684983680004</v>
      </c>
      <c r="Q715">
        <v>1</v>
      </c>
      <c r="R715">
        <v>0</v>
      </c>
      <c r="S715" s="11">
        <v>45807.666666666664</v>
      </c>
      <c r="T715">
        <v>1783</v>
      </c>
    </row>
    <row r="716" spans="1:20">
      <c r="A716" s="11">
        <v>45807.541666666664</v>
      </c>
      <c r="B716" s="11">
        <v>45807.5625</v>
      </c>
      <c r="C716" s="10">
        <v>45807</v>
      </c>
      <c r="D716" s="7">
        <v>582.54790000000003</v>
      </c>
      <c r="E716" s="7">
        <v>2784229</v>
      </c>
      <c r="F716" s="7">
        <v>2784229</v>
      </c>
      <c r="G716" s="7">
        <v>28458442</v>
      </c>
      <c r="H716" s="7">
        <v>584.06910000000005</v>
      </c>
      <c r="I716" s="7">
        <v>586.68380000000002</v>
      </c>
      <c r="J716" s="7">
        <v>14</v>
      </c>
      <c r="K716" s="7">
        <v>4.5586849000000002E-3</v>
      </c>
      <c r="L716" s="7">
        <v>589.3583065862</v>
      </c>
      <c r="M716" s="7">
        <v>581.40651300720003</v>
      </c>
      <c r="N716" s="7">
        <v>583.31614697839996</v>
      </c>
      <c r="O716" s="7">
        <v>589.3583065862</v>
      </c>
      <c r="P716" s="7">
        <v>581.40651300720003</v>
      </c>
      <c r="Q716">
        <v>1</v>
      </c>
      <c r="R716">
        <v>0</v>
      </c>
      <c r="S716" s="11">
        <v>45807.666666666664</v>
      </c>
      <c r="T716">
        <v>1782</v>
      </c>
    </row>
    <row r="717" spans="1:20">
      <c r="A717" s="11">
        <v>45807.5625</v>
      </c>
      <c r="B717" s="11">
        <v>45807.583333333336</v>
      </c>
      <c r="C717" s="10">
        <v>45807</v>
      </c>
      <c r="D717" s="7">
        <v>582.53790000000004</v>
      </c>
      <c r="E717" s="7">
        <v>2425709</v>
      </c>
      <c r="F717" s="7">
        <v>2425709</v>
      </c>
      <c r="G717" s="7">
        <v>30884151</v>
      </c>
      <c r="H717" s="7">
        <v>584.06910000000005</v>
      </c>
      <c r="I717" s="7">
        <v>586.68380000000002</v>
      </c>
      <c r="J717" s="7">
        <v>14</v>
      </c>
      <c r="K717" s="7">
        <v>4.0606473999999998E-3</v>
      </c>
      <c r="L717" s="7">
        <v>589.06611604349996</v>
      </c>
      <c r="M717" s="7">
        <v>581.69740133120001</v>
      </c>
      <c r="N717" s="7">
        <v>583.25502175270003</v>
      </c>
      <c r="O717" s="7">
        <v>589.06611604349996</v>
      </c>
      <c r="P717" s="7">
        <v>581.69740133120001</v>
      </c>
      <c r="Q717">
        <v>1</v>
      </c>
      <c r="R717">
        <v>0</v>
      </c>
      <c r="S717" s="11">
        <v>45807.666666666664</v>
      </c>
      <c r="T717">
        <v>1781</v>
      </c>
    </row>
    <row r="718" spans="1:20">
      <c r="A718" s="11">
        <v>45807.583333333336</v>
      </c>
      <c r="B718" s="11">
        <v>45807.604166666664</v>
      </c>
      <c r="C718" s="10">
        <v>45807</v>
      </c>
      <c r="D718" s="7">
        <v>584.97389999999996</v>
      </c>
      <c r="E718" s="7">
        <v>4640295</v>
      </c>
      <c r="F718" s="7">
        <v>4640295</v>
      </c>
      <c r="G718" s="7">
        <v>35524446</v>
      </c>
      <c r="H718" s="7">
        <v>584.06910000000005</v>
      </c>
      <c r="I718" s="7">
        <v>586.68380000000002</v>
      </c>
      <c r="J718" s="7">
        <v>14</v>
      </c>
      <c r="K718" s="7">
        <v>4.5843932999999996E-3</v>
      </c>
      <c r="L718" s="7">
        <v>589.37338926279995</v>
      </c>
      <c r="M718" s="7">
        <v>581.39149755029996</v>
      </c>
      <c r="N718" s="7">
        <v>583.47954607420002</v>
      </c>
      <c r="O718" s="7">
        <v>589.37338926279995</v>
      </c>
      <c r="P718" s="7">
        <v>581.39149755029996</v>
      </c>
      <c r="Q718">
        <v>1</v>
      </c>
      <c r="R718">
        <v>0</v>
      </c>
      <c r="S718" s="11">
        <v>45807.666666666664</v>
      </c>
      <c r="T718">
        <v>1780</v>
      </c>
    </row>
    <row r="719" spans="1:20">
      <c r="A719" s="11">
        <v>45807.604166666664</v>
      </c>
      <c r="B719" s="11">
        <v>45807.625</v>
      </c>
      <c r="C719" s="10">
        <v>45807</v>
      </c>
      <c r="D719" s="7">
        <v>585.28219999999999</v>
      </c>
      <c r="E719" s="7">
        <v>2159148</v>
      </c>
      <c r="F719" s="7">
        <v>2159148</v>
      </c>
      <c r="G719" s="7">
        <v>37683594</v>
      </c>
      <c r="H719" s="7">
        <v>584.06910000000005</v>
      </c>
      <c r="I719" s="7">
        <v>586.68380000000002</v>
      </c>
      <c r="J719" s="7">
        <v>14</v>
      </c>
      <c r="K719" s="7">
        <v>4.7095467E-3</v>
      </c>
      <c r="L719" s="7">
        <v>589.44681476890003</v>
      </c>
      <c r="M719" s="7">
        <v>581.31839928299996</v>
      </c>
      <c r="N719" s="7">
        <v>583.58283231120004</v>
      </c>
      <c r="O719" s="7">
        <v>589.44681476890003</v>
      </c>
      <c r="P719" s="7">
        <v>581.31839928299996</v>
      </c>
      <c r="Q719">
        <v>1</v>
      </c>
      <c r="R719">
        <v>0</v>
      </c>
      <c r="S719" s="11">
        <v>45807.666666666664</v>
      </c>
      <c r="T719">
        <v>1779</v>
      </c>
    </row>
    <row r="720" spans="1:20">
      <c r="A720" s="11">
        <v>45807.625</v>
      </c>
      <c r="B720" s="11">
        <v>45807.645833333336</v>
      </c>
      <c r="C720" s="10">
        <v>45807</v>
      </c>
      <c r="D720" s="7">
        <v>587.24080000000004</v>
      </c>
      <c r="E720" s="7">
        <v>3778446</v>
      </c>
      <c r="F720" s="7">
        <v>3778446</v>
      </c>
      <c r="G720" s="7">
        <v>41462040</v>
      </c>
      <c r="H720" s="7">
        <v>584.06910000000005</v>
      </c>
      <c r="I720" s="7">
        <v>586.68380000000002</v>
      </c>
      <c r="J720" s="7">
        <v>14</v>
      </c>
      <c r="K720" s="7">
        <v>4.6554826999999997E-3</v>
      </c>
      <c r="L720" s="7">
        <v>589.41509627009998</v>
      </c>
      <c r="M720" s="7">
        <v>581.34997642049996</v>
      </c>
      <c r="N720" s="7">
        <v>583.91618381490002</v>
      </c>
      <c r="O720" s="7">
        <v>589.41509627009998</v>
      </c>
      <c r="P720" s="7">
        <v>581.34997642049996</v>
      </c>
      <c r="Q720">
        <v>1</v>
      </c>
      <c r="R720">
        <v>0</v>
      </c>
      <c r="S720" s="11">
        <v>45807.666666666664</v>
      </c>
      <c r="T720">
        <v>1778</v>
      </c>
    </row>
    <row r="721" spans="1:20">
      <c r="A721" s="11">
        <v>45807.645833333336</v>
      </c>
      <c r="B721" s="11">
        <v>45807.666666666664</v>
      </c>
      <c r="C721" s="10">
        <v>45807</v>
      </c>
      <c r="D721" s="7">
        <v>586.02779999999996</v>
      </c>
      <c r="E721" s="7">
        <v>17092276</v>
      </c>
      <c r="F721" s="7">
        <v>17092276</v>
      </c>
      <c r="G721" s="7">
        <v>58554316</v>
      </c>
      <c r="H721" s="7">
        <v>584.06910000000005</v>
      </c>
      <c r="I721" s="7">
        <v>586.68380000000002</v>
      </c>
      <c r="J721" s="7">
        <v>14</v>
      </c>
      <c r="K721" s="7">
        <v>4.8124183999999999E-3</v>
      </c>
      <c r="L721" s="7">
        <v>589.50716790180002</v>
      </c>
      <c r="M721" s="7">
        <v>581.25831512850004</v>
      </c>
      <c r="N721" s="7">
        <v>584.53257435800003</v>
      </c>
      <c r="O721" s="7">
        <v>589.50716790180002</v>
      </c>
      <c r="P721" s="7">
        <v>581.25831512850004</v>
      </c>
      <c r="Q721">
        <v>1</v>
      </c>
      <c r="R721">
        <v>1</v>
      </c>
      <c r="S721" s="11">
        <v>45807.666666666664</v>
      </c>
      <c r="T721">
        <v>1777</v>
      </c>
    </row>
    <row r="722" spans="1:20">
      <c r="A722" s="11">
        <v>45810.395833333336</v>
      </c>
      <c r="B722" s="11">
        <v>45810.416666666664</v>
      </c>
      <c r="C722" s="10">
        <v>45810</v>
      </c>
      <c r="D722" s="7">
        <v>582.98530000000005</v>
      </c>
      <c r="E722" s="7">
        <v>6197858</v>
      </c>
      <c r="F722" s="7">
        <v>6197858</v>
      </c>
      <c r="G722" s="7">
        <v>6197858</v>
      </c>
      <c r="H722" s="7">
        <v>582.98530000000005</v>
      </c>
      <c r="I722" s="7">
        <v>586.02760000000001</v>
      </c>
      <c r="J722" s="7">
        <v>14</v>
      </c>
      <c r="K722" s="7">
        <v>0</v>
      </c>
      <c r="L722" s="7">
        <v>586.02760000000001</v>
      </c>
      <c r="M722" s="7">
        <v>582.98530000000005</v>
      </c>
      <c r="N722" s="7">
        <v>582.98530000000005</v>
      </c>
      <c r="O722" s="7">
        <v>586.02760000000001</v>
      </c>
      <c r="P722" s="7">
        <v>582.98530000000005</v>
      </c>
      <c r="Q722">
        <v>1</v>
      </c>
      <c r="R722">
        <v>0</v>
      </c>
      <c r="S722" s="11">
        <v>45810.666666666664</v>
      </c>
      <c r="T722">
        <v>1775</v>
      </c>
    </row>
    <row r="723" spans="1:20">
      <c r="A723" s="11">
        <v>45810.416666666664</v>
      </c>
      <c r="B723" s="11">
        <v>45810.4375</v>
      </c>
      <c r="C723" s="10">
        <v>45810</v>
      </c>
      <c r="D723" s="7">
        <v>585.23239999999998</v>
      </c>
      <c r="E723" s="7">
        <v>5563245</v>
      </c>
      <c r="F723" s="7">
        <v>5563245</v>
      </c>
      <c r="G723" s="7">
        <v>11761103</v>
      </c>
      <c r="H723" s="7">
        <v>582.98530000000005</v>
      </c>
      <c r="I723" s="7">
        <v>586.02760000000001</v>
      </c>
      <c r="J723" s="7">
        <v>14</v>
      </c>
      <c r="K723" s="7">
        <v>1.4578777E-3</v>
      </c>
      <c r="L723" s="7">
        <v>586.88195659600001</v>
      </c>
      <c r="M723" s="7">
        <v>582.13537870549999</v>
      </c>
      <c r="N723" s="7">
        <v>584.04822478179995</v>
      </c>
      <c r="O723" s="7">
        <v>586.88195659600001</v>
      </c>
      <c r="P723" s="7">
        <v>582.13537870549999</v>
      </c>
      <c r="Q723">
        <v>1</v>
      </c>
      <c r="R723">
        <v>0</v>
      </c>
      <c r="S723" s="11">
        <v>45810.666666666664</v>
      </c>
      <c r="T723">
        <v>1774</v>
      </c>
    </row>
    <row r="724" spans="1:20">
      <c r="A724" s="11">
        <v>45810.4375</v>
      </c>
      <c r="B724" s="11">
        <v>45810.458333333336</v>
      </c>
      <c r="C724" s="10">
        <v>45810</v>
      </c>
      <c r="D724" s="7">
        <v>585.99800000000005</v>
      </c>
      <c r="E724" s="7">
        <v>3488453</v>
      </c>
      <c r="F724" s="7">
        <v>3488453</v>
      </c>
      <c r="G724" s="7">
        <v>15249556</v>
      </c>
      <c r="H724" s="7">
        <v>582.98530000000005</v>
      </c>
      <c r="I724" s="7">
        <v>586.02760000000001</v>
      </c>
      <c r="J724" s="7">
        <v>14</v>
      </c>
      <c r="K724" s="7">
        <v>1.2571189000000001E-3</v>
      </c>
      <c r="L724" s="7">
        <v>586.76430636220005</v>
      </c>
      <c r="M724" s="7">
        <v>582.25241817059998</v>
      </c>
      <c r="N724" s="7">
        <v>584.49425083059998</v>
      </c>
      <c r="O724" s="7">
        <v>586.76430636220005</v>
      </c>
      <c r="P724" s="7">
        <v>582.25241817059998</v>
      </c>
      <c r="Q724">
        <v>1</v>
      </c>
      <c r="R724">
        <v>0</v>
      </c>
      <c r="S724" s="11">
        <v>45810.666666666664</v>
      </c>
      <c r="T724">
        <v>1773</v>
      </c>
    </row>
    <row r="725" spans="1:20">
      <c r="A725" s="11">
        <v>45810.458333333336</v>
      </c>
      <c r="B725" s="11">
        <v>45810.479166666664</v>
      </c>
      <c r="C725" s="10">
        <v>45810</v>
      </c>
      <c r="D725" s="7">
        <v>585.19259999999997</v>
      </c>
      <c r="E725" s="7">
        <v>2707939</v>
      </c>
      <c r="F725" s="7">
        <v>2707939</v>
      </c>
      <c r="G725" s="7">
        <v>17957495</v>
      </c>
      <c r="H725" s="7">
        <v>582.98530000000005</v>
      </c>
      <c r="I725" s="7">
        <v>586.02760000000001</v>
      </c>
      <c r="J725" s="7">
        <v>14</v>
      </c>
      <c r="K725" s="7">
        <v>2.2229938999999998E-3</v>
      </c>
      <c r="L725" s="7">
        <v>587.33033576319997</v>
      </c>
      <c r="M725" s="7">
        <v>581.68932725110005</v>
      </c>
      <c r="N725" s="7">
        <v>584.59955989239995</v>
      </c>
      <c r="O725" s="7">
        <v>587.33033576319997</v>
      </c>
      <c r="P725" s="7">
        <v>581.68932725110005</v>
      </c>
      <c r="Q725">
        <v>1</v>
      </c>
      <c r="R725">
        <v>0</v>
      </c>
      <c r="S725" s="11">
        <v>45810.666666666664</v>
      </c>
      <c r="T725">
        <v>1772</v>
      </c>
    </row>
    <row r="726" spans="1:20">
      <c r="A726" s="11">
        <v>45810.479166666664</v>
      </c>
      <c r="B726" s="11">
        <v>45810.5</v>
      </c>
      <c r="C726" s="10">
        <v>45810</v>
      </c>
      <c r="D726" s="7">
        <v>586.50509999999997</v>
      </c>
      <c r="E726" s="7">
        <v>2032184</v>
      </c>
      <c r="F726" s="7">
        <v>2032184</v>
      </c>
      <c r="G726" s="7">
        <v>19989679</v>
      </c>
      <c r="H726" s="7">
        <v>582.98530000000005</v>
      </c>
      <c r="I726" s="7">
        <v>586.02760000000001</v>
      </c>
      <c r="J726" s="7">
        <v>14</v>
      </c>
      <c r="K726" s="7">
        <v>2.5810649E-3</v>
      </c>
      <c r="L726" s="7">
        <v>587.5401752491</v>
      </c>
      <c r="M726" s="7">
        <v>581.48057712460002</v>
      </c>
      <c r="N726" s="7">
        <v>584.79328026769997</v>
      </c>
      <c r="O726" s="7">
        <v>587.5401752491</v>
      </c>
      <c r="P726" s="7">
        <v>581.48057712460002</v>
      </c>
      <c r="Q726">
        <v>1</v>
      </c>
      <c r="R726">
        <v>0</v>
      </c>
      <c r="S726" s="11">
        <v>45810.666666666664</v>
      </c>
      <c r="T726">
        <v>1771</v>
      </c>
    </row>
    <row r="727" spans="1:20">
      <c r="A727" s="11">
        <v>45810.5</v>
      </c>
      <c r="B727" s="11">
        <v>45810.520833333336</v>
      </c>
      <c r="C727" s="10">
        <v>45810</v>
      </c>
      <c r="D727" s="7">
        <v>586.02779999999996</v>
      </c>
      <c r="E727" s="7">
        <v>1305774</v>
      </c>
      <c r="F727" s="7">
        <v>1305774</v>
      </c>
      <c r="G727" s="7">
        <v>21295453</v>
      </c>
      <c r="H727" s="7">
        <v>582.98530000000005</v>
      </c>
      <c r="I727" s="7">
        <v>586.02760000000001</v>
      </c>
      <c r="J727" s="7">
        <v>14</v>
      </c>
      <c r="K727" s="7">
        <v>2.7530580000000001E-3</v>
      </c>
      <c r="L727" s="7">
        <v>587.64096796000001</v>
      </c>
      <c r="M727" s="7">
        <v>581.38030766819998</v>
      </c>
      <c r="N727" s="7">
        <v>584.86897735519995</v>
      </c>
      <c r="O727" s="7">
        <v>587.64096796000001</v>
      </c>
      <c r="P727" s="7">
        <v>581.38030766819998</v>
      </c>
      <c r="Q727">
        <v>1</v>
      </c>
      <c r="R727">
        <v>0</v>
      </c>
      <c r="S727" s="11">
        <v>45810.666666666664</v>
      </c>
      <c r="T727">
        <v>1770</v>
      </c>
    </row>
    <row r="728" spans="1:20">
      <c r="A728" s="11">
        <v>45810.520833333336</v>
      </c>
      <c r="B728" s="11">
        <v>45810.541666666664</v>
      </c>
      <c r="C728" s="10">
        <v>45810</v>
      </c>
      <c r="D728" s="7">
        <v>586.63430000000005</v>
      </c>
      <c r="E728" s="7">
        <v>1348944</v>
      </c>
      <c r="F728" s="7">
        <v>1348944</v>
      </c>
      <c r="G728" s="7">
        <v>22644397</v>
      </c>
      <c r="H728" s="7">
        <v>582.98530000000005</v>
      </c>
      <c r="I728" s="7">
        <v>586.02760000000001</v>
      </c>
      <c r="J728" s="7">
        <v>14</v>
      </c>
      <c r="K728" s="7">
        <v>3.5154655999999999E-3</v>
      </c>
      <c r="L728" s="7">
        <v>588.08775984019996</v>
      </c>
      <c r="M728" s="7">
        <v>580.93583526069995</v>
      </c>
      <c r="N728" s="7">
        <v>584.97413897160004</v>
      </c>
      <c r="O728" s="7">
        <v>588.08775984019996</v>
      </c>
      <c r="P728" s="7">
        <v>580.93583526069995</v>
      </c>
      <c r="Q728">
        <v>1</v>
      </c>
      <c r="R728">
        <v>0</v>
      </c>
      <c r="S728" s="11">
        <v>45810.666666666664</v>
      </c>
      <c r="T728">
        <v>1769</v>
      </c>
    </row>
    <row r="729" spans="1:20">
      <c r="A729" s="11">
        <v>45810.541666666664</v>
      </c>
      <c r="B729" s="11">
        <v>45810.5625</v>
      </c>
      <c r="C729" s="10">
        <v>45810</v>
      </c>
      <c r="D729" s="7">
        <v>586.47529999999995</v>
      </c>
      <c r="E729" s="7">
        <v>1348117</v>
      </c>
      <c r="F729" s="7">
        <v>1348117</v>
      </c>
      <c r="G729" s="7">
        <v>23992514</v>
      </c>
      <c r="H729" s="7">
        <v>582.98530000000005</v>
      </c>
      <c r="I729" s="7">
        <v>586.02760000000001</v>
      </c>
      <c r="J729" s="7">
        <v>14</v>
      </c>
      <c r="K729" s="7">
        <v>4.3777848000000003E-3</v>
      </c>
      <c r="L729" s="7">
        <v>588.59310272499999</v>
      </c>
      <c r="M729" s="7">
        <v>580.43311580969998</v>
      </c>
      <c r="N729" s="7">
        <v>585.05848781060001</v>
      </c>
      <c r="O729" s="7">
        <v>588.59310272499999</v>
      </c>
      <c r="P729" s="7">
        <v>580.43311580969998</v>
      </c>
      <c r="Q729">
        <v>1</v>
      </c>
      <c r="R729">
        <v>0</v>
      </c>
      <c r="S729" s="11">
        <v>45810.666666666664</v>
      </c>
      <c r="T729">
        <v>1768</v>
      </c>
    </row>
    <row r="730" spans="1:20">
      <c r="A730" s="11">
        <v>45810.5625</v>
      </c>
      <c r="B730" s="11">
        <v>45810.583333333336</v>
      </c>
      <c r="C730" s="10">
        <v>45810</v>
      </c>
      <c r="D730" s="7">
        <v>586.5498</v>
      </c>
      <c r="E730" s="7">
        <v>1118213</v>
      </c>
      <c r="F730" s="7">
        <v>1118213</v>
      </c>
      <c r="G730" s="7">
        <v>25110727</v>
      </c>
      <c r="H730" s="7">
        <v>582.98530000000005</v>
      </c>
      <c r="I730" s="7">
        <v>586.02760000000001</v>
      </c>
      <c r="J730" s="7">
        <v>14</v>
      </c>
      <c r="K730" s="7">
        <v>4.0349675999999998E-3</v>
      </c>
      <c r="L730" s="7">
        <v>588.39220235089999</v>
      </c>
      <c r="M730" s="7">
        <v>580.63297323090001</v>
      </c>
      <c r="N730" s="7">
        <v>585.12489786230003</v>
      </c>
      <c r="O730" s="7">
        <v>588.39220235089999</v>
      </c>
      <c r="P730" s="7">
        <v>580.63297323090001</v>
      </c>
      <c r="Q730">
        <v>1</v>
      </c>
      <c r="R730">
        <v>0</v>
      </c>
      <c r="S730" s="11">
        <v>45810.666666666664</v>
      </c>
      <c r="T730">
        <v>1767</v>
      </c>
    </row>
    <row r="731" spans="1:20">
      <c r="A731" s="11">
        <v>45810.583333333336</v>
      </c>
      <c r="B731" s="11">
        <v>45810.604166666664</v>
      </c>
      <c r="C731" s="10">
        <v>45810</v>
      </c>
      <c r="D731" s="7">
        <v>588.12580000000003</v>
      </c>
      <c r="E731" s="7">
        <v>2871574</v>
      </c>
      <c r="F731" s="7">
        <v>2871574</v>
      </c>
      <c r="G731" s="7">
        <v>27982301</v>
      </c>
      <c r="H731" s="7">
        <v>582.98530000000005</v>
      </c>
      <c r="I731" s="7">
        <v>586.02760000000001</v>
      </c>
      <c r="J731" s="7">
        <v>14</v>
      </c>
      <c r="K731" s="7">
        <v>4.3699556000000002E-3</v>
      </c>
      <c r="L731" s="7">
        <v>588.58851458540005</v>
      </c>
      <c r="M731" s="7">
        <v>580.43768013049998</v>
      </c>
      <c r="N731" s="7">
        <v>585.43285368609997</v>
      </c>
      <c r="O731" s="7">
        <v>588.58851458540005</v>
      </c>
      <c r="P731" s="7">
        <v>580.43768013049998</v>
      </c>
      <c r="Q731">
        <v>1</v>
      </c>
      <c r="R731">
        <v>0</v>
      </c>
      <c r="S731" s="11">
        <v>45810.666666666664</v>
      </c>
      <c r="T731">
        <v>1766</v>
      </c>
    </row>
    <row r="732" spans="1:20">
      <c r="A732" s="11">
        <v>45810.604166666664</v>
      </c>
      <c r="B732" s="11">
        <v>45810.625</v>
      </c>
      <c r="C732" s="10">
        <v>45810</v>
      </c>
      <c r="D732" s="7">
        <v>588.47379999999998</v>
      </c>
      <c r="E732" s="7">
        <v>2084981</v>
      </c>
      <c r="F732" s="7">
        <v>2084981</v>
      </c>
      <c r="G732" s="7">
        <v>30067282</v>
      </c>
      <c r="H732" s="7">
        <v>582.98530000000005</v>
      </c>
      <c r="I732" s="7">
        <v>586.02760000000001</v>
      </c>
      <c r="J732" s="7">
        <v>14</v>
      </c>
      <c r="K732" s="7">
        <v>4.6005474999999997E-3</v>
      </c>
      <c r="L732" s="7">
        <v>588.72364781190004</v>
      </c>
      <c r="M732" s="7">
        <v>580.30324843369999</v>
      </c>
      <c r="N732" s="7">
        <v>585.6437246017</v>
      </c>
      <c r="O732" s="7">
        <v>588.72364781190004</v>
      </c>
      <c r="P732" s="7">
        <v>580.30324843369999</v>
      </c>
      <c r="Q732">
        <v>1</v>
      </c>
      <c r="R732">
        <v>0</v>
      </c>
      <c r="S732" s="11">
        <v>45810.666666666664</v>
      </c>
      <c r="T732">
        <v>1765</v>
      </c>
    </row>
    <row r="733" spans="1:20">
      <c r="A733" s="11">
        <v>45810.625</v>
      </c>
      <c r="B733" s="11">
        <v>45810.645833333336</v>
      </c>
      <c r="C733" s="10">
        <v>45810</v>
      </c>
      <c r="D733" s="7">
        <v>588.93119999999999</v>
      </c>
      <c r="E733" s="7">
        <v>3406228</v>
      </c>
      <c r="F733" s="7">
        <v>3406228</v>
      </c>
      <c r="G733" s="7">
        <v>33473510</v>
      </c>
      <c r="H733" s="7">
        <v>582.98530000000005</v>
      </c>
      <c r="I733" s="7">
        <v>586.02760000000001</v>
      </c>
      <c r="J733" s="7">
        <v>14</v>
      </c>
      <c r="K733" s="7">
        <v>4.8052216000000003E-3</v>
      </c>
      <c r="L733" s="7">
        <v>588.84359245749999</v>
      </c>
      <c r="M733" s="7">
        <v>580.18392646799998</v>
      </c>
      <c r="N733" s="7">
        <v>585.97825452560005</v>
      </c>
      <c r="O733" s="7">
        <v>588.84359245749999</v>
      </c>
      <c r="P733" s="7">
        <v>580.18392646799998</v>
      </c>
      <c r="Q733">
        <v>1</v>
      </c>
      <c r="R733">
        <v>0</v>
      </c>
      <c r="S733" s="11">
        <v>45810.666666666664</v>
      </c>
      <c r="T733">
        <v>1764</v>
      </c>
    </row>
    <row r="734" spans="1:20">
      <c r="A734" s="11">
        <v>45810.645833333336</v>
      </c>
      <c r="B734" s="11">
        <v>45810.666666666664</v>
      </c>
      <c r="C734" s="10">
        <v>45810</v>
      </c>
      <c r="D734" s="7">
        <v>589.32889999999998</v>
      </c>
      <c r="E734" s="7">
        <v>8770867</v>
      </c>
      <c r="F734" s="7">
        <v>8770867</v>
      </c>
      <c r="G734" s="7">
        <v>42244377</v>
      </c>
      <c r="H734" s="7">
        <v>582.98530000000005</v>
      </c>
      <c r="I734" s="7">
        <v>586.02760000000001</v>
      </c>
      <c r="J734" s="7">
        <v>14</v>
      </c>
      <c r="K734" s="7">
        <v>4.7319234999999996E-3</v>
      </c>
      <c r="L734" s="7">
        <v>588.80063775830001</v>
      </c>
      <c r="M734" s="7">
        <v>580.22665817250004</v>
      </c>
      <c r="N734" s="7">
        <v>586.67392263349996</v>
      </c>
      <c r="O734" s="7">
        <v>588.80063775830001</v>
      </c>
      <c r="P734" s="7">
        <v>580.22665817250004</v>
      </c>
      <c r="Q734">
        <v>1</v>
      </c>
      <c r="R734">
        <v>1</v>
      </c>
      <c r="S734" s="11">
        <v>45810.666666666664</v>
      </c>
      <c r="T734">
        <v>1763</v>
      </c>
    </row>
    <row r="735" spans="1:20">
      <c r="A735" s="11">
        <v>45811.395833333336</v>
      </c>
      <c r="B735" s="11">
        <v>45811.416666666664</v>
      </c>
      <c r="C735" s="10">
        <v>45811</v>
      </c>
      <c r="D735" s="7">
        <v>589.11019999999996</v>
      </c>
      <c r="E735" s="7">
        <v>4306965</v>
      </c>
      <c r="F735" s="7">
        <v>4306965</v>
      </c>
      <c r="G735" s="7">
        <v>4306965</v>
      </c>
      <c r="H735" s="7">
        <v>589.11019999999996</v>
      </c>
      <c r="I735" s="7">
        <v>589.32870000000003</v>
      </c>
      <c r="J735" s="7">
        <v>14</v>
      </c>
      <c r="K735" s="7">
        <v>0</v>
      </c>
      <c r="L735" s="7">
        <v>589.32870000000003</v>
      </c>
      <c r="M735" s="7">
        <v>589.11019999999996</v>
      </c>
      <c r="N735" s="7">
        <v>589.11019999999996</v>
      </c>
      <c r="O735" s="7">
        <v>589.32870000000003</v>
      </c>
      <c r="P735" s="7">
        <v>589.11019999999996</v>
      </c>
      <c r="Q735">
        <v>1</v>
      </c>
      <c r="R735">
        <v>0</v>
      </c>
      <c r="S735" s="11">
        <v>45811.666666666664</v>
      </c>
      <c r="T735">
        <v>1761</v>
      </c>
    </row>
    <row r="736" spans="1:20">
      <c r="A736" s="11">
        <v>45811.416666666664</v>
      </c>
      <c r="B736" s="11">
        <v>45811.4375</v>
      </c>
      <c r="C736" s="10">
        <v>45811</v>
      </c>
      <c r="D736" s="7">
        <v>590.44749999999999</v>
      </c>
      <c r="E736" s="7">
        <v>3617717</v>
      </c>
      <c r="F736" s="7">
        <v>3617717</v>
      </c>
      <c r="G736" s="7">
        <v>7924682</v>
      </c>
      <c r="H736" s="7">
        <v>589.11019999999996</v>
      </c>
      <c r="I736" s="7">
        <v>589.32870000000003</v>
      </c>
      <c r="J736" s="7">
        <v>14</v>
      </c>
      <c r="K736" s="7">
        <v>1.6456235000000001E-3</v>
      </c>
      <c r="L736" s="7">
        <v>590.2985131575</v>
      </c>
      <c r="M736" s="7">
        <v>588.14074641119998</v>
      </c>
      <c r="N736" s="7">
        <v>589.72069426890005</v>
      </c>
      <c r="O736" s="7">
        <v>590.2985131575</v>
      </c>
      <c r="P736" s="7">
        <v>588.14074641119998</v>
      </c>
      <c r="Q736">
        <v>1</v>
      </c>
      <c r="R736">
        <v>0</v>
      </c>
      <c r="S736" s="11">
        <v>45811.666666666664</v>
      </c>
      <c r="T736">
        <v>1760</v>
      </c>
    </row>
    <row r="737" spans="1:20">
      <c r="A737" s="11">
        <v>45811.4375</v>
      </c>
      <c r="B737" s="11">
        <v>45811.458333333336</v>
      </c>
      <c r="C737" s="10">
        <v>45811</v>
      </c>
      <c r="D737" s="7">
        <v>591.01919999999996</v>
      </c>
      <c r="E737" s="7">
        <v>2858335</v>
      </c>
      <c r="F737" s="7">
        <v>2858335</v>
      </c>
      <c r="G737" s="7">
        <v>10783017</v>
      </c>
      <c r="H737" s="7">
        <v>589.11019999999996</v>
      </c>
      <c r="I737" s="7">
        <v>589.32870000000003</v>
      </c>
      <c r="J737" s="7">
        <v>14</v>
      </c>
      <c r="K737" s="7">
        <v>1.5990644E-3</v>
      </c>
      <c r="L737" s="7">
        <v>590.27107455559997</v>
      </c>
      <c r="M737" s="7">
        <v>588.16817483989996</v>
      </c>
      <c r="N737" s="7">
        <v>590.06489889909994</v>
      </c>
      <c r="O737" s="7">
        <v>590.27107455559997</v>
      </c>
      <c r="P737" s="7">
        <v>588.16817483989996</v>
      </c>
      <c r="Q737">
        <v>1</v>
      </c>
      <c r="R737">
        <v>0</v>
      </c>
      <c r="S737" s="11">
        <v>45811.666666666664</v>
      </c>
      <c r="T737">
        <v>1759</v>
      </c>
    </row>
    <row r="738" spans="1:20">
      <c r="A738" s="11">
        <v>45811.458333333336</v>
      </c>
      <c r="B738" s="11">
        <v>45811.479166666664</v>
      </c>
      <c r="C738" s="10">
        <v>45811</v>
      </c>
      <c r="D738" s="7">
        <v>591.56610000000001</v>
      </c>
      <c r="E738" s="7">
        <v>3035082</v>
      </c>
      <c r="F738" s="7">
        <v>3035082</v>
      </c>
      <c r="G738" s="7">
        <v>13818099</v>
      </c>
      <c r="H738" s="7">
        <v>589.11019999999996</v>
      </c>
      <c r="I738" s="7">
        <v>589.32870000000003</v>
      </c>
      <c r="J738" s="7">
        <v>14</v>
      </c>
      <c r="K738" s="7">
        <v>2.4901608000000002E-3</v>
      </c>
      <c r="L738" s="7">
        <v>590.7962232026</v>
      </c>
      <c r="M738" s="7">
        <v>587.64322089749999</v>
      </c>
      <c r="N738" s="7">
        <v>590.39463082819998</v>
      </c>
      <c r="O738" s="7">
        <v>590.7962232026</v>
      </c>
      <c r="P738" s="7">
        <v>587.64322089749999</v>
      </c>
      <c r="Q738">
        <v>1</v>
      </c>
      <c r="R738">
        <v>0</v>
      </c>
      <c r="S738" s="11">
        <v>45811.666666666664</v>
      </c>
      <c r="T738">
        <v>1758</v>
      </c>
    </row>
    <row r="739" spans="1:20">
      <c r="A739" s="11">
        <v>45811.479166666664</v>
      </c>
      <c r="B739" s="11">
        <v>45811.5</v>
      </c>
      <c r="C739" s="10">
        <v>45811</v>
      </c>
      <c r="D739" s="7">
        <v>592.23220000000003</v>
      </c>
      <c r="E739" s="7">
        <v>2662607</v>
      </c>
      <c r="F739" s="7">
        <v>2662607</v>
      </c>
      <c r="G739" s="7">
        <v>16480706</v>
      </c>
      <c r="H739" s="7">
        <v>589.11019999999996</v>
      </c>
      <c r="I739" s="7">
        <v>589.32870000000003</v>
      </c>
      <c r="J739" s="7">
        <v>14</v>
      </c>
      <c r="K739" s="7">
        <v>2.9247445000000001E-3</v>
      </c>
      <c r="L739" s="7">
        <v>591.05233585730002</v>
      </c>
      <c r="M739" s="7">
        <v>587.38720319940001</v>
      </c>
      <c r="N739" s="7">
        <v>590.69150673510001</v>
      </c>
      <c r="O739" s="7">
        <v>591.05233585730002</v>
      </c>
      <c r="P739" s="7">
        <v>587.38720319940001</v>
      </c>
      <c r="Q739">
        <v>1</v>
      </c>
      <c r="R739">
        <v>0</v>
      </c>
      <c r="S739" s="11">
        <v>45811.666666666664</v>
      </c>
      <c r="T739">
        <v>1757</v>
      </c>
    </row>
    <row r="740" spans="1:20">
      <c r="A740" s="11">
        <v>45811.5</v>
      </c>
      <c r="B740" s="11">
        <v>45811.520833333336</v>
      </c>
      <c r="C740" s="10">
        <v>45811</v>
      </c>
      <c r="D740" s="7">
        <v>592.65480000000002</v>
      </c>
      <c r="E740" s="7">
        <v>2472247</v>
      </c>
      <c r="F740" s="7">
        <v>2472247</v>
      </c>
      <c r="G740" s="7">
        <v>18952953</v>
      </c>
      <c r="H740" s="7">
        <v>589.11019999999996</v>
      </c>
      <c r="I740" s="7">
        <v>589.32870000000003</v>
      </c>
      <c r="J740" s="7">
        <v>14</v>
      </c>
      <c r="K740" s="7">
        <v>3.0752008E-3</v>
      </c>
      <c r="L740" s="7">
        <v>591.14100407779995</v>
      </c>
      <c r="M740" s="7">
        <v>587.29856785360005</v>
      </c>
      <c r="N740" s="7">
        <v>590.94760117509998</v>
      </c>
      <c r="O740" s="7">
        <v>591.14100407779995</v>
      </c>
      <c r="P740" s="7">
        <v>587.29856785360005</v>
      </c>
      <c r="Q740">
        <v>1</v>
      </c>
      <c r="R740">
        <v>0</v>
      </c>
      <c r="S740" s="11">
        <v>45811.666666666664</v>
      </c>
      <c r="T740">
        <v>1756</v>
      </c>
    </row>
    <row r="741" spans="1:20">
      <c r="A741" s="11">
        <v>45811.520833333336</v>
      </c>
      <c r="B741" s="11">
        <v>45811.541666666664</v>
      </c>
      <c r="C741" s="10">
        <v>45811</v>
      </c>
      <c r="D741" s="7">
        <v>593.11720000000003</v>
      </c>
      <c r="E741" s="7">
        <v>2190946</v>
      </c>
      <c r="F741" s="7">
        <v>2190946</v>
      </c>
      <c r="G741" s="7">
        <v>21143899</v>
      </c>
      <c r="H741" s="7">
        <v>589.11019999999996</v>
      </c>
      <c r="I741" s="7">
        <v>589.32870000000003</v>
      </c>
      <c r="J741" s="7">
        <v>14</v>
      </c>
      <c r="K741" s="7">
        <v>3.6873687000000001E-3</v>
      </c>
      <c r="L741" s="7">
        <v>591.50177219199998</v>
      </c>
      <c r="M741" s="7">
        <v>586.93793349810005</v>
      </c>
      <c r="N741" s="7">
        <v>591.17241656349995</v>
      </c>
      <c r="O741" s="7">
        <v>591.50177219199998</v>
      </c>
      <c r="P741" s="7">
        <v>586.93793349810005</v>
      </c>
      <c r="Q741">
        <v>1</v>
      </c>
      <c r="R741">
        <v>0</v>
      </c>
      <c r="S741" s="11">
        <v>45811.666666666664</v>
      </c>
      <c r="T741">
        <v>1755</v>
      </c>
    </row>
    <row r="742" spans="1:20">
      <c r="A742" s="11">
        <v>45811.541666666664</v>
      </c>
      <c r="B742" s="11">
        <v>45811.5625</v>
      </c>
      <c r="C742" s="10">
        <v>45811</v>
      </c>
      <c r="D742" s="7">
        <v>593.34090000000003</v>
      </c>
      <c r="E742" s="7">
        <v>2137085</v>
      </c>
      <c r="F742" s="7">
        <v>2137085</v>
      </c>
      <c r="G742" s="7">
        <v>23280984</v>
      </c>
      <c r="H742" s="7">
        <v>589.11019999999996</v>
      </c>
      <c r="I742" s="7">
        <v>589.32870000000003</v>
      </c>
      <c r="J742" s="7">
        <v>14</v>
      </c>
      <c r="K742" s="7">
        <v>4.5079815999999997E-3</v>
      </c>
      <c r="L742" s="7">
        <v>591.98538292000001</v>
      </c>
      <c r="M742" s="7">
        <v>586.45450207390002</v>
      </c>
      <c r="N742" s="7">
        <v>591.37147315940001</v>
      </c>
      <c r="O742" s="7">
        <v>591.98538292000001</v>
      </c>
      <c r="P742" s="7">
        <v>586.45450207390002</v>
      </c>
      <c r="Q742">
        <v>1</v>
      </c>
      <c r="R742">
        <v>0</v>
      </c>
      <c r="S742" s="11">
        <v>45811.666666666664</v>
      </c>
      <c r="T742">
        <v>1754</v>
      </c>
    </row>
    <row r="743" spans="1:20">
      <c r="A743" s="11">
        <v>45811.5625</v>
      </c>
      <c r="B743" s="11">
        <v>45811.583333333336</v>
      </c>
      <c r="C743" s="10">
        <v>45811</v>
      </c>
      <c r="D743" s="7">
        <v>592.73940000000005</v>
      </c>
      <c r="E743" s="7">
        <v>2507352</v>
      </c>
      <c r="F743" s="7">
        <v>2507352</v>
      </c>
      <c r="G743" s="7">
        <v>25788336</v>
      </c>
      <c r="H743" s="7">
        <v>589.11019999999996</v>
      </c>
      <c r="I743" s="7">
        <v>589.32870000000003</v>
      </c>
      <c r="J743" s="7">
        <v>14</v>
      </c>
      <c r="K743" s="7">
        <v>4.1416057000000003E-3</v>
      </c>
      <c r="L743" s="7">
        <v>591.76946708800006</v>
      </c>
      <c r="M743" s="7">
        <v>586.67033785290005</v>
      </c>
      <c r="N743" s="7">
        <v>591.50447414480004</v>
      </c>
      <c r="O743" s="7">
        <v>591.76946708800006</v>
      </c>
      <c r="P743" s="7">
        <v>586.67033785290005</v>
      </c>
      <c r="Q743">
        <v>1</v>
      </c>
      <c r="R743">
        <v>0</v>
      </c>
      <c r="S743" s="11">
        <v>45811.666666666664</v>
      </c>
      <c r="T743">
        <v>1753</v>
      </c>
    </row>
    <row r="744" spans="1:20">
      <c r="A744" s="11">
        <v>45811.583333333336</v>
      </c>
      <c r="B744" s="11">
        <v>45811.604166666664</v>
      </c>
      <c r="C744" s="10">
        <v>45811</v>
      </c>
      <c r="D744" s="7">
        <v>592.76919999999996</v>
      </c>
      <c r="E744" s="7">
        <v>4636871</v>
      </c>
      <c r="F744" s="7">
        <v>4636871</v>
      </c>
      <c r="G744" s="7">
        <v>30425207</v>
      </c>
      <c r="H744" s="7">
        <v>589.11019999999996</v>
      </c>
      <c r="I744" s="7">
        <v>589.32870000000003</v>
      </c>
      <c r="J744" s="7">
        <v>14</v>
      </c>
      <c r="K744" s="7">
        <v>4.6135480999999999E-3</v>
      </c>
      <c r="L744" s="7">
        <v>592.04759629069997</v>
      </c>
      <c r="M744" s="7">
        <v>586.3923117695</v>
      </c>
      <c r="N744" s="7">
        <v>591.69722125220005</v>
      </c>
      <c r="O744" s="7">
        <v>592.04759629069997</v>
      </c>
      <c r="P744" s="7">
        <v>586.3923117695</v>
      </c>
      <c r="Q744">
        <v>1</v>
      </c>
      <c r="R744">
        <v>0</v>
      </c>
      <c r="S744" s="11">
        <v>45811.666666666664</v>
      </c>
      <c r="T744">
        <v>1752</v>
      </c>
    </row>
    <row r="745" spans="1:20">
      <c r="A745" s="11">
        <v>45811.604166666664</v>
      </c>
      <c r="B745" s="11">
        <v>45811.625</v>
      </c>
      <c r="C745" s="10">
        <v>45811</v>
      </c>
      <c r="D745" s="7">
        <v>592.95799999999997</v>
      </c>
      <c r="E745" s="7">
        <v>2367078</v>
      </c>
      <c r="F745" s="7">
        <v>2367078</v>
      </c>
      <c r="G745" s="7">
        <v>32792285</v>
      </c>
      <c r="H745" s="7">
        <v>589.11019999999996</v>
      </c>
      <c r="I745" s="7">
        <v>589.32870000000003</v>
      </c>
      <c r="J745" s="7">
        <v>14</v>
      </c>
      <c r="K745" s="7">
        <v>4.9460080999999996E-3</v>
      </c>
      <c r="L745" s="7">
        <v>592.24352450239996</v>
      </c>
      <c r="M745" s="7">
        <v>586.19645620040001</v>
      </c>
      <c r="N745" s="7">
        <v>591.78822929379999</v>
      </c>
      <c r="O745" s="7">
        <v>592.24352450239996</v>
      </c>
      <c r="P745" s="7">
        <v>586.19645620040001</v>
      </c>
      <c r="Q745">
        <v>1</v>
      </c>
      <c r="R745">
        <v>0</v>
      </c>
      <c r="S745" s="11">
        <v>45811.666666666664</v>
      </c>
      <c r="T745">
        <v>1751</v>
      </c>
    </row>
    <row r="746" spans="1:20">
      <c r="A746" s="11">
        <v>45811.625</v>
      </c>
      <c r="B746" s="11">
        <v>45811.645833333336</v>
      </c>
      <c r="C746" s="10">
        <v>45811</v>
      </c>
      <c r="D746" s="7">
        <v>592.81880000000001</v>
      </c>
      <c r="E746" s="7">
        <v>3652737</v>
      </c>
      <c r="F746" s="7">
        <v>3652737</v>
      </c>
      <c r="G746" s="7">
        <v>36445022</v>
      </c>
      <c r="H746" s="7">
        <v>589.11019999999996</v>
      </c>
      <c r="I746" s="7">
        <v>589.32870000000003</v>
      </c>
      <c r="J746" s="7">
        <v>14</v>
      </c>
      <c r="K746" s="7">
        <v>5.2178177999999999E-3</v>
      </c>
      <c r="L746" s="7">
        <v>592.40370977049997</v>
      </c>
      <c r="M746" s="7">
        <v>586.03633032259995</v>
      </c>
      <c r="N746" s="7">
        <v>591.89151922320002</v>
      </c>
      <c r="O746" s="7">
        <v>592.40370977049997</v>
      </c>
      <c r="P746" s="7">
        <v>586.03633032259995</v>
      </c>
      <c r="Q746">
        <v>1</v>
      </c>
      <c r="R746">
        <v>0</v>
      </c>
      <c r="S746" s="11">
        <v>45811.666666666664</v>
      </c>
      <c r="T746">
        <v>1750</v>
      </c>
    </row>
    <row r="747" spans="1:20">
      <c r="A747" s="11">
        <v>45811.645833333336</v>
      </c>
      <c r="B747" s="11">
        <v>45811.666666666664</v>
      </c>
      <c r="C747" s="10">
        <v>45811</v>
      </c>
      <c r="D747" s="7">
        <v>592.68960000000004</v>
      </c>
      <c r="E747" s="7">
        <v>8669534</v>
      </c>
      <c r="F747" s="7">
        <v>8669534</v>
      </c>
      <c r="G747" s="7">
        <v>45114556</v>
      </c>
      <c r="H747" s="7">
        <v>589.11019999999996</v>
      </c>
      <c r="I747" s="7">
        <v>589.32870000000003</v>
      </c>
      <c r="J747" s="7">
        <v>14</v>
      </c>
      <c r="K747" s="7">
        <v>5.0044614999999997E-3</v>
      </c>
      <c r="L747" s="7">
        <v>592.27797279260005</v>
      </c>
      <c r="M747" s="7">
        <v>586.16202068220002</v>
      </c>
      <c r="N747" s="7">
        <v>592.04488410240003</v>
      </c>
      <c r="O747" s="7">
        <v>592.27797279260005</v>
      </c>
      <c r="P747" s="7">
        <v>586.16202068220002</v>
      </c>
      <c r="Q747">
        <v>1</v>
      </c>
      <c r="R747">
        <v>1</v>
      </c>
      <c r="S747" s="11">
        <v>45811.666666666664</v>
      </c>
      <c r="T747">
        <v>1749</v>
      </c>
    </row>
    <row r="748" spans="1:20">
      <c r="A748" s="11">
        <v>45812.395833333336</v>
      </c>
      <c r="B748" s="11">
        <v>45812.416666666664</v>
      </c>
      <c r="C748" s="10">
        <v>45812</v>
      </c>
      <c r="D748" s="7">
        <v>593.36580000000004</v>
      </c>
      <c r="E748" s="7">
        <v>4854122</v>
      </c>
      <c r="F748" s="7">
        <v>4854122</v>
      </c>
      <c r="G748" s="7">
        <v>4854122</v>
      </c>
      <c r="H748" s="7">
        <v>593.36580000000004</v>
      </c>
      <c r="I748" s="7">
        <v>592.68939999999998</v>
      </c>
      <c r="J748" s="7">
        <v>14</v>
      </c>
      <c r="K748" s="7">
        <v>0</v>
      </c>
      <c r="L748" s="7">
        <v>593.36580000000004</v>
      </c>
      <c r="M748" s="7">
        <v>592.68939999999998</v>
      </c>
      <c r="N748" s="7">
        <v>593.36580000000004</v>
      </c>
      <c r="O748" s="7">
        <v>593.36580000000004</v>
      </c>
      <c r="P748" s="7">
        <v>592.68939999999998</v>
      </c>
      <c r="Q748">
        <v>1</v>
      </c>
      <c r="R748">
        <v>0</v>
      </c>
      <c r="S748" s="11">
        <v>45812.666666666664</v>
      </c>
      <c r="T748">
        <v>1747</v>
      </c>
    </row>
    <row r="749" spans="1:20">
      <c r="A749" s="11">
        <v>45812.416666666664</v>
      </c>
      <c r="B749" s="11">
        <v>45812.4375</v>
      </c>
      <c r="C749" s="10">
        <v>45812</v>
      </c>
      <c r="D749" s="7">
        <v>594.17110000000002</v>
      </c>
      <c r="E749" s="7">
        <v>5245199</v>
      </c>
      <c r="F749" s="7">
        <v>5245199</v>
      </c>
      <c r="G749" s="7">
        <v>10099321</v>
      </c>
      <c r="H749" s="7">
        <v>593.36580000000004</v>
      </c>
      <c r="I749" s="7">
        <v>592.68939999999998</v>
      </c>
      <c r="J749" s="7">
        <v>14</v>
      </c>
      <c r="K749" s="7">
        <v>1.6125243E-3</v>
      </c>
      <c r="L749" s="7">
        <v>594.32261678739997</v>
      </c>
      <c r="M749" s="7">
        <v>591.7336739241</v>
      </c>
      <c r="N749" s="7">
        <v>593.78404185550005</v>
      </c>
      <c r="O749" s="7">
        <v>594.32261678739997</v>
      </c>
      <c r="P749" s="7">
        <v>591.7336739241</v>
      </c>
      <c r="Q749">
        <v>1</v>
      </c>
      <c r="R749">
        <v>0</v>
      </c>
      <c r="S749" s="11">
        <v>45812.666666666664</v>
      </c>
      <c r="T749">
        <v>1746</v>
      </c>
    </row>
    <row r="750" spans="1:20">
      <c r="A750" s="11">
        <v>45812.4375</v>
      </c>
      <c r="B750" s="11">
        <v>45812.458333333336</v>
      </c>
      <c r="C750" s="10">
        <v>45812</v>
      </c>
      <c r="D750" s="7">
        <v>594.18110000000001</v>
      </c>
      <c r="E750" s="7">
        <v>2576429</v>
      </c>
      <c r="F750" s="7">
        <v>2576429</v>
      </c>
      <c r="G750" s="7">
        <v>12675750</v>
      </c>
      <c r="H750" s="7">
        <v>593.36580000000004</v>
      </c>
      <c r="I750" s="7">
        <v>592.68939999999998</v>
      </c>
      <c r="J750" s="7">
        <v>14</v>
      </c>
      <c r="K750" s="7">
        <v>1.6303858000000001E-3</v>
      </c>
      <c r="L750" s="7">
        <v>594.33321517249999</v>
      </c>
      <c r="M750" s="7">
        <v>591.7230876205</v>
      </c>
      <c r="N750" s="7">
        <v>593.86474651740002</v>
      </c>
      <c r="O750" s="7">
        <v>594.33321517249999</v>
      </c>
      <c r="P750" s="7">
        <v>591.7230876205</v>
      </c>
      <c r="Q750">
        <v>1</v>
      </c>
      <c r="R750">
        <v>0</v>
      </c>
      <c r="S750" s="11">
        <v>45812.666666666664</v>
      </c>
      <c r="T750">
        <v>1745</v>
      </c>
    </row>
    <row r="751" spans="1:20">
      <c r="A751" s="11">
        <v>45812.458333333336</v>
      </c>
      <c r="B751" s="11">
        <v>45812.479166666664</v>
      </c>
      <c r="C751" s="10">
        <v>45812</v>
      </c>
      <c r="D751" s="7">
        <v>593.56460000000004</v>
      </c>
      <c r="E751" s="7">
        <v>2064384</v>
      </c>
      <c r="F751" s="7">
        <v>2064384</v>
      </c>
      <c r="G751" s="7">
        <v>14740134</v>
      </c>
      <c r="H751" s="7">
        <v>593.36580000000004</v>
      </c>
      <c r="I751" s="7">
        <v>592.68939999999998</v>
      </c>
      <c r="J751" s="7">
        <v>14</v>
      </c>
      <c r="K751" s="7">
        <v>2.4926129999999999E-3</v>
      </c>
      <c r="L751" s="7">
        <v>594.84483129099999</v>
      </c>
      <c r="M751" s="7">
        <v>591.2120547124</v>
      </c>
      <c r="N751" s="7">
        <v>593.82271042280001</v>
      </c>
      <c r="O751" s="7">
        <v>594.84483129099999</v>
      </c>
      <c r="P751" s="7">
        <v>591.2120547124</v>
      </c>
      <c r="Q751">
        <v>1</v>
      </c>
      <c r="R751">
        <v>0</v>
      </c>
      <c r="S751" s="11">
        <v>45812.666666666664</v>
      </c>
      <c r="T751">
        <v>1744</v>
      </c>
    </row>
    <row r="752" spans="1:20">
      <c r="A752" s="11">
        <v>45812.479166666664</v>
      </c>
      <c r="B752" s="11">
        <v>45812.5</v>
      </c>
      <c r="C752" s="10">
        <v>45812</v>
      </c>
      <c r="D752" s="7">
        <v>593.43539999999996</v>
      </c>
      <c r="E752" s="7">
        <v>2379861</v>
      </c>
      <c r="F752" s="7">
        <v>2379861</v>
      </c>
      <c r="G752" s="7">
        <v>17119995</v>
      </c>
      <c r="H752" s="7">
        <v>593.36580000000004</v>
      </c>
      <c r="I752" s="7">
        <v>592.68939999999998</v>
      </c>
      <c r="J752" s="7">
        <v>14</v>
      </c>
      <c r="K752" s="7">
        <v>3.0116298999999999E-3</v>
      </c>
      <c r="L752" s="7">
        <v>595.15279816500004</v>
      </c>
      <c r="M752" s="7">
        <v>590.9044389014</v>
      </c>
      <c r="N752" s="7">
        <v>593.76887016349997</v>
      </c>
      <c r="O752" s="7">
        <v>595.15279816500004</v>
      </c>
      <c r="P752" s="7">
        <v>590.9044389014</v>
      </c>
      <c r="Q752">
        <v>1</v>
      </c>
      <c r="R752">
        <v>0</v>
      </c>
      <c r="S752" s="11">
        <v>45812.666666666664</v>
      </c>
      <c r="T752">
        <v>1743</v>
      </c>
    </row>
    <row r="753" spans="1:20">
      <c r="A753" s="11">
        <v>45812.5</v>
      </c>
      <c r="B753" s="11">
        <v>45812.520833333336</v>
      </c>
      <c r="C753" s="10">
        <v>45812</v>
      </c>
      <c r="D753" s="7">
        <v>592.51059999999995</v>
      </c>
      <c r="E753" s="7">
        <v>2418365</v>
      </c>
      <c r="F753" s="7">
        <v>2418365</v>
      </c>
      <c r="G753" s="7">
        <v>19538360</v>
      </c>
      <c r="H753" s="7">
        <v>593.36580000000004</v>
      </c>
      <c r="I753" s="7">
        <v>592.68939999999998</v>
      </c>
      <c r="J753" s="7">
        <v>14</v>
      </c>
      <c r="K753" s="7">
        <v>3.2230829999999999E-3</v>
      </c>
      <c r="L753" s="7">
        <v>595.27826721730003</v>
      </c>
      <c r="M753" s="7">
        <v>590.779112876</v>
      </c>
      <c r="N753" s="7">
        <v>593.61312748479997</v>
      </c>
      <c r="O753" s="7">
        <v>595.27826721730003</v>
      </c>
      <c r="P753" s="7">
        <v>590.779112876</v>
      </c>
      <c r="Q753">
        <v>1</v>
      </c>
      <c r="R753">
        <v>0</v>
      </c>
      <c r="S753" s="11">
        <v>45812.666666666664</v>
      </c>
      <c r="T753">
        <v>1742</v>
      </c>
    </row>
    <row r="754" spans="1:20">
      <c r="A754" s="11">
        <v>45812.520833333336</v>
      </c>
      <c r="B754" s="11">
        <v>45812.541666666664</v>
      </c>
      <c r="C754" s="10">
        <v>45812</v>
      </c>
      <c r="D754" s="7">
        <v>593.37570000000005</v>
      </c>
      <c r="E754" s="7">
        <v>1693993</v>
      </c>
      <c r="F754" s="7">
        <v>1693993</v>
      </c>
      <c r="G754" s="7">
        <v>21232353</v>
      </c>
      <c r="H754" s="7">
        <v>593.36580000000004</v>
      </c>
      <c r="I754" s="7">
        <v>592.68939999999998</v>
      </c>
      <c r="J754" s="7">
        <v>14</v>
      </c>
      <c r="K754" s="7">
        <v>3.8467761000000001E-3</v>
      </c>
      <c r="L754" s="7">
        <v>595.64834537399997</v>
      </c>
      <c r="M754" s="7">
        <v>590.40945658529995</v>
      </c>
      <c r="N754" s="7">
        <v>593.59418467149999</v>
      </c>
      <c r="O754" s="7">
        <v>595.64834537399997</v>
      </c>
      <c r="P754" s="7">
        <v>590.40945658529995</v>
      </c>
      <c r="Q754">
        <v>1</v>
      </c>
      <c r="R754">
        <v>0</v>
      </c>
      <c r="S754" s="11">
        <v>45812.666666666664</v>
      </c>
      <c r="T754">
        <v>1741</v>
      </c>
    </row>
    <row r="755" spans="1:20">
      <c r="A755" s="11">
        <v>45812.541666666664</v>
      </c>
      <c r="B755" s="11">
        <v>45812.5625</v>
      </c>
      <c r="C755" s="10">
        <v>45812</v>
      </c>
      <c r="D755" s="7">
        <v>593.91060000000004</v>
      </c>
      <c r="E755" s="7">
        <v>1759632</v>
      </c>
      <c r="F755" s="7">
        <v>1759632</v>
      </c>
      <c r="G755" s="7">
        <v>22991985</v>
      </c>
      <c r="H755" s="7">
        <v>593.36580000000004</v>
      </c>
      <c r="I755" s="7">
        <v>592.68939999999998</v>
      </c>
      <c r="J755" s="7">
        <v>14</v>
      </c>
      <c r="K755" s="7">
        <v>4.6512118E-3</v>
      </c>
      <c r="L755" s="7">
        <v>596.12567003369998</v>
      </c>
      <c r="M755" s="7">
        <v>589.93267604599998</v>
      </c>
      <c r="N755" s="7">
        <v>593.61840069890002</v>
      </c>
      <c r="O755" s="7">
        <v>596.12567003369998</v>
      </c>
      <c r="P755" s="7">
        <v>589.93267604599998</v>
      </c>
      <c r="Q755">
        <v>1</v>
      </c>
      <c r="R755">
        <v>0</v>
      </c>
      <c r="S755" s="11">
        <v>45812.666666666664</v>
      </c>
      <c r="T755">
        <v>1740</v>
      </c>
    </row>
    <row r="756" spans="1:20">
      <c r="A756" s="11">
        <v>45812.5625</v>
      </c>
      <c r="B756" s="11">
        <v>45812.583333333336</v>
      </c>
      <c r="C756" s="10">
        <v>45812</v>
      </c>
      <c r="D756" s="7">
        <v>594.16120000000001</v>
      </c>
      <c r="E756" s="7">
        <v>1666753</v>
      </c>
      <c r="F756" s="7">
        <v>1666753</v>
      </c>
      <c r="G756" s="7">
        <v>24658738</v>
      </c>
      <c r="H756" s="7">
        <v>593.36580000000004</v>
      </c>
      <c r="I756" s="7">
        <v>592.68939999999998</v>
      </c>
      <c r="J756" s="7">
        <v>14</v>
      </c>
      <c r="K756" s="7">
        <v>4.2631340999999996E-3</v>
      </c>
      <c r="L756" s="7">
        <v>595.89539796739996</v>
      </c>
      <c r="M756" s="7">
        <v>590.16268561649997</v>
      </c>
      <c r="N756" s="7">
        <v>593.65509002030001</v>
      </c>
      <c r="O756" s="7">
        <v>595.89539796739996</v>
      </c>
      <c r="P756" s="7">
        <v>590.16268561649997</v>
      </c>
      <c r="Q756">
        <v>1</v>
      </c>
      <c r="R756">
        <v>0</v>
      </c>
      <c r="S756" s="11">
        <v>45812.666666666664</v>
      </c>
      <c r="T756">
        <v>1739</v>
      </c>
    </row>
    <row r="757" spans="1:20">
      <c r="A757" s="11">
        <v>45812.583333333336</v>
      </c>
      <c r="B757" s="11">
        <v>45812.604166666664</v>
      </c>
      <c r="C757" s="10">
        <v>45812</v>
      </c>
      <c r="D757" s="7">
        <v>594.17110000000002</v>
      </c>
      <c r="E757" s="7">
        <v>2172265</v>
      </c>
      <c r="F757" s="7">
        <v>2172265</v>
      </c>
      <c r="G757" s="7">
        <v>26831003</v>
      </c>
      <c r="H757" s="7">
        <v>593.36580000000004</v>
      </c>
      <c r="I757" s="7">
        <v>592.68939999999998</v>
      </c>
      <c r="J757" s="7">
        <v>14</v>
      </c>
      <c r="K757" s="7">
        <v>4.7399169999999997E-3</v>
      </c>
      <c r="L757" s="7">
        <v>596.17830465520001</v>
      </c>
      <c r="M757" s="7">
        <v>589.8801014247</v>
      </c>
      <c r="N757" s="7">
        <v>593.69686670739998</v>
      </c>
      <c r="O757" s="7">
        <v>596.17830465520001</v>
      </c>
      <c r="P757" s="7">
        <v>589.8801014247</v>
      </c>
      <c r="Q757">
        <v>1</v>
      </c>
      <c r="R757">
        <v>0</v>
      </c>
      <c r="S757" s="11">
        <v>45812.666666666664</v>
      </c>
      <c r="T757">
        <v>1738</v>
      </c>
    </row>
    <row r="758" spans="1:20">
      <c r="A758" s="11">
        <v>45812.604166666664</v>
      </c>
      <c r="B758" s="11">
        <v>45812.625</v>
      </c>
      <c r="C758" s="10">
        <v>45812</v>
      </c>
      <c r="D758" s="7">
        <v>593.59439999999995</v>
      </c>
      <c r="E758" s="7">
        <v>2401432</v>
      </c>
      <c r="F758" s="7">
        <v>2401432</v>
      </c>
      <c r="G758" s="7">
        <v>29232435</v>
      </c>
      <c r="H758" s="7">
        <v>593.36580000000004</v>
      </c>
      <c r="I758" s="7">
        <v>592.68939999999998</v>
      </c>
      <c r="J758" s="7">
        <v>14</v>
      </c>
      <c r="K758" s="7">
        <v>5.0141049999999996E-3</v>
      </c>
      <c r="L758" s="7">
        <v>596.34099843490003</v>
      </c>
      <c r="M758" s="7">
        <v>589.71759310569996</v>
      </c>
      <c r="N758" s="7">
        <v>593.68844911140002</v>
      </c>
      <c r="O758" s="7">
        <v>596.34099843490003</v>
      </c>
      <c r="P758" s="7">
        <v>589.71759310569996</v>
      </c>
      <c r="Q758">
        <v>1</v>
      </c>
      <c r="R758">
        <v>0</v>
      </c>
      <c r="S758" s="11">
        <v>45812.666666666664</v>
      </c>
      <c r="T758">
        <v>1737</v>
      </c>
    </row>
    <row r="759" spans="1:20">
      <c r="A759" s="11">
        <v>45812.625</v>
      </c>
      <c r="B759" s="11">
        <v>45812.645833333336</v>
      </c>
      <c r="C759" s="10">
        <v>45812</v>
      </c>
      <c r="D759" s="7">
        <v>593.62429999999995</v>
      </c>
      <c r="E759" s="7">
        <v>2499647</v>
      </c>
      <c r="F759" s="7">
        <v>2499647</v>
      </c>
      <c r="G759" s="7">
        <v>31732082</v>
      </c>
      <c r="H759" s="7">
        <v>593.36580000000004</v>
      </c>
      <c r="I759" s="7">
        <v>592.68939999999998</v>
      </c>
      <c r="J759" s="7">
        <v>14</v>
      </c>
      <c r="K759" s="7">
        <v>5.2781929E-3</v>
      </c>
      <c r="L759" s="7">
        <v>596.49769915280001</v>
      </c>
      <c r="M759" s="7">
        <v>589.56107101689997</v>
      </c>
      <c r="N759" s="7">
        <v>593.68339586169998</v>
      </c>
      <c r="O759" s="7">
        <v>596.49769915280001</v>
      </c>
      <c r="P759" s="7">
        <v>589.56107101689997</v>
      </c>
      <c r="Q759">
        <v>1</v>
      </c>
      <c r="R759">
        <v>0</v>
      </c>
      <c r="S759" s="11">
        <v>45812.666666666664</v>
      </c>
      <c r="T759">
        <v>1736</v>
      </c>
    </row>
    <row r="760" spans="1:20">
      <c r="A760" s="11">
        <v>45812.645833333336</v>
      </c>
      <c r="B760" s="11">
        <v>45812.666666666664</v>
      </c>
      <c r="C760" s="10">
        <v>45812</v>
      </c>
      <c r="D760" s="7">
        <v>592.53049999999996</v>
      </c>
      <c r="E760" s="7">
        <v>8395922</v>
      </c>
      <c r="F760" s="7">
        <v>8395922</v>
      </c>
      <c r="G760" s="7">
        <v>40128004</v>
      </c>
      <c r="H760" s="7">
        <v>593.36580000000004</v>
      </c>
      <c r="I760" s="7">
        <v>592.68939999999998</v>
      </c>
      <c r="J760" s="7">
        <v>14</v>
      </c>
      <c r="K760" s="7">
        <v>5.2529702999999997E-3</v>
      </c>
      <c r="L760" s="7">
        <v>596.48273293060004</v>
      </c>
      <c r="M760" s="7">
        <v>589.57602017859995</v>
      </c>
      <c r="N760" s="7">
        <v>593.44217719230005</v>
      </c>
      <c r="O760" s="7">
        <v>596.48273293060004</v>
      </c>
      <c r="P760" s="7">
        <v>589.57602017859995</v>
      </c>
      <c r="Q760">
        <v>1</v>
      </c>
      <c r="R760">
        <v>1</v>
      </c>
      <c r="S760" s="11">
        <v>45812.666666666664</v>
      </c>
      <c r="T760">
        <v>1735</v>
      </c>
    </row>
    <row r="761" spans="1:20">
      <c r="A761" s="11">
        <v>45813.395833333336</v>
      </c>
      <c r="B761" s="11">
        <v>45813.416666666664</v>
      </c>
      <c r="C761" s="10">
        <v>45813</v>
      </c>
      <c r="D761" s="7">
        <v>590.86009999999999</v>
      </c>
      <c r="E761" s="7">
        <v>6194629</v>
      </c>
      <c r="F761" s="7">
        <v>6194629</v>
      </c>
      <c r="G761" s="7">
        <v>6194629</v>
      </c>
      <c r="H761" s="7">
        <v>590.86009999999999</v>
      </c>
      <c r="I761" s="7">
        <v>592.53030000000001</v>
      </c>
      <c r="J761" s="7">
        <v>14</v>
      </c>
      <c r="K761" s="7">
        <v>0</v>
      </c>
      <c r="L761" s="7">
        <v>592.53030000000001</v>
      </c>
      <c r="M761" s="7">
        <v>590.86009999999999</v>
      </c>
      <c r="N761" s="7">
        <v>590.86009999999999</v>
      </c>
      <c r="O761" s="7">
        <v>592.53030000000001</v>
      </c>
      <c r="P761" s="7">
        <v>590.86009999999999</v>
      </c>
      <c r="Q761">
        <v>1</v>
      </c>
      <c r="R761">
        <v>0</v>
      </c>
      <c r="S761" s="11">
        <v>45813.666666666664</v>
      </c>
      <c r="T761">
        <v>1733</v>
      </c>
    </row>
    <row r="762" spans="1:20">
      <c r="A762" s="11">
        <v>45813.416666666664</v>
      </c>
      <c r="B762" s="11">
        <v>45813.4375</v>
      </c>
      <c r="C762" s="10">
        <v>45813</v>
      </c>
      <c r="D762" s="7">
        <v>592.74929999999995</v>
      </c>
      <c r="E762" s="7">
        <v>3472589</v>
      </c>
      <c r="F762" s="7">
        <v>3472589</v>
      </c>
      <c r="G762" s="7">
        <v>9667218</v>
      </c>
      <c r="H762" s="7">
        <v>590.86009999999999</v>
      </c>
      <c r="I762" s="7">
        <v>592.53030000000001</v>
      </c>
      <c r="J762" s="7">
        <v>14</v>
      </c>
      <c r="K762" s="7">
        <v>1.7054302E-3</v>
      </c>
      <c r="L762" s="7">
        <v>593.54081906160002</v>
      </c>
      <c r="M762" s="7">
        <v>589.85242934790006</v>
      </c>
      <c r="N762" s="7">
        <v>591.53872492999994</v>
      </c>
      <c r="O762" s="7">
        <v>593.54081906160002</v>
      </c>
      <c r="P762" s="7">
        <v>589.85242934790006</v>
      </c>
      <c r="Q762">
        <v>1</v>
      </c>
      <c r="R762">
        <v>0</v>
      </c>
      <c r="S762" s="11">
        <v>45813.666666666664</v>
      </c>
      <c r="T762">
        <v>1732</v>
      </c>
    </row>
    <row r="763" spans="1:20">
      <c r="A763" s="11">
        <v>45813.4375</v>
      </c>
      <c r="B763" s="11">
        <v>45813.458333333336</v>
      </c>
      <c r="C763" s="10">
        <v>45813</v>
      </c>
      <c r="D763" s="7">
        <v>593.95240000000001</v>
      </c>
      <c r="E763" s="7">
        <v>7090520</v>
      </c>
      <c r="F763" s="7">
        <v>7090520</v>
      </c>
      <c r="G763" s="7">
        <v>16757738</v>
      </c>
      <c r="H763" s="7">
        <v>590.86009999999999</v>
      </c>
      <c r="I763" s="7">
        <v>592.53030000000001</v>
      </c>
      <c r="J763" s="7">
        <v>14</v>
      </c>
      <c r="K763" s="7">
        <v>1.7244954000000001E-3</v>
      </c>
      <c r="L763" s="7">
        <v>593.55211580340006</v>
      </c>
      <c r="M763" s="7">
        <v>589.84116444890003</v>
      </c>
      <c r="N763" s="7">
        <v>592.55999709440005</v>
      </c>
      <c r="O763" s="7">
        <v>593.55211580340006</v>
      </c>
      <c r="P763" s="7">
        <v>589.84116444890003</v>
      </c>
      <c r="Q763">
        <v>1</v>
      </c>
      <c r="R763">
        <v>0</v>
      </c>
      <c r="S763" s="11">
        <v>45813.666666666664</v>
      </c>
      <c r="T763">
        <v>1731</v>
      </c>
    </row>
    <row r="764" spans="1:20">
      <c r="A764" s="11">
        <v>45813.458333333336</v>
      </c>
      <c r="B764" s="11">
        <v>45813.479166666664</v>
      </c>
      <c r="C764" s="10">
        <v>45813</v>
      </c>
      <c r="D764" s="7">
        <v>595.26480000000004</v>
      </c>
      <c r="E764" s="7">
        <v>3746273</v>
      </c>
      <c r="F764" s="7">
        <v>3746273</v>
      </c>
      <c r="G764" s="7">
        <v>20504011</v>
      </c>
      <c r="H764" s="7">
        <v>590.86009999999999</v>
      </c>
      <c r="I764" s="7">
        <v>592.53030000000001</v>
      </c>
      <c r="J764" s="7">
        <v>14</v>
      </c>
      <c r="K764" s="7">
        <v>2.4736013999999999E-3</v>
      </c>
      <c r="L764" s="7">
        <v>593.99598378719998</v>
      </c>
      <c r="M764" s="7">
        <v>589.39854762189998</v>
      </c>
      <c r="N764" s="7">
        <v>593.05418967440005</v>
      </c>
      <c r="O764" s="7">
        <v>593.99598378719998</v>
      </c>
      <c r="P764" s="7">
        <v>589.39854762189998</v>
      </c>
      <c r="Q764">
        <v>1</v>
      </c>
      <c r="R764">
        <v>0</v>
      </c>
      <c r="S764" s="11">
        <v>45813.666666666664</v>
      </c>
      <c r="T764">
        <v>1730</v>
      </c>
    </row>
    <row r="765" spans="1:20">
      <c r="A765" s="11">
        <v>45813.479166666664</v>
      </c>
      <c r="B765" s="11">
        <v>45813.5</v>
      </c>
      <c r="C765" s="10">
        <v>45813</v>
      </c>
      <c r="D765" s="7">
        <v>595.36429999999996</v>
      </c>
      <c r="E765" s="7">
        <v>2504540</v>
      </c>
      <c r="F765" s="7">
        <v>2504540</v>
      </c>
      <c r="G765" s="7">
        <v>23008551</v>
      </c>
      <c r="H765" s="7">
        <v>590.86009999999999</v>
      </c>
      <c r="I765" s="7">
        <v>592.53030000000001</v>
      </c>
      <c r="J765" s="7">
        <v>14</v>
      </c>
      <c r="K765" s="7">
        <v>2.9661096E-3</v>
      </c>
      <c r="L765" s="7">
        <v>594.28780980030001</v>
      </c>
      <c r="M765" s="7">
        <v>589.1075441959</v>
      </c>
      <c r="N765" s="7">
        <v>593.30565112950001</v>
      </c>
      <c r="O765" s="7">
        <v>594.28780980030001</v>
      </c>
      <c r="P765" s="7">
        <v>589.1075441959</v>
      </c>
      <c r="Q765">
        <v>1</v>
      </c>
      <c r="R765">
        <v>0</v>
      </c>
      <c r="S765" s="11">
        <v>45813.666666666664</v>
      </c>
      <c r="T765">
        <v>1729</v>
      </c>
    </row>
    <row r="766" spans="1:20">
      <c r="A766" s="11">
        <v>45813.5</v>
      </c>
      <c r="B766" s="11">
        <v>45813.520833333336</v>
      </c>
      <c r="C766" s="10">
        <v>45813</v>
      </c>
      <c r="D766" s="7">
        <v>594.48929999999996</v>
      </c>
      <c r="E766" s="7">
        <v>2963443</v>
      </c>
      <c r="F766" s="7">
        <v>2963443</v>
      </c>
      <c r="G766" s="7">
        <v>25971994</v>
      </c>
      <c r="H766" s="7">
        <v>590.86009999999999</v>
      </c>
      <c r="I766" s="7">
        <v>592.53030000000001</v>
      </c>
      <c r="J766" s="7">
        <v>14</v>
      </c>
      <c r="K766" s="7">
        <v>3.2745777000000001E-3</v>
      </c>
      <c r="L766" s="7">
        <v>594.47058648439997</v>
      </c>
      <c r="M766" s="7">
        <v>588.92528271519996</v>
      </c>
      <c r="N766" s="7">
        <v>593.44070721950004</v>
      </c>
      <c r="O766" s="7">
        <v>594.47058648439997</v>
      </c>
      <c r="P766" s="7">
        <v>588.92528271519996</v>
      </c>
      <c r="Q766">
        <v>1</v>
      </c>
      <c r="R766">
        <v>0</v>
      </c>
      <c r="S766" s="11">
        <v>45813.666666666664</v>
      </c>
      <c r="T766">
        <v>1728</v>
      </c>
    </row>
    <row r="767" spans="1:20">
      <c r="A767" s="11">
        <v>45813.520833333336</v>
      </c>
      <c r="B767" s="11">
        <v>45813.541666666664</v>
      </c>
      <c r="C767" s="10">
        <v>45813</v>
      </c>
      <c r="D767" s="7">
        <v>591.28769999999997</v>
      </c>
      <c r="E767" s="7">
        <v>4672375</v>
      </c>
      <c r="F767" s="7">
        <v>4672375</v>
      </c>
      <c r="G767" s="7">
        <v>30644369</v>
      </c>
      <c r="H767" s="7">
        <v>590.86009999999999</v>
      </c>
      <c r="I767" s="7">
        <v>592.53030000000001</v>
      </c>
      <c r="J767" s="7">
        <v>14</v>
      </c>
      <c r="K767" s="7">
        <v>3.8422820999999998E-3</v>
      </c>
      <c r="L767" s="7">
        <v>594.80696854969995</v>
      </c>
      <c r="M767" s="7">
        <v>588.58984882979996</v>
      </c>
      <c r="N767" s="7">
        <v>593.11243623739995</v>
      </c>
      <c r="O767" s="7">
        <v>594.80696854969995</v>
      </c>
      <c r="P767" s="7">
        <v>588.58984882979996</v>
      </c>
      <c r="Q767">
        <v>1</v>
      </c>
      <c r="R767">
        <v>0</v>
      </c>
      <c r="S767" s="11">
        <v>45813.666666666664</v>
      </c>
      <c r="T767">
        <v>1727</v>
      </c>
    </row>
    <row r="768" spans="1:20">
      <c r="A768" s="11">
        <v>45813.541666666664</v>
      </c>
      <c r="B768" s="11">
        <v>45813.5625</v>
      </c>
      <c r="C768" s="10">
        <v>45813</v>
      </c>
      <c r="D768" s="7">
        <v>593.05759999999998</v>
      </c>
      <c r="E768" s="7">
        <v>3108965</v>
      </c>
      <c r="F768" s="7">
        <v>3108965</v>
      </c>
      <c r="G768" s="7">
        <v>33753334</v>
      </c>
      <c r="H768" s="7">
        <v>590.86009999999999</v>
      </c>
      <c r="I768" s="7">
        <v>592.53030000000001</v>
      </c>
      <c r="J768" s="7">
        <v>14</v>
      </c>
      <c r="K768" s="7">
        <v>4.5760193999999999E-3</v>
      </c>
      <c r="L768" s="7">
        <v>595.24173014300004</v>
      </c>
      <c r="M768" s="7">
        <v>588.15631272459996</v>
      </c>
      <c r="N768" s="7">
        <v>593.10738536029999</v>
      </c>
      <c r="O768" s="7">
        <v>595.24173014300004</v>
      </c>
      <c r="P768" s="7">
        <v>588.15631272459996</v>
      </c>
      <c r="Q768">
        <v>1</v>
      </c>
      <c r="R768">
        <v>0</v>
      </c>
      <c r="S768" s="11">
        <v>45813.666666666664</v>
      </c>
      <c r="T768">
        <v>1726</v>
      </c>
    </row>
    <row r="769" spans="1:20">
      <c r="A769" s="11">
        <v>45813.5625</v>
      </c>
      <c r="B769" s="11">
        <v>45813.583333333336</v>
      </c>
      <c r="C769" s="10">
        <v>45813</v>
      </c>
      <c r="D769" s="7">
        <v>592.4212</v>
      </c>
      <c r="E769" s="7">
        <v>2048832</v>
      </c>
      <c r="F769" s="7">
        <v>2048832</v>
      </c>
      <c r="G769" s="7">
        <v>35802166</v>
      </c>
      <c r="H769" s="7">
        <v>590.86009999999999</v>
      </c>
      <c r="I769" s="7">
        <v>592.53030000000001</v>
      </c>
      <c r="J769" s="7">
        <v>14</v>
      </c>
      <c r="K769" s="7">
        <v>4.3373995999999998E-3</v>
      </c>
      <c r="L769" s="7">
        <v>595.10034069549999</v>
      </c>
      <c r="M769" s="7">
        <v>588.29730362930002</v>
      </c>
      <c r="N769" s="7">
        <v>593.06811738629995</v>
      </c>
      <c r="O769" s="7">
        <v>595.10034069549999</v>
      </c>
      <c r="P769" s="7">
        <v>588.29730362930002</v>
      </c>
      <c r="Q769">
        <v>1</v>
      </c>
      <c r="R769">
        <v>0</v>
      </c>
      <c r="S769" s="11">
        <v>45813.666666666664</v>
      </c>
      <c r="T769">
        <v>1725</v>
      </c>
    </row>
    <row r="770" spans="1:20">
      <c r="A770" s="11">
        <v>45813.583333333336</v>
      </c>
      <c r="B770" s="11">
        <v>45813.604166666664</v>
      </c>
      <c r="C770" s="10">
        <v>45813</v>
      </c>
      <c r="D770" s="7">
        <v>591.93399999999997</v>
      </c>
      <c r="E770" s="7">
        <v>4392056</v>
      </c>
      <c r="F770" s="7">
        <v>4392056</v>
      </c>
      <c r="G770" s="7">
        <v>40194222</v>
      </c>
      <c r="H770" s="7">
        <v>590.86009999999999</v>
      </c>
      <c r="I770" s="7">
        <v>592.53030000000001</v>
      </c>
      <c r="J770" s="7">
        <v>14</v>
      </c>
      <c r="K770" s="7">
        <v>4.7557898999999997E-3</v>
      </c>
      <c r="L770" s="7">
        <v>595.34824961180004</v>
      </c>
      <c r="M770" s="7">
        <v>588.05009350850003</v>
      </c>
      <c r="N770" s="7">
        <v>592.94419143810001</v>
      </c>
      <c r="O770" s="7">
        <v>595.34824961180004</v>
      </c>
      <c r="P770" s="7">
        <v>588.05009350850003</v>
      </c>
      <c r="Q770">
        <v>1</v>
      </c>
      <c r="R770">
        <v>0</v>
      </c>
      <c r="S770" s="11">
        <v>45813.666666666664</v>
      </c>
      <c r="T770">
        <v>1724</v>
      </c>
    </row>
    <row r="771" spans="1:20">
      <c r="A771" s="11">
        <v>45813.604166666664</v>
      </c>
      <c r="B771" s="11">
        <v>45813.625</v>
      </c>
      <c r="C771" s="10">
        <v>45813</v>
      </c>
      <c r="D771" s="7">
        <v>591.86440000000005</v>
      </c>
      <c r="E771" s="7">
        <v>2766960</v>
      </c>
      <c r="F771" s="7">
        <v>2766960</v>
      </c>
      <c r="G771" s="7">
        <v>42961182</v>
      </c>
      <c r="H771" s="7">
        <v>590.86009999999999</v>
      </c>
      <c r="I771" s="7">
        <v>592.53030000000001</v>
      </c>
      <c r="J771" s="7">
        <v>14</v>
      </c>
      <c r="K771" s="7">
        <v>5.0254221999999999E-3</v>
      </c>
      <c r="L771" s="7">
        <v>595.50801491959999</v>
      </c>
      <c r="M771" s="7">
        <v>587.89077854059997</v>
      </c>
      <c r="N771" s="7">
        <v>592.87464633770003</v>
      </c>
      <c r="O771" s="7">
        <v>595.50801491959999</v>
      </c>
      <c r="P771" s="7">
        <v>587.89077854059997</v>
      </c>
      <c r="Q771">
        <v>1</v>
      </c>
      <c r="R771">
        <v>0</v>
      </c>
      <c r="S771" s="11">
        <v>45813.666666666664</v>
      </c>
      <c r="T771">
        <v>1723</v>
      </c>
    </row>
    <row r="772" spans="1:20">
      <c r="A772" s="11">
        <v>45813.625</v>
      </c>
      <c r="B772" s="11">
        <v>45813.645833333336</v>
      </c>
      <c r="C772" s="10">
        <v>45813</v>
      </c>
      <c r="D772" s="7">
        <v>589.10400000000004</v>
      </c>
      <c r="E772" s="7">
        <v>8095451</v>
      </c>
      <c r="F772" s="7">
        <v>8095451</v>
      </c>
      <c r="G772" s="7">
        <v>51056633</v>
      </c>
      <c r="H772" s="7">
        <v>590.86009999999999</v>
      </c>
      <c r="I772" s="7">
        <v>592.53030000000001</v>
      </c>
      <c r="J772" s="7">
        <v>14</v>
      </c>
      <c r="K772" s="7">
        <v>5.2464861000000003E-3</v>
      </c>
      <c r="L772" s="7">
        <v>595.63900198090005</v>
      </c>
      <c r="M772" s="7">
        <v>587.7601607002</v>
      </c>
      <c r="N772" s="7">
        <v>592.27677920719998</v>
      </c>
      <c r="O772" s="7">
        <v>595.63900198090005</v>
      </c>
      <c r="P772" s="7">
        <v>587.7601607002</v>
      </c>
      <c r="Q772">
        <v>1</v>
      </c>
      <c r="R772">
        <v>0</v>
      </c>
      <c r="S772" s="11">
        <v>45813.666666666664</v>
      </c>
      <c r="T772">
        <v>1722</v>
      </c>
    </row>
    <row r="773" spans="1:20">
      <c r="A773" s="11">
        <v>45813.645833333336</v>
      </c>
      <c r="B773" s="11">
        <v>45813.666666666664</v>
      </c>
      <c r="C773" s="10">
        <v>45813</v>
      </c>
      <c r="D773" s="7">
        <v>589.66690000000006</v>
      </c>
      <c r="E773" s="7">
        <v>12732108</v>
      </c>
      <c r="F773" s="7">
        <v>12732108</v>
      </c>
      <c r="G773" s="7">
        <v>63788741</v>
      </c>
      <c r="H773" s="7">
        <v>590.86009999999999</v>
      </c>
      <c r="I773" s="7">
        <v>592.53030000000001</v>
      </c>
      <c r="J773" s="7">
        <v>14</v>
      </c>
      <c r="K773" s="7">
        <v>5.3446088000000001E-3</v>
      </c>
      <c r="L773" s="7">
        <v>595.6971426412</v>
      </c>
      <c r="M773" s="7">
        <v>587.70218392439995</v>
      </c>
      <c r="N773" s="7">
        <v>591.75585241960005</v>
      </c>
      <c r="O773" s="7">
        <v>595.6971426412</v>
      </c>
      <c r="P773" s="7">
        <v>587.70218392439995</v>
      </c>
      <c r="Q773">
        <v>1</v>
      </c>
      <c r="R773">
        <v>1</v>
      </c>
      <c r="S773" s="11">
        <v>45813.666666666664</v>
      </c>
      <c r="T773">
        <v>1721</v>
      </c>
    </row>
    <row r="774" spans="1:20">
      <c r="A774" s="11">
        <v>45814.395833333336</v>
      </c>
      <c r="B774" s="11">
        <v>45814.416666666664</v>
      </c>
      <c r="C774" s="10">
        <v>45814</v>
      </c>
      <c r="D774" s="7">
        <v>596.95320000000004</v>
      </c>
      <c r="E774" s="7">
        <v>7795011</v>
      </c>
      <c r="F774" s="7">
        <v>7795011</v>
      </c>
      <c r="G774" s="7">
        <v>7795011</v>
      </c>
      <c r="H774" s="7">
        <v>596.95320000000004</v>
      </c>
      <c r="I774" s="7">
        <v>589.66669999999999</v>
      </c>
      <c r="J774" s="7">
        <v>14</v>
      </c>
      <c r="K774" s="7">
        <v>0</v>
      </c>
      <c r="L774" s="7">
        <v>596.95320000000004</v>
      </c>
      <c r="M774" s="7">
        <v>589.66669999999999</v>
      </c>
      <c r="N774" s="7">
        <v>596.95320000000004</v>
      </c>
      <c r="O774" s="7">
        <v>596.95320000000004</v>
      </c>
      <c r="P774" s="7">
        <v>589.66669999999999</v>
      </c>
      <c r="Q774">
        <v>1</v>
      </c>
      <c r="R774">
        <v>0</v>
      </c>
      <c r="S774" s="11">
        <v>45814.666666666664</v>
      </c>
      <c r="T774">
        <v>1719</v>
      </c>
    </row>
    <row r="775" spans="1:20">
      <c r="A775" s="11">
        <v>45814.416666666664</v>
      </c>
      <c r="B775" s="11">
        <v>45814.4375</v>
      </c>
      <c r="C775" s="10">
        <v>45814</v>
      </c>
      <c r="D775" s="7">
        <v>595.72720000000004</v>
      </c>
      <c r="E775" s="7">
        <v>3542710</v>
      </c>
      <c r="F775" s="7">
        <v>3542710</v>
      </c>
      <c r="G775" s="7">
        <v>11337721</v>
      </c>
      <c r="H775" s="7">
        <v>596.95320000000004</v>
      </c>
      <c r="I775" s="7">
        <v>589.66669999999999</v>
      </c>
      <c r="J775" s="7">
        <v>14</v>
      </c>
      <c r="K775" s="7">
        <v>1.9021184000000001E-3</v>
      </c>
      <c r="L775" s="7">
        <v>598.08867566399999</v>
      </c>
      <c r="M775" s="7">
        <v>588.54508412170003</v>
      </c>
      <c r="N775" s="7">
        <v>596.57011044789999</v>
      </c>
      <c r="O775" s="7">
        <v>598.08867566399999</v>
      </c>
      <c r="P775" s="7">
        <v>588.54508412170003</v>
      </c>
      <c r="Q775">
        <v>1</v>
      </c>
      <c r="R775">
        <v>0</v>
      </c>
      <c r="S775" s="11">
        <v>45814.666666666664</v>
      </c>
      <c r="T775">
        <v>1718</v>
      </c>
    </row>
    <row r="776" spans="1:20">
      <c r="A776" s="11">
        <v>45814.4375</v>
      </c>
      <c r="B776" s="11">
        <v>45814.458333333336</v>
      </c>
      <c r="C776" s="10">
        <v>45814</v>
      </c>
      <c r="D776" s="7">
        <v>595.88130000000001</v>
      </c>
      <c r="E776" s="7">
        <v>2383189</v>
      </c>
      <c r="F776" s="7">
        <v>2383189</v>
      </c>
      <c r="G776" s="7">
        <v>13720910</v>
      </c>
      <c r="H776" s="7">
        <v>596.95320000000004</v>
      </c>
      <c r="I776" s="7">
        <v>589.66669999999999</v>
      </c>
      <c r="J776" s="7">
        <v>14</v>
      </c>
      <c r="K776" s="7">
        <v>2.0398324999999998E-3</v>
      </c>
      <c r="L776" s="7">
        <v>598.17088451389998</v>
      </c>
      <c r="M776" s="7">
        <v>588.46387872529999</v>
      </c>
      <c r="N776" s="7">
        <v>596.45047075319997</v>
      </c>
      <c r="O776" s="7">
        <v>598.17088451389998</v>
      </c>
      <c r="P776" s="7">
        <v>588.46387872529999</v>
      </c>
      <c r="Q776">
        <v>1</v>
      </c>
      <c r="R776">
        <v>0</v>
      </c>
      <c r="S776" s="11">
        <v>45814.666666666664</v>
      </c>
      <c r="T776">
        <v>1717</v>
      </c>
    </row>
    <row r="777" spans="1:20">
      <c r="A777" s="11">
        <v>45814.458333333336</v>
      </c>
      <c r="B777" s="11">
        <v>45814.479166666664</v>
      </c>
      <c r="C777" s="10">
        <v>45814</v>
      </c>
      <c r="D777" s="7">
        <v>595.07590000000005</v>
      </c>
      <c r="E777" s="7">
        <v>4683622</v>
      </c>
      <c r="F777" s="7">
        <v>4683622</v>
      </c>
      <c r="G777" s="7">
        <v>18404532</v>
      </c>
      <c r="H777" s="7">
        <v>596.95320000000004</v>
      </c>
      <c r="I777" s="7">
        <v>589.66669999999999</v>
      </c>
      <c r="J777" s="7">
        <v>14</v>
      </c>
      <c r="K777" s="7">
        <v>2.7331029000000001E-3</v>
      </c>
      <c r="L777" s="7">
        <v>598.58473450890006</v>
      </c>
      <c r="M777" s="7">
        <v>588.05508024519997</v>
      </c>
      <c r="N777" s="7">
        <v>596.10066724720002</v>
      </c>
      <c r="O777" s="7">
        <v>598.58473450890006</v>
      </c>
      <c r="P777" s="7">
        <v>588.05508024519997</v>
      </c>
      <c r="Q777">
        <v>1</v>
      </c>
      <c r="R777">
        <v>0</v>
      </c>
      <c r="S777" s="11">
        <v>45814.666666666664</v>
      </c>
      <c r="T777">
        <v>1716</v>
      </c>
    </row>
    <row r="778" spans="1:20">
      <c r="A778" s="11">
        <v>45814.479166666664</v>
      </c>
      <c r="B778" s="11">
        <v>45814.5</v>
      </c>
      <c r="C778" s="10">
        <v>45814</v>
      </c>
      <c r="D778" s="7">
        <v>595.31460000000004</v>
      </c>
      <c r="E778" s="7">
        <v>2382273</v>
      </c>
      <c r="F778" s="7">
        <v>2382273</v>
      </c>
      <c r="G778" s="7">
        <v>20786805</v>
      </c>
      <c r="H778" s="7">
        <v>596.95320000000004</v>
      </c>
      <c r="I778" s="7">
        <v>589.66669999999999</v>
      </c>
      <c r="J778" s="7">
        <v>14</v>
      </c>
      <c r="K778" s="7">
        <v>3.1498945E-3</v>
      </c>
      <c r="L778" s="7">
        <v>598.83353962139995</v>
      </c>
      <c r="M778" s="7">
        <v>587.80931208510003</v>
      </c>
      <c r="N778" s="7">
        <v>596.01057996450004</v>
      </c>
      <c r="O778" s="7">
        <v>598.83353962139995</v>
      </c>
      <c r="P778" s="7">
        <v>587.80931208510003</v>
      </c>
      <c r="Q778">
        <v>1</v>
      </c>
      <c r="R778">
        <v>0</v>
      </c>
      <c r="S778" s="11">
        <v>45814.666666666664</v>
      </c>
      <c r="T778">
        <v>1715</v>
      </c>
    </row>
    <row r="779" spans="1:20">
      <c r="A779" s="11">
        <v>45814.5</v>
      </c>
      <c r="B779" s="11">
        <v>45814.520833333336</v>
      </c>
      <c r="C779" s="10">
        <v>45814</v>
      </c>
      <c r="D779" s="7">
        <v>595.17539999999997</v>
      </c>
      <c r="E779" s="7">
        <v>1584156</v>
      </c>
      <c r="F779" s="7">
        <v>1584156</v>
      </c>
      <c r="G779" s="7">
        <v>22370961</v>
      </c>
      <c r="H779" s="7">
        <v>596.95320000000004</v>
      </c>
      <c r="I779" s="7">
        <v>589.66669999999999</v>
      </c>
      <c r="J779" s="7">
        <v>14</v>
      </c>
      <c r="K779" s="7">
        <v>3.344054E-3</v>
      </c>
      <c r="L779" s="7">
        <v>598.94944374880004</v>
      </c>
      <c r="M779" s="7">
        <v>587.69482270080005</v>
      </c>
      <c r="N779" s="7">
        <v>595.95143832309998</v>
      </c>
      <c r="O779" s="7">
        <v>598.94944374880004</v>
      </c>
      <c r="P779" s="7">
        <v>587.69482270080005</v>
      </c>
      <c r="Q779">
        <v>1</v>
      </c>
      <c r="R779">
        <v>0</v>
      </c>
      <c r="S779" s="11">
        <v>45814.666666666664</v>
      </c>
      <c r="T779">
        <v>1714</v>
      </c>
    </row>
    <row r="780" spans="1:20">
      <c r="A780" s="11">
        <v>45814.520833333336</v>
      </c>
      <c r="B780" s="11">
        <v>45814.541666666664</v>
      </c>
      <c r="C780" s="10">
        <v>45814</v>
      </c>
      <c r="D780" s="7">
        <v>594.20090000000005</v>
      </c>
      <c r="E780" s="7">
        <v>2725040</v>
      </c>
      <c r="F780" s="7">
        <v>2725040</v>
      </c>
      <c r="G780" s="7">
        <v>25096001</v>
      </c>
      <c r="H780" s="7">
        <v>596.95320000000004</v>
      </c>
      <c r="I780" s="7">
        <v>589.66669999999999</v>
      </c>
      <c r="J780" s="7">
        <v>14</v>
      </c>
      <c r="K780" s="7">
        <v>3.3979865000000001E-3</v>
      </c>
      <c r="L780" s="7">
        <v>598.98163893260005</v>
      </c>
      <c r="M780" s="7">
        <v>587.66302049629996</v>
      </c>
      <c r="N780" s="7">
        <v>595.76135676579997</v>
      </c>
      <c r="O780" s="7">
        <v>598.98163893260005</v>
      </c>
      <c r="P780" s="7">
        <v>587.66302049629996</v>
      </c>
      <c r="Q780">
        <v>1</v>
      </c>
      <c r="R780">
        <v>0</v>
      </c>
      <c r="S780" s="11">
        <v>45814.666666666664</v>
      </c>
      <c r="T780">
        <v>1713</v>
      </c>
    </row>
    <row r="781" spans="1:20">
      <c r="A781" s="11">
        <v>45814.541666666664</v>
      </c>
      <c r="B781" s="11">
        <v>45814.5625</v>
      </c>
      <c r="C781" s="10">
        <v>45814</v>
      </c>
      <c r="D781" s="7">
        <v>594.81740000000002</v>
      </c>
      <c r="E781" s="7">
        <v>2069167</v>
      </c>
      <c r="F781" s="7">
        <v>2069167</v>
      </c>
      <c r="G781" s="7">
        <v>27165168</v>
      </c>
      <c r="H781" s="7">
        <v>596.95320000000004</v>
      </c>
      <c r="I781" s="7">
        <v>589.66669999999999</v>
      </c>
      <c r="J781" s="7">
        <v>14</v>
      </c>
      <c r="K781" s="7">
        <v>4.2871847999999997E-3</v>
      </c>
      <c r="L781" s="7">
        <v>599.51244868660001</v>
      </c>
      <c r="M781" s="7">
        <v>587.13868988549996</v>
      </c>
      <c r="N781" s="7">
        <v>595.68945571270001</v>
      </c>
      <c r="O781" s="7">
        <v>599.51244868660001</v>
      </c>
      <c r="P781" s="7">
        <v>587.13868988549996</v>
      </c>
      <c r="Q781">
        <v>1</v>
      </c>
      <c r="R781">
        <v>0</v>
      </c>
      <c r="S781" s="11">
        <v>45814.666666666664</v>
      </c>
      <c r="T781">
        <v>1712</v>
      </c>
    </row>
    <row r="782" spans="1:20">
      <c r="A782" s="11">
        <v>45814.5625</v>
      </c>
      <c r="B782" s="11">
        <v>45814.583333333336</v>
      </c>
      <c r="C782" s="10">
        <v>45814</v>
      </c>
      <c r="D782" s="7">
        <v>595.54330000000004</v>
      </c>
      <c r="E782" s="7">
        <v>1496690</v>
      </c>
      <c r="F782" s="7">
        <v>1496690</v>
      </c>
      <c r="G782" s="7">
        <v>28661858</v>
      </c>
      <c r="H782" s="7">
        <v>596.95320000000004</v>
      </c>
      <c r="I782" s="7">
        <v>589.66669999999999</v>
      </c>
      <c r="J782" s="7">
        <v>14</v>
      </c>
      <c r="K782" s="7">
        <v>4.0727725999999999E-3</v>
      </c>
      <c r="L782" s="7">
        <v>599.38445464819995</v>
      </c>
      <c r="M782" s="7">
        <v>587.26512160950006</v>
      </c>
      <c r="N782" s="7">
        <v>595.68182362569996</v>
      </c>
      <c r="O782" s="7">
        <v>599.38445464819995</v>
      </c>
      <c r="P782" s="7">
        <v>587.26512160950006</v>
      </c>
      <c r="Q782">
        <v>1</v>
      </c>
      <c r="R782">
        <v>0</v>
      </c>
      <c r="S782" s="11">
        <v>45814.666666666664</v>
      </c>
      <c r="T782">
        <v>1711</v>
      </c>
    </row>
    <row r="783" spans="1:20">
      <c r="A783" s="11">
        <v>45814.583333333336</v>
      </c>
      <c r="B783" s="11">
        <v>45814.604166666664</v>
      </c>
      <c r="C783" s="10">
        <v>45814</v>
      </c>
      <c r="D783" s="7">
        <v>596.15970000000004</v>
      </c>
      <c r="E783" s="7">
        <v>2892793</v>
      </c>
      <c r="F783" s="7">
        <v>2892793</v>
      </c>
      <c r="G783" s="7">
        <v>31554651</v>
      </c>
      <c r="H783" s="7">
        <v>596.95320000000004</v>
      </c>
      <c r="I783" s="7">
        <v>589.66669999999999</v>
      </c>
      <c r="J783" s="7">
        <v>14</v>
      </c>
      <c r="K783" s="7">
        <v>4.4785711000000002E-3</v>
      </c>
      <c r="L783" s="7">
        <v>599.62669736889995</v>
      </c>
      <c r="M783" s="7">
        <v>587.02583573970003</v>
      </c>
      <c r="N783" s="7">
        <v>595.7256332508</v>
      </c>
      <c r="O783" s="7">
        <v>599.62669736889995</v>
      </c>
      <c r="P783" s="7">
        <v>587.02583573970003</v>
      </c>
      <c r="Q783">
        <v>1</v>
      </c>
      <c r="R783">
        <v>0</v>
      </c>
      <c r="S783" s="11">
        <v>45814.666666666664</v>
      </c>
      <c r="T783">
        <v>1710</v>
      </c>
    </row>
    <row r="784" spans="1:20">
      <c r="A784" s="11">
        <v>45814.604166666664</v>
      </c>
      <c r="B784" s="11">
        <v>45814.625</v>
      </c>
      <c r="C784" s="10">
        <v>45814</v>
      </c>
      <c r="D784" s="7">
        <v>596.24919999999997</v>
      </c>
      <c r="E784" s="7">
        <v>2888765</v>
      </c>
      <c r="F784" s="7">
        <v>2888765</v>
      </c>
      <c r="G784" s="7">
        <v>34443416</v>
      </c>
      <c r="H784" s="7">
        <v>596.95320000000004</v>
      </c>
      <c r="I784" s="7">
        <v>589.66669999999999</v>
      </c>
      <c r="J784" s="7">
        <v>14</v>
      </c>
      <c r="K784" s="7">
        <v>4.7044783000000003E-3</v>
      </c>
      <c r="L784" s="7">
        <v>599.76155336960005</v>
      </c>
      <c r="M784" s="7">
        <v>586.89262581150001</v>
      </c>
      <c r="N784" s="7">
        <v>595.7695447287</v>
      </c>
      <c r="O784" s="7">
        <v>599.76155336960005</v>
      </c>
      <c r="P784" s="7">
        <v>586.89262581150001</v>
      </c>
      <c r="Q784">
        <v>1</v>
      </c>
      <c r="R784">
        <v>0</v>
      </c>
      <c r="S784" s="11">
        <v>45814.666666666664</v>
      </c>
      <c r="T784">
        <v>1709</v>
      </c>
    </row>
    <row r="785" spans="1:20">
      <c r="A785" s="11">
        <v>45814.625</v>
      </c>
      <c r="B785" s="11">
        <v>45814.645833333336</v>
      </c>
      <c r="C785" s="10">
        <v>45814</v>
      </c>
      <c r="D785" s="7">
        <v>595.89120000000003</v>
      </c>
      <c r="E785" s="7">
        <v>2782723</v>
      </c>
      <c r="F785" s="7">
        <v>2782723</v>
      </c>
      <c r="G785" s="7">
        <v>37226139</v>
      </c>
      <c r="H785" s="7">
        <v>596.95320000000004</v>
      </c>
      <c r="I785" s="7">
        <v>589.66669999999999</v>
      </c>
      <c r="J785" s="7">
        <v>14</v>
      </c>
      <c r="K785" s="7">
        <v>5.1212083E-3</v>
      </c>
      <c r="L785" s="7">
        <v>600.01032168630002</v>
      </c>
      <c r="M785" s="7">
        <v>586.646893998</v>
      </c>
      <c r="N785" s="7">
        <v>595.77863868600002</v>
      </c>
      <c r="O785" s="7">
        <v>600.01032168630002</v>
      </c>
      <c r="P785" s="7">
        <v>586.646893998</v>
      </c>
      <c r="Q785">
        <v>1</v>
      </c>
      <c r="R785">
        <v>0</v>
      </c>
      <c r="S785" s="11">
        <v>45814.666666666664</v>
      </c>
      <c r="T785">
        <v>1708</v>
      </c>
    </row>
    <row r="786" spans="1:20">
      <c r="A786" s="11">
        <v>45814.645833333336</v>
      </c>
      <c r="B786" s="11">
        <v>45814.666666666664</v>
      </c>
      <c r="C786" s="10">
        <v>45814</v>
      </c>
      <c r="D786" s="7">
        <v>595.72220000000004</v>
      </c>
      <c r="E786" s="7">
        <v>8878229</v>
      </c>
      <c r="F786" s="7">
        <v>8878229</v>
      </c>
      <c r="G786" s="7">
        <v>46104368</v>
      </c>
      <c r="H786" s="7">
        <v>596.95320000000004</v>
      </c>
      <c r="I786" s="7">
        <v>589.66669999999999</v>
      </c>
      <c r="J786" s="7">
        <v>14</v>
      </c>
      <c r="K786" s="7">
        <v>4.9599570000000001E-3</v>
      </c>
      <c r="L786" s="7">
        <v>599.91406220019996</v>
      </c>
      <c r="M786" s="7">
        <v>586.74197852650002</v>
      </c>
      <c r="N786" s="7">
        <v>595.7677703974</v>
      </c>
      <c r="O786" s="7">
        <v>599.91406220019996</v>
      </c>
      <c r="P786" s="7">
        <v>586.74197852650002</v>
      </c>
      <c r="Q786">
        <v>1</v>
      </c>
      <c r="R786">
        <v>1</v>
      </c>
      <c r="S786" s="11">
        <v>45814.666666666664</v>
      </c>
      <c r="T786">
        <v>1707</v>
      </c>
    </row>
    <row r="787" spans="1:20">
      <c r="A787" s="11">
        <v>45817.395833333336</v>
      </c>
      <c r="B787" s="11">
        <v>45817.416666666664</v>
      </c>
      <c r="C787" s="10">
        <v>45817</v>
      </c>
      <c r="D787" s="7">
        <v>595.55319999999995</v>
      </c>
      <c r="E787" s="7">
        <v>4079527</v>
      </c>
      <c r="F787" s="7">
        <v>4079527</v>
      </c>
      <c r="G787" s="7">
        <v>4079527</v>
      </c>
      <c r="H787" s="7">
        <v>595.55319999999995</v>
      </c>
      <c r="I787" s="7">
        <v>595.72199999999998</v>
      </c>
      <c r="J787" s="7">
        <v>14</v>
      </c>
      <c r="K787" s="7">
        <v>0</v>
      </c>
      <c r="L787" s="7">
        <v>595.72199999999998</v>
      </c>
      <c r="M787" s="7">
        <v>595.55319999999995</v>
      </c>
      <c r="N787" s="7">
        <v>595.55319999999995</v>
      </c>
      <c r="O787" s="7">
        <v>595.72199999999998</v>
      </c>
      <c r="P787" s="7">
        <v>595.55319999999995</v>
      </c>
      <c r="Q787">
        <v>1</v>
      </c>
      <c r="R787">
        <v>0</v>
      </c>
      <c r="S787" s="11">
        <v>45817.666666666664</v>
      </c>
      <c r="T787">
        <v>1705</v>
      </c>
    </row>
    <row r="788" spans="1:20">
      <c r="A788" s="11">
        <v>45817.416666666664</v>
      </c>
      <c r="B788" s="11">
        <v>45817.4375</v>
      </c>
      <c r="C788" s="10">
        <v>45817</v>
      </c>
      <c r="D788" s="7">
        <v>596.32870000000003</v>
      </c>
      <c r="E788" s="7">
        <v>3354533</v>
      </c>
      <c r="F788" s="7">
        <v>3354533</v>
      </c>
      <c r="G788" s="7">
        <v>7434060</v>
      </c>
      <c r="H788" s="7">
        <v>595.55319999999995</v>
      </c>
      <c r="I788" s="7">
        <v>595.72199999999998</v>
      </c>
      <c r="J788" s="7">
        <v>14</v>
      </c>
      <c r="K788" s="7">
        <v>2.0234192999999999E-3</v>
      </c>
      <c r="L788" s="7">
        <v>596.92739542130005</v>
      </c>
      <c r="M788" s="7">
        <v>594.34814613189997</v>
      </c>
      <c r="N788" s="7">
        <v>595.9031353437</v>
      </c>
      <c r="O788" s="7">
        <v>596.92739542130005</v>
      </c>
      <c r="P788" s="7">
        <v>594.34814613189997</v>
      </c>
      <c r="Q788">
        <v>1</v>
      </c>
      <c r="R788">
        <v>0</v>
      </c>
      <c r="S788" s="11">
        <v>45817.666666666664</v>
      </c>
      <c r="T788">
        <v>1704</v>
      </c>
    </row>
    <row r="789" spans="1:20">
      <c r="A789" s="11">
        <v>45817.4375</v>
      </c>
      <c r="B789" s="11">
        <v>45817.458333333336</v>
      </c>
      <c r="C789" s="10">
        <v>45817</v>
      </c>
      <c r="D789" s="7">
        <v>596.11</v>
      </c>
      <c r="E789" s="7">
        <v>3495707</v>
      </c>
      <c r="F789" s="7">
        <v>3495707</v>
      </c>
      <c r="G789" s="7">
        <v>10929767</v>
      </c>
      <c r="H789" s="7">
        <v>595.55319999999995</v>
      </c>
      <c r="I789" s="7">
        <v>595.72199999999998</v>
      </c>
      <c r="J789" s="7">
        <v>14</v>
      </c>
      <c r="K789" s="7">
        <v>2.1523641E-3</v>
      </c>
      <c r="L789" s="7">
        <v>597.00421066449996</v>
      </c>
      <c r="M789" s="7">
        <v>594.27135265460004</v>
      </c>
      <c r="N789" s="7">
        <v>595.96929761659999</v>
      </c>
      <c r="O789" s="7">
        <v>597.00421066449996</v>
      </c>
      <c r="P789" s="7">
        <v>594.27135265460004</v>
      </c>
      <c r="Q789">
        <v>1</v>
      </c>
      <c r="R789">
        <v>0</v>
      </c>
      <c r="S789" s="11">
        <v>45817.666666666664</v>
      </c>
      <c r="T789">
        <v>1703</v>
      </c>
    </row>
    <row r="790" spans="1:20">
      <c r="A790" s="11">
        <v>45817.458333333336</v>
      </c>
      <c r="B790" s="11">
        <v>45817.479166666664</v>
      </c>
      <c r="C790" s="10">
        <v>45817</v>
      </c>
      <c r="D790" s="7">
        <v>595.79679999999996</v>
      </c>
      <c r="E790" s="7">
        <v>1821320</v>
      </c>
      <c r="F790" s="7">
        <v>1821320</v>
      </c>
      <c r="G790" s="7">
        <v>12751087</v>
      </c>
      <c r="H790" s="7">
        <v>595.55319999999995</v>
      </c>
      <c r="I790" s="7">
        <v>595.72199999999998</v>
      </c>
      <c r="J790" s="7">
        <v>14</v>
      </c>
      <c r="K790" s="7">
        <v>2.923882E-3</v>
      </c>
      <c r="L790" s="7">
        <v>597.46382082679997</v>
      </c>
      <c r="M790" s="7">
        <v>593.81187272449995</v>
      </c>
      <c r="N790" s="7">
        <v>595.94465866949997</v>
      </c>
      <c r="O790" s="7">
        <v>597.46382082679997</v>
      </c>
      <c r="P790" s="7">
        <v>593.81187272449995</v>
      </c>
      <c r="Q790">
        <v>1</v>
      </c>
      <c r="R790">
        <v>0</v>
      </c>
      <c r="S790" s="11">
        <v>45817.666666666664</v>
      </c>
      <c r="T790">
        <v>1702</v>
      </c>
    </row>
    <row r="791" spans="1:20">
      <c r="A791" s="11">
        <v>45817.479166666664</v>
      </c>
      <c r="B791" s="11">
        <v>45817.5</v>
      </c>
      <c r="C791" s="10">
        <v>45817</v>
      </c>
      <c r="D791" s="7">
        <v>596.41330000000005</v>
      </c>
      <c r="E791" s="7">
        <v>1689560</v>
      </c>
      <c r="F791" s="7">
        <v>1689560</v>
      </c>
      <c r="G791" s="7">
        <v>14440647</v>
      </c>
      <c r="H791" s="7">
        <v>595.55319999999995</v>
      </c>
      <c r="I791" s="7">
        <v>595.72199999999998</v>
      </c>
      <c r="J791" s="7">
        <v>14</v>
      </c>
      <c r="K791" s="7">
        <v>3.2975893000000002E-3</v>
      </c>
      <c r="L791" s="7">
        <v>597.68644650030001</v>
      </c>
      <c r="M791" s="7">
        <v>593.58931013280005</v>
      </c>
      <c r="N791" s="7">
        <v>595.99948984469995</v>
      </c>
      <c r="O791" s="7">
        <v>597.68644650030001</v>
      </c>
      <c r="P791" s="7">
        <v>593.58931013280005</v>
      </c>
      <c r="Q791">
        <v>1</v>
      </c>
      <c r="R791">
        <v>0</v>
      </c>
      <c r="S791" s="11">
        <v>45817.666666666664</v>
      </c>
      <c r="T791">
        <v>1701</v>
      </c>
    </row>
    <row r="792" spans="1:20">
      <c r="A792" s="11">
        <v>45817.5</v>
      </c>
      <c r="B792" s="11">
        <v>45817.520833333336</v>
      </c>
      <c r="C792" s="10">
        <v>45817</v>
      </c>
      <c r="D792" s="7">
        <v>596.37850000000003</v>
      </c>
      <c r="E792" s="7">
        <v>1609428</v>
      </c>
      <c r="F792" s="7">
        <v>1609428</v>
      </c>
      <c r="G792" s="7">
        <v>16050075</v>
      </c>
      <c r="H792" s="7">
        <v>595.55319999999995</v>
      </c>
      <c r="I792" s="7">
        <v>595.72199999999998</v>
      </c>
      <c r="J792" s="7">
        <v>14</v>
      </c>
      <c r="K792" s="7">
        <v>3.3832353000000002E-3</v>
      </c>
      <c r="L792" s="7">
        <v>597.73746770169998</v>
      </c>
      <c r="M792" s="7">
        <v>593.53830338839998</v>
      </c>
      <c r="N792" s="7">
        <v>596.03749524689999</v>
      </c>
      <c r="O792" s="7">
        <v>597.73746770169998</v>
      </c>
      <c r="P792" s="7">
        <v>593.53830338839998</v>
      </c>
      <c r="Q792">
        <v>1</v>
      </c>
      <c r="R792">
        <v>0</v>
      </c>
      <c r="S792" s="11">
        <v>45817.666666666664</v>
      </c>
      <c r="T792">
        <v>1700</v>
      </c>
    </row>
    <row r="793" spans="1:20">
      <c r="A793" s="11">
        <v>45817.520833333336</v>
      </c>
      <c r="B793" s="11">
        <v>45817.541666666664</v>
      </c>
      <c r="C793" s="10">
        <v>45817</v>
      </c>
      <c r="D793" s="7">
        <v>597.25840000000005</v>
      </c>
      <c r="E793" s="7">
        <v>2281594</v>
      </c>
      <c r="F793" s="7">
        <v>2281594</v>
      </c>
      <c r="G793" s="7">
        <v>18331669</v>
      </c>
      <c r="H793" s="7">
        <v>595.55319999999995</v>
      </c>
      <c r="I793" s="7">
        <v>595.72199999999998</v>
      </c>
      <c r="J793" s="7">
        <v>14</v>
      </c>
      <c r="K793" s="7">
        <v>3.5337636999999999E-3</v>
      </c>
      <c r="L793" s="7">
        <v>597.82714077080004</v>
      </c>
      <c r="M793" s="7">
        <v>593.44865572849994</v>
      </c>
      <c r="N793" s="7">
        <v>596.1894513487</v>
      </c>
      <c r="O793" s="7">
        <v>597.82714077080004</v>
      </c>
      <c r="P793" s="7">
        <v>593.44865572849994</v>
      </c>
      <c r="Q793">
        <v>1</v>
      </c>
      <c r="R793">
        <v>0</v>
      </c>
      <c r="S793" s="11">
        <v>45817.666666666664</v>
      </c>
      <c r="T793">
        <v>1699</v>
      </c>
    </row>
    <row r="794" spans="1:20">
      <c r="A794" s="11">
        <v>45817.541666666664</v>
      </c>
      <c r="B794" s="11">
        <v>45817.5625</v>
      </c>
      <c r="C794" s="10">
        <v>45817</v>
      </c>
      <c r="D794" s="7">
        <v>597.39760000000001</v>
      </c>
      <c r="E794" s="7">
        <v>1869558</v>
      </c>
      <c r="F794" s="7">
        <v>1869558</v>
      </c>
      <c r="G794" s="7">
        <v>20201227</v>
      </c>
      <c r="H794" s="7">
        <v>595.55319999999995</v>
      </c>
      <c r="I794" s="7">
        <v>595.72199999999998</v>
      </c>
      <c r="J794" s="7">
        <v>14</v>
      </c>
      <c r="K794" s="7">
        <v>4.2404086000000004E-3</v>
      </c>
      <c r="L794" s="7">
        <v>598.24810467830002</v>
      </c>
      <c r="M794" s="7">
        <v>593.02781110269996</v>
      </c>
      <c r="N794" s="7">
        <v>596.30126158550001</v>
      </c>
      <c r="O794" s="7">
        <v>598.24810467830002</v>
      </c>
      <c r="P794" s="7">
        <v>593.02781110269996</v>
      </c>
      <c r="Q794">
        <v>1</v>
      </c>
      <c r="R794">
        <v>0</v>
      </c>
      <c r="S794" s="11">
        <v>45817.666666666664</v>
      </c>
      <c r="T794">
        <v>1698</v>
      </c>
    </row>
    <row r="795" spans="1:20">
      <c r="A795" s="11">
        <v>45817.5625</v>
      </c>
      <c r="B795" s="11">
        <v>45817.583333333336</v>
      </c>
      <c r="C795" s="10">
        <v>45817</v>
      </c>
      <c r="D795" s="7">
        <v>597.47220000000004</v>
      </c>
      <c r="E795" s="7">
        <v>1566340</v>
      </c>
      <c r="F795" s="7">
        <v>1566340</v>
      </c>
      <c r="G795" s="7">
        <v>21767567</v>
      </c>
      <c r="H795" s="7">
        <v>595.55319999999995</v>
      </c>
      <c r="I795" s="7">
        <v>595.72199999999998</v>
      </c>
      <c r="J795" s="7">
        <v>14</v>
      </c>
      <c r="K795" s="7">
        <v>3.9786806000000003E-3</v>
      </c>
      <c r="L795" s="7">
        <v>598.09218756430005</v>
      </c>
      <c r="M795" s="7">
        <v>593.18368403700003</v>
      </c>
      <c r="N795" s="7">
        <v>596.38551940249999</v>
      </c>
      <c r="O795" s="7">
        <v>598.09218756430005</v>
      </c>
      <c r="P795" s="7">
        <v>593.18368403700003</v>
      </c>
      <c r="Q795">
        <v>1</v>
      </c>
      <c r="R795">
        <v>0</v>
      </c>
      <c r="S795" s="11">
        <v>45817.666666666664</v>
      </c>
      <c r="T795">
        <v>1697</v>
      </c>
    </row>
    <row r="796" spans="1:20">
      <c r="A796" s="11">
        <v>45817.583333333336</v>
      </c>
      <c r="B796" s="11">
        <v>45817.604166666664</v>
      </c>
      <c r="C796" s="10">
        <v>45817</v>
      </c>
      <c r="D796" s="7">
        <v>597.54169999999999</v>
      </c>
      <c r="E796" s="7">
        <v>1511699</v>
      </c>
      <c r="F796" s="7">
        <v>1511699</v>
      </c>
      <c r="G796" s="7">
        <v>23279266</v>
      </c>
      <c r="H796" s="7">
        <v>595.55319999999995</v>
      </c>
      <c r="I796" s="7">
        <v>595.72199999999998</v>
      </c>
      <c r="J796" s="7">
        <v>14</v>
      </c>
      <c r="K796" s="7">
        <v>4.2530344999999999E-3</v>
      </c>
      <c r="L796" s="7">
        <v>598.25562621129995</v>
      </c>
      <c r="M796" s="7">
        <v>593.02029170089997</v>
      </c>
      <c r="N796" s="7">
        <v>596.46059896270003</v>
      </c>
      <c r="O796" s="7">
        <v>598.25562621129995</v>
      </c>
      <c r="P796" s="7">
        <v>593.02029170089997</v>
      </c>
      <c r="Q796">
        <v>1</v>
      </c>
      <c r="R796">
        <v>0</v>
      </c>
      <c r="S796" s="11">
        <v>45817.666666666664</v>
      </c>
      <c r="T796">
        <v>1696</v>
      </c>
    </row>
    <row r="797" spans="1:20">
      <c r="A797" s="11">
        <v>45817.604166666664</v>
      </c>
      <c r="B797" s="11">
        <v>45817.625</v>
      </c>
      <c r="C797" s="10">
        <v>45817</v>
      </c>
      <c r="D797" s="7">
        <v>597.5616</v>
      </c>
      <c r="E797" s="7">
        <v>2700371</v>
      </c>
      <c r="F797" s="7">
        <v>2700371</v>
      </c>
      <c r="G797" s="7">
        <v>25979637</v>
      </c>
      <c r="H797" s="7">
        <v>595.55319999999995</v>
      </c>
      <c r="I797" s="7">
        <v>595.72199999999998</v>
      </c>
      <c r="J797" s="7">
        <v>14</v>
      </c>
      <c r="K797" s="7">
        <v>4.4295419999999999E-3</v>
      </c>
      <c r="L797" s="7">
        <v>598.36077560620004</v>
      </c>
      <c r="M797" s="7">
        <v>592.91517210049994</v>
      </c>
      <c r="N797" s="7">
        <v>596.57503902480005</v>
      </c>
      <c r="O797" s="7">
        <v>598.36077560620004</v>
      </c>
      <c r="P797" s="7">
        <v>592.91517210049994</v>
      </c>
      <c r="Q797">
        <v>1</v>
      </c>
      <c r="R797">
        <v>0</v>
      </c>
      <c r="S797" s="11">
        <v>45817.666666666664</v>
      </c>
      <c r="T797">
        <v>1695</v>
      </c>
    </row>
    <row r="798" spans="1:20">
      <c r="A798" s="11">
        <v>45817.625</v>
      </c>
      <c r="B798" s="11">
        <v>45817.645833333336</v>
      </c>
      <c r="C798" s="10">
        <v>45817</v>
      </c>
      <c r="D798" s="7">
        <v>597.07449999999994</v>
      </c>
      <c r="E798" s="7">
        <v>2155666</v>
      </c>
      <c r="F798" s="7">
        <v>2155666</v>
      </c>
      <c r="G798" s="7">
        <v>28135303</v>
      </c>
      <c r="H798" s="7">
        <v>595.55319999999995</v>
      </c>
      <c r="I798" s="7">
        <v>595.72199999999998</v>
      </c>
      <c r="J798" s="7">
        <v>14</v>
      </c>
      <c r="K798" s="7">
        <v>4.8661325999999998E-3</v>
      </c>
      <c r="L798" s="7">
        <v>598.6208622721</v>
      </c>
      <c r="M798" s="7">
        <v>592.655159131</v>
      </c>
      <c r="N798" s="7">
        <v>596.61330664340005</v>
      </c>
      <c r="O798" s="7">
        <v>598.6208622721</v>
      </c>
      <c r="P798" s="7">
        <v>592.655159131</v>
      </c>
      <c r="Q798">
        <v>1</v>
      </c>
      <c r="R798">
        <v>0</v>
      </c>
      <c r="S798" s="11">
        <v>45817.666666666664</v>
      </c>
      <c r="T798">
        <v>1694</v>
      </c>
    </row>
    <row r="799" spans="1:20">
      <c r="A799" s="11">
        <v>45817.645833333336</v>
      </c>
      <c r="B799" s="11">
        <v>45817.666666666664</v>
      </c>
      <c r="C799" s="10">
        <v>45817</v>
      </c>
      <c r="D799" s="7">
        <v>596.25919999999996</v>
      </c>
      <c r="E799" s="7">
        <v>8925917</v>
      </c>
      <c r="F799" s="7">
        <v>8925917</v>
      </c>
      <c r="G799" s="7">
        <v>37061220</v>
      </c>
      <c r="H799" s="7">
        <v>595.55319999999995</v>
      </c>
      <c r="I799" s="7">
        <v>595.72199999999998</v>
      </c>
      <c r="J799" s="7">
        <v>14</v>
      </c>
      <c r="K799" s="7">
        <v>4.6755145000000001E-3</v>
      </c>
      <c r="L799" s="7">
        <v>598.50730684270002</v>
      </c>
      <c r="M799" s="7">
        <v>592.76868238409998</v>
      </c>
      <c r="N799" s="7">
        <v>596.5280227129</v>
      </c>
      <c r="O799" s="7">
        <v>598.50730684270002</v>
      </c>
      <c r="P799" s="7">
        <v>592.76868238409998</v>
      </c>
      <c r="Q799">
        <v>1</v>
      </c>
      <c r="R799">
        <v>1</v>
      </c>
      <c r="S799" s="11">
        <v>45817.666666666664</v>
      </c>
      <c r="T799">
        <v>1693</v>
      </c>
    </row>
    <row r="800" spans="1:20">
      <c r="A800" s="11">
        <v>45818.395833333336</v>
      </c>
      <c r="B800" s="11">
        <v>45818.416666666664</v>
      </c>
      <c r="C800" s="10">
        <v>45818</v>
      </c>
      <c r="D800" s="7">
        <v>597.14409999999998</v>
      </c>
      <c r="E800" s="7">
        <v>4047828</v>
      </c>
      <c r="F800" s="7">
        <v>4047828</v>
      </c>
      <c r="G800" s="7">
        <v>4047828</v>
      </c>
      <c r="H800" s="7">
        <v>597.14409999999998</v>
      </c>
      <c r="I800" s="7">
        <v>596.25890000000004</v>
      </c>
      <c r="J800" s="7">
        <v>14</v>
      </c>
      <c r="K800" s="7">
        <v>0</v>
      </c>
      <c r="L800" s="7">
        <v>597.14409999999998</v>
      </c>
      <c r="M800" s="7">
        <v>596.25890000000004</v>
      </c>
      <c r="N800" s="7">
        <v>597.14409999999998</v>
      </c>
      <c r="O800" s="7">
        <v>597.14409999999998</v>
      </c>
      <c r="P800" s="7">
        <v>596.25890000000004</v>
      </c>
      <c r="Q800">
        <v>1</v>
      </c>
      <c r="R800">
        <v>0</v>
      </c>
      <c r="S800" s="11">
        <v>45818.666666666664</v>
      </c>
      <c r="T800">
        <v>1691</v>
      </c>
    </row>
    <row r="801" spans="1:20">
      <c r="A801" s="11">
        <v>45818.416666666664</v>
      </c>
      <c r="B801" s="11">
        <v>45818.4375</v>
      </c>
      <c r="C801" s="10">
        <v>45818</v>
      </c>
      <c r="D801" s="7">
        <v>597.76059999999995</v>
      </c>
      <c r="E801" s="7">
        <v>2557485</v>
      </c>
      <c r="F801" s="7">
        <v>2557485</v>
      </c>
      <c r="G801" s="7">
        <v>6605313</v>
      </c>
      <c r="H801" s="7">
        <v>597.14409999999998</v>
      </c>
      <c r="I801" s="7">
        <v>596.25890000000004</v>
      </c>
      <c r="J801" s="7">
        <v>14</v>
      </c>
      <c r="K801" s="7">
        <v>2.0016704999999998E-3</v>
      </c>
      <c r="L801" s="7">
        <v>598.33938571040005</v>
      </c>
      <c r="M801" s="7">
        <v>595.06538616830005</v>
      </c>
      <c r="N801" s="7">
        <v>597.38280019520005</v>
      </c>
      <c r="O801" s="7">
        <v>598.33938571040005</v>
      </c>
      <c r="P801" s="7">
        <v>595.06538616830005</v>
      </c>
      <c r="Q801">
        <v>1</v>
      </c>
      <c r="R801">
        <v>0</v>
      </c>
      <c r="S801" s="11">
        <v>45818.666666666664</v>
      </c>
      <c r="T801">
        <v>1690</v>
      </c>
    </row>
    <row r="802" spans="1:20">
      <c r="A802" s="11">
        <v>45818.4375</v>
      </c>
      <c r="B802" s="11">
        <v>45818.458333333336</v>
      </c>
      <c r="C802" s="10">
        <v>45818</v>
      </c>
      <c r="D802" s="7">
        <v>597.64869999999996</v>
      </c>
      <c r="E802" s="7">
        <v>2658845</v>
      </c>
      <c r="F802" s="7">
        <v>2658845</v>
      </c>
      <c r="G802" s="7">
        <v>9264158</v>
      </c>
      <c r="H802" s="7">
        <v>597.14409999999998</v>
      </c>
      <c r="I802" s="7">
        <v>596.25890000000004</v>
      </c>
      <c r="J802" s="7">
        <v>14</v>
      </c>
      <c r="K802" s="7">
        <v>2.1357904E-3</v>
      </c>
      <c r="L802" s="7">
        <v>598.41947460769995</v>
      </c>
      <c r="M802" s="7">
        <v>594.98541599390001</v>
      </c>
      <c r="N802" s="7">
        <v>597.45911434770005</v>
      </c>
      <c r="O802" s="7">
        <v>598.41947460769995</v>
      </c>
      <c r="P802" s="7">
        <v>594.98541599390001</v>
      </c>
      <c r="Q802">
        <v>1</v>
      </c>
      <c r="R802">
        <v>0</v>
      </c>
      <c r="S802" s="11">
        <v>45818.666666666664</v>
      </c>
      <c r="T802">
        <v>1689</v>
      </c>
    </row>
    <row r="803" spans="1:20">
      <c r="A803" s="11">
        <v>45818.458333333336</v>
      </c>
      <c r="B803" s="11">
        <v>45818.479166666664</v>
      </c>
      <c r="C803" s="10">
        <v>45818</v>
      </c>
      <c r="D803" s="7">
        <v>597.70540000000005</v>
      </c>
      <c r="E803" s="7">
        <v>2378526</v>
      </c>
      <c r="F803" s="7">
        <v>2378526</v>
      </c>
      <c r="G803" s="7">
        <v>11642684</v>
      </c>
      <c r="H803" s="7">
        <v>597.14409999999998</v>
      </c>
      <c r="I803" s="7">
        <v>596.25890000000004</v>
      </c>
      <c r="J803" s="7">
        <v>14</v>
      </c>
      <c r="K803" s="7">
        <v>2.8274776999999999E-3</v>
      </c>
      <c r="L803" s="7">
        <v>598.83251160069995</v>
      </c>
      <c r="M803" s="7">
        <v>594.57299128249997</v>
      </c>
      <c r="N803" s="7">
        <v>597.50942893390004</v>
      </c>
      <c r="O803" s="7">
        <v>598.83251160069995</v>
      </c>
      <c r="P803" s="7">
        <v>594.57299128249997</v>
      </c>
      <c r="Q803">
        <v>1</v>
      </c>
      <c r="R803">
        <v>0</v>
      </c>
      <c r="S803" s="11">
        <v>45818.666666666664</v>
      </c>
      <c r="T803">
        <v>1688</v>
      </c>
    </row>
    <row r="804" spans="1:20">
      <c r="A804" s="11">
        <v>45818.479166666664</v>
      </c>
      <c r="B804" s="11">
        <v>45818.5</v>
      </c>
      <c r="C804" s="10">
        <v>45818</v>
      </c>
      <c r="D804" s="7">
        <v>597.80520000000001</v>
      </c>
      <c r="E804" s="7">
        <v>4724027</v>
      </c>
      <c r="F804" s="7">
        <v>4724027</v>
      </c>
      <c r="G804" s="7">
        <v>16366711</v>
      </c>
      <c r="H804" s="7">
        <v>597.14409999999998</v>
      </c>
      <c r="I804" s="7">
        <v>596.25890000000004</v>
      </c>
      <c r="J804" s="7">
        <v>14</v>
      </c>
      <c r="K804" s="7">
        <v>3.1772775999999998E-3</v>
      </c>
      <c r="L804" s="7">
        <v>599.04139259069996</v>
      </c>
      <c r="M804" s="7">
        <v>594.3644199355</v>
      </c>
      <c r="N804" s="7">
        <v>597.59479920180001</v>
      </c>
      <c r="O804" s="7">
        <v>599.04139259069996</v>
      </c>
      <c r="P804" s="7">
        <v>594.3644199355</v>
      </c>
      <c r="Q804">
        <v>1</v>
      </c>
      <c r="R804">
        <v>0</v>
      </c>
      <c r="S804" s="11">
        <v>45818.666666666664</v>
      </c>
      <c r="T804">
        <v>1687</v>
      </c>
    </row>
    <row r="805" spans="1:20">
      <c r="A805" s="11">
        <v>45818.5</v>
      </c>
      <c r="B805" s="11">
        <v>45818.520833333336</v>
      </c>
      <c r="C805" s="10">
        <v>45818</v>
      </c>
      <c r="D805" s="7">
        <v>598.45659999999998</v>
      </c>
      <c r="E805" s="7">
        <v>2394714</v>
      </c>
      <c r="F805" s="7">
        <v>2394714</v>
      </c>
      <c r="G805" s="7">
        <v>18761425</v>
      </c>
      <c r="H805" s="7">
        <v>597.14409999999998</v>
      </c>
      <c r="I805" s="7">
        <v>596.25890000000004</v>
      </c>
      <c r="J805" s="7">
        <v>14</v>
      </c>
      <c r="K805" s="7">
        <v>3.1548756999999999E-3</v>
      </c>
      <c r="L805" s="7">
        <v>599.02801541660006</v>
      </c>
      <c r="M805" s="7">
        <v>594.37777727939999</v>
      </c>
      <c r="N805" s="7">
        <v>597.70479971810005</v>
      </c>
      <c r="O805" s="7">
        <v>599.02801541660006</v>
      </c>
      <c r="P805" s="7">
        <v>594.37777727939999</v>
      </c>
      <c r="Q805">
        <v>1</v>
      </c>
      <c r="R805">
        <v>0</v>
      </c>
      <c r="S805" s="11">
        <v>45818.666666666664</v>
      </c>
      <c r="T805">
        <v>1686</v>
      </c>
    </row>
    <row r="806" spans="1:20">
      <c r="A806" s="11">
        <v>45818.520833333336</v>
      </c>
      <c r="B806" s="11">
        <v>45818.541666666664</v>
      </c>
      <c r="C806" s="10">
        <v>45818</v>
      </c>
      <c r="D806" s="7">
        <v>598.74490000000003</v>
      </c>
      <c r="E806" s="7">
        <v>1940551</v>
      </c>
      <c r="F806" s="7">
        <v>1940551</v>
      </c>
      <c r="G806" s="7">
        <v>20701976</v>
      </c>
      <c r="H806" s="7">
        <v>597.14409999999998</v>
      </c>
      <c r="I806" s="7">
        <v>596.25890000000004</v>
      </c>
      <c r="J806" s="7">
        <v>14</v>
      </c>
      <c r="K806" s="7">
        <v>3.345696E-3</v>
      </c>
      <c r="L806" s="7">
        <v>599.14196262040002</v>
      </c>
      <c r="M806" s="7">
        <v>594.26399898969999</v>
      </c>
      <c r="N806" s="7">
        <v>597.80229609440005</v>
      </c>
      <c r="O806" s="7">
        <v>599.14196262040002</v>
      </c>
      <c r="P806" s="7">
        <v>594.26399898969999</v>
      </c>
      <c r="Q806">
        <v>1</v>
      </c>
      <c r="R806">
        <v>0</v>
      </c>
      <c r="S806" s="11">
        <v>45818.666666666664</v>
      </c>
      <c r="T806">
        <v>1685</v>
      </c>
    </row>
    <row r="807" spans="1:20">
      <c r="A807" s="11">
        <v>45818.541666666664</v>
      </c>
      <c r="B807" s="11">
        <v>45818.5625</v>
      </c>
      <c r="C807" s="10">
        <v>45818</v>
      </c>
      <c r="D807" s="7">
        <v>598.48630000000003</v>
      </c>
      <c r="E807" s="7">
        <v>2482950</v>
      </c>
      <c r="F807" s="7">
        <v>2482950</v>
      </c>
      <c r="G807" s="7">
        <v>23184926</v>
      </c>
      <c r="H807" s="7">
        <v>597.14409999999998</v>
      </c>
      <c r="I807" s="7">
        <v>596.25890000000004</v>
      </c>
      <c r="J807" s="7">
        <v>14</v>
      </c>
      <c r="K807" s="7">
        <v>4.0045975999999997E-3</v>
      </c>
      <c r="L807" s="7">
        <v>599.5354218535</v>
      </c>
      <c r="M807" s="7">
        <v>593.87112301640002</v>
      </c>
      <c r="N807" s="7">
        <v>597.87554832290004</v>
      </c>
      <c r="O807" s="7">
        <v>599.5354218535</v>
      </c>
      <c r="P807" s="7">
        <v>593.87112301640002</v>
      </c>
      <c r="Q807">
        <v>1</v>
      </c>
      <c r="R807">
        <v>0</v>
      </c>
      <c r="S807" s="11">
        <v>45818.666666666664</v>
      </c>
      <c r="T807">
        <v>1684</v>
      </c>
    </row>
    <row r="808" spans="1:20">
      <c r="A808" s="11">
        <v>45818.5625</v>
      </c>
      <c r="B808" s="11">
        <v>45818.583333333336</v>
      </c>
      <c r="C808" s="10">
        <v>45818</v>
      </c>
      <c r="D808" s="7">
        <v>597.85</v>
      </c>
      <c r="E808" s="7">
        <v>2136922</v>
      </c>
      <c r="F808" s="7">
        <v>2136922</v>
      </c>
      <c r="G808" s="7">
        <v>25321848</v>
      </c>
      <c r="H808" s="7">
        <v>597.14409999999998</v>
      </c>
      <c r="I808" s="7">
        <v>596.25890000000004</v>
      </c>
      <c r="J808" s="7">
        <v>14</v>
      </c>
      <c r="K808" s="7">
        <v>3.8440280000000002E-3</v>
      </c>
      <c r="L808" s="7">
        <v>599.43953863310003</v>
      </c>
      <c r="M808" s="7">
        <v>593.96686410049995</v>
      </c>
      <c r="N808" s="7">
        <v>597.87339228860003</v>
      </c>
      <c r="O808" s="7">
        <v>599.43953863310003</v>
      </c>
      <c r="P808" s="7">
        <v>593.96686410049995</v>
      </c>
      <c r="Q808">
        <v>1</v>
      </c>
      <c r="R808">
        <v>0</v>
      </c>
      <c r="S808" s="11">
        <v>45818.666666666664</v>
      </c>
      <c r="T808">
        <v>1683</v>
      </c>
    </row>
    <row r="809" spans="1:20">
      <c r="A809" s="11">
        <v>45818.583333333336</v>
      </c>
      <c r="B809" s="11">
        <v>45818.604166666664</v>
      </c>
      <c r="C809" s="10">
        <v>45818</v>
      </c>
      <c r="D809" s="7">
        <v>597.47360000000003</v>
      </c>
      <c r="E809" s="7">
        <v>3909816</v>
      </c>
      <c r="F809" s="7">
        <v>3909816</v>
      </c>
      <c r="G809" s="7">
        <v>29231664</v>
      </c>
      <c r="H809" s="7">
        <v>597.14409999999998</v>
      </c>
      <c r="I809" s="7">
        <v>596.25890000000004</v>
      </c>
      <c r="J809" s="7">
        <v>14</v>
      </c>
      <c r="K809" s="7">
        <v>4.1955780999999998E-3</v>
      </c>
      <c r="L809" s="7">
        <v>599.64946471359997</v>
      </c>
      <c r="M809" s="7">
        <v>593.75724921209996</v>
      </c>
      <c r="N809" s="7">
        <v>597.81991896299996</v>
      </c>
      <c r="O809" s="7">
        <v>599.64946471359997</v>
      </c>
      <c r="P809" s="7">
        <v>593.75724921209996</v>
      </c>
      <c r="Q809">
        <v>1</v>
      </c>
      <c r="R809">
        <v>0</v>
      </c>
      <c r="S809" s="11">
        <v>45818.666666666664</v>
      </c>
      <c r="T809">
        <v>1682</v>
      </c>
    </row>
    <row r="810" spans="1:20">
      <c r="A810" s="11">
        <v>45818.604166666664</v>
      </c>
      <c r="B810" s="11">
        <v>45818.625</v>
      </c>
      <c r="C810" s="10">
        <v>45818</v>
      </c>
      <c r="D810" s="7">
        <v>599.02329999999995</v>
      </c>
      <c r="E810" s="7">
        <v>3710083</v>
      </c>
      <c r="F810" s="7">
        <v>3710083</v>
      </c>
      <c r="G810" s="7">
        <v>32941747</v>
      </c>
      <c r="H810" s="7">
        <v>597.14409999999998</v>
      </c>
      <c r="I810" s="7">
        <v>596.25890000000004</v>
      </c>
      <c r="J810" s="7">
        <v>14</v>
      </c>
      <c r="K810" s="7">
        <v>4.2947504999999997E-3</v>
      </c>
      <c r="L810" s="7">
        <v>599.70868490170005</v>
      </c>
      <c r="M810" s="7">
        <v>593.69811681140004</v>
      </c>
      <c r="N810" s="7">
        <v>597.95545043699997</v>
      </c>
      <c r="O810" s="7">
        <v>599.70868490170005</v>
      </c>
      <c r="P810" s="7">
        <v>593.69811681140004</v>
      </c>
      <c r="Q810">
        <v>1</v>
      </c>
      <c r="R810">
        <v>0</v>
      </c>
      <c r="S810" s="11">
        <v>45818.666666666664</v>
      </c>
      <c r="T810">
        <v>1681</v>
      </c>
    </row>
    <row r="811" spans="1:20">
      <c r="A811" s="11">
        <v>45818.625</v>
      </c>
      <c r="B811" s="11">
        <v>45818.645833333336</v>
      </c>
      <c r="C811" s="10">
        <v>45818</v>
      </c>
      <c r="D811" s="7">
        <v>599.21220000000005</v>
      </c>
      <c r="E811" s="7">
        <v>4323861</v>
      </c>
      <c r="F811" s="7">
        <v>4323861</v>
      </c>
      <c r="G811" s="7">
        <v>37265608</v>
      </c>
      <c r="H811" s="7">
        <v>597.14409999999998</v>
      </c>
      <c r="I811" s="7">
        <v>596.25890000000004</v>
      </c>
      <c r="J811" s="7">
        <v>14</v>
      </c>
      <c r="K811" s="7">
        <v>4.7780091000000002E-3</v>
      </c>
      <c r="L811" s="7">
        <v>599.99725993389995</v>
      </c>
      <c r="M811" s="7">
        <v>593.40996955970002</v>
      </c>
      <c r="N811" s="7">
        <v>598.10126881250005</v>
      </c>
      <c r="O811" s="7">
        <v>599.99725993389995</v>
      </c>
      <c r="P811" s="7">
        <v>593.40996955970002</v>
      </c>
      <c r="Q811">
        <v>1</v>
      </c>
      <c r="R811">
        <v>0</v>
      </c>
      <c r="S811" s="11">
        <v>45818.666666666664</v>
      </c>
      <c r="T811">
        <v>1680</v>
      </c>
    </row>
    <row r="812" spans="1:20">
      <c r="A812" s="11">
        <v>45818.645833333336</v>
      </c>
      <c r="B812" s="11">
        <v>45818.666666666664</v>
      </c>
      <c r="C812" s="10">
        <v>45818</v>
      </c>
      <c r="D812" s="7">
        <v>599.63980000000004</v>
      </c>
      <c r="E812" s="7">
        <v>9564715</v>
      </c>
      <c r="F812" s="7">
        <v>9564715</v>
      </c>
      <c r="G812" s="7">
        <v>46830323</v>
      </c>
      <c r="H812" s="7">
        <v>597.14409999999998</v>
      </c>
      <c r="I812" s="7">
        <v>596.25890000000004</v>
      </c>
      <c r="J812" s="7">
        <v>14</v>
      </c>
      <c r="K812" s="7">
        <v>4.3325684999999999E-3</v>
      </c>
      <c r="L812" s="7">
        <v>599.73126769340001</v>
      </c>
      <c r="M812" s="7">
        <v>593.67556749619996</v>
      </c>
      <c r="N812" s="7">
        <v>598.39924371680002</v>
      </c>
      <c r="O812" s="7">
        <v>599.73126769340001</v>
      </c>
      <c r="P812" s="7">
        <v>593.67556749619996</v>
      </c>
      <c r="Q812">
        <v>1</v>
      </c>
      <c r="R812">
        <v>1</v>
      </c>
      <c r="S812" s="11">
        <v>45818.666666666664</v>
      </c>
      <c r="T812">
        <v>1679</v>
      </c>
    </row>
    <row r="813" spans="1:20">
      <c r="A813" s="11">
        <v>45819.395833333336</v>
      </c>
      <c r="B813" s="11">
        <v>45819.416666666664</v>
      </c>
      <c r="C813" s="10">
        <v>45819</v>
      </c>
      <c r="D813" s="7">
        <v>600.18679999999995</v>
      </c>
      <c r="E813" s="7">
        <v>5430443</v>
      </c>
      <c r="F813" s="7">
        <v>5430443</v>
      </c>
      <c r="G813" s="7">
        <v>5430443</v>
      </c>
      <c r="H813" s="7">
        <v>600.18679999999995</v>
      </c>
      <c r="I813" s="7">
        <v>599.6395</v>
      </c>
      <c r="J813" s="7">
        <v>14</v>
      </c>
      <c r="K813" s="7">
        <v>0</v>
      </c>
      <c r="L813" s="7">
        <v>600.18679999999995</v>
      </c>
      <c r="M813" s="7">
        <v>599.6395</v>
      </c>
      <c r="N813" s="7">
        <v>600.18679999999995</v>
      </c>
      <c r="O813" s="7">
        <v>600.18679999999995</v>
      </c>
      <c r="P813" s="7">
        <v>599.6395</v>
      </c>
      <c r="Q813">
        <v>1</v>
      </c>
      <c r="R813">
        <v>0</v>
      </c>
      <c r="S813" s="11">
        <v>45819.666666666664</v>
      </c>
      <c r="T813">
        <v>1677</v>
      </c>
    </row>
    <row r="814" spans="1:20">
      <c r="A814" s="11">
        <v>45819.416666666664</v>
      </c>
      <c r="B814" s="11">
        <v>45819.4375</v>
      </c>
      <c r="C814" s="10">
        <v>45819</v>
      </c>
      <c r="D814" s="7">
        <v>601.31020000000001</v>
      </c>
      <c r="E814" s="7">
        <v>2864624</v>
      </c>
      <c r="F814" s="7">
        <v>2864624</v>
      </c>
      <c r="G814" s="7">
        <v>8295067</v>
      </c>
      <c r="H814" s="7">
        <v>600.18679999999995</v>
      </c>
      <c r="I814" s="7">
        <v>599.6395</v>
      </c>
      <c r="J814" s="7">
        <v>14</v>
      </c>
      <c r="K814" s="7">
        <v>2.0693917000000001E-3</v>
      </c>
      <c r="L814" s="7">
        <v>601.42882155300003</v>
      </c>
      <c r="M814" s="7">
        <v>598.39861102500004</v>
      </c>
      <c r="N814" s="7">
        <v>600.57475570930001</v>
      </c>
      <c r="O814" s="7">
        <v>601.42882155300003</v>
      </c>
      <c r="P814" s="7">
        <v>598.39861102500004</v>
      </c>
      <c r="Q814">
        <v>1</v>
      </c>
      <c r="R814">
        <v>0</v>
      </c>
      <c r="S814" s="11">
        <v>45819.666666666664</v>
      </c>
      <c r="T814">
        <v>1676</v>
      </c>
    </row>
    <row r="815" spans="1:20">
      <c r="A815" s="11">
        <v>45819.4375</v>
      </c>
      <c r="B815" s="11">
        <v>45819.458333333336</v>
      </c>
      <c r="C815" s="10">
        <v>45819</v>
      </c>
      <c r="D815" s="7">
        <v>601.24059999999997</v>
      </c>
      <c r="E815" s="7">
        <v>2290842</v>
      </c>
      <c r="F815" s="7">
        <v>2290842</v>
      </c>
      <c r="G815" s="7">
        <v>10585909</v>
      </c>
      <c r="H815" s="7">
        <v>600.18679999999995</v>
      </c>
      <c r="I815" s="7">
        <v>599.6395</v>
      </c>
      <c r="J815" s="7">
        <v>14</v>
      </c>
      <c r="K815" s="7">
        <v>2.1907323E-3</v>
      </c>
      <c r="L815" s="7">
        <v>601.50164860819996</v>
      </c>
      <c r="M815" s="7">
        <v>598.32585037959996</v>
      </c>
      <c r="N815" s="7">
        <v>600.71884764000004</v>
      </c>
      <c r="O815" s="7">
        <v>601.50164860819996</v>
      </c>
      <c r="P815" s="7">
        <v>598.32585037959996</v>
      </c>
      <c r="Q815">
        <v>1</v>
      </c>
      <c r="R815">
        <v>0</v>
      </c>
      <c r="S815" s="11">
        <v>45819.666666666664</v>
      </c>
      <c r="T815">
        <v>1675</v>
      </c>
    </row>
    <row r="816" spans="1:20">
      <c r="A816" s="11">
        <v>45819.458333333336</v>
      </c>
      <c r="B816" s="11">
        <v>45819.479166666664</v>
      </c>
      <c r="C816" s="10">
        <v>45819</v>
      </c>
      <c r="D816" s="7">
        <v>600.75340000000006</v>
      </c>
      <c r="E816" s="7">
        <v>2828840</v>
      </c>
      <c r="F816" s="7">
        <v>2828840</v>
      </c>
      <c r="G816" s="7">
        <v>13414749</v>
      </c>
      <c r="H816" s="7">
        <v>600.18679999999995</v>
      </c>
      <c r="I816" s="7">
        <v>599.6395</v>
      </c>
      <c r="J816" s="7">
        <v>14</v>
      </c>
      <c r="K816" s="7">
        <v>2.8199229000000002E-3</v>
      </c>
      <c r="L816" s="7">
        <v>601.87928047469995</v>
      </c>
      <c r="M816" s="7">
        <v>597.94856286909999</v>
      </c>
      <c r="N816" s="7">
        <v>600.72613388130003</v>
      </c>
      <c r="O816" s="7">
        <v>601.87928047469995</v>
      </c>
      <c r="P816" s="7">
        <v>597.94856286909999</v>
      </c>
      <c r="Q816">
        <v>1</v>
      </c>
      <c r="R816">
        <v>0</v>
      </c>
      <c r="S816" s="11">
        <v>45819.666666666664</v>
      </c>
      <c r="T816">
        <v>1674</v>
      </c>
    </row>
    <row r="817" spans="1:20">
      <c r="A817" s="11">
        <v>45819.479166666664</v>
      </c>
      <c r="B817" s="11">
        <v>45819.5</v>
      </c>
      <c r="C817" s="10">
        <v>45819</v>
      </c>
      <c r="D817" s="7">
        <v>600.14189999999996</v>
      </c>
      <c r="E817" s="7">
        <v>2188259</v>
      </c>
      <c r="F817" s="7">
        <v>2188259</v>
      </c>
      <c r="G817" s="7">
        <v>15603008</v>
      </c>
      <c r="H817" s="7">
        <v>600.18679999999995</v>
      </c>
      <c r="I817" s="7">
        <v>599.6395</v>
      </c>
      <c r="J817" s="7">
        <v>14</v>
      </c>
      <c r="K817" s="7">
        <v>3.2081627999999999E-3</v>
      </c>
      <c r="L817" s="7">
        <v>602.11229698329998</v>
      </c>
      <c r="M817" s="7">
        <v>597.71575884419997</v>
      </c>
      <c r="N817" s="7">
        <v>600.64419743359997</v>
      </c>
      <c r="O817" s="7">
        <v>602.11229698329998</v>
      </c>
      <c r="P817" s="7">
        <v>597.71575884419997</v>
      </c>
      <c r="Q817">
        <v>1</v>
      </c>
      <c r="R817">
        <v>0</v>
      </c>
      <c r="S817" s="11">
        <v>45819.666666666664</v>
      </c>
      <c r="T817">
        <v>1673</v>
      </c>
    </row>
    <row r="818" spans="1:20">
      <c r="A818" s="11">
        <v>45819.5</v>
      </c>
      <c r="B818" s="11">
        <v>45819.520833333336</v>
      </c>
      <c r="C818" s="10">
        <v>45819</v>
      </c>
      <c r="D818" s="7">
        <v>599.78390000000002</v>
      </c>
      <c r="E818" s="7">
        <v>3761081</v>
      </c>
      <c r="F818" s="7">
        <v>3761081</v>
      </c>
      <c r="G818" s="7">
        <v>19364089</v>
      </c>
      <c r="H818" s="7">
        <v>600.18679999999995</v>
      </c>
      <c r="I818" s="7">
        <v>599.6395</v>
      </c>
      <c r="J818" s="7">
        <v>14</v>
      </c>
      <c r="K818" s="7">
        <v>3.2937928000000001E-3</v>
      </c>
      <c r="L818" s="7">
        <v>602.16369097500001</v>
      </c>
      <c r="M818" s="7">
        <v>597.66441171780002</v>
      </c>
      <c r="N818" s="7">
        <v>600.4771021299</v>
      </c>
      <c r="O818" s="7">
        <v>602.16369097500001</v>
      </c>
      <c r="P818" s="7">
        <v>597.66441171780002</v>
      </c>
      <c r="Q818">
        <v>1</v>
      </c>
      <c r="R818">
        <v>0</v>
      </c>
      <c r="S818" s="11">
        <v>45819.666666666664</v>
      </c>
      <c r="T818">
        <v>1672</v>
      </c>
    </row>
    <row r="819" spans="1:20">
      <c r="A819" s="11">
        <v>45819.520833333336</v>
      </c>
      <c r="B819" s="11">
        <v>45819.541666666664</v>
      </c>
      <c r="C819" s="10">
        <v>45819</v>
      </c>
      <c r="D819" s="7">
        <v>599.96299999999997</v>
      </c>
      <c r="E819" s="7">
        <v>2187265</v>
      </c>
      <c r="F819" s="7">
        <v>2187265</v>
      </c>
      <c r="G819" s="7">
        <v>21551354</v>
      </c>
      <c r="H819" s="7">
        <v>600.18679999999995</v>
      </c>
      <c r="I819" s="7">
        <v>599.6395</v>
      </c>
      <c r="J819" s="7">
        <v>14</v>
      </c>
      <c r="K819" s="7">
        <v>3.4684936000000002E-3</v>
      </c>
      <c r="L819" s="7">
        <v>602.26854407389999</v>
      </c>
      <c r="M819" s="7">
        <v>597.5596542326</v>
      </c>
      <c r="N819" s="7">
        <v>600.42492547339998</v>
      </c>
      <c r="O819" s="7">
        <v>602.26854407389999</v>
      </c>
      <c r="P819" s="7">
        <v>597.5596542326</v>
      </c>
      <c r="Q819">
        <v>1</v>
      </c>
      <c r="R819">
        <v>0</v>
      </c>
      <c r="S819" s="11">
        <v>45819.666666666664</v>
      </c>
      <c r="T819">
        <v>1671</v>
      </c>
    </row>
    <row r="820" spans="1:20">
      <c r="A820" s="11">
        <v>45819.541666666664</v>
      </c>
      <c r="B820" s="11">
        <v>45819.5625</v>
      </c>
      <c r="C820" s="10">
        <v>45819</v>
      </c>
      <c r="D820" s="7">
        <v>600.90250000000003</v>
      </c>
      <c r="E820" s="7">
        <v>1930473</v>
      </c>
      <c r="F820" s="7">
        <v>1930473</v>
      </c>
      <c r="G820" s="7">
        <v>23481827</v>
      </c>
      <c r="H820" s="7">
        <v>600.18679999999995</v>
      </c>
      <c r="I820" s="7">
        <v>599.6395</v>
      </c>
      <c r="J820" s="7">
        <v>14</v>
      </c>
      <c r="K820" s="7">
        <v>4.0868405000000002E-3</v>
      </c>
      <c r="L820" s="7">
        <v>602.6396677509</v>
      </c>
      <c r="M820" s="7">
        <v>597.18886897699997</v>
      </c>
      <c r="N820" s="7">
        <v>600.46418752609998</v>
      </c>
      <c r="O820" s="7">
        <v>602.6396677509</v>
      </c>
      <c r="P820" s="7">
        <v>597.18886897699997</v>
      </c>
      <c r="Q820">
        <v>1</v>
      </c>
      <c r="R820">
        <v>0</v>
      </c>
      <c r="S820" s="11">
        <v>45819.666666666664</v>
      </c>
      <c r="T820">
        <v>1670</v>
      </c>
    </row>
    <row r="821" spans="1:20">
      <c r="A821" s="11">
        <v>45819.5625</v>
      </c>
      <c r="B821" s="11">
        <v>45819.583333333336</v>
      </c>
      <c r="C821" s="10">
        <v>45819</v>
      </c>
      <c r="D821" s="7">
        <v>599.00340000000006</v>
      </c>
      <c r="E821" s="7">
        <v>2256533</v>
      </c>
      <c r="F821" s="7">
        <v>2256533</v>
      </c>
      <c r="G821" s="7">
        <v>25738360</v>
      </c>
      <c r="H821" s="7">
        <v>600.18679999999995</v>
      </c>
      <c r="I821" s="7">
        <v>599.6395</v>
      </c>
      <c r="J821" s="7">
        <v>14</v>
      </c>
      <c r="K821" s="7">
        <v>3.9140086999999999E-3</v>
      </c>
      <c r="L821" s="7">
        <v>602.53593638580003</v>
      </c>
      <c r="M821" s="7">
        <v>597.2925057512</v>
      </c>
      <c r="N821" s="7">
        <v>600.33611739039998</v>
      </c>
      <c r="O821" s="7">
        <v>602.53593638580003</v>
      </c>
      <c r="P821" s="7">
        <v>597.2925057512</v>
      </c>
      <c r="Q821">
        <v>1</v>
      </c>
      <c r="R821">
        <v>0</v>
      </c>
      <c r="S821" s="11">
        <v>45819.666666666664</v>
      </c>
      <c r="T821">
        <v>1669</v>
      </c>
    </row>
    <row r="822" spans="1:20">
      <c r="A822" s="11">
        <v>45819.583333333336</v>
      </c>
      <c r="B822" s="11">
        <v>45819.604166666664</v>
      </c>
      <c r="C822" s="10">
        <v>45819</v>
      </c>
      <c r="D822" s="7">
        <v>597.15409999999997</v>
      </c>
      <c r="E822" s="7">
        <v>7218369</v>
      </c>
      <c r="F822" s="7">
        <v>7218369</v>
      </c>
      <c r="G822" s="7">
        <v>32956729</v>
      </c>
      <c r="H822" s="7">
        <v>600.18679999999995</v>
      </c>
      <c r="I822" s="7">
        <v>599.6395</v>
      </c>
      <c r="J822" s="7">
        <v>14</v>
      </c>
      <c r="K822" s="7">
        <v>3.9843659E-3</v>
      </c>
      <c r="L822" s="7">
        <v>602.5781638126</v>
      </c>
      <c r="M822" s="7">
        <v>597.25031683079999</v>
      </c>
      <c r="N822" s="7">
        <v>599.63917396229999</v>
      </c>
      <c r="O822" s="7">
        <v>602.5781638126</v>
      </c>
      <c r="P822" s="7">
        <v>597.25031683079999</v>
      </c>
      <c r="Q822">
        <v>1</v>
      </c>
      <c r="R822">
        <v>0</v>
      </c>
      <c r="S822" s="11">
        <v>45819.666666666664</v>
      </c>
      <c r="T822">
        <v>1668</v>
      </c>
    </row>
    <row r="823" spans="1:20">
      <c r="A823" s="11">
        <v>45819.604166666664</v>
      </c>
      <c r="B823" s="11">
        <v>45819.625</v>
      </c>
      <c r="C823" s="10">
        <v>45819</v>
      </c>
      <c r="D823" s="7">
        <v>597.31309999999996</v>
      </c>
      <c r="E823" s="7">
        <v>4733976</v>
      </c>
      <c r="F823" s="7">
        <v>4733976</v>
      </c>
      <c r="G823" s="7">
        <v>37690705</v>
      </c>
      <c r="H823" s="7">
        <v>600.18679999999995</v>
      </c>
      <c r="I823" s="7">
        <v>599.6395</v>
      </c>
      <c r="J823" s="7">
        <v>14</v>
      </c>
      <c r="K823" s="7">
        <v>4.2803603000000001E-3</v>
      </c>
      <c r="L823" s="7">
        <v>602.75581572349995</v>
      </c>
      <c r="M823" s="7">
        <v>597.07282691770001</v>
      </c>
      <c r="N823" s="7">
        <v>599.34701762530005</v>
      </c>
      <c r="O823" s="7">
        <v>602.75581572349995</v>
      </c>
      <c r="P823" s="7">
        <v>597.07282691770001</v>
      </c>
      <c r="Q823">
        <v>1</v>
      </c>
      <c r="R823">
        <v>0</v>
      </c>
      <c r="S823" s="11">
        <v>45819.666666666664</v>
      </c>
      <c r="T823">
        <v>1667</v>
      </c>
    </row>
    <row r="824" spans="1:20">
      <c r="A824" s="11">
        <v>45819.625</v>
      </c>
      <c r="B824" s="11">
        <v>45819.645833333336</v>
      </c>
      <c r="C824" s="10">
        <v>45819</v>
      </c>
      <c r="D824" s="7">
        <v>596.99490000000003</v>
      </c>
      <c r="E824" s="7">
        <v>3898160</v>
      </c>
      <c r="F824" s="7">
        <v>3898160</v>
      </c>
      <c r="G824" s="7">
        <v>41588865</v>
      </c>
      <c r="H824" s="7">
        <v>600.18679999999995</v>
      </c>
      <c r="I824" s="7">
        <v>599.6395</v>
      </c>
      <c r="J824" s="7">
        <v>14</v>
      </c>
      <c r="K824" s="7">
        <v>4.8567054000000004E-3</v>
      </c>
      <c r="L824" s="7">
        <v>603.10173044639998</v>
      </c>
      <c r="M824" s="7">
        <v>596.72722762839999</v>
      </c>
      <c r="N824" s="7">
        <v>599.12655162210001</v>
      </c>
      <c r="O824" s="7">
        <v>603.10173044639998</v>
      </c>
      <c r="P824" s="7">
        <v>596.72722762839999</v>
      </c>
      <c r="Q824">
        <v>1</v>
      </c>
      <c r="R824">
        <v>0</v>
      </c>
      <c r="S824" s="11">
        <v>45819.666666666664</v>
      </c>
      <c r="T824">
        <v>1666</v>
      </c>
    </row>
    <row r="825" spans="1:20">
      <c r="A825" s="11">
        <v>45819.645833333336</v>
      </c>
      <c r="B825" s="11">
        <v>45819.666666666664</v>
      </c>
      <c r="C825" s="10">
        <v>45819</v>
      </c>
      <c r="D825" s="7">
        <v>597.92960000000005</v>
      </c>
      <c r="E825" s="7">
        <v>8651224</v>
      </c>
      <c r="F825" s="7">
        <v>8651224</v>
      </c>
      <c r="G825" s="7">
        <v>50240089</v>
      </c>
      <c r="H825" s="7">
        <v>600.18679999999995</v>
      </c>
      <c r="I825" s="7">
        <v>599.6395</v>
      </c>
      <c r="J825" s="7">
        <v>14</v>
      </c>
      <c r="K825" s="7">
        <v>4.6274853999999999E-3</v>
      </c>
      <c r="L825" s="7">
        <v>602.96415563029996</v>
      </c>
      <c r="M825" s="7">
        <v>596.86467699239995</v>
      </c>
      <c r="N825" s="7">
        <v>598.92043939569999</v>
      </c>
      <c r="O825" s="7">
        <v>602.96415563029996</v>
      </c>
      <c r="P825" s="7">
        <v>596.86467699239995</v>
      </c>
      <c r="Q825">
        <v>1</v>
      </c>
      <c r="R825">
        <v>1</v>
      </c>
      <c r="S825" s="11">
        <v>45819.666666666664</v>
      </c>
      <c r="T825">
        <v>1665</v>
      </c>
    </row>
    <row r="826" spans="1:20">
      <c r="A826" s="11">
        <v>45820.395833333336</v>
      </c>
      <c r="B826" s="11">
        <v>45820.416666666664</v>
      </c>
      <c r="C826" s="10">
        <v>45820</v>
      </c>
      <c r="D826" s="7">
        <v>597.3827</v>
      </c>
      <c r="E826" s="7">
        <v>4561080</v>
      </c>
      <c r="F826" s="7">
        <v>4561080</v>
      </c>
      <c r="G826" s="7">
        <v>4561080</v>
      </c>
      <c r="H826" s="7">
        <v>597.3827</v>
      </c>
      <c r="I826" s="7">
        <v>597.92930000000001</v>
      </c>
      <c r="J826" s="7">
        <v>14</v>
      </c>
      <c r="K826" s="7">
        <v>0</v>
      </c>
      <c r="L826" s="7">
        <v>597.92930000000001</v>
      </c>
      <c r="M826" s="7">
        <v>597.3827</v>
      </c>
      <c r="N826" s="7">
        <v>597.3827</v>
      </c>
      <c r="O826" s="7">
        <v>597.92930000000001</v>
      </c>
      <c r="P826" s="7">
        <v>597.3827</v>
      </c>
      <c r="Q826">
        <v>1</v>
      </c>
      <c r="R826">
        <v>0</v>
      </c>
      <c r="S826" s="11">
        <v>45820.666666666664</v>
      </c>
      <c r="T826">
        <v>1663</v>
      </c>
    </row>
    <row r="827" spans="1:20">
      <c r="A827" s="11">
        <v>45820.416666666664</v>
      </c>
      <c r="B827" s="11">
        <v>45820.4375</v>
      </c>
      <c r="C827" s="10">
        <v>45820</v>
      </c>
      <c r="D827" s="7">
        <v>599.0829</v>
      </c>
      <c r="E827" s="7">
        <v>4042483</v>
      </c>
      <c r="F827" s="7">
        <v>4042483</v>
      </c>
      <c r="G827" s="7">
        <v>8603563</v>
      </c>
      <c r="H827" s="7">
        <v>597.3827</v>
      </c>
      <c r="I827" s="7">
        <v>597.92930000000001</v>
      </c>
      <c r="J827" s="7">
        <v>14</v>
      </c>
      <c r="K827" s="7">
        <v>2.1630528000000002E-3</v>
      </c>
      <c r="L827" s="7">
        <v>599.22265262880001</v>
      </c>
      <c r="M827" s="7">
        <v>596.0905296958</v>
      </c>
      <c r="N827" s="7">
        <v>598.18155851899996</v>
      </c>
      <c r="O827" s="7">
        <v>599.22265262880001</v>
      </c>
      <c r="P827" s="7">
        <v>596.0905296958</v>
      </c>
      <c r="Q827">
        <v>1</v>
      </c>
      <c r="R827">
        <v>0</v>
      </c>
      <c r="S827" s="11">
        <v>45820.666666666664</v>
      </c>
      <c r="T827">
        <v>1662</v>
      </c>
    </row>
    <row r="828" spans="1:20">
      <c r="A828" s="11">
        <v>45820.4375</v>
      </c>
      <c r="B828" s="11">
        <v>45820.458333333336</v>
      </c>
      <c r="C828" s="10">
        <v>45820</v>
      </c>
      <c r="D828" s="7">
        <v>599.26199999999994</v>
      </c>
      <c r="E828" s="7">
        <v>3056427</v>
      </c>
      <c r="F828" s="7">
        <v>3056427</v>
      </c>
      <c r="G828" s="7">
        <v>11659990</v>
      </c>
      <c r="H828" s="7">
        <v>597.3827</v>
      </c>
      <c r="I828" s="7">
        <v>597.92930000000001</v>
      </c>
      <c r="J828" s="7">
        <v>14</v>
      </c>
      <c r="K828" s="7">
        <v>2.2313992999999999E-3</v>
      </c>
      <c r="L828" s="7">
        <v>599.26351900309999</v>
      </c>
      <c r="M828" s="7">
        <v>596.04970067969998</v>
      </c>
      <c r="N828" s="7">
        <v>598.46477407190002</v>
      </c>
      <c r="O828" s="7">
        <v>599.26351900309999</v>
      </c>
      <c r="P828" s="7">
        <v>596.04970067969998</v>
      </c>
      <c r="Q828">
        <v>1</v>
      </c>
      <c r="R828">
        <v>0</v>
      </c>
      <c r="S828" s="11">
        <v>45820.666666666664</v>
      </c>
      <c r="T828">
        <v>1661</v>
      </c>
    </row>
    <row r="829" spans="1:20">
      <c r="A829" s="11">
        <v>45820.458333333336</v>
      </c>
      <c r="B829" s="11">
        <v>45820.479166666664</v>
      </c>
      <c r="C829" s="10">
        <v>45820</v>
      </c>
      <c r="D829" s="7">
        <v>598.97360000000003</v>
      </c>
      <c r="E829" s="7">
        <v>5064129</v>
      </c>
      <c r="F829" s="7">
        <v>5064129</v>
      </c>
      <c r="G829" s="7">
        <v>16724119</v>
      </c>
      <c r="H829" s="7">
        <v>597.3827</v>
      </c>
      <c r="I829" s="7">
        <v>597.92930000000001</v>
      </c>
      <c r="J829" s="7">
        <v>14</v>
      </c>
      <c r="K829" s="7">
        <v>2.6706422E-3</v>
      </c>
      <c r="L829" s="7">
        <v>599.52615522170004</v>
      </c>
      <c r="M829" s="7">
        <v>595.78730455139998</v>
      </c>
      <c r="N829" s="7">
        <v>598.61884856389997</v>
      </c>
      <c r="O829" s="7">
        <v>599.52615522170004</v>
      </c>
      <c r="P829" s="7">
        <v>595.78730455139998</v>
      </c>
      <c r="Q829">
        <v>1</v>
      </c>
      <c r="R829">
        <v>0</v>
      </c>
      <c r="S829" s="11">
        <v>45820.666666666664</v>
      </c>
      <c r="T829">
        <v>1660</v>
      </c>
    </row>
    <row r="830" spans="1:20">
      <c r="A830" s="11">
        <v>45820.479166666664</v>
      </c>
      <c r="B830" s="11">
        <v>45820.5</v>
      </c>
      <c r="C830" s="10">
        <v>45820</v>
      </c>
      <c r="D830" s="7">
        <v>599.06299999999999</v>
      </c>
      <c r="E830" s="7">
        <v>2341692</v>
      </c>
      <c r="F830" s="7">
        <v>2341692</v>
      </c>
      <c r="G830" s="7">
        <v>19065811</v>
      </c>
      <c r="H830" s="7">
        <v>597.3827</v>
      </c>
      <c r="I830" s="7">
        <v>597.92930000000001</v>
      </c>
      <c r="J830" s="7">
        <v>14</v>
      </c>
      <c r="K830" s="7">
        <v>3.0004228999999999E-3</v>
      </c>
      <c r="L830" s="7">
        <v>599.72334074740002</v>
      </c>
      <c r="M830" s="7">
        <v>595.59029928370001</v>
      </c>
      <c r="N830" s="7">
        <v>598.67339992100005</v>
      </c>
      <c r="O830" s="7">
        <v>599.72334074740002</v>
      </c>
      <c r="P830" s="7">
        <v>595.59029928370001</v>
      </c>
      <c r="Q830">
        <v>1</v>
      </c>
      <c r="R830">
        <v>0</v>
      </c>
      <c r="S830" s="11">
        <v>45820.666666666664</v>
      </c>
      <c r="T830">
        <v>1659</v>
      </c>
    </row>
    <row r="831" spans="1:20">
      <c r="A831" s="11">
        <v>45820.5</v>
      </c>
      <c r="B831" s="11">
        <v>45820.520833333336</v>
      </c>
      <c r="C831" s="10">
        <v>45820</v>
      </c>
      <c r="D831" s="7">
        <v>599.5403</v>
      </c>
      <c r="E831" s="7">
        <v>3218014</v>
      </c>
      <c r="F831" s="7">
        <v>3218014</v>
      </c>
      <c r="G831" s="7">
        <v>22283825</v>
      </c>
      <c r="H831" s="7">
        <v>597.3827</v>
      </c>
      <c r="I831" s="7">
        <v>597.92930000000001</v>
      </c>
      <c r="J831" s="7">
        <v>14</v>
      </c>
      <c r="K831" s="7">
        <v>3.1262356E-3</v>
      </c>
      <c r="L831" s="7">
        <v>599.79856785430002</v>
      </c>
      <c r="M831" s="7">
        <v>595.51514094610002</v>
      </c>
      <c r="N831" s="7">
        <v>598.79858922719995</v>
      </c>
      <c r="O831" s="7">
        <v>599.79856785430002</v>
      </c>
      <c r="P831" s="7">
        <v>595.51514094610002</v>
      </c>
      <c r="Q831">
        <v>1</v>
      </c>
      <c r="R831">
        <v>0</v>
      </c>
      <c r="S831" s="11">
        <v>45820.666666666664</v>
      </c>
      <c r="T831">
        <v>1658</v>
      </c>
    </row>
    <row r="832" spans="1:20">
      <c r="A832" s="11">
        <v>45820.520833333336</v>
      </c>
      <c r="B832" s="11">
        <v>45820.541666666664</v>
      </c>
      <c r="C832" s="10">
        <v>45820</v>
      </c>
      <c r="D832" s="7">
        <v>599.01340000000005</v>
      </c>
      <c r="E832" s="7">
        <v>2818359</v>
      </c>
      <c r="F832" s="7">
        <v>2818359</v>
      </c>
      <c r="G832" s="7">
        <v>25102184</v>
      </c>
      <c r="H832" s="7">
        <v>597.3827</v>
      </c>
      <c r="I832" s="7">
        <v>597.92930000000001</v>
      </c>
      <c r="J832" s="7">
        <v>14</v>
      </c>
      <c r="K832" s="7">
        <v>3.2893015999999999E-3</v>
      </c>
      <c r="L832" s="7">
        <v>599.89606983099998</v>
      </c>
      <c r="M832" s="7">
        <v>595.41772810120005</v>
      </c>
      <c r="N832" s="7">
        <v>598.82270720329996</v>
      </c>
      <c r="O832" s="7">
        <v>599.89606983099998</v>
      </c>
      <c r="P832" s="7">
        <v>595.41772810120005</v>
      </c>
      <c r="Q832">
        <v>1</v>
      </c>
      <c r="R832">
        <v>0</v>
      </c>
      <c r="S832" s="11">
        <v>45820.666666666664</v>
      </c>
      <c r="T832">
        <v>1657</v>
      </c>
    </row>
    <row r="833" spans="1:20">
      <c r="A833" s="11">
        <v>45820.541666666664</v>
      </c>
      <c r="B833" s="11">
        <v>45820.5625</v>
      </c>
      <c r="C833" s="10">
        <v>45820</v>
      </c>
      <c r="D833" s="7">
        <v>599.53030000000001</v>
      </c>
      <c r="E833" s="7">
        <v>1844989</v>
      </c>
      <c r="F833" s="7">
        <v>1844989</v>
      </c>
      <c r="G833" s="7">
        <v>26947173</v>
      </c>
      <c r="H833" s="7">
        <v>597.3827</v>
      </c>
      <c r="I833" s="7">
        <v>597.92930000000001</v>
      </c>
      <c r="J833" s="7">
        <v>14</v>
      </c>
      <c r="K833" s="7">
        <v>3.5037255999999998E-3</v>
      </c>
      <c r="L833" s="7">
        <v>600.02428017700004</v>
      </c>
      <c r="M833" s="7">
        <v>595.28963495940002</v>
      </c>
      <c r="N833" s="7">
        <v>598.87115387810002</v>
      </c>
      <c r="O833" s="7">
        <v>600.02428017700004</v>
      </c>
      <c r="P833" s="7">
        <v>595.28963495940002</v>
      </c>
      <c r="Q833">
        <v>1</v>
      </c>
      <c r="R833">
        <v>0</v>
      </c>
      <c r="S833" s="11">
        <v>45820.666666666664</v>
      </c>
      <c r="T833">
        <v>1656</v>
      </c>
    </row>
    <row r="834" spans="1:20">
      <c r="A834" s="11">
        <v>45820.5625</v>
      </c>
      <c r="B834" s="11">
        <v>45820.583333333336</v>
      </c>
      <c r="C834" s="10">
        <v>45820</v>
      </c>
      <c r="D834" s="7">
        <v>599.68949999999995</v>
      </c>
      <c r="E834" s="7">
        <v>1627387</v>
      </c>
      <c r="F834" s="7">
        <v>1627387</v>
      </c>
      <c r="G834" s="7">
        <v>28574560</v>
      </c>
      <c r="H834" s="7">
        <v>597.3827</v>
      </c>
      <c r="I834" s="7">
        <v>597.92930000000001</v>
      </c>
      <c r="J834" s="7">
        <v>14</v>
      </c>
      <c r="K834" s="7">
        <v>3.6093186E-3</v>
      </c>
      <c r="L834" s="7">
        <v>600.08741735909996</v>
      </c>
      <c r="M834" s="7">
        <v>595.22655549440003</v>
      </c>
      <c r="N834" s="7">
        <v>598.91776057439995</v>
      </c>
      <c r="O834" s="7">
        <v>600.08741735909996</v>
      </c>
      <c r="P834" s="7">
        <v>595.22655549440003</v>
      </c>
      <c r="Q834">
        <v>1</v>
      </c>
      <c r="R834">
        <v>0</v>
      </c>
      <c r="S834" s="11">
        <v>45820.666666666664</v>
      </c>
      <c r="T834">
        <v>1655</v>
      </c>
    </row>
    <row r="835" spans="1:20">
      <c r="A835" s="11">
        <v>45820.583333333336</v>
      </c>
      <c r="B835" s="11">
        <v>45820.604166666664</v>
      </c>
      <c r="C835" s="10">
        <v>45820</v>
      </c>
      <c r="D835" s="7">
        <v>599.38120000000004</v>
      </c>
      <c r="E835" s="7">
        <v>2181917</v>
      </c>
      <c r="F835" s="7">
        <v>2181917</v>
      </c>
      <c r="G835" s="7">
        <v>30756477</v>
      </c>
      <c r="H835" s="7">
        <v>597.3827</v>
      </c>
      <c r="I835" s="7">
        <v>597.92930000000001</v>
      </c>
      <c r="J835" s="7">
        <v>14</v>
      </c>
      <c r="K835" s="7">
        <v>3.7653854000000001E-3</v>
      </c>
      <c r="L835" s="7">
        <v>600.18073428210005</v>
      </c>
      <c r="M835" s="7">
        <v>595.13332387759999</v>
      </c>
      <c r="N835" s="7">
        <v>598.95063775870005</v>
      </c>
      <c r="O835" s="7">
        <v>600.18073428210005</v>
      </c>
      <c r="P835" s="7">
        <v>595.13332387759999</v>
      </c>
      <c r="Q835">
        <v>1</v>
      </c>
      <c r="R835">
        <v>0</v>
      </c>
      <c r="S835" s="11">
        <v>45820.666666666664</v>
      </c>
      <c r="T835">
        <v>1654</v>
      </c>
    </row>
    <row r="836" spans="1:20">
      <c r="A836" s="11">
        <v>45820.604166666664</v>
      </c>
      <c r="B836" s="11">
        <v>45820.625</v>
      </c>
      <c r="C836" s="10">
        <v>45820</v>
      </c>
      <c r="D836" s="7">
        <v>599.86839999999995</v>
      </c>
      <c r="E836" s="7">
        <v>2718653</v>
      </c>
      <c r="F836" s="7">
        <v>2718653</v>
      </c>
      <c r="G836" s="7">
        <v>33475130</v>
      </c>
      <c r="H836" s="7">
        <v>597.3827</v>
      </c>
      <c r="I836" s="7">
        <v>597.92930000000001</v>
      </c>
      <c r="J836" s="7">
        <v>14</v>
      </c>
      <c r="K836" s="7">
        <v>3.9032223000000001E-3</v>
      </c>
      <c r="L836" s="7">
        <v>600.26315095309997</v>
      </c>
      <c r="M836" s="7">
        <v>595.05098254819995</v>
      </c>
      <c r="N836" s="7">
        <v>599.02517300529996</v>
      </c>
      <c r="O836" s="7">
        <v>600.26315095309997</v>
      </c>
      <c r="P836" s="7">
        <v>595.05098254819995</v>
      </c>
      <c r="Q836">
        <v>1</v>
      </c>
      <c r="R836">
        <v>0</v>
      </c>
      <c r="S836" s="11">
        <v>45820.666666666664</v>
      </c>
      <c r="T836">
        <v>1653</v>
      </c>
    </row>
    <row r="837" spans="1:20">
      <c r="A837" s="11">
        <v>45820.625</v>
      </c>
      <c r="B837" s="11">
        <v>45820.645833333336</v>
      </c>
      <c r="C837" s="10">
        <v>45820</v>
      </c>
      <c r="D837" s="7">
        <v>599.81870000000004</v>
      </c>
      <c r="E837" s="7">
        <v>2744548</v>
      </c>
      <c r="F837" s="7">
        <v>2744548</v>
      </c>
      <c r="G837" s="7">
        <v>36219678</v>
      </c>
      <c r="H837" s="7">
        <v>597.3827</v>
      </c>
      <c r="I837" s="7">
        <v>597.92930000000001</v>
      </c>
      <c r="J837" s="7">
        <v>14</v>
      </c>
      <c r="K837" s="7">
        <v>4.3067760999999996E-3</v>
      </c>
      <c r="L837" s="7">
        <v>600.5044475917</v>
      </c>
      <c r="M837" s="7">
        <v>594.80990649199998</v>
      </c>
      <c r="N837" s="7">
        <v>599.08530255489995</v>
      </c>
      <c r="O837" s="7">
        <v>600.5044475917</v>
      </c>
      <c r="P837" s="7">
        <v>594.80990649199998</v>
      </c>
      <c r="Q837">
        <v>1</v>
      </c>
      <c r="R837">
        <v>0</v>
      </c>
      <c r="S837" s="11">
        <v>45820.666666666664</v>
      </c>
      <c r="T837">
        <v>1652</v>
      </c>
    </row>
    <row r="838" spans="1:20">
      <c r="A838" s="11">
        <v>45820.645833333336</v>
      </c>
      <c r="B838" s="11">
        <v>45820.666666666664</v>
      </c>
      <c r="C838" s="10">
        <v>45820</v>
      </c>
      <c r="D838" s="7">
        <v>600.30589999999995</v>
      </c>
      <c r="E838" s="7">
        <v>8050267</v>
      </c>
      <c r="F838" s="7">
        <v>8050267</v>
      </c>
      <c r="G838" s="7">
        <v>44269945</v>
      </c>
      <c r="H838" s="7">
        <v>597.3827</v>
      </c>
      <c r="I838" s="7">
        <v>597.92930000000001</v>
      </c>
      <c r="J838" s="7">
        <v>14</v>
      </c>
      <c r="K838" s="7">
        <v>4.0329084999999997E-3</v>
      </c>
      <c r="L838" s="7">
        <v>600.34069417410001</v>
      </c>
      <c r="M838" s="7">
        <v>594.97351021370002</v>
      </c>
      <c r="N838" s="7">
        <v>599.3072620657</v>
      </c>
      <c r="O838" s="7">
        <v>600.34069417410001</v>
      </c>
      <c r="P838" s="7">
        <v>594.97351021370002</v>
      </c>
      <c r="Q838">
        <v>1</v>
      </c>
      <c r="R838">
        <v>1</v>
      </c>
      <c r="S838" s="11">
        <v>45820.666666666664</v>
      </c>
      <c r="T838">
        <v>1651</v>
      </c>
    </row>
    <row r="839" spans="1:20">
      <c r="A839" s="11">
        <v>45821.395833333336</v>
      </c>
      <c r="B839" s="11">
        <v>45821.416666666664</v>
      </c>
      <c r="C839" s="10">
        <v>45821</v>
      </c>
      <c r="D839" s="7">
        <v>595.36429999999996</v>
      </c>
      <c r="E839" s="7">
        <v>6980852</v>
      </c>
      <c r="F839" s="7">
        <v>6980852</v>
      </c>
      <c r="G839" s="7">
        <v>6980852</v>
      </c>
      <c r="H839" s="7">
        <v>595.36429999999996</v>
      </c>
      <c r="I839" s="7">
        <v>600.3057</v>
      </c>
      <c r="J839" s="7">
        <v>14</v>
      </c>
      <c r="K839" s="7">
        <v>0</v>
      </c>
      <c r="L839" s="7">
        <v>600.3057</v>
      </c>
      <c r="M839" s="7">
        <v>595.36429999999996</v>
      </c>
      <c r="N839" s="7">
        <v>595.36429999999996</v>
      </c>
      <c r="O839" s="7">
        <v>600.3057</v>
      </c>
      <c r="P839" s="7">
        <v>595.36429999999996</v>
      </c>
      <c r="Q839">
        <v>1</v>
      </c>
      <c r="R839">
        <v>0</v>
      </c>
      <c r="S839" s="11">
        <v>45821.666666666664</v>
      </c>
      <c r="T839">
        <v>1649</v>
      </c>
    </row>
    <row r="840" spans="1:20">
      <c r="A840" s="11">
        <v>45821.416666666664</v>
      </c>
      <c r="B840" s="11">
        <v>45821.4375</v>
      </c>
      <c r="C840" s="10">
        <v>45821</v>
      </c>
      <c r="D840" s="7">
        <v>593.44529999999997</v>
      </c>
      <c r="E840" s="7">
        <v>4440482</v>
      </c>
      <c r="F840" s="7">
        <v>4440482</v>
      </c>
      <c r="G840" s="7">
        <v>11421334</v>
      </c>
      <c r="H840" s="7">
        <v>595.36429999999996</v>
      </c>
      <c r="I840" s="7">
        <v>600.3057</v>
      </c>
      <c r="J840" s="7">
        <v>14</v>
      </c>
      <c r="K840" s="7">
        <v>2.1842127999999999E-3</v>
      </c>
      <c r="L840" s="7">
        <v>601.6168954044</v>
      </c>
      <c r="M840" s="7">
        <v>594.06389766480004</v>
      </c>
      <c r="N840" s="7">
        <v>594.61821508929995</v>
      </c>
      <c r="O840" s="7">
        <v>601.6168954044</v>
      </c>
      <c r="P840" s="7">
        <v>594.06389766480004</v>
      </c>
      <c r="Q840">
        <v>1</v>
      </c>
      <c r="R840">
        <v>0</v>
      </c>
      <c r="S840" s="11">
        <v>45821.666666666664</v>
      </c>
      <c r="T840">
        <v>1648</v>
      </c>
    </row>
    <row r="841" spans="1:20">
      <c r="A841" s="11">
        <v>45821.4375</v>
      </c>
      <c r="B841" s="11">
        <v>45821.458333333336</v>
      </c>
      <c r="C841" s="10">
        <v>45821</v>
      </c>
      <c r="D841" s="7">
        <v>595.78689999999995</v>
      </c>
      <c r="E841" s="7">
        <v>4299825</v>
      </c>
      <c r="F841" s="7">
        <v>4299825</v>
      </c>
      <c r="G841" s="7">
        <v>15721159</v>
      </c>
      <c r="H841" s="7">
        <v>595.36429999999996</v>
      </c>
      <c r="I841" s="7">
        <v>600.3057</v>
      </c>
      <c r="J841" s="7">
        <v>14</v>
      </c>
      <c r="K841" s="7">
        <v>2.2996434999999998E-3</v>
      </c>
      <c r="L841" s="7">
        <v>601.68618907330006</v>
      </c>
      <c r="M841" s="7">
        <v>593.99517438479995</v>
      </c>
      <c r="N841" s="7">
        <v>594.93785695509996</v>
      </c>
      <c r="O841" s="7">
        <v>601.68618907330006</v>
      </c>
      <c r="P841" s="7">
        <v>593.99517438479995</v>
      </c>
      <c r="Q841">
        <v>1</v>
      </c>
      <c r="R841">
        <v>0</v>
      </c>
      <c r="S841" s="11">
        <v>45821.666666666664</v>
      </c>
      <c r="T841">
        <v>1647</v>
      </c>
    </row>
    <row r="842" spans="1:20">
      <c r="A842" s="11">
        <v>45821.458333333336</v>
      </c>
      <c r="B842" s="11">
        <v>45821.479166666664</v>
      </c>
      <c r="C842" s="10">
        <v>45821</v>
      </c>
      <c r="D842" s="7">
        <v>597.15409999999997</v>
      </c>
      <c r="E842" s="7">
        <v>2937909</v>
      </c>
      <c r="F842" s="7">
        <v>2937909</v>
      </c>
      <c r="G842" s="7">
        <v>18659068</v>
      </c>
      <c r="H842" s="7">
        <v>595.36429999999996</v>
      </c>
      <c r="I842" s="7">
        <v>600.3057</v>
      </c>
      <c r="J842" s="7">
        <v>14</v>
      </c>
      <c r="K842" s="7">
        <v>2.6358897E-3</v>
      </c>
      <c r="L842" s="7">
        <v>601.88803961730002</v>
      </c>
      <c r="M842" s="7">
        <v>593.79498536810001</v>
      </c>
      <c r="N842" s="7">
        <v>595.28680902430006</v>
      </c>
      <c r="O842" s="7">
        <v>601.88803961730002</v>
      </c>
      <c r="P842" s="7">
        <v>593.79498536810001</v>
      </c>
      <c r="Q842">
        <v>1</v>
      </c>
      <c r="R842">
        <v>0</v>
      </c>
      <c r="S842" s="11">
        <v>45821.666666666664</v>
      </c>
      <c r="T842">
        <v>1646</v>
      </c>
    </row>
    <row r="843" spans="1:20">
      <c r="A843" s="11">
        <v>45821.479166666664</v>
      </c>
      <c r="B843" s="11">
        <v>45821.5</v>
      </c>
      <c r="C843" s="10">
        <v>45821</v>
      </c>
      <c r="D843" s="7">
        <v>597.81020000000001</v>
      </c>
      <c r="E843" s="7">
        <v>3377641</v>
      </c>
      <c r="F843" s="7">
        <v>3377641</v>
      </c>
      <c r="G843" s="7">
        <v>22036709</v>
      </c>
      <c r="H843" s="7">
        <v>595.36429999999996</v>
      </c>
      <c r="I843" s="7">
        <v>600.3057</v>
      </c>
      <c r="J843" s="7">
        <v>14</v>
      </c>
      <c r="K843" s="7">
        <v>3.1964420999999999E-3</v>
      </c>
      <c r="L843" s="7">
        <v>602.2245424102</v>
      </c>
      <c r="M843" s="7">
        <v>593.46125248869998</v>
      </c>
      <c r="N843" s="7">
        <v>595.6735777028</v>
      </c>
      <c r="O843" s="7">
        <v>602.2245424102</v>
      </c>
      <c r="P843" s="7">
        <v>593.46125248869998</v>
      </c>
      <c r="Q843">
        <v>1</v>
      </c>
      <c r="R843">
        <v>0</v>
      </c>
      <c r="S843" s="11">
        <v>45821.666666666664</v>
      </c>
      <c r="T843">
        <v>1645</v>
      </c>
    </row>
    <row r="844" spans="1:20">
      <c r="A844" s="11">
        <v>45821.5</v>
      </c>
      <c r="B844" s="11">
        <v>45821.520833333336</v>
      </c>
      <c r="C844" s="10">
        <v>45821</v>
      </c>
      <c r="D844" s="7">
        <v>597.47320000000002</v>
      </c>
      <c r="E844" s="7">
        <v>1997409</v>
      </c>
      <c r="F844" s="7">
        <v>1997409</v>
      </c>
      <c r="G844" s="7">
        <v>24034118</v>
      </c>
      <c r="H844" s="7">
        <v>595.36429999999996</v>
      </c>
      <c r="I844" s="7">
        <v>600.3057</v>
      </c>
      <c r="J844" s="7">
        <v>14</v>
      </c>
      <c r="K844" s="7">
        <v>3.3830010000000001E-3</v>
      </c>
      <c r="L844" s="7">
        <v>602.33653478990004</v>
      </c>
      <c r="M844" s="7">
        <v>593.3501819713</v>
      </c>
      <c r="N844" s="7">
        <v>595.82313932900001</v>
      </c>
      <c r="O844" s="7">
        <v>602.33653478990004</v>
      </c>
      <c r="P844" s="7">
        <v>593.3501819713</v>
      </c>
      <c r="Q844">
        <v>1</v>
      </c>
      <c r="R844">
        <v>0</v>
      </c>
      <c r="S844" s="11">
        <v>45821.666666666664</v>
      </c>
      <c r="T844">
        <v>1644</v>
      </c>
    </row>
    <row r="845" spans="1:20">
      <c r="A845" s="11">
        <v>45821.520833333336</v>
      </c>
      <c r="B845" s="11">
        <v>45821.541666666664</v>
      </c>
      <c r="C845" s="10">
        <v>45821</v>
      </c>
      <c r="D845" s="7">
        <v>597.5616</v>
      </c>
      <c r="E845" s="7">
        <v>2092409</v>
      </c>
      <c r="F845" s="7">
        <v>2092409</v>
      </c>
      <c r="G845" s="7">
        <v>26126527</v>
      </c>
      <c r="H845" s="7">
        <v>595.36429999999996</v>
      </c>
      <c r="I845" s="7">
        <v>600.3057</v>
      </c>
      <c r="J845" s="7">
        <v>14</v>
      </c>
      <c r="K845" s="7">
        <v>3.3296649999999999E-3</v>
      </c>
      <c r="L845" s="7">
        <v>602.30451687050004</v>
      </c>
      <c r="M845" s="7">
        <v>593.38193633610001</v>
      </c>
      <c r="N845" s="7">
        <v>595.96236834920001</v>
      </c>
      <c r="O845" s="7">
        <v>602.30451687050004</v>
      </c>
      <c r="P845" s="7">
        <v>593.38193633610001</v>
      </c>
      <c r="Q845">
        <v>1</v>
      </c>
      <c r="R845">
        <v>0</v>
      </c>
      <c r="S845" s="11">
        <v>45821.666666666664</v>
      </c>
      <c r="T845">
        <v>1643</v>
      </c>
    </row>
    <row r="846" spans="1:20">
      <c r="A846" s="11">
        <v>45821.541666666664</v>
      </c>
      <c r="B846" s="11">
        <v>45821.5625</v>
      </c>
      <c r="C846" s="10">
        <v>45821</v>
      </c>
      <c r="D846" s="7">
        <v>596.07029999999997</v>
      </c>
      <c r="E846" s="7">
        <v>3047279</v>
      </c>
      <c r="F846" s="7">
        <v>3047279</v>
      </c>
      <c r="G846" s="7">
        <v>29173806</v>
      </c>
      <c r="H846" s="7">
        <v>595.36429999999996</v>
      </c>
      <c r="I846" s="7">
        <v>600.3057</v>
      </c>
      <c r="J846" s="7">
        <v>14</v>
      </c>
      <c r="K846" s="7">
        <v>3.7226231E-3</v>
      </c>
      <c r="L846" s="7">
        <v>602.5404118829</v>
      </c>
      <c r="M846" s="7">
        <v>593.14798308699994</v>
      </c>
      <c r="N846" s="7">
        <v>595.97364208739998</v>
      </c>
      <c r="O846" s="7">
        <v>602.5404118829</v>
      </c>
      <c r="P846" s="7">
        <v>593.14798308699994</v>
      </c>
      <c r="Q846">
        <v>1</v>
      </c>
      <c r="R846">
        <v>0</v>
      </c>
      <c r="S846" s="11">
        <v>45821.666666666664</v>
      </c>
      <c r="T846">
        <v>1642</v>
      </c>
    </row>
    <row r="847" spans="1:20">
      <c r="A847" s="11">
        <v>45821.5625</v>
      </c>
      <c r="B847" s="11">
        <v>45821.583333333336</v>
      </c>
      <c r="C847" s="10">
        <v>45821</v>
      </c>
      <c r="D847" s="7">
        <v>596.30960000000005</v>
      </c>
      <c r="E847" s="7">
        <v>2681782</v>
      </c>
      <c r="F847" s="7">
        <v>2681782</v>
      </c>
      <c r="G847" s="7">
        <v>31855588</v>
      </c>
      <c r="H847" s="7">
        <v>595.36429999999996</v>
      </c>
      <c r="I847" s="7">
        <v>600.3057</v>
      </c>
      <c r="J847" s="7">
        <v>14</v>
      </c>
      <c r="K847" s="7">
        <v>3.7641214000000002E-3</v>
      </c>
      <c r="L847" s="7">
        <v>602.5653235597</v>
      </c>
      <c r="M847" s="7">
        <v>593.1232764701</v>
      </c>
      <c r="N847" s="7">
        <v>596.00192490810002</v>
      </c>
      <c r="O847" s="7">
        <v>602.5653235597</v>
      </c>
      <c r="P847" s="7">
        <v>593.1232764701</v>
      </c>
      <c r="Q847">
        <v>1</v>
      </c>
      <c r="R847">
        <v>0</v>
      </c>
      <c r="S847" s="11">
        <v>45821.666666666664</v>
      </c>
      <c r="T847">
        <v>1641</v>
      </c>
    </row>
    <row r="848" spans="1:20">
      <c r="A848" s="11">
        <v>45821.583333333336</v>
      </c>
      <c r="B848" s="11">
        <v>45821.604166666664</v>
      </c>
      <c r="C848" s="10">
        <v>45821</v>
      </c>
      <c r="D848" s="7">
        <v>593.71370000000002</v>
      </c>
      <c r="E848" s="7">
        <v>4970813</v>
      </c>
      <c r="F848" s="7">
        <v>4970813</v>
      </c>
      <c r="G848" s="7">
        <v>36826401</v>
      </c>
      <c r="H848" s="7">
        <v>595.36429999999996</v>
      </c>
      <c r="I848" s="7">
        <v>600.3057</v>
      </c>
      <c r="J848" s="7">
        <v>14</v>
      </c>
      <c r="K848" s="7">
        <v>3.8625487000000002E-3</v>
      </c>
      <c r="L848" s="7">
        <v>602.62440999370006</v>
      </c>
      <c r="M848" s="7">
        <v>593.06467640439996</v>
      </c>
      <c r="N848" s="7">
        <v>595.69306121759996</v>
      </c>
      <c r="O848" s="7">
        <v>602.62440999370006</v>
      </c>
      <c r="P848" s="7">
        <v>593.06467640439996</v>
      </c>
      <c r="Q848">
        <v>1</v>
      </c>
      <c r="R848">
        <v>0</v>
      </c>
      <c r="S848" s="11">
        <v>45821.666666666664</v>
      </c>
      <c r="T848">
        <v>1640</v>
      </c>
    </row>
    <row r="849" spans="1:20">
      <c r="A849" s="11">
        <v>45821.604166666664</v>
      </c>
      <c r="B849" s="11">
        <v>45821.625</v>
      </c>
      <c r="C849" s="10">
        <v>45821</v>
      </c>
      <c r="D849" s="7">
        <v>593.66409999999996</v>
      </c>
      <c r="E849" s="7">
        <v>6996476</v>
      </c>
      <c r="F849" s="7">
        <v>6996476</v>
      </c>
      <c r="G849" s="7">
        <v>43822877</v>
      </c>
      <c r="H849" s="7">
        <v>595.36429999999996</v>
      </c>
      <c r="I849" s="7">
        <v>600.3057</v>
      </c>
      <c r="J849" s="7">
        <v>14</v>
      </c>
      <c r="K849" s="7">
        <v>4.0176891999999997E-3</v>
      </c>
      <c r="L849" s="7">
        <v>602.71754174349996</v>
      </c>
      <c r="M849" s="7">
        <v>592.97231126600002</v>
      </c>
      <c r="N849" s="7">
        <v>595.36913044369999</v>
      </c>
      <c r="O849" s="7">
        <v>602.71754174349996</v>
      </c>
      <c r="P849" s="7">
        <v>592.97231126600002</v>
      </c>
      <c r="Q849">
        <v>1</v>
      </c>
      <c r="R849">
        <v>0</v>
      </c>
      <c r="S849" s="11">
        <v>45821.666666666664</v>
      </c>
      <c r="T849">
        <v>1639</v>
      </c>
    </row>
    <row r="850" spans="1:20">
      <c r="A850" s="11">
        <v>45821.625</v>
      </c>
      <c r="B850" s="11">
        <v>45821.645833333336</v>
      </c>
      <c r="C850" s="10">
        <v>45821</v>
      </c>
      <c r="D850" s="7">
        <v>592.91830000000004</v>
      </c>
      <c r="E850" s="7">
        <v>5423287</v>
      </c>
      <c r="F850" s="7">
        <v>5423287</v>
      </c>
      <c r="G850" s="7">
        <v>49246164</v>
      </c>
      <c r="H850" s="7">
        <v>595.36429999999996</v>
      </c>
      <c r="I850" s="7">
        <v>600.3057</v>
      </c>
      <c r="J850" s="7">
        <v>14</v>
      </c>
      <c r="K850" s="7">
        <v>4.3346290000000004E-3</v>
      </c>
      <c r="L850" s="7">
        <v>602.90780250980004</v>
      </c>
      <c r="M850" s="7">
        <v>592.78361662609996</v>
      </c>
      <c r="N850" s="7">
        <v>595.09923009399995</v>
      </c>
      <c r="O850" s="7">
        <v>602.90780250980004</v>
      </c>
      <c r="P850" s="7">
        <v>592.78361662609996</v>
      </c>
      <c r="Q850">
        <v>1</v>
      </c>
      <c r="R850">
        <v>0</v>
      </c>
      <c r="S850" s="11">
        <v>45821.666666666664</v>
      </c>
      <c r="T850">
        <v>1638</v>
      </c>
    </row>
    <row r="851" spans="1:20">
      <c r="A851" s="11">
        <v>45821.645833333336</v>
      </c>
      <c r="B851" s="11">
        <v>45821.666666666664</v>
      </c>
      <c r="C851" s="10">
        <v>45821</v>
      </c>
      <c r="D851" s="7">
        <v>593.59439999999995</v>
      </c>
      <c r="E851" s="7">
        <v>13387094</v>
      </c>
      <c r="F851" s="7">
        <v>13387094</v>
      </c>
      <c r="G851" s="7">
        <v>62633258</v>
      </c>
      <c r="H851" s="7">
        <v>595.36429999999996</v>
      </c>
      <c r="I851" s="7">
        <v>600.3057</v>
      </c>
      <c r="J851" s="7">
        <v>14</v>
      </c>
      <c r="K851" s="7">
        <v>4.2284174999999997E-3</v>
      </c>
      <c r="L851" s="7">
        <v>602.84404309889999</v>
      </c>
      <c r="M851" s="7">
        <v>592.84685120309996</v>
      </c>
      <c r="N851" s="7">
        <v>594.77759103890003</v>
      </c>
      <c r="O851" s="7">
        <v>602.84404309889999</v>
      </c>
      <c r="P851" s="7">
        <v>592.84685120309996</v>
      </c>
      <c r="Q851">
        <v>1</v>
      </c>
      <c r="R851">
        <v>1</v>
      </c>
      <c r="S851" s="11">
        <v>45821.666666666664</v>
      </c>
      <c r="T851">
        <v>1637</v>
      </c>
    </row>
    <row r="852" spans="1:20">
      <c r="A852" s="11">
        <v>45824.395833333336</v>
      </c>
      <c r="B852" s="11">
        <v>45824.416666666664</v>
      </c>
      <c r="C852" s="10">
        <v>45824</v>
      </c>
      <c r="D852" s="7">
        <v>599.76400000000001</v>
      </c>
      <c r="E852" s="7">
        <v>8409931</v>
      </c>
      <c r="F852" s="7">
        <v>8409931</v>
      </c>
      <c r="G852" s="7">
        <v>8409931</v>
      </c>
      <c r="H852" s="7">
        <v>599.76400000000001</v>
      </c>
      <c r="I852" s="7">
        <v>593.5942</v>
      </c>
      <c r="J852" s="7">
        <v>14</v>
      </c>
      <c r="K852" s="7">
        <v>0</v>
      </c>
      <c r="L852" s="7">
        <v>599.76400000000001</v>
      </c>
      <c r="M852" s="7">
        <v>593.5942</v>
      </c>
      <c r="N852" s="7">
        <v>599.76400000000001</v>
      </c>
      <c r="O852" s="7">
        <v>599.76400000000001</v>
      </c>
      <c r="P852" s="7">
        <v>593.5942</v>
      </c>
      <c r="Q852">
        <v>1</v>
      </c>
      <c r="R852">
        <v>0</v>
      </c>
      <c r="S852" s="11">
        <v>45824.666666666664</v>
      </c>
      <c r="T852">
        <v>1635</v>
      </c>
    </row>
    <row r="853" spans="1:20">
      <c r="A853" s="11">
        <v>45824.416666666664</v>
      </c>
      <c r="B853" s="11">
        <v>45824.4375</v>
      </c>
      <c r="C853" s="10">
        <v>45824</v>
      </c>
      <c r="D853" s="7">
        <v>600.65390000000002</v>
      </c>
      <c r="E853" s="7">
        <v>4712086</v>
      </c>
      <c r="F853" s="7">
        <v>4712086</v>
      </c>
      <c r="G853" s="7">
        <v>13122017</v>
      </c>
      <c r="H853" s="7">
        <v>599.76400000000001</v>
      </c>
      <c r="I853" s="7">
        <v>593.5942</v>
      </c>
      <c r="J853" s="7">
        <v>14</v>
      </c>
      <c r="K853" s="7">
        <v>2.2980348999999999E-3</v>
      </c>
      <c r="L853" s="7">
        <v>601.14227857629999</v>
      </c>
      <c r="M853" s="7">
        <v>592.23009983910003</v>
      </c>
      <c r="N853" s="7">
        <v>600.08356103480003</v>
      </c>
      <c r="O853" s="7">
        <v>601.14227857629999</v>
      </c>
      <c r="P853" s="7">
        <v>592.23009983910003</v>
      </c>
      <c r="Q853">
        <v>1</v>
      </c>
      <c r="R853">
        <v>0</v>
      </c>
      <c r="S853" s="11">
        <v>45824.666666666664</v>
      </c>
      <c r="T853">
        <v>1634</v>
      </c>
    </row>
    <row r="854" spans="1:20">
      <c r="A854" s="11">
        <v>45824.4375</v>
      </c>
      <c r="B854" s="11">
        <v>45824.458333333336</v>
      </c>
      <c r="C854" s="10">
        <v>45824</v>
      </c>
      <c r="D854" s="7">
        <v>600.47490000000005</v>
      </c>
      <c r="E854" s="7">
        <v>3699318</v>
      </c>
      <c r="F854" s="7">
        <v>3699318</v>
      </c>
      <c r="G854" s="7">
        <v>16821335</v>
      </c>
      <c r="H854" s="7">
        <v>599.76400000000001</v>
      </c>
      <c r="I854" s="7">
        <v>593.5942</v>
      </c>
      <c r="J854" s="7">
        <v>14</v>
      </c>
      <c r="K854" s="7">
        <v>2.2977077000000002E-3</v>
      </c>
      <c r="L854" s="7">
        <v>601.14208238519996</v>
      </c>
      <c r="M854" s="7">
        <v>592.23029401199994</v>
      </c>
      <c r="N854" s="7">
        <v>600.16962360230002</v>
      </c>
      <c r="O854" s="7">
        <v>601.14208238519996</v>
      </c>
      <c r="P854" s="7">
        <v>592.23029401199994</v>
      </c>
      <c r="Q854">
        <v>1</v>
      </c>
      <c r="R854">
        <v>0</v>
      </c>
      <c r="S854" s="11">
        <v>45824.666666666664</v>
      </c>
      <c r="T854">
        <v>1633</v>
      </c>
    </row>
    <row r="855" spans="1:20">
      <c r="A855" s="11">
        <v>45824.458333333336</v>
      </c>
      <c r="B855" s="11">
        <v>45824.479166666664</v>
      </c>
      <c r="C855" s="10">
        <v>45824</v>
      </c>
      <c r="D855" s="7">
        <v>599.91819999999996</v>
      </c>
      <c r="E855" s="7">
        <v>3274207</v>
      </c>
      <c r="F855" s="7">
        <v>3274207</v>
      </c>
      <c r="G855" s="7">
        <v>20095542</v>
      </c>
      <c r="H855" s="7">
        <v>599.76400000000001</v>
      </c>
      <c r="I855" s="7">
        <v>593.5942</v>
      </c>
      <c r="J855" s="7">
        <v>14</v>
      </c>
      <c r="K855" s="7">
        <v>2.6437965000000001E-3</v>
      </c>
      <c r="L855" s="7">
        <v>601.34965397789995</v>
      </c>
      <c r="M855" s="7">
        <v>592.02485771789998</v>
      </c>
      <c r="N855" s="7">
        <v>600.12865865000003</v>
      </c>
      <c r="O855" s="7">
        <v>601.34965397789995</v>
      </c>
      <c r="P855" s="7">
        <v>592.02485771789998</v>
      </c>
      <c r="Q855">
        <v>1</v>
      </c>
      <c r="R855">
        <v>0</v>
      </c>
      <c r="S855" s="11">
        <v>45824.666666666664</v>
      </c>
      <c r="T855">
        <v>1632</v>
      </c>
    </row>
    <row r="856" spans="1:20">
      <c r="A856" s="11">
        <v>45824.479166666664</v>
      </c>
      <c r="B856" s="11">
        <v>45824.5</v>
      </c>
      <c r="C856" s="10">
        <v>45824</v>
      </c>
      <c r="D856" s="7">
        <v>599.69939999999997</v>
      </c>
      <c r="E856" s="7">
        <v>3146693</v>
      </c>
      <c r="F856" s="7">
        <v>3146693</v>
      </c>
      <c r="G856" s="7">
        <v>23242235</v>
      </c>
      <c r="H856" s="7">
        <v>599.76400000000001</v>
      </c>
      <c r="I856" s="7">
        <v>593.5942</v>
      </c>
      <c r="J856" s="7">
        <v>14</v>
      </c>
      <c r="K856" s="7">
        <v>3.3325998000000002E-3</v>
      </c>
      <c r="L856" s="7">
        <v>601.7627733644</v>
      </c>
      <c r="M856" s="7">
        <v>591.61598810960004</v>
      </c>
      <c r="N856" s="7">
        <v>600.07054267319995</v>
      </c>
      <c r="O856" s="7">
        <v>601.7627733644</v>
      </c>
      <c r="P856" s="7">
        <v>591.61598810960004</v>
      </c>
      <c r="Q856">
        <v>1</v>
      </c>
      <c r="R856">
        <v>0</v>
      </c>
      <c r="S856" s="11">
        <v>45824.666666666664</v>
      </c>
      <c r="T856">
        <v>1631</v>
      </c>
    </row>
    <row r="857" spans="1:20">
      <c r="A857" s="11">
        <v>45824.5</v>
      </c>
      <c r="B857" s="11">
        <v>45824.520833333336</v>
      </c>
      <c r="C857" s="10">
        <v>45824</v>
      </c>
      <c r="D857" s="7">
        <v>599.60990000000004</v>
      </c>
      <c r="E857" s="7">
        <v>1883068</v>
      </c>
      <c r="F857" s="7">
        <v>1883068</v>
      </c>
      <c r="G857" s="7">
        <v>25125303</v>
      </c>
      <c r="H857" s="7">
        <v>599.76400000000001</v>
      </c>
      <c r="I857" s="7">
        <v>593.5942</v>
      </c>
      <c r="J857" s="7">
        <v>14</v>
      </c>
      <c r="K857" s="7">
        <v>3.4056632999999998E-3</v>
      </c>
      <c r="L857" s="7">
        <v>601.80659421849998</v>
      </c>
      <c r="M857" s="7">
        <v>591.57261804270001</v>
      </c>
      <c r="N857" s="7">
        <v>600.03601885169996</v>
      </c>
      <c r="O857" s="7">
        <v>601.80659421849998</v>
      </c>
      <c r="P857" s="7">
        <v>591.57261804270001</v>
      </c>
      <c r="Q857">
        <v>1</v>
      </c>
      <c r="R857">
        <v>0</v>
      </c>
      <c r="S857" s="11">
        <v>45824.666666666664</v>
      </c>
      <c r="T857">
        <v>1630</v>
      </c>
    </row>
    <row r="858" spans="1:20">
      <c r="A858" s="11">
        <v>45824.520833333336</v>
      </c>
      <c r="B858" s="11">
        <v>45824.541666666664</v>
      </c>
      <c r="C858" s="10">
        <v>45824</v>
      </c>
      <c r="D858" s="7">
        <v>599.27189999999996</v>
      </c>
      <c r="E858" s="7">
        <v>2109876</v>
      </c>
      <c r="F858" s="7">
        <v>2109876</v>
      </c>
      <c r="G858" s="7">
        <v>27235179</v>
      </c>
      <c r="H858" s="7">
        <v>599.76400000000001</v>
      </c>
      <c r="I858" s="7">
        <v>593.5942</v>
      </c>
      <c r="J858" s="7">
        <v>14</v>
      </c>
      <c r="K858" s="7">
        <v>3.3171215999999999E-3</v>
      </c>
      <c r="L858" s="7">
        <v>601.75349014230005</v>
      </c>
      <c r="M858" s="7">
        <v>591.62517583479996</v>
      </c>
      <c r="N858" s="7">
        <v>599.97682349900003</v>
      </c>
      <c r="O858" s="7">
        <v>601.75349014230005</v>
      </c>
      <c r="P858" s="7">
        <v>591.62517583479996</v>
      </c>
      <c r="Q858">
        <v>1</v>
      </c>
      <c r="R858">
        <v>0</v>
      </c>
      <c r="S858" s="11">
        <v>45824.666666666664</v>
      </c>
      <c r="T858">
        <v>1629</v>
      </c>
    </row>
    <row r="859" spans="1:20">
      <c r="A859" s="11">
        <v>45824.541666666664</v>
      </c>
      <c r="B859" s="11">
        <v>45824.5625</v>
      </c>
      <c r="C859" s="10">
        <v>45824</v>
      </c>
      <c r="D859" s="7">
        <v>599.9579</v>
      </c>
      <c r="E859" s="7">
        <v>2503464</v>
      </c>
      <c r="F859" s="7">
        <v>2503464</v>
      </c>
      <c r="G859" s="7">
        <v>29738643</v>
      </c>
      <c r="H859" s="7">
        <v>599.76400000000001</v>
      </c>
      <c r="I859" s="7">
        <v>593.5942</v>
      </c>
      <c r="J859" s="7">
        <v>14</v>
      </c>
      <c r="K859" s="7">
        <v>3.2772687000000001E-3</v>
      </c>
      <c r="L859" s="7">
        <v>601.72958778669999</v>
      </c>
      <c r="M859" s="7">
        <v>591.64883230580006</v>
      </c>
      <c r="N859" s="7">
        <v>599.97523047749996</v>
      </c>
      <c r="O859" s="7">
        <v>601.72958778669999</v>
      </c>
      <c r="P859" s="7">
        <v>591.64883230580006</v>
      </c>
      <c r="Q859">
        <v>1</v>
      </c>
      <c r="R859">
        <v>0</v>
      </c>
      <c r="S859" s="11">
        <v>45824.666666666664</v>
      </c>
      <c r="T859">
        <v>1628</v>
      </c>
    </row>
    <row r="860" spans="1:20">
      <c r="A860" s="11">
        <v>45824.5625</v>
      </c>
      <c r="B860" s="11">
        <v>45824.583333333336</v>
      </c>
      <c r="C860" s="10">
        <v>45824</v>
      </c>
      <c r="D860" s="7">
        <v>598.8741</v>
      </c>
      <c r="E860" s="7">
        <v>2703042</v>
      </c>
      <c r="F860" s="7">
        <v>2703042</v>
      </c>
      <c r="G860" s="7">
        <v>32441685</v>
      </c>
      <c r="H860" s="7">
        <v>599.76400000000001</v>
      </c>
      <c r="I860" s="7">
        <v>593.5942</v>
      </c>
      <c r="J860" s="7">
        <v>14</v>
      </c>
      <c r="K860" s="7">
        <v>3.3722384999999998E-3</v>
      </c>
      <c r="L860" s="7">
        <v>601.78654723839998</v>
      </c>
      <c r="M860" s="7">
        <v>591.59245879850005</v>
      </c>
      <c r="N860" s="7">
        <v>599.88348425870004</v>
      </c>
      <c r="O860" s="7">
        <v>601.78654723839998</v>
      </c>
      <c r="P860" s="7">
        <v>591.59245879850005</v>
      </c>
      <c r="Q860">
        <v>1</v>
      </c>
      <c r="R860">
        <v>0</v>
      </c>
      <c r="S860" s="11">
        <v>45824.666666666664</v>
      </c>
      <c r="T860">
        <v>1627</v>
      </c>
    </row>
    <row r="861" spans="1:20">
      <c r="A861" s="11">
        <v>45824.583333333336</v>
      </c>
      <c r="B861" s="11">
        <v>45824.604166666664</v>
      </c>
      <c r="C861" s="10">
        <v>45824</v>
      </c>
      <c r="D861" s="7">
        <v>599.14260000000002</v>
      </c>
      <c r="E861" s="7">
        <v>2082510</v>
      </c>
      <c r="F861" s="7">
        <v>2082510</v>
      </c>
      <c r="G861" s="7">
        <v>34524195</v>
      </c>
      <c r="H861" s="7">
        <v>599.76400000000001</v>
      </c>
      <c r="I861" s="7">
        <v>593.5942</v>
      </c>
      <c r="J861" s="7">
        <v>14</v>
      </c>
      <c r="K861" s="7">
        <v>3.5738673999999998E-3</v>
      </c>
      <c r="L861" s="7">
        <v>601.90747700220004</v>
      </c>
      <c r="M861" s="7">
        <v>591.47277304490001</v>
      </c>
      <c r="N861" s="7">
        <v>599.83879389369997</v>
      </c>
      <c r="O861" s="7">
        <v>601.90747700220004</v>
      </c>
      <c r="P861" s="7">
        <v>591.47277304490001</v>
      </c>
      <c r="Q861">
        <v>1</v>
      </c>
      <c r="R861">
        <v>0</v>
      </c>
      <c r="S861" s="11">
        <v>45824.666666666664</v>
      </c>
      <c r="T861">
        <v>1626</v>
      </c>
    </row>
    <row r="862" spans="1:20">
      <c r="A862" s="11">
        <v>45824.604166666664</v>
      </c>
      <c r="B862" s="11">
        <v>45824.625</v>
      </c>
      <c r="C862" s="10">
        <v>45824</v>
      </c>
      <c r="D862" s="7">
        <v>599.06299999999999</v>
      </c>
      <c r="E862" s="7">
        <v>2680619</v>
      </c>
      <c r="F862" s="7">
        <v>2680619</v>
      </c>
      <c r="G862" s="7">
        <v>37204814</v>
      </c>
      <c r="H862" s="7">
        <v>599.76400000000001</v>
      </c>
      <c r="I862" s="7">
        <v>593.5942</v>
      </c>
      <c r="J862" s="7">
        <v>14</v>
      </c>
      <c r="K862" s="7">
        <v>3.7324799999999998E-3</v>
      </c>
      <c r="L862" s="7">
        <v>602.00260714859996</v>
      </c>
      <c r="M862" s="7">
        <v>591.37862150659998</v>
      </c>
      <c r="N862" s="7">
        <v>599.78289769030005</v>
      </c>
      <c r="O862" s="7">
        <v>602.00260714859996</v>
      </c>
      <c r="P862" s="7">
        <v>591.37862150659998</v>
      </c>
      <c r="Q862">
        <v>1</v>
      </c>
      <c r="R862">
        <v>0</v>
      </c>
      <c r="S862" s="11">
        <v>45824.666666666664</v>
      </c>
      <c r="T862">
        <v>1625</v>
      </c>
    </row>
    <row r="863" spans="1:20">
      <c r="A863" s="11">
        <v>45824.625</v>
      </c>
      <c r="B863" s="11">
        <v>45824.645833333336</v>
      </c>
      <c r="C863" s="10">
        <v>45824</v>
      </c>
      <c r="D863" s="7">
        <v>598.60569999999996</v>
      </c>
      <c r="E863" s="7">
        <v>4322622</v>
      </c>
      <c r="F863" s="7">
        <v>4322622</v>
      </c>
      <c r="G863" s="7">
        <v>41527436</v>
      </c>
      <c r="H863" s="7">
        <v>599.76400000000001</v>
      </c>
      <c r="I863" s="7">
        <v>593.5942</v>
      </c>
      <c r="J863" s="7">
        <v>14</v>
      </c>
      <c r="K863" s="7">
        <v>4.2553060000000004E-3</v>
      </c>
      <c r="L863" s="7">
        <v>602.31617934589997</v>
      </c>
      <c r="M863" s="7">
        <v>591.06827504099999</v>
      </c>
      <c r="N863" s="7">
        <v>599.66036229860003</v>
      </c>
      <c r="O863" s="7">
        <v>602.31617934589997</v>
      </c>
      <c r="P863" s="7">
        <v>591.06827504099999</v>
      </c>
      <c r="Q863">
        <v>1</v>
      </c>
      <c r="R863">
        <v>0</v>
      </c>
      <c r="S863" s="11">
        <v>45824.666666666664</v>
      </c>
      <c r="T863">
        <v>1624</v>
      </c>
    </row>
    <row r="864" spans="1:20">
      <c r="A864" s="11">
        <v>45824.645833333336</v>
      </c>
      <c r="B864" s="11">
        <v>45824.666666666664</v>
      </c>
      <c r="C864" s="10">
        <v>45824</v>
      </c>
      <c r="D864" s="7">
        <v>599.24199999999996</v>
      </c>
      <c r="E864" s="7">
        <v>10354987</v>
      </c>
      <c r="F864" s="7">
        <v>10354987</v>
      </c>
      <c r="G864" s="7">
        <v>51882423</v>
      </c>
      <c r="H864" s="7">
        <v>599.76400000000001</v>
      </c>
      <c r="I864" s="7">
        <v>593.5942</v>
      </c>
      <c r="J864" s="7">
        <v>14</v>
      </c>
      <c r="K864" s="7">
        <v>4.1497251000000004E-3</v>
      </c>
      <c r="L864" s="7">
        <v>602.25285572710004</v>
      </c>
      <c r="M864" s="7">
        <v>591.13094724680002</v>
      </c>
      <c r="N864" s="7">
        <v>599.57686318829997</v>
      </c>
      <c r="O864" s="7">
        <v>602.25285572710004</v>
      </c>
      <c r="P864" s="7">
        <v>591.13094724680002</v>
      </c>
      <c r="Q864">
        <v>1</v>
      </c>
      <c r="R864">
        <v>1</v>
      </c>
      <c r="S864" s="11">
        <v>45824.666666666664</v>
      </c>
      <c r="T864">
        <v>1623</v>
      </c>
    </row>
    <row r="865" spans="1:20">
      <c r="A865" s="11">
        <v>45825.395833333336</v>
      </c>
      <c r="B865" s="11">
        <v>45825.416666666664</v>
      </c>
      <c r="C865" s="10">
        <v>45825</v>
      </c>
      <c r="D865" s="7">
        <v>597.5616</v>
      </c>
      <c r="E865" s="7">
        <v>5845857</v>
      </c>
      <c r="F865" s="7">
        <v>5845857</v>
      </c>
      <c r="G865" s="7">
        <v>5845857</v>
      </c>
      <c r="H865" s="7">
        <v>597.5616</v>
      </c>
      <c r="I865" s="7">
        <v>599.24180000000001</v>
      </c>
      <c r="J865" s="7">
        <v>14</v>
      </c>
      <c r="K865" s="7">
        <v>0</v>
      </c>
      <c r="L865" s="7">
        <v>599.24180000000001</v>
      </c>
      <c r="M865" s="7">
        <v>597.5616</v>
      </c>
      <c r="N865" s="7">
        <v>597.5616</v>
      </c>
      <c r="O865" s="7">
        <v>599.24180000000001</v>
      </c>
      <c r="P865" s="7">
        <v>597.5616</v>
      </c>
      <c r="Q865">
        <v>1</v>
      </c>
      <c r="R865">
        <v>0</v>
      </c>
      <c r="S865" s="11">
        <v>45825.666666666664</v>
      </c>
      <c r="T865">
        <v>1621</v>
      </c>
    </row>
    <row r="866" spans="1:20">
      <c r="A866" s="11">
        <v>45825.416666666664</v>
      </c>
      <c r="B866" s="11">
        <v>45825.4375</v>
      </c>
      <c r="C866" s="10">
        <v>45825</v>
      </c>
      <c r="D866" s="7">
        <v>597.71079999999995</v>
      </c>
      <c r="E866" s="7">
        <v>3253273</v>
      </c>
      <c r="F866" s="7">
        <v>3253273</v>
      </c>
      <c r="G866" s="7">
        <v>9099130</v>
      </c>
      <c r="H866" s="7">
        <v>597.5616</v>
      </c>
      <c r="I866" s="7">
        <v>599.24180000000001</v>
      </c>
      <c r="J866" s="7">
        <v>14</v>
      </c>
      <c r="K866" s="7">
        <v>2.2116229999999998E-3</v>
      </c>
      <c r="L866" s="7">
        <v>600.56709693530001</v>
      </c>
      <c r="M866" s="7">
        <v>596.24001903370004</v>
      </c>
      <c r="N866" s="7">
        <v>597.61494447710004</v>
      </c>
      <c r="O866" s="7">
        <v>600.56709693530001</v>
      </c>
      <c r="P866" s="7">
        <v>596.24001903370004</v>
      </c>
      <c r="Q866">
        <v>1</v>
      </c>
      <c r="R866">
        <v>0</v>
      </c>
      <c r="S866" s="11">
        <v>45825.666666666664</v>
      </c>
      <c r="T866">
        <v>1620</v>
      </c>
    </row>
    <row r="867" spans="1:20">
      <c r="A867" s="11">
        <v>45825.4375</v>
      </c>
      <c r="B867" s="11">
        <v>45825.458333333336</v>
      </c>
      <c r="C867" s="10">
        <v>45825</v>
      </c>
      <c r="D867" s="7">
        <v>597.04459999999995</v>
      </c>
      <c r="E867" s="7">
        <v>2518679</v>
      </c>
      <c r="F867" s="7">
        <v>2518679</v>
      </c>
      <c r="G867" s="7">
        <v>11617809</v>
      </c>
      <c r="H867" s="7">
        <v>597.5616</v>
      </c>
      <c r="I867" s="7">
        <v>599.24180000000001</v>
      </c>
      <c r="J867" s="7">
        <v>14</v>
      </c>
      <c r="K867" s="7">
        <v>2.1673347000000002E-3</v>
      </c>
      <c r="L867" s="7">
        <v>600.54055755590002</v>
      </c>
      <c r="M867" s="7">
        <v>596.26648399980002</v>
      </c>
      <c r="N867" s="7">
        <v>597.49129683770002</v>
      </c>
      <c r="O867" s="7">
        <v>600.54055755590002</v>
      </c>
      <c r="P867" s="7">
        <v>596.26648399980002</v>
      </c>
      <c r="Q867">
        <v>1</v>
      </c>
      <c r="R867">
        <v>0</v>
      </c>
      <c r="S867" s="11">
        <v>45825.666666666664</v>
      </c>
      <c r="T867">
        <v>1619</v>
      </c>
    </row>
    <row r="868" spans="1:20">
      <c r="A868" s="11">
        <v>45825.458333333336</v>
      </c>
      <c r="B868" s="11">
        <v>45825.479166666664</v>
      </c>
      <c r="C868" s="10">
        <v>45825</v>
      </c>
      <c r="D868" s="7">
        <v>597.01480000000004</v>
      </c>
      <c r="E868" s="7">
        <v>2559050</v>
      </c>
      <c r="F868" s="7">
        <v>2559050</v>
      </c>
      <c r="G868" s="7">
        <v>14176859</v>
      </c>
      <c r="H868" s="7">
        <v>597.5616</v>
      </c>
      <c r="I868" s="7">
        <v>599.24180000000001</v>
      </c>
      <c r="J868" s="7">
        <v>14</v>
      </c>
      <c r="K868" s="7">
        <v>2.3575799000000001E-3</v>
      </c>
      <c r="L868" s="7">
        <v>600.6545604122</v>
      </c>
      <c r="M868" s="7">
        <v>596.15280079349998</v>
      </c>
      <c r="N868" s="7">
        <v>597.40528489159999</v>
      </c>
      <c r="O868" s="7">
        <v>600.6545604122</v>
      </c>
      <c r="P868" s="7">
        <v>596.15280079349998</v>
      </c>
      <c r="Q868">
        <v>1</v>
      </c>
      <c r="R868">
        <v>0</v>
      </c>
      <c r="S868" s="11">
        <v>45825.666666666664</v>
      </c>
      <c r="T868">
        <v>1618</v>
      </c>
    </row>
    <row r="869" spans="1:20">
      <c r="A869" s="11">
        <v>45825.479166666664</v>
      </c>
      <c r="B869" s="11">
        <v>45825.5</v>
      </c>
      <c r="C869" s="10">
        <v>45825</v>
      </c>
      <c r="D869" s="7">
        <v>597.29319999999996</v>
      </c>
      <c r="E869" s="7">
        <v>2328490</v>
      </c>
      <c r="F869" s="7">
        <v>2328490</v>
      </c>
      <c r="G869" s="7">
        <v>16505349</v>
      </c>
      <c r="H869" s="7">
        <v>597.5616</v>
      </c>
      <c r="I869" s="7">
        <v>599.24180000000001</v>
      </c>
      <c r="J869" s="7">
        <v>14</v>
      </c>
      <c r="K869" s="7">
        <v>3.0150049999999999E-3</v>
      </c>
      <c r="L869" s="7">
        <v>601.04851700209997</v>
      </c>
      <c r="M869" s="7">
        <v>595.75994880919995</v>
      </c>
      <c r="N869" s="7">
        <v>597.38947252979995</v>
      </c>
      <c r="O869" s="7">
        <v>601.04851700209997</v>
      </c>
      <c r="P869" s="7">
        <v>595.75994880919995</v>
      </c>
      <c r="Q869">
        <v>1</v>
      </c>
      <c r="R869">
        <v>0</v>
      </c>
      <c r="S869" s="11">
        <v>45825.666666666664</v>
      </c>
      <c r="T869">
        <v>1617</v>
      </c>
    </row>
    <row r="870" spans="1:20">
      <c r="A870" s="11">
        <v>45825.5</v>
      </c>
      <c r="B870" s="11">
        <v>45825.520833333336</v>
      </c>
      <c r="C870" s="10">
        <v>45825</v>
      </c>
      <c r="D870" s="7">
        <v>597.71079999999995</v>
      </c>
      <c r="E870" s="7">
        <v>2465907</v>
      </c>
      <c r="F870" s="7">
        <v>2465907</v>
      </c>
      <c r="G870" s="7">
        <v>18971256</v>
      </c>
      <c r="H870" s="7">
        <v>597.5616</v>
      </c>
      <c r="I870" s="7">
        <v>599.24180000000001</v>
      </c>
      <c r="J870" s="7">
        <v>14</v>
      </c>
      <c r="K870" s="7">
        <v>3.0512108999999998E-3</v>
      </c>
      <c r="L870" s="7">
        <v>601.07021312079996</v>
      </c>
      <c r="M870" s="7">
        <v>595.7383135238</v>
      </c>
      <c r="N870" s="7">
        <v>597.43123906640005</v>
      </c>
      <c r="O870" s="7">
        <v>601.07021312079996</v>
      </c>
      <c r="P870" s="7">
        <v>595.7383135238</v>
      </c>
      <c r="Q870">
        <v>1</v>
      </c>
      <c r="R870">
        <v>0</v>
      </c>
      <c r="S870" s="11">
        <v>45825.666666666664</v>
      </c>
      <c r="T870">
        <v>1616</v>
      </c>
    </row>
    <row r="871" spans="1:20">
      <c r="A871" s="11">
        <v>45825.520833333336</v>
      </c>
      <c r="B871" s="11">
        <v>45825.541666666664</v>
      </c>
      <c r="C871" s="10">
        <v>45825</v>
      </c>
      <c r="D871" s="7">
        <v>596.32870000000003</v>
      </c>
      <c r="E871" s="7">
        <v>3630089</v>
      </c>
      <c r="F871" s="7">
        <v>3630089</v>
      </c>
      <c r="G871" s="7">
        <v>22601345</v>
      </c>
      <c r="H871" s="7">
        <v>597.5616</v>
      </c>
      <c r="I871" s="7">
        <v>599.24180000000001</v>
      </c>
      <c r="J871" s="7">
        <v>14</v>
      </c>
      <c r="K871" s="7">
        <v>2.9312563999999998E-3</v>
      </c>
      <c r="L871" s="7">
        <v>600.99833135129995</v>
      </c>
      <c r="M871" s="7">
        <v>595.80999374559997</v>
      </c>
      <c r="N871" s="7">
        <v>597.25415602390001</v>
      </c>
      <c r="O871" s="7">
        <v>600.99833135129995</v>
      </c>
      <c r="P871" s="7">
        <v>595.80999374559997</v>
      </c>
      <c r="Q871">
        <v>1</v>
      </c>
      <c r="R871">
        <v>0</v>
      </c>
      <c r="S871" s="11">
        <v>45825.666666666664</v>
      </c>
      <c r="T871">
        <v>1615</v>
      </c>
    </row>
    <row r="872" spans="1:20">
      <c r="A872" s="11">
        <v>45825.541666666664</v>
      </c>
      <c r="B872" s="11">
        <v>45825.5625</v>
      </c>
      <c r="C872" s="10">
        <v>45825</v>
      </c>
      <c r="D872" s="7">
        <v>595.39409999999998</v>
      </c>
      <c r="E872" s="7">
        <v>3598249</v>
      </c>
      <c r="F872" s="7">
        <v>3598249</v>
      </c>
      <c r="G872" s="7">
        <v>26199594</v>
      </c>
      <c r="H872" s="7">
        <v>597.5616</v>
      </c>
      <c r="I872" s="7">
        <v>599.24180000000001</v>
      </c>
      <c r="J872" s="7">
        <v>14</v>
      </c>
      <c r="K872" s="7">
        <v>2.8288720000000001E-3</v>
      </c>
      <c r="L872" s="7">
        <v>600.93697833440001</v>
      </c>
      <c r="M872" s="7">
        <v>595.87117473629996</v>
      </c>
      <c r="N872" s="7">
        <v>596.99869615959994</v>
      </c>
      <c r="O872" s="7">
        <v>600.93697833440001</v>
      </c>
      <c r="P872" s="7">
        <v>595.87117473629996</v>
      </c>
      <c r="Q872">
        <v>1</v>
      </c>
      <c r="R872">
        <v>0</v>
      </c>
      <c r="S872" s="11">
        <v>45825.666666666664</v>
      </c>
      <c r="T872">
        <v>1614</v>
      </c>
    </row>
    <row r="873" spans="1:20">
      <c r="A873" s="11">
        <v>45825.5625</v>
      </c>
      <c r="B873" s="11">
        <v>45825.583333333336</v>
      </c>
      <c r="C873" s="10">
        <v>45825</v>
      </c>
      <c r="D873" s="7">
        <v>594.51909999999998</v>
      </c>
      <c r="E873" s="7">
        <v>4799790</v>
      </c>
      <c r="F873" s="7">
        <v>4799790</v>
      </c>
      <c r="G873" s="7">
        <v>30999384</v>
      </c>
      <c r="H873" s="7">
        <v>597.5616</v>
      </c>
      <c r="I873" s="7">
        <v>599.24180000000001</v>
      </c>
      <c r="J873" s="7">
        <v>14</v>
      </c>
      <c r="K873" s="7">
        <v>2.9062214999999998E-3</v>
      </c>
      <c r="L873" s="7">
        <v>600.98332939019997</v>
      </c>
      <c r="M873" s="7">
        <v>595.8249536431</v>
      </c>
      <c r="N873" s="7">
        <v>596.61476785800005</v>
      </c>
      <c r="O873" s="7">
        <v>600.98332939019997</v>
      </c>
      <c r="P873" s="7">
        <v>595.8249536431</v>
      </c>
      <c r="Q873">
        <v>1</v>
      </c>
      <c r="R873">
        <v>0</v>
      </c>
      <c r="S873" s="11">
        <v>45825.666666666664</v>
      </c>
      <c r="T873">
        <v>1613</v>
      </c>
    </row>
    <row r="874" spans="1:20">
      <c r="A874" s="11">
        <v>45825.583333333336</v>
      </c>
      <c r="B874" s="11">
        <v>45825.604166666664</v>
      </c>
      <c r="C874" s="10">
        <v>45825</v>
      </c>
      <c r="D874" s="7">
        <v>593.96230000000003</v>
      </c>
      <c r="E874" s="7">
        <v>5208010</v>
      </c>
      <c r="F874" s="7">
        <v>5208010</v>
      </c>
      <c r="G874" s="7">
        <v>36207394</v>
      </c>
      <c r="H874" s="7">
        <v>597.5616</v>
      </c>
      <c r="I874" s="7">
        <v>599.24180000000001</v>
      </c>
      <c r="J874" s="7">
        <v>14</v>
      </c>
      <c r="K874" s="7">
        <v>3.1130364000000002E-3</v>
      </c>
      <c r="L874" s="7">
        <v>601.10726152500001</v>
      </c>
      <c r="M874" s="7">
        <v>595.70136899869999</v>
      </c>
      <c r="N874" s="7">
        <v>596.23324139049998</v>
      </c>
      <c r="O874" s="7">
        <v>601.10726152500001</v>
      </c>
      <c r="P874" s="7">
        <v>595.70136899869999</v>
      </c>
      <c r="Q874">
        <v>1</v>
      </c>
      <c r="R874">
        <v>0</v>
      </c>
      <c r="S874" s="11">
        <v>45825.666666666664</v>
      </c>
      <c r="T874">
        <v>1612</v>
      </c>
    </row>
    <row r="875" spans="1:20">
      <c r="A875" s="11">
        <v>45825.604166666664</v>
      </c>
      <c r="B875" s="11">
        <v>45825.625</v>
      </c>
      <c r="C875" s="10">
        <v>45825</v>
      </c>
      <c r="D875" s="7">
        <v>594.73789999999997</v>
      </c>
      <c r="E875" s="7">
        <v>4019618</v>
      </c>
      <c r="F875" s="7">
        <v>4019618</v>
      </c>
      <c r="G875" s="7">
        <v>40227012</v>
      </c>
      <c r="H875" s="7">
        <v>597.5616</v>
      </c>
      <c r="I875" s="7">
        <v>599.24180000000001</v>
      </c>
      <c r="J875" s="7">
        <v>14</v>
      </c>
      <c r="K875" s="7">
        <v>3.3237566E-3</v>
      </c>
      <c r="L875" s="7">
        <v>601.23353385830001</v>
      </c>
      <c r="M875" s="7">
        <v>595.57545071749996</v>
      </c>
      <c r="N875" s="7">
        <v>596.08382186189999</v>
      </c>
      <c r="O875" s="7">
        <v>601.23353385830001</v>
      </c>
      <c r="P875" s="7">
        <v>595.57545071749996</v>
      </c>
      <c r="Q875">
        <v>1</v>
      </c>
      <c r="R875">
        <v>0</v>
      </c>
      <c r="S875" s="11">
        <v>45825.666666666664</v>
      </c>
      <c r="T875">
        <v>1611</v>
      </c>
    </row>
    <row r="876" spans="1:20">
      <c r="A876" s="11">
        <v>45825.625</v>
      </c>
      <c r="B876" s="11">
        <v>45825.645833333336</v>
      </c>
      <c r="C876" s="10">
        <v>45825</v>
      </c>
      <c r="D876" s="7">
        <v>594.85720000000003</v>
      </c>
      <c r="E876" s="7">
        <v>3936893</v>
      </c>
      <c r="F876" s="7">
        <v>3936893</v>
      </c>
      <c r="G876" s="7">
        <v>44163905</v>
      </c>
      <c r="H876" s="7">
        <v>597.5616</v>
      </c>
      <c r="I876" s="7">
        <v>599.24180000000001</v>
      </c>
      <c r="J876" s="7">
        <v>14</v>
      </c>
      <c r="K876" s="7">
        <v>3.9034827E-3</v>
      </c>
      <c r="L876" s="7">
        <v>601.58093002140004</v>
      </c>
      <c r="M876" s="7">
        <v>595.22902861019998</v>
      </c>
      <c r="N876" s="7">
        <v>595.97447738660003</v>
      </c>
      <c r="O876" s="7">
        <v>601.58093002140004</v>
      </c>
      <c r="P876" s="7">
        <v>595.22902861019998</v>
      </c>
      <c r="Q876">
        <v>1</v>
      </c>
      <c r="R876">
        <v>0</v>
      </c>
      <c r="S876" s="11">
        <v>45825.666666666664</v>
      </c>
      <c r="T876">
        <v>1610</v>
      </c>
    </row>
    <row r="877" spans="1:20">
      <c r="A877" s="11">
        <v>45825.645833333336</v>
      </c>
      <c r="B877" s="11">
        <v>45825.666666666664</v>
      </c>
      <c r="C877" s="10">
        <v>45825</v>
      </c>
      <c r="D877" s="7">
        <v>594.12149999999997</v>
      </c>
      <c r="E877" s="7">
        <v>10449311</v>
      </c>
      <c r="F877" s="7">
        <v>10449311</v>
      </c>
      <c r="G877" s="7">
        <v>54613216</v>
      </c>
      <c r="H877" s="7">
        <v>597.5616</v>
      </c>
      <c r="I877" s="7">
        <v>599.24180000000001</v>
      </c>
      <c r="J877" s="7">
        <v>14</v>
      </c>
      <c r="K877" s="7">
        <v>3.6210116000000001E-3</v>
      </c>
      <c r="L877" s="7">
        <v>601.41166152760002</v>
      </c>
      <c r="M877" s="7">
        <v>595.39782249619998</v>
      </c>
      <c r="N877" s="7">
        <v>595.61994164580005</v>
      </c>
      <c r="O877" s="7">
        <v>601.41166152760002</v>
      </c>
      <c r="P877" s="7">
        <v>595.39782249619998</v>
      </c>
      <c r="Q877">
        <v>1</v>
      </c>
      <c r="R877">
        <v>1</v>
      </c>
      <c r="S877" s="11">
        <v>45825.666666666664</v>
      </c>
      <c r="T877">
        <v>1609</v>
      </c>
    </row>
    <row r="878" spans="1:20">
      <c r="A878" s="11">
        <v>45826.395833333336</v>
      </c>
      <c r="B878" s="11">
        <v>45826.416666666664</v>
      </c>
      <c r="C878" s="10">
        <v>45826</v>
      </c>
      <c r="D878" s="7">
        <v>595.76</v>
      </c>
      <c r="E878" s="7">
        <v>4626193</v>
      </c>
      <c r="F878" s="7">
        <v>4626193</v>
      </c>
      <c r="G878" s="7">
        <v>4626193</v>
      </c>
      <c r="H878" s="7">
        <v>595.76</v>
      </c>
      <c r="I878" s="7">
        <v>594.12120000000004</v>
      </c>
      <c r="J878" s="7">
        <v>14</v>
      </c>
      <c r="K878" s="7">
        <v>0</v>
      </c>
      <c r="L878" s="7">
        <v>595.76</v>
      </c>
      <c r="M878" s="7">
        <v>594.12120000000004</v>
      </c>
      <c r="N878" s="7">
        <v>595.76</v>
      </c>
      <c r="O878" s="7">
        <v>595.76</v>
      </c>
      <c r="P878" s="7">
        <v>594.12120000000004</v>
      </c>
      <c r="Q878">
        <v>1</v>
      </c>
      <c r="R878">
        <v>0</v>
      </c>
      <c r="S878" s="11">
        <v>45826.666666666664</v>
      </c>
      <c r="T878">
        <v>1607</v>
      </c>
    </row>
    <row r="879" spans="1:20">
      <c r="A879" s="11">
        <v>45826.416666666664</v>
      </c>
      <c r="B879" s="11">
        <v>45826.4375</v>
      </c>
      <c r="C879" s="10">
        <v>45826</v>
      </c>
      <c r="D879" s="7">
        <v>597.31510000000003</v>
      </c>
      <c r="E879" s="7">
        <v>3816165</v>
      </c>
      <c r="F879" s="7">
        <v>3816165</v>
      </c>
      <c r="G879" s="7">
        <v>8442358</v>
      </c>
      <c r="H879" s="7">
        <v>595.76</v>
      </c>
      <c r="I879" s="7">
        <v>594.12120000000004</v>
      </c>
      <c r="J879" s="7">
        <v>14</v>
      </c>
      <c r="K879" s="7">
        <v>2.1635604999999999E-3</v>
      </c>
      <c r="L879" s="7">
        <v>597.0489628194</v>
      </c>
      <c r="M879" s="7">
        <v>592.83578282359997</v>
      </c>
      <c r="N879" s="7">
        <v>596.46294557420003</v>
      </c>
      <c r="O879" s="7">
        <v>597.0489628194</v>
      </c>
      <c r="P879" s="7">
        <v>592.83578282359997</v>
      </c>
      <c r="Q879">
        <v>1</v>
      </c>
      <c r="R879">
        <v>0</v>
      </c>
      <c r="S879" s="11">
        <v>45826.666666666664</v>
      </c>
      <c r="T879">
        <v>1606</v>
      </c>
    </row>
    <row r="880" spans="1:20">
      <c r="A880" s="11">
        <v>45826.4375</v>
      </c>
      <c r="B880" s="11">
        <v>45826.458333333336</v>
      </c>
      <c r="C880" s="10">
        <v>45826</v>
      </c>
      <c r="D880" s="7">
        <v>597.42240000000004</v>
      </c>
      <c r="E880" s="7">
        <v>2328855</v>
      </c>
      <c r="F880" s="7">
        <v>2328855</v>
      </c>
      <c r="G880" s="7">
        <v>10771213</v>
      </c>
      <c r="H880" s="7">
        <v>595.76</v>
      </c>
      <c r="I880" s="7">
        <v>594.12120000000004</v>
      </c>
      <c r="J880" s="7">
        <v>14</v>
      </c>
      <c r="K880" s="7">
        <v>2.0580498E-3</v>
      </c>
      <c r="L880" s="7">
        <v>596.98610373700001</v>
      </c>
      <c r="M880" s="7">
        <v>592.89846899500003</v>
      </c>
      <c r="N880" s="7">
        <v>596.67039019870003</v>
      </c>
      <c r="O880" s="7">
        <v>596.98610373700001</v>
      </c>
      <c r="P880" s="7">
        <v>592.89846899500003</v>
      </c>
      <c r="Q880">
        <v>1</v>
      </c>
      <c r="R880">
        <v>0</v>
      </c>
      <c r="S880" s="11">
        <v>45826.666666666664</v>
      </c>
      <c r="T880">
        <v>1605</v>
      </c>
    </row>
    <row r="881" spans="1:20">
      <c r="A881" s="11">
        <v>45826.458333333336</v>
      </c>
      <c r="B881" s="11">
        <v>45826.479166666664</v>
      </c>
      <c r="C881" s="10">
        <v>45826</v>
      </c>
      <c r="D881" s="7">
        <v>596.71659999999997</v>
      </c>
      <c r="E881" s="7">
        <v>1530084</v>
      </c>
      <c r="F881" s="7">
        <v>1530084</v>
      </c>
      <c r="G881" s="7">
        <v>12301297</v>
      </c>
      <c r="H881" s="7">
        <v>595.76</v>
      </c>
      <c r="I881" s="7">
        <v>594.12120000000004</v>
      </c>
      <c r="J881" s="7">
        <v>14</v>
      </c>
      <c r="K881" s="7">
        <v>2.2524529000000001E-3</v>
      </c>
      <c r="L881" s="7">
        <v>597.10192133880003</v>
      </c>
      <c r="M881" s="7">
        <v>592.78296998099995</v>
      </c>
      <c r="N881" s="7">
        <v>596.67613795670002</v>
      </c>
      <c r="O881" s="7">
        <v>597.10192133880003</v>
      </c>
      <c r="P881" s="7">
        <v>592.78296998099995</v>
      </c>
      <c r="Q881">
        <v>1</v>
      </c>
      <c r="R881">
        <v>0</v>
      </c>
      <c r="S881" s="11">
        <v>45826.666666666664</v>
      </c>
      <c r="T881">
        <v>1604</v>
      </c>
    </row>
    <row r="882" spans="1:20">
      <c r="A882" s="11">
        <v>45826.479166666664</v>
      </c>
      <c r="B882" s="11">
        <v>45826.5</v>
      </c>
      <c r="C882" s="10">
        <v>45826</v>
      </c>
      <c r="D882" s="7">
        <v>596.28819999999996</v>
      </c>
      <c r="E882" s="7">
        <v>1780236</v>
      </c>
      <c r="F882" s="7">
        <v>1780236</v>
      </c>
      <c r="G882" s="7">
        <v>14081533</v>
      </c>
      <c r="H882" s="7">
        <v>595.76</v>
      </c>
      <c r="I882" s="7">
        <v>594.12120000000004</v>
      </c>
      <c r="J882" s="7">
        <v>14</v>
      </c>
      <c r="K882" s="7">
        <v>2.8451776000000002E-3</v>
      </c>
      <c r="L882" s="7">
        <v>597.45504299820004</v>
      </c>
      <c r="M882" s="7">
        <v>592.43081967880005</v>
      </c>
      <c r="N882" s="7">
        <v>596.62709350130001</v>
      </c>
      <c r="O882" s="7">
        <v>597.45504299820004</v>
      </c>
      <c r="P882" s="7">
        <v>592.43081967880005</v>
      </c>
      <c r="Q882">
        <v>1</v>
      </c>
      <c r="R882">
        <v>0</v>
      </c>
      <c r="S882" s="11">
        <v>45826.666666666664</v>
      </c>
      <c r="T882">
        <v>1603</v>
      </c>
    </row>
    <row r="883" spans="1:20">
      <c r="A883" s="11">
        <v>45826.5</v>
      </c>
      <c r="B883" s="11">
        <v>45826.520833333336</v>
      </c>
      <c r="C883" s="10">
        <v>45826</v>
      </c>
      <c r="D883" s="7">
        <v>596.03549999999996</v>
      </c>
      <c r="E883" s="7">
        <v>1461240</v>
      </c>
      <c r="F883" s="7">
        <v>1461240</v>
      </c>
      <c r="G883" s="7">
        <v>15542773</v>
      </c>
      <c r="H883" s="7">
        <v>595.76</v>
      </c>
      <c r="I883" s="7">
        <v>594.12120000000004</v>
      </c>
      <c r="J883" s="7">
        <v>14</v>
      </c>
      <c r="K883" s="7">
        <v>2.9565987000000002E-3</v>
      </c>
      <c r="L883" s="7">
        <v>597.52142324910005</v>
      </c>
      <c r="M883" s="7">
        <v>592.36462202480004</v>
      </c>
      <c r="N883" s="7">
        <v>596.57147536369996</v>
      </c>
      <c r="O883" s="7">
        <v>597.52142324910005</v>
      </c>
      <c r="P883" s="7">
        <v>592.36462202480004</v>
      </c>
      <c r="Q883">
        <v>1</v>
      </c>
      <c r="R883">
        <v>0</v>
      </c>
      <c r="S883" s="11">
        <v>45826.666666666664</v>
      </c>
      <c r="T883">
        <v>1602</v>
      </c>
    </row>
    <row r="884" spans="1:20">
      <c r="A884" s="11">
        <v>45826.520833333336</v>
      </c>
      <c r="B884" s="11">
        <v>45826.541666666664</v>
      </c>
      <c r="C884" s="10">
        <v>45826</v>
      </c>
      <c r="D884" s="7">
        <v>595.99069999999995</v>
      </c>
      <c r="E884" s="7">
        <v>1561930</v>
      </c>
      <c r="F884" s="7">
        <v>1561930</v>
      </c>
      <c r="G884" s="7">
        <v>17104703</v>
      </c>
      <c r="H884" s="7">
        <v>595.76</v>
      </c>
      <c r="I884" s="7">
        <v>594.12120000000004</v>
      </c>
      <c r="J884" s="7">
        <v>14</v>
      </c>
      <c r="K884" s="7">
        <v>2.9843135999999999E-3</v>
      </c>
      <c r="L884" s="7">
        <v>597.53793466089996</v>
      </c>
      <c r="M884" s="7">
        <v>592.3481560322</v>
      </c>
      <c r="N884" s="7">
        <v>596.51844138449997</v>
      </c>
      <c r="O884" s="7">
        <v>597.53793466089996</v>
      </c>
      <c r="P884" s="7">
        <v>592.3481560322</v>
      </c>
      <c r="Q884">
        <v>1</v>
      </c>
      <c r="R884">
        <v>0</v>
      </c>
      <c r="S884" s="11">
        <v>45826.666666666664</v>
      </c>
      <c r="T884">
        <v>1601</v>
      </c>
    </row>
    <row r="885" spans="1:20">
      <c r="A885" s="11">
        <v>45826.541666666664</v>
      </c>
      <c r="B885" s="11">
        <v>45826.5625</v>
      </c>
      <c r="C885" s="10">
        <v>45826</v>
      </c>
      <c r="D885" s="7">
        <v>595.40909999999997</v>
      </c>
      <c r="E885" s="7">
        <v>1498178</v>
      </c>
      <c r="F885" s="7">
        <v>1498178</v>
      </c>
      <c r="G885" s="7">
        <v>18602881</v>
      </c>
      <c r="H885" s="7">
        <v>595.76</v>
      </c>
      <c r="I885" s="7">
        <v>594.12120000000004</v>
      </c>
      <c r="J885" s="7">
        <v>14</v>
      </c>
      <c r="K885" s="7">
        <v>3.0281195999999999E-3</v>
      </c>
      <c r="L885" s="7">
        <v>597.56403255340001</v>
      </c>
      <c r="M885" s="7">
        <v>592.32212992910002</v>
      </c>
      <c r="N885" s="7">
        <v>596.42910087550001</v>
      </c>
      <c r="O885" s="7">
        <v>597.56403255340001</v>
      </c>
      <c r="P885" s="7">
        <v>592.32212992910002</v>
      </c>
      <c r="Q885">
        <v>1</v>
      </c>
      <c r="R885">
        <v>0</v>
      </c>
      <c r="S885" s="11">
        <v>45826.666666666664</v>
      </c>
      <c r="T885">
        <v>1600</v>
      </c>
    </row>
    <row r="886" spans="1:20">
      <c r="A886" s="11">
        <v>45826.5625</v>
      </c>
      <c r="B886" s="11">
        <v>45826.583333333336</v>
      </c>
      <c r="C886" s="10">
        <v>45826</v>
      </c>
      <c r="D886" s="7">
        <v>596.18949999999995</v>
      </c>
      <c r="E886" s="7">
        <v>2424854</v>
      </c>
      <c r="F886" s="7">
        <v>2424854</v>
      </c>
      <c r="G886" s="7">
        <v>21027735</v>
      </c>
      <c r="H886" s="7">
        <v>595.76</v>
      </c>
      <c r="I886" s="7">
        <v>594.12120000000004</v>
      </c>
      <c r="J886" s="7">
        <v>14</v>
      </c>
      <c r="K886" s="7">
        <v>3.1438600000000001E-3</v>
      </c>
      <c r="L886" s="7">
        <v>597.63298604579995</v>
      </c>
      <c r="M886" s="7">
        <v>592.25336611199998</v>
      </c>
      <c r="N886" s="7">
        <v>596.40147083629995</v>
      </c>
      <c r="O886" s="7">
        <v>597.63298604579995</v>
      </c>
      <c r="P886" s="7">
        <v>592.25336611199998</v>
      </c>
      <c r="Q886">
        <v>1</v>
      </c>
      <c r="R886">
        <v>0</v>
      </c>
      <c r="S886" s="11">
        <v>45826.666666666664</v>
      </c>
      <c r="T886">
        <v>1599</v>
      </c>
    </row>
    <row r="887" spans="1:20">
      <c r="A887" s="11">
        <v>45826.583333333336</v>
      </c>
      <c r="B887" s="11">
        <v>45826.604166666664</v>
      </c>
      <c r="C887" s="10">
        <v>45826</v>
      </c>
      <c r="D887" s="7">
        <v>595.92110000000002</v>
      </c>
      <c r="E887" s="7">
        <v>3969891</v>
      </c>
      <c r="F887" s="7">
        <v>3969891</v>
      </c>
      <c r="G887" s="7">
        <v>24997626</v>
      </c>
      <c r="H887" s="7">
        <v>595.76</v>
      </c>
      <c r="I887" s="7">
        <v>594.12120000000004</v>
      </c>
      <c r="J887" s="7">
        <v>14</v>
      </c>
      <c r="K887" s="7">
        <v>3.4634768999999999E-3</v>
      </c>
      <c r="L887" s="7">
        <v>597.82340097589997</v>
      </c>
      <c r="M887" s="7">
        <v>592.06347496989997</v>
      </c>
      <c r="N887" s="7">
        <v>596.32518279759995</v>
      </c>
      <c r="O887" s="7">
        <v>597.82340097589997</v>
      </c>
      <c r="P887" s="7">
        <v>592.06347496989997</v>
      </c>
      <c r="Q887">
        <v>1</v>
      </c>
      <c r="R887">
        <v>0</v>
      </c>
      <c r="S887" s="11">
        <v>45826.666666666664</v>
      </c>
      <c r="T887">
        <v>1598</v>
      </c>
    </row>
    <row r="888" spans="1:20">
      <c r="A888" s="11">
        <v>45826.604166666664</v>
      </c>
      <c r="B888" s="11">
        <v>45826.625</v>
      </c>
      <c r="C888" s="10">
        <v>45826</v>
      </c>
      <c r="D888" s="7">
        <v>593.59439999999995</v>
      </c>
      <c r="E888" s="7">
        <v>5961592</v>
      </c>
      <c r="F888" s="7">
        <v>5961592</v>
      </c>
      <c r="G888" s="7">
        <v>30959218</v>
      </c>
      <c r="H888" s="7">
        <v>595.76</v>
      </c>
      <c r="I888" s="7">
        <v>594.12120000000004</v>
      </c>
      <c r="J888" s="7">
        <v>14</v>
      </c>
      <c r="K888" s="7">
        <v>3.5379651000000002E-3</v>
      </c>
      <c r="L888" s="7">
        <v>597.86777808689999</v>
      </c>
      <c r="M888" s="7">
        <v>592.01921993029998</v>
      </c>
      <c r="N888" s="7">
        <v>595.79933576619999</v>
      </c>
      <c r="O888" s="7">
        <v>597.86777808689999</v>
      </c>
      <c r="P888" s="7">
        <v>592.01921993029998</v>
      </c>
      <c r="Q888">
        <v>1</v>
      </c>
      <c r="R888">
        <v>0</v>
      </c>
      <c r="S888" s="11">
        <v>45826.666666666664</v>
      </c>
      <c r="T888">
        <v>1597</v>
      </c>
    </row>
    <row r="889" spans="1:20">
      <c r="A889" s="11">
        <v>45826.625</v>
      </c>
      <c r="B889" s="11">
        <v>45826.645833333336</v>
      </c>
      <c r="C889" s="10">
        <v>45826</v>
      </c>
      <c r="D889" s="7">
        <v>593.43539999999996</v>
      </c>
      <c r="E889" s="7">
        <v>6861751</v>
      </c>
      <c r="F889" s="7">
        <v>6861751</v>
      </c>
      <c r="G889" s="7">
        <v>37820969</v>
      </c>
      <c r="H889" s="7">
        <v>595.76</v>
      </c>
      <c r="I889" s="7">
        <v>594.12120000000004</v>
      </c>
      <c r="J889" s="7">
        <v>14</v>
      </c>
      <c r="K889" s="7">
        <v>4.0634477999999998E-3</v>
      </c>
      <c r="L889" s="7">
        <v>598.18083964879997</v>
      </c>
      <c r="M889" s="7">
        <v>591.70701952939999</v>
      </c>
      <c r="N889" s="7">
        <v>595.37045361339995</v>
      </c>
      <c r="O889" s="7">
        <v>598.18083964879997</v>
      </c>
      <c r="P889" s="7">
        <v>591.70701952939999</v>
      </c>
      <c r="Q889">
        <v>1</v>
      </c>
      <c r="R889">
        <v>0</v>
      </c>
      <c r="S889" s="11">
        <v>45826.666666666664</v>
      </c>
      <c r="T889">
        <v>1596</v>
      </c>
    </row>
    <row r="890" spans="1:20">
      <c r="A890" s="11">
        <v>45826.645833333336</v>
      </c>
      <c r="B890" s="11">
        <v>45826.666666666664</v>
      </c>
      <c r="C890" s="10">
        <v>45826</v>
      </c>
      <c r="D890" s="7">
        <v>594.03189999999995</v>
      </c>
      <c r="E890" s="7">
        <v>8615478</v>
      </c>
      <c r="F890" s="7">
        <v>8615478</v>
      </c>
      <c r="G890" s="7">
        <v>46436447</v>
      </c>
      <c r="H890" s="7">
        <v>595.76</v>
      </c>
      <c r="I890" s="7">
        <v>594.12120000000004</v>
      </c>
      <c r="J890" s="7">
        <v>14</v>
      </c>
      <c r="K890" s="7">
        <v>3.6658642000000001E-3</v>
      </c>
      <c r="L890" s="7">
        <v>597.9439752449</v>
      </c>
      <c r="M890" s="7">
        <v>591.94323237330002</v>
      </c>
      <c r="N890" s="7">
        <v>595.1294923877</v>
      </c>
      <c r="O890" s="7">
        <v>597.9439752449</v>
      </c>
      <c r="P890" s="7">
        <v>591.94323237330002</v>
      </c>
      <c r="Q890">
        <v>1</v>
      </c>
      <c r="R890">
        <v>1</v>
      </c>
      <c r="S890" s="11">
        <v>45826.666666666664</v>
      </c>
      <c r="T890">
        <v>1595</v>
      </c>
    </row>
    <row r="891" spans="1:20">
      <c r="A891" s="11">
        <v>45828.395833333336</v>
      </c>
      <c r="B891" s="11">
        <v>45828.416666666664</v>
      </c>
      <c r="C891" s="10">
        <v>45828</v>
      </c>
      <c r="D891" s="7">
        <v>595.59870000000001</v>
      </c>
      <c r="E891" s="7">
        <v>6424512</v>
      </c>
      <c r="F891" s="7">
        <v>6424512</v>
      </c>
      <c r="G891" s="7">
        <v>6424512</v>
      </c>
      <c r="H891" s="7">
        <v>595.59870000000001</v>
      </c>
      <c r="I891" s="7">
        <v>594.0317</v>
      </c>
      <c r="J891" s="7">
        <v>14</v>
      </c>
      <c r="K891" s="7">
        <v>0</v>
      </c>
      <c r="L891" s="7">
        <v>595.59870000000001</v>
      </c>
      <c r="M891" s="7">
        <v>594.0317</v>
      </c>
      <c r="N891" s="7">
        <v>595.59870000000001</v>
      </c>
      <c r="O891" s="7">
        <v>595.59870000000001</v>
      </c>
      <c r="P891" s="7">
        <v>594.0317</v>
      </c>
      <c r="Q891">
        <v>1</v>
      </c>
      <c r="R891">
        <v>0</v>
      </c>
      <c r="S891" s="11">
        <v>45828.666666666664</v>
      </c>
      <c r="T891">
        <v>1593</v>
      </c>
    </row>
    <row r="892" spans="1:20">
      <c r="A892" s="11">
        <v>45828.416666666664</v>
      </c>
      <c r="B892" s="11">
        <v>45828.4375</v>
      </c>
      <c r="C892" s="10">
        <v>45828</v>
      </c>
      <c r="D892" s="7">
        <v>594.49180000000001</v>
      </c>
      <c r="E892" s="7">
        <v>4153844</v>
      </c>
      <c r="F892" s="7">
        <v>4153844</v>
      </c>
      <c r="G892" s="7">
        <v>10578356</v>
      </c>
      <c r="H892" s="7">
        <v>595.59870000000001</v>
      </c>
      <c r="I892" s="7">
        <v>594.0317</v>
      </c>
      <c r="J892" s="7">
        <v>14</v>
      </c>
      <c r="K892" s="7">
        <v>2.2102999000000001E-3</v>
      </c>
      <c r="L892" s="7">
        <v>596.91515173309995</v>
      </c>
      <c r="M892" s="7">
        <v>592.7187118068</v>
      </c>
      <c r="N892" s="7">
        <v>595.1640492921</v>
      </c>
      <c r="O892" s="7">
        <v>596.91515173309995</v>
      </c>
      <c r="P892" s="7">
        <v>592.7187118068</v>
      </c>
      <c r="Q892">
        <v>1</v>
      </c>
      <c r="R892">
        <v>0</v>
      </c>
      <c r="S892" s="11">
        <v>45828.666666666664</v>
      </c>
      <c r="T892">
        <v>1592</v>
      </c>
    </row>
    <row r="893" spans="1:20">
      <c r="A893" s="11">
        <v>45828.4375</v>
      </c>
      <c r="B893" s="11">
        <v>45828.458333333336</v>
      </c>
      <c r="C893" s="10">
        <v>45828</v>
      </c>
      <c r="D893" s="7">
        <v>592.59699999999998</v>
      </c>
      <c r="E893" s="7">
        <v>4259628</v>
      </c>
      <c r="F893" s="7">
        <v>4259628</v>
      </c>
      <c r="G893" s="7">
        <v>14837984</v>
      </c>
      <c r="H893" s="7">
        <v>595.59870000000001</v>
      </c>
      <c r="I893" s="7">
        <v>594.0317</v>
      </c>
      <c r="J893" s="7">
        <v>14</v>
      </c>
      <c r="K893" s="7">
        <v>2.2277613000000001E-3</v>
      </c>
      <c r="L893" s="7">
        <v>596.92555170599996</v>
      </c>
      <c r="M893" s="7">
        <v>592.70833919580002</v>
      </c>
      <c r="N893" s="7">
        <v>594.42711123890001</v>
      </c>
      <c r="O893" s="7">
        <v>596.92555170599996</v>
      </c>
      <c r="P893" s="7">
        <v>592.70833919580002</v>
      </c>
      <c r="Q893">
        <v>1</v>
      </c>
      <c r="R893">
        <v>0</v>
      </c>
      <c r="S893" s="11">
        <v>45828.666666666664</v>
      </c>
      <c r="T893">
        <v>1591</v>
      </c>
    </row>
    <row r="894" spans="1:20">
      <c r="A894" s="11">
        <v>45828.458333333336</v>
      </c>
      <c r="B894" s="11">
        <v>45828.479166666664</v>
      </c>
      <c r="C894" s="10">
        <v>45828</v>
      </c>
      <c r="D894" s="7">
        <v>593.46950000000004</v>
      </c>
      <c r="E894" s="7">
        <v>3401329</v>
      </c>
      <c r="F894" s="7">
        <v>3401329</v>
      </c>
      <c r="G894" s="7">
        <v>18239313</v>
      </c>
      <c r="H894" s="7">
        <v>595.59870000000001</v>
      </c>
      <c r="I894" s="7">
        <v>594.0317</v>
      </c>
      <c r="J894" s="7">
        <v>14</v>
      </c>
      <c r="K894" s="7">
        <v>2.3097514000000002E-3</v>
      </c>
      <c r="L894" s="7">
        <v>596.9743849404</v>
      </c>
      <c r="M894" s="7">
        <v>592.65963444010004</v>
      </c>
      <c r="N894" s="7">
        <v>594.2485326446</v>
      </c>
      <c r="O894" s="7">
        <v>596.9743849404</v>
      </c>
      <c r="P894" s="7">
        <v>592.65963444010004</v>
      </c>
      <c r="Q894">
        <v>1</v>
      </c>
      <c r="R894">
        <v>0</v>
      </c>
      <c r="S894" s="11">
        <v>45828.666666666664</v>
      </c>
      <c r="T894">
        <v>1590</v>
      </c>
    </row>
    <row r="895" spans="1:20">
      <c r="A895" s="11">
        <v>45828.479166666664</v>
      </c>
      <c r="B895" s="11">
        <v>45828.5</v>
      </c>
      <c r="C895" s="10">
        <v>45828</v>
      </c>
      <c r="D895" s="7">
        <v>593.0059</v>
      </c>
      <c r="E895" s="7">
        <v>2726780</v>
      </c>
      <c r="F895" s="7">
        <v>2726780</v>
      </c>
      <c r="G895" s="7">
        <v>20966093</v>
      </c>
      <c r="H895" s="7">
        <v>595.59870000000001</v>
      </c>
      <c r="I895" s="7">
        <v>594.0317</v>
      </c>
      <c r="J895" s="7">
        <v>14</v>
      </c>
      <c r="K895" s="7">
        <v>2.4185578999999999E-3</v>
      </c>
      <c r="L895" s="7">
        <v>597.03918993449997</v>
      </c>
      <c r="M895" s="7">
        <v>592.59499994570001</v>
      </c>
      <c r="N895" s="7">
        <v>594.08691999489997</v>
      </c>
      <c r="O895" s="7">
        <v>597.03918993449997</v>
      </c>
      <c r="P895" s="7">
        <v>592.59499994570001</v>
      </c>
      <c r="Q895">
        <v>1</v>
      </c>
      <c r="R895">
        <v>0</v>
      </c>
      <c r="S895" s="11">
        <v>45828.666666666664</v>
      </c>
      <c r="T895">
        <v>1589</v>
      </c>
    </row>
    <row r="896" spans="1:20">
      <c r="A896" s="11">
        <v>45828.5</v>
      </c>
      <c r="B896" s="11">
        <v>45828.520833333336</v>
      </c>
      <c r="C896" s="10">
        <v>45828</v>
      </c>
      <c r="D896" s="7">
        <v>593.32000000000005</v>
      </c>
      <c r="E896" s="7">
        <v>2162651</v>
      </c>
      <c r="F896" s="7">
        <v>2162651</v>
      </c>
      <c r="G896" s="7">
        <v>23128744</v>
      </c>
      <c r="H896" s="7">
        <v>595.59870000000001</v>
      </c>
      <c r="I896" s="7">
        <v>594.0317</v>
      </c>
      <c r="J896" s="7">
        <v>14</v>
      </c>
      <c r="K896" s="7">
        <v>2.7244169000000002E-3</v>
      </c>
      <c r="L896" s="7">
        <v>597.2213591364</v>
      </c>
      <c r="M896" s="7">
        <v>592.41331002480001</v>
      </c>
      <c r="N896" s="7">
        <v>594.01520921400004</v>
      </c>
      <c r="O896" s="7">
        <v>597.2213591364</v>
      </c>
      <c r="P896" s="7">
        <v>592.41331002480001</v>
      </c>
      <c r="Q896">
        <v>1</v>
      </c>
      <c r="R896">
        <v>0</v>
      </c>
      <c r="S896" s="11">
        <v>45828.666666666664</v>
      </c>
      <c r="T896">
        <v>1588</v>
      </c>
    </row>
    <row r="897" spans="1:20">
      <c r="A897" s="11">
        <v>45828.520833333336</v>
      </c>
      <c r="B897" s="11">
        <v>45828.541666666664</v>
      </c>
      <c r="C897" s="10">
        <v>45828</v>
      </c>
      <c r="D897" s="7">
        <v>593.63419999999996</v>
      </c>
      <c r="E897" s="7">
        <v>1948783</v>
      </c>
      <c r="F897" s="7">
        <v>1948783</v>
      </c>
      <c r="G897" s="7">
        <v>25077527</v>
      </c>
      <c r="H897" s="7">
        <v>595.59870000000001</v>
      </c>
      <c r="I897" s="7">
        <v>594.0317</v>
      </c>
      <c r="J897" s="7">
        <v>14</v>
      </c>
      <c r="K897" s="7">
        <v>2.8397945999999999E-3</v>
      </c>
      <c r="L897" s="7">
        <v>597.29007795250004</v>
      </c>
      <c r="M897" s="7">
        <v>592.34477200560002</v>
      </c>
      <c r="N897" s="7">
        <v>593.98560086069995</v>
      </c>
      <c r="O897" s="7">
        <v>597.29007795250004</v>
      </c>
      <c r="P897" s="7">
        <v>592.34477200560002</v>
      </c>
      <c r="Q897">
        <v>1</v>
      </c>
      <c r="R897">
        <v>0</v>
      </c>
      <c r="S897" s="11">
        <v>45828.666666666664</v>
      </c>
      <c r="T897">
        <v>1587</v>
      </c>
    </row>
    <row r="898" spans="1:20">
      <c r="A898" s="11">
        <v>45828.541666666664</v>
      </c>
      <c r="B898" s="11">
        <v>45828.5625</v>
      </c>
      <c r="C898" s="10">
        <v>45828</v>
      </c>
      <c r="D898" s="7">
        <v>591.71939999999995</v>
      </c>
      <c r="E898" s="7">
        <v>2701585</v>
      </c>
      <c r="F898" s="7">
        <v>2701585</v>
      </c>
      <c r="G898" s="7">
        <v>27779112</v>
      </c>
      <c r="H898" s="7">
        <v>595.59870000000001</v>
      </c>
      <c r="I898" s="7">
        <v>594.0317</v>
      </c>
      <c r="J898" s="7">
        <v>14</v>
      </c>
      <c r="K898" s="7">
        <v>2.8460752000000001E-3</v>
      </c>
      <c r="L898" s="7">
        <v>597.29381869830002</v>
      </c>
      <c r="M898" s="7">
        <v>592.34104110149997</v>
      </c>
      <c r="N898" s="7">
        <v>593.76520741360002</v>
      </c>
      <c r="O898" s="7">
        <v>597.29381869830002</v>
      </c>
      <c r="P898" s="7">
        <v>592.34104110149997</v>
      </c>
      <c r="Q898">
        <v>1</v>
      </c>
      <c r="R898">
        <v>0</v>
      </c>
      <c r="S898" s="11">
        <v>45828.666666666664</v>
      </c>
      <c r="T898">
        <v>1586</v>
      </c>
    </row>
    <row r="899" spans="1:20">
      <c r="A899" s="11">
        <v>45828.5625</v>
      </c>
      <c r="B899" s="11">
        <v>45828.583333333336</v>
      </c>
      <c r="C899" s="10">
        <v>45828</v>
      </c>
      <c r="D899" s="7">
        <v>592.34770000000003</v>
      </c>
      <c r="E899" s="7">
        <v>2982158</v>
      </c>
      <c r="F899" s="7">
        <v>2982158</v>
      </c>
      <c r="G899" s="7">
        <v>30761270</v>
      </c>
      <c r="H899" s="7">
        <v>595.59870000000001</v>
      </c>
      <c r="I899" s="7">
        <v>594.0317</v>
      </c>
      <c r="J899" s="7">
        <v>14</v>
      </c>
      <c r="K899" s="7">
        <v>2.8830173E-3</v>
      </c>
      <c r="L899" s="7">
        <v>597.31582136580005</v>
      </c>
      <c r="M899" s="7">
        <v>592.31909632240001</v>
      </c>
      <c r="N899" s="7">
        <v>593.62778684950001</v>
      </c>
      <c r="O899" s="7">
        <v>597.31582136580005</v>
      </c>
      <c r="P899" s="7">
        <v>592.31909632240001</v>
      </c>
      <c r="Q899">
        <v>1</v>
      </c>
      <c r="R899">
        <v>0</v>
      </c>
      <c r="S899" s="11">
        <v>45828.666666666664</v>
      </c>
      <c r="T899">
        <v>1585</v>
      </c>
    </row>
    <row r="900" spans="1:20">
      <c r="A900" s="11">
        <v>45828.583333333336</v>
      </c>
      <c r="B900" s="11">
        <v>45828.604166666664</v>
      </c>
      <c r="C900" s="10">
        <v>45828</v>
      </c>
      <c r="D900" s="7">
        <v>593.28510000000006</v>
      </c>
      <c r="E900" s="7">
        <v>2433243</v>
      </c>
      <c r="F900" s="7">
        <v>2433243</v>
      </c>
      <c r="G900" s="7">
        <v>33194513</v>
      </c>
      <c r="H900" s="7">
        <v>595.59870000000001</v>
      </c>
      <c r="I900" s="7">
        <v>594.0317</v>
      </c>
      <c r="J900" s="7">
        <v>14</v>
      </c>
      <c r="K900" s="7">
        <v>3.1052113999999998E-3</v>
      </c>
      <c r="L900" s="7">
        <v>597.44815986950005</v>
      </c>
      <c r="M900" s="7">
        <v>592.18710599680003</v>
      </c>
      <c r="N900" s="7">
        <v>593.60266702390004</v>
      </c>
      <c r="O900" s="7">
        <v>597.44815986950005</v>
      </c>
      <c r="P900" s="7">
        <v>592.18710599680003</v>
      </c>
      <c r="Q900">
        <v>1</v>
      </c>
      <c r="R900">
        <v>0</v>
      </c>
      <c r="S900" s="11">
        <v>45828.666666666664</v>
      </c>
      <c r="T900">
        <v>1584</v>
      </c>
    </row>
    <row r="901" spans="1:20">
      <c r="A901" s="11">
        <v>45828.604166666664</v>
      </c>
      <c r="B901" s="11">
        <v>45828.625</v>
      </c>
      <c r="C901" s="10">
        <v>45828</v>
      </c>
      <c r="D901" s="7">
        <v>591.84910000000002</v>
      </c>
      <c r="E901" s="7">
        <v>2196913</v>
      </c>
      <c r="F901" s="7">
        <v>2196913</v>
      </c>
      <c r="G901" s="7">
        <v>35391426</v>
      </c>
      <c r="H901" s="7">
        <v>595.59870000000001</v>
      </c>
      <c r="I901" s="7">
        <v>594.0317</v>
      </c>
      <c r="J901" s="7">
        <v>14</v>
      </c>
      <c r="K901" s="7">
        <v>3.5100372000000002E-3</v>
      </c>
      <c r="L901" s="7">
        <v>597.68927361960004</v>
      </c>
      <c r="M901" s="7">
        <v>591.94662660879999</v>
      </c>
      <c r="N901" s="7">
        <v>593.49381483499997</v>
      </c>
      <c r="O901" s="7">
        <v>597.68927361960004</v>
      </c>
      <c r="P901" s="7">
        <v>591.94662660879999</v>
      </c>
      <c r="Q901">
        <v>1</v>
      </c>
      <c r="R901">
        <v>0</v>
      </c>
      <c r="S901" s="11">
        <v>45828.666666666664</v>
      </c>
      <c r="T901">
        <v>1583</v>
      </c>
    </row>
    <row r="902" spans="1:20">
      <c r="A902" s="11">
        <v>45828.625</v>
      </c>
      <c r="B902" s="11">
        <v>45828.645833333336</v>
      </c>
      <c r="C902" s="10">
        <v>45828</v>
      </c>
      <c r="D902" s="7">
        <v>591.81920000000002</v>
      </c>
      <c r="E902" s="7">
        <v>3130061</v>
      </c>
      <c r="F902" s="7">
        <v>3130061</v>
      </c>
      <c r="G902" s="7">
        <v>38521487</v>
      </c>
      <c r="H902" s="7">
        <v>595.59870000000001</v>
      </c>
      <c r="I902" s="7">
        <v>594.0317</v>
      </c>
      <c r="J902" s="7">
        <v>14</v>
      </c>
      <c r="K902" s="7">
        <v>4.0708908999999996E-3</v>
      </c>
      <c r="L902" s="7">
        <v>598.02331733840003</v>
      </c>
      <c r="M902" s="7">
        <v>591.61346174769994</v>
      </c>
      <c r="N902" s="7">
        <v>593.35774411199998</v>
      </c>
      <c r="O902" s="7">
        <v>598.02331733840003</v>
      </c>
      <c r="P902" s="7">
        <v>591.61346174769994</v>
      </c>
      <c r="Q902">
        <v>1</v>
      </c>
      <c r="R902">
        <v>0</v>
      </c>
      <c r="S902" s="11">
        <v>45828.666666666664</v>
      </c>
      <c r="T902">
        <v>1582</v>
      </c>
    </row>
    <row r="903" spans="1:20">
      <c r="A903" s="11">
        <v>45828.645833333336</v>
      </c>
      <c r="B903" s="11">
        <v>45828.666666666664</v>
      </c>
      <c r="C903" s="10">
        <v>45828</v>
      </c>
      <c r="D903" s="7">
        <v>592.63689999999997</v>
      </c>
      <c r="E903" s="7">
        <v>13225465</v>
      </c>
      <c r="F903" s="7">
        <v>13225465</v>
      </c>
      <c r="G903" s="7">
        <v>51746952</v>
      </c>
      <c r="H903" s="7">
        <v>595.59870000000001</v>
      </c>
      <c r="I903" s="7">
        <v>594.0317</v>
      </c>
      <c r="J903" s="7">
        <v>14</v>
      </c>
      <c r="K903" s="7">
        <v>3.7371245999999999E-3</v>
      </c>
      <c r="L903" s="7">
        <v>597.8245265255</v>
      </c>
      <c r="M903" s="7">
        <v>591.81172954869999</v>
      </c>
      <c r="N903" s="7">
        <v>593.16331344050002</v>
      </c>
      <c r="O903" s="7">
        <v>597.8245265255</v>
      </c>
      <c r="P903" s="7">
        <v>591.81172954869999</v>
      </c>
      <c r="Q903">
        <v>1</v>
      </c>
      <c r="R903">
        <v>1</v>
      </c>
      <c r="S903" s="11">
        <v>45828.666666666664</v>
      </c>
      <c r="T903">
        <v>1581</v>
      </c>
    </row>
    <row r="904" spans="1:20">
      <c r="A904" s="11">
        <v>45831.395833333336</v>
      </c>
      <c r="B904" s="11">
        <v>45831.416666666664</v>
      </c>
      <c r="C904" s="10">
        <v>45831</v>
      </c>
      <c r="D904" s="7">
        <v>595.1</v>
      </c>
      <c r="E904" s="7">
        <v>5668980</v>
      </c>
      <c r="F904" s="7">
        <v>5668980</v>
      </c>
      <c r="G904" s="7">
        <v>5668980</v>
      </c>
      <c r="H904" s="7">
        <v>595.1</v>
      </c>
      <c r="I904" s="7">
        <v>592.63679999999999</v>
      </c>
      <c r="J904" s="7">
        <v>14</v>
      </c>
      <c r="K904" s="7">
        <v>0</v>
      </c>
      <c r="L904" s="7">
        <v>595.1</v>
      </c>
      <c r="M904" s="7">
        <v>592.63679999999999</v>
      </c>
      <c r="N904" s="7">
        <v>595.1</v>
      </c>
      <c r="O904" s="7">
        <v>595.1</v>
      </c>
      <c r="P904" s="7">
        <v>592.63679999999999</v>
      </c>
      <c r="Q904">
        <v>1</v>
      </c>
      <c r="R904">
        <v>0</v>
      </c>
      <c r="S904" s="11">
        <v>45831.666666666664</v>
      </c>
      <c r="T904">
        <v>1579</v>
      </c>
    </row>
    <row r="905" spans="1:20">
      <c r="A905" s="11">
        <v>45831.416666666664</v>
      </c>
      <c r="B905" s="11">
        <v>45831.4375</v>
      </c>
      <c r="C905" s="10">
        <v>45831</v>
      </c>
      <c r="D905" s="7">
        <v>595.94510000000002</v>
      </c>
      <c r="E905" s="7">
        <v>4662690</v>
      </c>
      <c r="F905" s="7">
        <v>4662690</v>
      </c>
      <c r="G905" s="7">
        <v>10331670</v>
      </c>
      <c r="H905" s="7">
        <v>595.1</v>
      </c>
      <c r="I905" s="7">
        <v>592.63679999999999</v>
      </c>
      <c r="J905" s="7">
        <v>14</v>
      </c>
      <c r="K905" s="7">
        <v>2.0864731000000002E-3</v>
      </c>
      <c r="L905" s="7">
        <v>596.34166015230005</v>
      </c>
      <c r="M905" s="7">
        <v>591.40027924820004</v>
      </c>
      <c r="N905" s="7">
        <v>595.48139422949998</v>
      </c>
      <c r="O905" s="7">
        <v>596.34166015230005</v>
      </c>
      <c r="P905" s="7">
        <v>591.40027924820004</v>
      </c>
      <c r="Q905">
        <v>1</v>
      </c>
      <c r="R905">
        <v>0</v>
      </c>
      <c r="S905" s="11">
        <v>45831.666666666664</v>
      </c>
      <c r="T905">
        <v>1578</v>
      </c>
    </row>
    <row r="906" spans="1:20">
      <c r="A906" s="11">
        <v>45831.4375</v>
      </c>
      <c r="B906" s="11">
        <v>45831.458333333336</v>
      </c>
      <c r="C906" s="10">
        <v>45831</v>
      </c>
      <c r="D906" s="7">
        <v>594.8107</v>
      </c>
      <c r="E906" s="7">
        <v>3020511</v>
      </c>
      <c r="F906" s="7">
        <v>3020511</v>
      </c>
      <c r="G906" s="7">
        <v>13352181</v>
      </c>
      <c r="H906" s="7">
        <v>595.1</v>
      </c>
      <c r="I906" s="7">
        <v>592.63679999999999</v>
      </c>
      <c r="J906" s="7">
        <v>14</v>
      </c>
      <c r="K906" s="7">
        <v>2.4345362999999998E-3</v>
      </c>
      <c r="L906" s="7">
        <v>596.54879257170001</v>
      </c>
      <c r="M906" s="7">
        <v>591.19400417819998</v>
      </c>
      <c r="N906" s="7">
        <v>595.32967075470003</v>
      </c>
      <c r="O906" s="7">
        <v>596.54879257170001</v>
      </c>
      <c r="P906" s="7">
        <v>591.19400417819998</v>
      </c>
      <c r="Q906">
        <v>1</v>
      </c>
      <c r="R906">
        <v>0</v>
      </c>
      <c r="S906" s="11">
        <v>45831.666666666664</v>
      </c>
      <c r="T906">
        <v>1577</v>
      </c>
    </row>
    <row r="907" spans="1:20">
      <c r="A907" s="11">
        <v>45831.458333333336</v>
      </c>
      <c r="B907" s="11">
        <v>45831.479166666664</v>
      </c>
      <c r="C907" s="10">
        <v>45831</v>
      </c>
      <c r="D907" s="7">
        <v>594.78089999999997</v>
      </c>
      <c r="E907" s="7">
        <v>2544809</v>
      </c>
      <c r="F907" s="7">
        <v>2544809</v>
      </c>
      <c r="G907" s="7">
        <v>15896990</v>
      </c>
      <c r="H907" s="7">
        <v>595.1</v>
      </c>
      <c r="I907" s="7">
        <v>592.63679999999999</v>
      </c>
      <c r="J907" s="7">
        <v>14</v>
      </c>
      <c r="K907" s="7">
        <v>2.3717650000000001E-3</v>
      </c>
      <c r="L907" s="7">
        <v>596.51143734319999</v>
      </c>
      <c r="M907" s="7">
        <v>591.23120478830003</v>
      </c>
      <c r="N907" s="7">
        <v>595.24182288190002</v>
      </c>
      <c r="O907" s="7">
        <v>596.51143734319999</v>
      </c>
      <c r="P907" s="7">
        <v>591.23120478830003</v>
      </c>
      <c r="Q907">
        <v>1</v>
      </c>
      <c r="R907">
        <v>0</v>
      </c>
      <c r="S907" s="11">
        <v>45831.666666666664</v>
      </c>
      <c r="T907">
        <v>1576</v>
      </c>
    </row>
    <row r="908" spans="1:20">
      <c r="A908" s="11">
        <v>45831.479166666664</v>
      </c>
      <c r="B908" s="11">
        <v>45831.5</v>
      </c>
      <c r="C908" s="10">
        <v>45831</v>
      </c>
      <c r="D908" s="7">
        <v>594.20249999999999</v>
      </c>
      <c r="E908" s="7">
        <v>2694165</v>
      </c>
      <c r="F908" s="7">
        <v>2694165</v>
      </c>
      <c r="G908" s="7">
        <v>18591155</v>
      </c>
      <c r="H908" s="7">
        <v>595.1</v>
      </c>
      <c r="I908" s="7">
        <v>592.63679999999999</v>
      </c>
      <c r="J908" s="7">
        <v>14</v>
      </c>
      <c r="K908" s="7">
        <v>2.6547344999999999E-3</v>
      </c>
      <c r="L908" s="7">
        <v>596.67983251019996</v>
      </c>
      <c r="M908" s="7">
        <v>591.06350663190005</v>
      </c>
      <c r="N908" s="7">
        <v>595.09120785380003</v>
      </c>
      <c r="O908" s="7">
        <v>596.67983251019996</v>
      </c>
      <c r="P908" s="7">
        <v>591.06350663190005</v>
      </c>
      <c r="Q908">
        <v>1</v>
      </c>
      <c r="R908">
        <v>0</v>
      </c>
      <c r="S908" s="11">
        <v>45831.666666666664</v>
      </c>
      <c r="T908">
        <v>1575</v>
      </c>
    </row>
    <row r="909" spans="1:20">
      <c r="A909" s="11">
        <v>45831.5</v>
      </c>
      <c r="B909" s="11">
        <v>45831.520833333336</v>
      </c>
      <c r="C909" s="10">
        <v>45831</v>
      </c>
      <c r="D909" s="7">
        <v>592.59699999999998</v>
      </c>
      <c r="E909" s="7">
        <v>2950607</v>
      </c>
      <c r="F909" s="7">
        <v>2950607</v>
      </c>
      <c r="G909" s="7">
        <v>21541762</v>
      </c>
      <c r="H909" s="7">
        <v>595.1</v>
      </c>
      <c r="I909" s="7">
        <v>592.63679999999999</v>
      </c>
      <c r="J909" s="7">
        <v>14</v>
      </c>
      <c r="K909" s="7">
        <v>2.7143750999999998E-3</v>
      </c>
      <c r="L909" s="7">
        <v>596.71532462330003</v>
      </c>
      <c r="M909" s="7">
        <v>591.02816142539996</v>
      </c>
      <c r="N909" s="7">
        <v>594.74957251529997</v>
      </c>
      <c r="O909" s="7">
        <v>596.71532462330003</v>
      </c>
      <c r="P909" s="7">
        <v>591.02816142539996</v>
      </c>
      <c r="Q909">
        <v>1</v>
      </c>
      <c r="R909">
        <v>0</v>
      </c>
      <c r="S909" s="11">
        <v>45831.666666666664</v>
      </c>
      <c r="T909">
        <v>1574</v>
      </c>
    </row>
    <row r="910" spans="1:20">
      <c r="A910" s="11">
        <v>45831.520833333336</v>
      </c>
      <c r="B910" s="11">
        <v>45831.541666666664</v>
      </c>
      <c r="C910" s="10">
        <v>45831</v>
      </c>
      <c r="D910" s="7">
        <v>591.93880000000001</v>
      </c>
      <c r="E910" s="7">
        <v>9258814</v>
      </c>
      <c r="F910" s="7">
        <v>9258814</v>
      </c>
      <c r="G910" s="7">
        <v>30800576</v>
      </c>
      <c r="H910" s="7">
        <v>595.1</v>
      </c>
      <c r="I910" s="7">
        <v>592.63679999999999</v>
      </c>
      <c r="J910" s="7">
        <v>14</v>
      </c>
      <c r="K910" s="7">
        <v>2.6656066999999999E-3</v>
      </c>
      <c r="L910" s="7">
        <v>596.68630252670005</v>
      </c>
      <c r="M910" s="7">
        <v>591.05706339560004</v>
      </c>
      <c r="N910" s="7">
        <v>593.90463961809996</v>
      </c>
      <c r="O910" s="7">
        <v>596.68630252670005</v>
      </c>
      <c r="P910" s="7">
        <v>591.05706339560004</v>
      </c>
      <c r="Q910">
        <v>1</v>
      </c>
      <c r="R910">
        <v>0</v>
      </c>
      <c r="S910" s="11">
        <v>45831.666666666664</v>
      </c>
      <c r="T910">
        <v>1573</v>
      </c>
    </row>
    <row r="911" spans="1:20">
      <c r="A911" s="11">
        <v>45831.541666666664</v>
      </c>
      <c r="B911" s="11">
        <v>45831.5625</v>
      </c>
      <c r="C911" s="10">
        <v>45831</v>
      </c>
      <c r="D911" s="7">
        <v>596.2269</v>
      </c>
      <c r="E911" s="7">
        <v>5853934</v>
      </c>
      <c r="F911" s="7">
        <v>5853934</v>
      </c>
      <c r="G911" s="7">
        <v>36654510</v>
      </c>
      <c r="H911" s="7">
        <v>595.1</v>
      </c>
      <c r="I911" s="7">
        <v>592.63679999999999</v>
      </c>
      <c r="J911" s="7">
        <v>14</v>
      </c>
      <c r="K911" s="7">
        <v>3.1252746000000001E-3</v>
      </c>
      <c r="L911" s="7">
        <v>596.95985093199999</v>
      </c>
      <c r="M911" s="7">
        <v>590.78464724440005</v>
      </c>
      <c r="N911" s="7">
        <v>594.27551782670002</v>
      </c>
      <c r="O911" s="7">
        <v>596.95985093199999</v>
      </c>
      <c r="P911" s="7">
        <v>590.78464724440005</v>
      </c>
      <c r="Q911">
        <v>1</v>
      </c>
      <c r="R911">
        <v>0</v>
      </c>
      <c r="S911" s="11">
        <v>45831.666666666664</v>
      </c>
      <c r="T911">
        <v>1572</v>
      </c>
    </row>
    <row r="912" spans="1:20">
      <c r="A912" s="11">
        <v>45831.5625</v>
      </c>
      <c r="B912" s="11">
        <v>45831.583333333336</v>
      </c>
      <c r="C912" s="10">
        <v>45831</v>
      </c>
      <c r="D912" s="7">
        <v>596.92499999999995</v>
      </c>
      <c r="E912" s="7">
        <v>4797029</v>
      </c>
      <c r="F912" s="7">
        <v>4797029</v>
      </c>
      <c r="G912" s="7">
        <v>41451539</v>
      </c>
      <c r="H912" s="7">
        <v>595.1</v>
      </c>
      <c r="I912" s="7">
        <v>592.63679999999999</v>
      </c>
      <c r="J912" s="7">
        <v>14</v>
      </c>
      <c r="K912" s="7">
        <v>3.0856434E-3</v>
      </c>
      <c r="L912" s="7">
        <v>596.93626640629998</v>
      </c>
      <c r="M912" s="7">
        <v>590.80813415060004</v>
      </c>
      <c r="N912" s="7">
        <v>594.58213232469996</v>
      </c>
      <c r="O912" s="7">
        <v>596.93626640629998</v>
      </c>
      <c r="P912" s="7">
        <v>590.80813415060004</v>
      </c>
      <c r="Q912">
        <v>1</v>
      </c>
      <c r="R912">
        <v>0</v>
      </c>
      <c r="S912" s="11">
        <v>45831.666666666664</v>
      </c>
      <c r="T912">
        <v>1571</v>
      </c>
    </row>
    <row r="913" spans="1:20">
      <c r="A913" s="11">
        <v>45831.583333333336</v>
      </c>
      <c r="B913" s="11">
        <v>45831.604166666664</v>
      </c>
      <c r="C913" s="10">
        <v>45831</v>
      </c>
      <c r="D913" s="7">
        <v>596.7654</v>
      </c>
      <c r="E913" s="7">
        <v>3042728</v>
      </c>
      <c r="F913" s="7">
        <v>3042728</v>
      </c>
      <c r="G913" s="7">
        <v>44494267</v>
      </c>
      <c r="H913" s="7">
        <v>595.1</v>
      </c>
      <c r="I913" s="7">
        <v>592.63679999999999</v>
      </c>
      <c r="J913" s="7">
        <v>14</v>
      </c>
      <c r="K913" s="7">
        <v>3.2720230000000002E-3</v>
      </c>
      <c r="L913" s="7">
        <v>597.04718090660003</v>
      </c>
      <c r="M913" s="7">
        <v>590.69767874050001</v>
      </c>
      <c r="N913" s="7">
        <v>594.73143447380005</v>
      </c>
      <c r="O913" s="7">
        <v>597.04718090660003</v>
      </c>
      <c r="P913" s="7">
        <v>590.69767874050001</v>
      </c>
      <c r="Q913">
        <v>1</v>
      </c>
      <c r="R913">
        <v>0</v>
      </c>
      <c r="S913" s="11">
        <v>45831.666666666664</v>
      </c>
      <c r="T913">
        <v>1570</v>
      </c>
    </row>
    <row r="914" spans="1:20">
      <c r="A914" s="11">
        <v>45831.604166666664</v>
      </c>
      <c r="B914" s="11">
        <v>45831.625</v>
      </c>
      <c r="C914" s="10">
        <v>45831</v>
      </c>
      <c r="D914" s="7">
        <v>596.80539999999996</v>
      </c>
      <c r="E914" s="7">
        <v>3226881</v>
      </c>
      <c r="F914" s="7">
        <v>3226881</v>
      </c>
      <c r="G914" s="7">
        <v>47721148</v>
      </c>
      <c r="H914" s="7">
        <v>595.1</v>
      </c>
      <c r="I914" s="7">
        <v>592.63679999999999</v>
      </c>
      <c r="J914" s="7">
        <v>14</v>
      </c>
      <c r="K914" s="7">
        <v>3.8113611000000001E-3</v>
      </c>
      <c r="L914" s="7">
        <v>597.36814098299999</v>
      </c>
      <c r="M914" s="7">
        <v>590.37804716159997</v>
      </c>
      <c r="N914" s="7">
        <v>594.87167502190005</v>
      </c>
      <c r="O914" s="7">
        <v>597.36814098299999</v>
      </c>
      <c r="P914" s="7">
        <v>590.37804716159997</v>
      </c>
      <c r="Q914">
        <v>1</v>
      </c>
      <c r="R914">
        <v>0</v>
      </c>
      <c r="S914" s="11">
        <v>45831.666666666664</v>
      </c>
      <c r="T914">
        <v>1569</v>
      </c>
    </row>
    <row r="915" spans="1:20">
      <c r="A915" s="11">
        <v>45831.625</v>
      </c>
      <c r="B915" s="11">
        <v>45831.645833333336</v>
      </c>
      <c r="C915" s="10">
        <v>45831</v>
      </c>
      <c r="D915" s="7">
        <v>597.56320000000005</v>
      </c>
      <c r="E915" s="7">
        <v>3969332</v>
      </c>
      <c r="F915" s="7">
        <v>3969332</v>
      </c>
      <c r="G915" s="7">
        <v>51690480</v>
      </c>
      <c r="H915" s="7">
        <v>595.1</v>
      </c>
      <c r="I915" s="7">
        <v>592.63679999999999</v>
      </c>
      <c r="J915" s="7">
        <v>14</v>
      </c>
      <c r="K915" s="7">
        <v>4.1362741000000001E-3</v>
      </c>
      <c r="L915" s="7">
        <v>597.56149673770005</v>
      </c>
      <c r="M915" s="7">
        <v>590.18549173279996</v>
      </c>
      <c r="N915" s="7">
        <v>595.07835826849998</v>
      </c>
      <c r="O915" s="7">
        <v>597.56149673770005</v>
      </c>
      <c r="P915" s="7">
        <v>590.18549173279996</v>
      </c>
      <c r="Q915">
        <v>1</v>
      </c>
      <c r="R915">
        <v>0</v>
      </c>
      <c r="S915" s="11">
        <v>45831.666666666664</v>
      </c>
      <c r="T915">
        <v>1568</v>
      </c>
    </row>
    <row r="916" spans="1:20">
      <c r="A916" s="11">
        <v>45831.645833333336</v>
      </c>
      <c r="B916" s="11">
        <v>45831.666666666664</v>
      </c>
      <c r="C916" s="10">
        <v>45831</v>
      </c>
      <c r="D916" s="7">
        <v>598.49069999999995</v>
      </c>
      <c r="E916" s="7">
        <v>9600783</v>
      </c>
      <c r="F916" s="7">
        <v>9600783</v>
      </c>
      <c r="G916" s="7">
        <v>61291263</v>
      </c>
      <c r="H916" s="7">
        <v>595.1</v>
      </c>
      <c r="I916" s="7">
        <v>592.63679999999999</v>
      </c>
      <c r="J916" s="7">
        <v>14</v>
      </c>
      <c r="K916" s="7">
        <v>3.8527867000000002E-3</v>
      </c>
      <c r="L916" s="7">
        <v>597.39279335549998</v>
      </c>
      <c r="M916" s="7">
        <v>590.35349682859999</v>
      </c>
      <c r="N916" s="7">
        <v>595.61287413390005</v>
      </c>
      <c r="O916" s="7">
        <v>597.39279335549998</v>
      </c>
      <c r="P916" s="7">
        <v>590.35349682859999</v>
      </c>
      <c r="Q916">
        <v>1</v>
      </c>
      <c r="R916">
        <v>1</v>
      </c>
      <c r="S916" s="11">
        <v>45831.666666666664</v>
      </c>
      <c r="T916">
        <v>1567</v>
      </c>
    </row>
    <row r="917" spans="1:20">
      <c r="A917" s="11">
        <v>45832.395833333336</v>
      </c>
      <c r="B917" s="11">
        <v>45832.416666666664</v>
      </c>
      <c r="C917" s="10">
        <v>45832</v>
      </c>
      <c r="D917" s="7">
        <v>602.21029999999996</v>
      </c>
      <c r="E917" s="7">
        <v>6549237</v>
      </c>
      <c r="F917" s="7">
        <v>6549237</v>
      </c>
      <c r="G917" s="7">
        <v>6549237</v>
      </c>
      <c r="H917" s="7">
        <v>602.21029999999996</v>
      </c>
      <c r="I917" s="7">
        <v>598.49059999999997</v>
      </c>
      <c r="J917" s="7">
        <v>14</v>
      </c>
      <c r="K917" s="7">
        <v>0</v>
      </c>
      <c r="L917" s="7">
        <v>602.21029999999996</v>
      </c>
      <c r="M917" s="7">
        <v>598.49059999999997</v>
      </c>
      <c r="N917" s="7">
        <v>602.21029999999996</v>
      </c>
      <c r="O917" s="7">
        <v>602.21029999999996</v>
      </c>
      <c r="P917" s="7">
        <v>598.49059999999997</v>
      </c>
      <c r="Q917">
        <v>1</v>
      </c>
      <c r="R917">
        <v>0</v>
      </c>
      <c r="S917" s="11">
        <v>45832.666666666664</v>
      </c>
      <c r="T917">
        <v>1565</v>
      </c>
    </row>
    <row r="918" spans="1:20">
      <c r="A918" s="11">
        <v>45832.416666666664</v>
      </c>
      <c r="B918" s="11">
        <v>45832.4375</v>
      </c>
      <c r="C918" s="10">
        <v>45832</v>
      </c>
      <c r="D918" s="7">
        <v>602.95330000000001</v>
      </c>
      <c r="E918" s="7">
        <v>4138642</v>
      </c>
      <c r="F918" s="7">
        <v>4138642</v>
      </c>
      <c r="G918" s="7">
        <v>10687879</v>
      </c>
      <c r="H918" s="7">
        <v>602.21029999999996</v>
      </c>
      <c r="I918" s="7">
        <v>598.49059999999997</v>
      </c>
      <c r="J918" s="7">
        <v>14</v>
      </c>
      <c r="K918" s="7">
        <v>1.9125893E-3</v>
      </c>
      <c r="L918" s="7">
        <v>603.36208096730002</v>
      </c>
      <c r="M918" s="7">
        <v>597.34593329109998</v>
      </c>
      <c r="N918" s="7">
        <v>602.49801012529997</v>
      </c>
      <c r="O918" s="7">
        <v>603.36208096730002</v>
      </c>
      <c r="P918" s="7">
        <v>597.34593329109998</v>
      </c>
      <c r="Q918">
        <v>1</v>
      </c>
      <c r="R918">
        <v>0</v>
      </c>
      <c r="S918" s="11">
        <v>45832.666666666664</v>
      </c>
      <c r="T918">
        <v>1564</v>
      </c>
    </row>
    <row r="919" spans="1:20">
      <c r="A919" s="11">
        <v>45832.4375</v>
      </c>
      <c r="B919" s="11">
        <v>45832.458333333336</v>
      </c>
      <c r="C919" s="10">
        <v>45832</v>
      </c>
      <c r="D919" s="7">
        <v>603.32730000000004</v>
      </c>
      <c r="E919" s="7">
        <v>2960689</v>
      </c>
      <c r="F919" s="7">
        <v>2960689</v>
      </c>
      <c r="G919" s="7">
        <v>13648568</v>
      </c>
      <c r="H919" s="7">
        <v>602.21029999999996</v>
      </c>
      <c r="I919" s="7">
        <v>598.49059999999997</v>
      </c>
      <c r="J919" s="7">
        <v>14</v>
      </c>
      <c r="K919" s="7">
        <v>2.1001381000000001E-3</v>
      </c>
      <c r="L919" s="7">
        <v>603.47502480679998</v>
      </c>
      <c r="M919" s="7">
        <v>597.23368707700001</v>
      </c>
      <c r="N919" s="7">
        <v>602.67790221430005</v>
      </c>
      <c r="O919" s="7">
        <v>603.47502480679998</v>
      </c>
      <c r="P919" s="7">
        <v>597.23368707700001</v>
      </c>
      <c r="Q919">
        <v>1</v>
      </c>
      <c r="R919">
        <v>0</v>
      </c>
      <c r="S919" s="11">
        <v>45832.666666666664</v>
      </c>
      <c r="T919">
        <v>1563</v>
      </c>
    </row>
    <row r="920" spans="1:20">
      <c r="A920" s="11">
        <v>45832.458333333336</v>
      </c>
      <c r="B920" s="11">
        <v>45832.479166666664</v>
      </c>
      <c r="C920" s="10">
        <v>45832</v>
      </c>
      <c r="D920" s="7">
        <v>604.10509999999999</v>
      </c>
      <c r="E920" s="7">
        <v>2760460</v>
      </c>
      <c r="F920" s="7">
        <v>2760460</v>
      </c>
      <c r="G920" s="7">
        <v>16409028</v>
      </c>
      <c r="H920" s="7">
        <v>602.21029999999996</v>
      </c>
      <c r="I920" s="7">
        <v>598.49059999999997</v>
      </c>
      <c r="J920" s="7">
        <v>14</v>
      </c>
      <c r="K920" s="7">
        <v>2.1396229000000002E-3</v>
      </c>
      <c r="L920" s="7">
        <v>603.49880293959995</v>
      </c>
      <c r="M920" s="7">
        <v>597.21005581559996</v>
      </c>
      <c r="N920" s="7">
        <v>602.91799702059996</v>
      </c>
      <c r="O920" s="7">
        <v>603.49880293959995</v>
      </c>
      <c r="P920" s="7">
        <v>597.21005581559996</v>
      </c>
      <c r="Q920">
        <v>1</v>
      </c>
      <c r="R920">
        <v>0</v>
      </c>
      <c r="S920" s="11">
        <v>45832.666666666664</v>
      </c>
      <c r="T920">
        <v>1562</v>
      </c>
    </row>
    <row r="921" spans="1:20">
      <c r="A921" s="11">
        <v>45832.479166666664</v>
      </c>
      <c r="B921" s="11">
        <v>45832.5</v>
      </c>
      <c r="C921" s="10">
        <v>45832</v>
      </c>
      <c r="D921" s="7">
        <v>604.11</v>
      </c>
      <c r="E921" s="7">
        <v>2124047</v>
      </c>
      <c r="F921" s="7">
        <v>2124047</v>
      </c>
      <c r="G921" s="7">
        <v>18533075</v>
      </c>
      <c r="H921" s="7">
        <v>602.21029999999996</v>
      </c>
      <c r="I921" s="7">
        <v>598.49059999999997</v>
      </c>
      <c r="J921" s="7">
        <v>14</v>
      </c>
      <c r="K921" s="7">
        <v>2.3312062999999998E-3</v>
      </c>
      <c r="L921" s="7">
        <v>603.61417644009998</v>
      </c>
      <c r="M921" s="7">
        <v>597.09539494800003</v>
      </c>
      <c r="N921" s="7">
        <v>603.05461063450002</v>
      </c>
      <c r="O921" s="7">
        <v>603.61417644009998</v>
      </c>
      <c r="P921" s="7">
        <v>597.09539494800003</v>
      </c>
      <c r="Q921">
        <v>1</v>
      </c>
      <c r="R921">
        <v>0</v>
      </c>
      <c r="S921" s="11">
        <v>45832.666666666664</v>
      </c>
      <c r="T921">
        <v>1561</v>
      </c>
    </row>
    <row r="922" spans="1:20">
      <c r="A922" s="11">
        <v>45832.5</v>
      </c>
      <c r="B922" s="11">
        <v>45832.520833333336</v>
      </c>
      <c r="C922" s="10">
        <v>45832</v>
      </c>
      <c r="D922" s="7">
        <v>604.82309999999995</v>
      </c>
      <c r="E922" s="7">
        <v>1900437</v>
      </c>
      <c r="F922" s="7">
        <v>1900437</v>
      </c>
      <c r="G922" s="7">
        <v>20433512</v>
      </c>
      <c r="H922" s="7">
        <v>602.21029999999996</v>
      </c>
      <c r="I922" s="7">
        <v>598.49059999999997</v>
      </c>
      <c r="J922" s="7">
        <v>14</v>
      </c>
      <c r="K922" s="7">
        <v>2.6420314000000001E-3</v>
      </c>
      <c r="L922" s="7">
        <v>603.80135850650004</v>
      </c>
      <c r="M922" s="7">
        <v>596.90936905759997</v>
      </c>
      <c r="N922" s="7">
        <v>603.21909056460004</v>
      </c>
      <c r="O922" s="7">
        <v>603.80135850650004</v>
      </c>
      <c r="P922" s="7">
        <v>596.90936905759997</v>
      </c>
      <c r="Q922">
        <v>1</v>
      </c>
      <c r="R922">
        <v>0</v>
      </c>
      <c r="S922" s="11">
        <v>45832.666666666664</v>
      </c>
      <c r="T922">
        <v>1560</v>
      </c>
    </row>
    <row r="923" spans="1:20">
      <c r="A923" s="11">
        <v>45832.520833333336</v>
      </c>
      <c r="B923" s="11">
        <v>45832.541666666664</v>
      </c>
      <c r="C923" s="10">
        <v>45832</v>
      </c>
      <c r="D923" s="7">
        <v>604.96270000000004</v>
      </c>
      <c r="E923" s="7">
        <v>2552416</v>
      </c>
      <c r="F923" s="7">
        <v>2552416</v>
      </c>
      <c r="G923" s="7">
        <v>22985928</v>
      </c>
      <c r="H923" s="7">
        <v>602.21029999999996</v>
      </c>
      <c r="I923" s="7">
        <v>598.49059999999997</v>
      </c>
      <c r="J923" s="7">
        <v>14</v>
      </c>
      <c r="K923" s="7">
        <v>2.5979556000000001E-3</v>
      </c>
      <c r="L923" s="7">
        <v>603.77481563619995</v>
      </c>
      <c r="M923" s="7">
        <v>596.9357479793</v>
      </c>
      <c r="N923" s="7">
        <v>603.41270539799996</v>
      </c>
      <c r="O923" s="7">
        <v>603.77481563619995</v>
      </c>
      <c r="P923" s="7">
        <v>596.9357479793</v>
      </c>
      <c r="Q923">
        <v>1</v>
      </c>
      <c r="R923">
        <v>0</v>
      </c>
      <c r="S923" s="11">
        <v>45832.666666666664</v>
      </c>
      <c r="T923">
        <v>1559</v>
      </c>
    </row>
    <row r="924" spans="1:20">
      <c r="A924" s="11">
        <v>45832.541666666664</v>
      </c>
      <c r="B924" s="11">
        <v>45832.5625</v>
      </c>
      <c r="C924" s="10">
        <v>45832</v>
      </c>
      <c r="D924" s="7">
        <v>604.67349999999999</v>
      </c>
      <c r="E924" s="7">
        <v>2268126</v>
      </c>
      <c r="F924" s="7">
        <v>2268126</v>
      </c>
      <c r="G924" s="7">
        <v>25254054</v>
      </c>
      <c r="H924" s="7">
        <v>602.21029999999996</v>
      </c>
      <c r="I924" s="7">
        <v>598.49059999999997</v>
      </c>
      <c r="J924" s="7">
        <v>14</v>
      </c>
      <c r="K924" s="7">
        <v>2.8329319999999998E-3</v>
      </c>
      <c r="L924" s="7">
        <v>603.91632080030001</v>
      </c>
      <c r="M924" s="7">
        <v>596.79511685670002</v>
      </c>
      <c r="N924" s="7">
        <v>603.52594032720003</v>
      </c>
      <c r="O924" s="7">
        <v>603.91632080030001</v>
      </c>
      <c r="P924" s="7">
        <v>596.79511685670002</v>
      </c>
      <c r="Q924">
        <v>1</v>
      </c>
      <c r="R924">
        <v>0</v>
      </c>
      <c r="S924" s="11">
        <v>45832.666666666664</v>
      </c>
      <c r="T924">
        <v>1558</v>
      </c>
    </row>
    <row r="925" spans="1:20">
      <c r="A925" s="11">
        <v>45832.5625</v>
      </c>
      <c r="B925" s="11">
        <v>45832.583333333336</v>
      </c>
      <c r="C925" s="10">
        <v>45832</v>
      </c>
      <c r="D925" s="7">
        <v>605.50120000000004</v>
      </c>
      <c r="E925" s="7">
        <v>1955897</v>
      </c>
      <c r="F925" s="7">
        <v>1955897</v>
      </c>
      <c r="G925" s="7">
        <v>27209951</v>
      </c>
      <c r="H925" s="7">
        <v>602.21029999999996</v>
      </c>
      <c r="I925" s="7">
        <v>598.49059999999997</v>
      </c>
      <c r="J925" s="7">
        <v>14</v>
      </c>
      <c r="K925" s="7">
        <v>2.8679642999999999E-3</v>
      </c>
      <c r="L925" s="7">
        <v>603.93741764050003</v>
      </c>
      <c r="M925" s="7">
        <v>596.77415032629995</v>
      </c>
      <c r="N925" s="7">
        <v>603.66792531160002</v>
      </c>
      <c r="O925" s="7">
        <v>603.93741764050003</v>
      </c>
      <c r="P925" s="7">
        <v>596.77415032629995</v>
      </c>
      <c r="Q925">
        <v>1</v>
      </c>
      <c r="R925">
        <v>0</v>
      </c>
      <c r="S925" s="11">
        <v>45832.666666666664</v>
      </c>
      <c r="T925">
        <v>1557</v>
      </c>
    </row>
    <row r="926" spans="1:20">
      <c r="A926" s="11">
        <v>45832.583333333336</v>
      </c>
      <c r="B926" s="11">
        <v>45832.604166666664</v>
      </c>
      <c r="C926" s="10">
        <v>45832</v>
      </c>
      <c r="D926" s="7">
        <v>605.33169999999996</v>
      </c>
      <c r="E926" s="7">
        <v>2228057</v>
      </c>
      <c r="F926" s="7">
        <v>2228057</v>
      </c>
      <c r="G926" s="7">
        <v>29438008</v>
      </c>
      <c r="H926" s="7">
        <v>602.21029999999996</v>
      </c>
      <c r="I926" s="7">
        <v>598.49059999999997</v>
      </c>
      <c r="J926" s="7">
        <v>14</v>
      </c>
      <c r="K926" s="7">
        <v>2.8420926999999999E-3</v>
      </c>
      <c r="L926" s="7">
        <v>603.92183747160004</v>
      </c>
      <c r="M926" s="7">
        <v>596.78963426049995</v>
      </c>
      <c r="N926" s="7">
        <v>603.79385043670004</v>
      </c>
      <c r="O926" s="7">
        <v>603.92183747160004</v>
      </c>
      <c r="P926" s="7">
        <v>596.78963426049995</v>
      </c>
      <c r="Q926">
        <v>1</v>
      </c>
      <c r="R926">
        <v>0</v>
      </c>
      <c r="S926" s="11">
        <v>45832.666666666664</v>
      </c>
      <c r="T926">
        <v>1556</v>
      </c>
    </row>
    <row r="927" spans="1:20">
      <c r="A927" s="11">
        <v>45832.604166666664</v>
      </c>
      <c r="B927" s="11">
        <v>45832.625</v>
      </c>
      <c r="C927" s="10">
        <v>45832</v>
      </c>
      <c r="D927" s="7">
        <v>605.63589999999999</v>
      </c>
      <c r="E927" s="7">
        <v>2168464</v>
      </c>
      <c r="F927" s="7">
        <v>2168464</v>
      </c>
      <c r="G927" s="7">
        <v>31606472</v>
      </c>
      <c r="H927" s="7">
        <v>602.21029999999996</v>
      </c>
      <c r="I927" s="7">
        <v>598.49059999999997</v>
      </c>
      <c r="J927" s="7">
        <v>14</v>
      </c>
      <c r="K927" s="7">
        <v>3.3435941000000001E-3</v>
      </c>
      <c r="L927" s="7">
        <v>604.22384683120004</v>
      </c>
      <c r="M927" s="7">
        <v>596.48949033589997</v>
      </c>
      <c r="N927" s="7">
        <v>603.92023019099997</v>
      </c>
      <c r="O927" s="7">
        <v>604.22384683120004</v>
      </c>
      <c r="P927" s="7">
        <v>596.48949033589997</v>
      </c>
      <c r="Q927">
        <v>1</v>
      </c>
      <c r="R927">
        <v>0</v>
      </c>
      <c r="S927" s="11">
        <v>45832.666666666664</v>
      </c>
      <c r="T927">
        <v>1555</v>
      </c>
    </row>
    <row r="928" spans="1:20">
      <c r="A928" s="11">
        <v>45832.625</v>
      </c>
      <c r="B928" s="11">
        <v>45832.645833333336</v>
      </c>
      <c r="C928" s="10">
        <v>45832</v>
      </c>
      <c r="D928" s="7">
        <v>605.80039999999997</v>
      </c>
      <c r="E928" s="7">
        <v>2889329</v>
      </c>
      <c r="F928" s="7">
        <v>2889329</v>
      </c>
      <c r="G928" s="7">
        <v>34495801</v>
      </c>
      <c r="H928" s="7">
        <v>602.21029999999996</v>
      </c>
      <c r="I928" s="7">
        <v>598.49059999999997</v>
      </c>
      <c r="J928" s="7">
        <v>14</v>
      </c>
      <c r="K928" s="7">
        <v>3.7034226999999999E-3</v>
      </c>
      <c r="L928" s="7">
        <v>604.44053929050006</v>
      </c>
      <c r="M928" s="7">
        <v>596.27413633089998</v>
      </c>
      <c r="N928" s="7">
        <v>604.07771107259998</v>
      </c>
      <c r="O928" s="7">
        <v>604.44053929050006</v>
      </c>
      <c r="P928" s="7">
        <v>596.27413633089998</v>
      </c>
      <c r="Q928">
        <v>1</v>
      </c>
      <c r="R928">
        <v>0</v>
      </c>
      <c r="S928" s="11">
        <v>45832.666666666664</v>
      </c>
      <c r="T928">
        <v>1554</v>
      </c>
    </row>
    <row r="929" spans="1:20">
      <c r="A929" s="11">
        <v>45832.645833333336</v>
      </c>
      <c r="B929" s="11">
        <v>45832.666666666664</v>
      </c>
      <c r="C929" s="10">
        <v>45832</v>
      </c>
      <c r="D929" s="7">
        <v>605.10239999999999</v>
      </c>
      <c r="E929" s="7">
        <v>10025819</v>
      </c>
      <c r="F929" s="7">
        <v>10025819</v>
      </c>
      <c r="G929" s="7">
        <v>44521620</v>
      </c>
      <c r="H929" s="7">
        <v>602.21029999999996</v>
      </c>
      <c r="I929" s="7">
        <v>598.49059999999997</v>
      </c>
      <c r="J929" s="7">
        <v>14</v>
      </c>
      <c r="K929" s="7">
        <v>3.4825339999999998E-3</v>
      </c>
      <c r="L929" s="7">
        <v>604.30751786760004</v>
      </c>
      <c r="M929" s="7">
        <v>596.40633611429996</v>
      </c>
      <c r="N929" s="7">
        <v>604.30846066610002</v>
      </c>
      <c r="O929" s="7">
        <v>604.30846066610002</v>
      </c>
      <c r="P929" s="7">
        <v>596.40633611429996</v>
      </c>
      <c r="Q929">
        <v>1</v>
      </c>
      <c r="R929">
        <v>1</v>
      </c>
      <c r="S929" s="11">
        <v>45832.666666666664</v>
      </c>
      <c r="T929">
        <v>1553</v>
      </c>
    </row>
    <row r="930" spans="1:20">
      <c r="A930" s="11">
        <v>45833.395833333336</v>
      </c>
      <c r="B930" s="11">
        <v>45833.416666666664</v>
      </c>
      <c r="C930" s="10">
        <v>45833</v>
      </c>
      <c r="D930" s="7">
        <v>606.50840000000005</v>
      </c>
      <c r="E930" s="7">
        <v>6888859</v>
      </c>
      <c r="F930" s="7">
        <v>6888859</v>
      </c>
      <c r="G930" s="7">
        <v>6888859</v>
      </c>
      <c r="H930" s="7">
        <v>606.50840000000005</v>
      </c>
      <c r="I930" s="7">
        <v>605.10220000000004</v>
      </c>
      <c r="J930" s="7">
        <v>14</v>
      </c>
      <c r="K930" s="7">
        <v>0</v>
      </c>
      <c r="L930" s="7">
        <v>606.50840000000005</v>
      </c>
      <c r="M930" s="7">
        <v>605.10220000000004</v>
      </c>
      <c r="N930" s="7">
        <v>606.50840000000005</v>
      </c>
      <c r="O930" s="7">
        <v>606.50840000000005</v>
      </c>
      <c r="P930" s="7">
        <v>605.10220000000004</v>
      </c>
      <c r="Q930">
        <v>1</v>
      </c>
      <c r="R930">
        <v>0</v>
      </c>
      <c r="S930" s="11">
        <v>45833.666666666664</v>
      </c>
      <c r="T930">
        <v>1551</v>
      </c>
    </row>
    <row r="931" spans="1:20">
      <c r="A931" s="11">
        <v>45833.416666666664</v>
      </c>
      <c r="B931" s="11">
        <v>45833.4375</v>
      </c>
      <c r="C931" s="10">
        <v>45833</v>
      </c>
      <c r="D931" s="7">
        <v>606.04970000000003</v>
      </c>
      <c r="E931" s="7">
        <v>3664841</v>
      </c>
      <c r="F931" s="7">
        <v>3664841</v>
      </c>
      <c r="G931" s="7">
        <v>10553700</v>
      </c>
      <c r="H931" s="7">
        <v>606.50840000000005</v>
      </c>
      <c r="I931" s="7">
        <v>605.10220000000004</v>
      </c>
      <c r="J931" s="7">
        <v>14</v>
      </c>
      <c r="K931" s="7">
        <v>1.8385718000000001E-3</v>
      </c>
      <c r="L931" s="7">
        <v>607.62350921339998</v>
      </c>
      <c r="M931" s="7">
        <v>603.98967618619997</v>
      </c>
      <c r="N931" s="7">
        <v>606.34911344010004</v>
      </c>
      <c r="O931" s="7">
        <v>607.62350921339998</v>
      </c>
      <c r="P931" s="7">
        <v>603.98967618619997</v>
      </c>
      <c r="Q931">
        <v>1</v>
      </c>
      <c r="R931">
        <v>0</v>
      </c>
      <c r="S931" s="11">
        <v>45833.666666666664</v>
      </c>
      <c r="T931">
        <v>1550</v>
      </c>
    </row>
    <row r="932" spans="1:20">
      <c r="A932" s="11">
        <v>45833.4375</v>
      </c>
      <c r="B932" s="11">
        <v>45833.458333333336</v>
      </c>
      <c r="C932" s="10">
        <v>45833</v>
      </c>
      <c r="D932" s="7">
        <v>606.04970000000003</v>
      </c>
      <c r="E932" s="7">
        <v>2973245</v>
      </c>
      <c r="F932" s="7">
        <v>2973245</v>
      </c>
      <c r="G932" s="7">
        <v>13526945</v>
      </c>
      <c r="H932" s="7">
        <v>606.50840000000005</v>
      </c>
      <c r="I932" s="7">
        <v>605.10220000000004</v>
      </c>
      <c r="J932" s="7">
        <v>14</v>
      </c>
      <c r="K932" s="7">
        <v>2.0011633999999999E-3</v>
      </c>
      <c r="L932" s="7">
        <v>607.72212239160001</v>
      </c>
      <c r="M932" s="7">
        <v>603.89129164430005</v>
      </c>
      <c r="N932" s="7">
        <v>606.28330186820006</v>
      </c>
      <c r="O932" s="7">
        <v>607.72212239160001</v>
      </c>
      <c r="P932" s="7">
        <v>603.89129164430005</v>
      </c>
      <c r="Q932">
        <v>1</v>
      </c>
      <c r="R932">
        <v>0</v>
      </c>
      <c r="S932" s="11">
        <v>45833.666666666664</v>
      </c>
      <c r="T932">
        <v>1549</v>
      </c>
    </row>
    <row r="933" spans="1:20">
      <c r="A933" s="11">
        <v>45833.458333333336</v>
      </c>
      <c r="B933" s="11">
        <v>45833.479166666664</v>
      </c>
      <c r="C933" s="10">
        <v>45833</v>
      </c>
      <c r="D933" s="7">
        <v>605.49120000000005</v>
      </c>
      <c r="E933" s="7">
        <v>3483535</v>
      </c>
      <c r="F933" s="7">
        <v>3483535</v>
      </c>
      <c r="G933" s="7">
        <v>17010480</v>
      </c>
      <c r="H933" s="7">
        <v>606.50840000000005</v>
      </c>
      <c r="I933" s="7">
        <v>605.10220000000004</v>
      </c>
      <c r="J933" s="7">
        <v>14</v>
      </c>
      <c r="K933" s="7">
        <v>2.0665929000000002E-3</v>
      </c>
      <c r="L933" s="7">
        <v>607.76180592779997</v>
      </c>
      <c r="M933" s="7">
        <v>603.85170011510002</v>
      </c>
      <c r="N933" s="7">
        <v>606.12108924510005</v>
      </c>
      <c r="O933" s="7">
        <v>607.76180592779997</v>
      </c>
      <c r="P933" s="7">
        <v>603.85170011510002</v>
      </c>
      <c r="Q933">
        <v>1</v>
      </c>
      <c r="R933">
        <v>0</v>
      </c>
      <c r="S933" s="11">
        <v>45833.666666666664</v>
      </c>
      <c r="T933">
        <v>1548</v>
      </c>
    </row>
    <row r="934" spans="1:20">
      <c r="A934" s="11">
        <v>45833.479166666664</v>
      </c>
      <c r="B934" s="11">
        <v>45833.5</v>
      </c>
      <c r="C934" s="10">
        <v>45833</v>
      </c>
      <c r="D934" s="7">
        <v>605.21199999999999</v>
      </c>
      <c r="E934" s="7">
        <v>2667022</v>
      </c>
      <c r="F934" s="7">
        <v>2667022</v>
      </c>
      <c r="G934" s="7">
        <v>19677502</v>
      </c>
      <c r="H934" s="7">
        <v>606.50840000000005</v>
      </c>
      <c r="I934" s="7">
        <v>605.10220000000004</v>
      </c>
      <c r="J934" s="7">
        <v>14</v>
      </c>
      <c r="K934" s="7">
        <v>2.1779939999999999E-3</v>
      </c>
      <c r="L934" s="7">
        <v>607.82937166090005</v>
      </c>
      <c r="M934" s="7">
        <v>603.78429103430005</v>
      </c>
      <c r="N934" s="7">
        <v>605.99787436669999</v>
      </c>
      <c r="O934" s="7">
        <v>607.82937166090005</v>
      </c>
      <c r="P934" s="7">
        <v>603.78429103430005</v>
      </c>
      <c r="Q934">
        <v>1</v>
      </c>
      <c r="R934">
        <v>0</v>
      </c>
      <c r="S934" s="11">
        <v>45833.666666666664</v>
      </c>
      <c r="T934">
        <v>1547</v>
      </c>
    </row>
    <row r="935" spans="1:20">
      <c r="A935" s="11">
        <v>45833.5</v>
      </c>
      <c r="B935" s="11">
        <v>45833.520833333336</v>
      </c>
      <c r="C935" s="10">
        <v>45833</v>
      </c>
      <c r="D935" s="7">
        <v>605.27189999999996</v>
      </c>
      <c r="E935" s="7">
        <v>1485309</v>
      </c>
      <c r="F935" s="7">
        <v>1485309</v>
      </c>
      <c r="G935" s="7">
        <v>21162811</v>
      </c>
      <c r="H935" s="7">
        <v>606.50840000000005</v>
      </c>
      <c r="I935" s="7">
        <v>605.10220000000004</v>
      </c>
      <c r="J935" s="7">
        <v>14</v>
      </c>
      <c r="K935" s="7">
        <v>2.5221609000000002E-3</v>
      </c>
      <c r="L935" s="7">
        <v>608.03811174819998</v>
      </c>
      <c r="M935" s="7">
        <v>603.5760349144</v>
      </c>
      <c r="N935" s="7">
        <v>605.94692195489995</v>
      </c>
      <c r="O935" s="7">
        <v>608.03811174819998</v>
      </c>
      <c r="P935" s="7">
        <v>603.5760349144</v>
      </c>
      <c r="Q935">
        <v>1</v>
      </c>
      <c r="R935">
        <v>0</v>
      </c>
      <c r="S935" s="11">
        <v>45833.666666666664</v>
      </c>
      <c r="T935">
        <v>1546</v>
      </c>
    </row>
    <row r="936" spans="1:20">
      <c r="A936" s="11">
        <v>45833.520833333336</v>
      </c>
      <c r="B936" s="11">
        <v>45833.541666666664</v>
      </c>
      <c r="C936" s="10">
        <v>45833</v>
      </c>
      <c r="D936" s="7">
        <v>605.05240000000003</v>
      </c>
      <c r="E936" s="7">
        <v>1630485</v>
      </c>
      <c r="F936" s="7">
        <v>1630485</v>
      </c>
      <c r="G936" s="7">
        <v>22793296</v>
      </c>
      <c r="H936" s="7">
        <v>606.50840000000005</v>
      </c>
      <c r="I936" s="7">
        <v>605.10220000000004</v>
      </c>
      <c r="J936" s="7">
        <v>14</v>
      </c>
      <c r="K936" s="7">
        <v>2.4385779999999998E-3</v>
      </c>
      <c r="L936" s="7">
        <v>607.98741802799998</v>
      </c>
      <c r="M936" s="7">
        <v>603.62661110040005</v>
      </c>
      <c r="N936" s="7">
        <v>605.88293363879995</v>
      </c>
      <c r="O936" s="7">
        <v>607.98741802799998</v>
      </c>
      <c r="P936" s="7">
        <v>603.62661110040005</v>
      </c>
      <c r="Q936">
        <v>1</v>
      </c>
      <c r="R936">
        <v>0</v>
      </c>
      <c r="S936" s="11">
        <v>45833.666666666664</v>
      </c>
      <c r="T936">
        <v>1545</v>
      </c>
    </row>
    <row r="937" spans="1:20">
      <c r="A937" s="11">
        <v>45833.541666666664</v>
      </c>
      <c r="B937" s="11">
        <v>45833.5625</v>
      </c>
      <c r="C937" s="10">
        <v>45833</v>
      </c>
      <c r="D937" s="7">
        <v>605.34169999999995</v>
      </c>
      <c r="E937" s="7">
        <v>2342745</v>
      </c>
      <c r="F937" s="7">
        <v>2342745</v>
      </c>
      <c r="G937" s="7">
        <v>25136041</v>
      </c>
      <c r="H937" s="7">
        <v>606.50840000000005</v>
      </c>
      <c r="I937" s="7">
        <v>605.10220000000004</v>
      </c>
      <c r="J937" s="7">
        <v>14</v>
      </c>
      <c r="K937" s="7">
        <v>2.6121288999999999E-3</v>
      </c>
      <c r="L937" s="7">
        <v>608.09267809979997</v>
      </c>
      <c r="M937" s="7">
        <v>603.52159507579995</v>
      </c>
      <c r="N937" s="7">
        <v>605.83248924300005</v>
      </c>
      <c r="O937" s="7">
        <v>608.09267809979997</v>
      </c>
      <c r="P937" s="7">
        <v>603.52159507579995</v>
      </c>
      <c r="Q937">
        <v>1</v>
      </c>
      <c r="R937">
        <v>0</v>
      </c>
      <c r="S937" s="11">
        <v>45833.666666666664</v>
      </c>
      <c r="T937">
        <v>1544</v>
      </c>
    </row>
    <row r="938" spans="1:20">
      <c r="A938" s="11">
        <v>45833.5625</v>
      </c>
      <c r="B938" s="11">
        <v>45833.583333333336</v>
      </c>
      <c r="C938" s="10">
        <v>45833</v>
      </c>
      <c r="D938" s="7">
        <v>604.56380000000001</v>
      </c>
      <c r="E938" s="7">
        <v>3171290</v>
      </c>
      <c r="F938" s="7">
        <v>3171290</v>
      </c>
      <c r="G938" s="7">
        <v>28307331</v>
      </c>
      <c r="H938" s="7">
        <v>606.50840000000005</v>
      </c>
      <c r="I938" s="7">
        <v>605.10220000000004</v>
      </c>
      <c r="J938" s="7">
        <v>14</v>
      </c>
      <c r="K938" s="7">
        <v>2.8182660999999999E-3</v>
      </c>
      <c r="L938" s="7">
        <v>608.21770205359996</v>
      </c>
      <c r="M938" s="7">
        <v>603.39686099209996</v>
      </c>
      <c r="N938" s="7">
        <v>605.69035710380001</v>
      </c>
      <c r="O938" s="7">
        <v>608.21770205359996</v>
      </c>
      <c r="P938" s="7">
        <v>603.39686099209996</v>
      </c>
      <c r="Q938">
        <v>1</v>
      </c>
      <c r="R938">
        <v>0</v>
      </c>
      <c r="S938" s="11">
        <v>45833.666666666664</v>
      </c>
      <c r="T938">
        <v>1543</v>
      </c>
    </row>
    <row r="939" spans="1:20">
      <c r="A939" s="11">
        <v>45833.583333333336</v>
      </c>
      <c r="B939" s="11">
        <v>45833.604166666664</v>
      </c>
      <c r="C939" s="10">
        <v>45833</v>
      </c>
      <c r="D939" s="7">
        <v>604.73109999999997</v>
      </c>
      <c r="E939" s="7">
        <v>1688123</v>
      </c>
      <c r="F939" s="7">
        <v>1688123</v>
      </c>
      <c r="G939" s="7">
        <v>29995454</v>
      </c>
      <c r="H939" s="7">
        <v>606.50840000000005</v>
      </c>
      <c r="I939" s="7">
        <v>605.10220000000004</v>
      </c>
      <c r="J939" s="7">
        <v>14</v>
      </c>
      <c r="K939" s="7">
        <v>2.7686767000000001E-3</v>
      </c>
      <c r="L939" s="7">
        <v>608.18762569720002</v>
      </c>
      <c r="M939" s="7">
        <v>603.42686761599998</v>
      </c>
      <c r="N939" s="7">
        <v>605.63637079039995</v>
      </c>
      <c r="O939" s="7">
        <v>608.18762569720002</v>
      </c>
      <c r="P939" s="7">
        <v>603.42686761599998</v>
      </c>
      <c r="Q939">
        <v>1</v>
      </c>
      <c r="R939">
        <v>0</v>
      </c>
      <c r="S939" s="11">
        <v>45833.666666666664</v>
      </c>
      <c r="T939">
        <v>1542</v>
      </c>
    </row>
    <row r="940" spans="1:20">
      <c r="A940" s="11">
        <v>45833.604166666664</v>
      </c>
      <c r="B940" s="11">
        <v>45833.625</v>
      </c>
      <c r="C940" s="10">
        <v>45833</v>
      </c>
      <c r="D940" s="7">
        <v>604.73329999999999</v>
      </c>
      <c r="E940" s="7">
        <v>1608489</v>
      </c>
      <c r="F940" s="7">
        <v>1608489</v>
      </c>
      <c r="G940" s="7">
        <v>31603943</v>
      </c>
      <c r="H940" s="7">
        <v>606.50840000000005</v>
      </c>
      <c r="I940" s="7">
        <v>605.10220000000004</v>
      </c>
      <c r="J940" s="7">
        <v>14</v>
      </c>
      <c r="K940" s="7">
        <v>3.2833679E-3</v>
      </c>
      <c r="L940" s="7">
        <v>608.49979022499997</v>
      </c>
      <c r="M940" s="7">
        <v>603.11542684690005</v>
      </c>
      <c r="N940" s="7">
        <v>605.59040882190004</v>
      </c>
      <c r="O940" s="7">
        <v>608.49979022499997</v>
      </c>
      <c r="P940" s="7">
        <v>603.11542684690005</v>
      </c>
      <c r="Q940">
        <v>1</v>
      </c>
      <c r="R940">
        <v>0</v>
      </c>
      <c r="S940" s="11">
        <v>45833.666666666664</v>
      </c>
      <c r="T940">
        <v>1541</v>
      </c>
    </row>
    <row r="941" spans="1:20">
      <c r="A941" s="11">
        <v>45833.625</v>
      </c>
      <c r="B941" s="11">
        <v>45833.645833333336</v>
      </c>
      <c r="C941" s="10">
        <v>45833</v>
      </c>
      <c r="D941" s="7">
        <v>605.31669999999997</v>
      </c>
      <c r="E941" s="7">
        <v>2617258</v>
      </c>
      <c r="F941" s="7">
        <v>2617258</v>
      </c>
      <c r="G941" s="7">
        <v>34221201</v>
      </c>
      <c r="H941" s="7">
        <v>606.50840000000005</v>
      </c>
      <c r="I941" s="7">
        <v>605.10220000000004</v>
      </c>
      <c r="J941" s="7">
        <v>14</v>
      </c>
      <c r="K941" s="7">
        <v>3.6795857000000002E-3</v>
      </c>
      <c r="L941" s="7">
        <v>608.74009962529999</v>
      </c>
      <c r="M941" s="7">
        <v>602.87567460809998</v>
      </c>
      <c r="N941" s="7">
        <v>605.56947540689998</v>
      </c>
      <c r="O941" s="7">
        <v>608.74009962529999</v>
      </c>
      <c r="P941" s="7">
        <v>602.87567460809998</v>
      </c>
      <c r="Q941">
        <v>1</v>
      </c>
      <c r="R941">
        <v>0</v>
      </c>
      <c r="S941" s="11">
        <v>45833.666666666664</v>
      </c>
      <c r="T941">
        <v>1540</v>
      </c>
    </row>
    <row r="942" spans="1:20">
      <c r="A942" s="11">
        <v>45833.645833333336</v>
      </c>
      <c r="B942" s="11">
        <v>45833.666666666664</v>
      </c>
      <c r="C942" s="10">
        <v>45833</v>
      </c>
      <c r="D942" s="7">
        <v>605.44140000000004</v>
      </c>
      <c r="E942" s="7">
        <v>8472911</v>
      </c>
      <c r="F942" s="7">
        <v>8472911</v>
      </c>
      <c r="G942" s="7">
        <v>42694112</v>
      </c>
      <c r="H942" s="7">
        <v>606.50840000000005</v>
      </c>
      <c r="I942" s="7">
        <v>605.10220000000004</v>
      </c>
      <c r="J942" s="7">
        <v>14</v>
      </c>
      <c r="K942" s="7">
        <v>3.3915719999999998E-3</v>
      </c>
      <c r="L942" s="7">
        <v>608.56541693619999</v>
      </c>
      <c r="M942" s="7">
        <v>603.04995229240001</v>
      </c>
      <c r="N942" s="7">
        <v>605.53812420880001</v>
      </c>
      <c r="O942" s="7">
        <v>608.56541693619999</v>
      </c>
      <c r="P942" s="7">
        <v>603.04995229240001</v>
      </c>
      <c r="Q942">
        <v>1</v>
      </c>
      <c r="R942">
        <v>1</v>
      </c>
      <c r="S942" s="11">
        <v>45833.666666666664</v>
      </c>
      <c r="T942">
        <v>1539</v>
      </c>
    </row>
    <row r="943" spans="1:20">
      <c r="A943" s="11">
        <v>45834.395833333336</v>
      </c>
      <c r="B943" s="11">
        <v>45834.416666666664</v>
      </c>
      <c r="C943" s="10">
        <v>45834</v>
      </c>
      <c r="D943" s="7">
        <v>607.53549999999996</v>
      </c>
      <c r="E943" s="7">
        <v>5129314</v>
      </c>
      <c r="F943" s="7">
        <v>5129314</v>
      </c>
      <c r="G943" s="7">
        <v>5129314</v>
      </c>
      <c r="H943" s="7">
        <v>607.53549999999996</v>
      </c>
      <c r="I943" s="7">
        <v>605.44129999999996</v>
      </c>
      <c r="J943" s="7">
        <v>14</v>
      </c>
      <c r="K943" s="7">
        <v>0</v>
      </c>
      <c r="L943" s="7">
        <v>607.53549999999996</v>
      </c>
      <c r="M943" s="7">
        <v>605.44129999999996</v>
      </c>
      <c r="N943" s="7">
        <v>607.53549999999996</v>
      </c>
      <c r="O943" s="7">
        <v>607.53549999999996</v>
      </c>
      <c r="P943" s="7">
        <v>605.44129999999996</v>
      </c>
      <c r="Q943">
        <v>1</v>
      </c>
      <c r="R943">
        <v>0</v>
      </c>
      <c r="S943" s="11">
        <v>45834.666666666664</v>
      </c>
      <c r="T943">
        <v>1537</v>
      </c>
    </row>
    <row r="944" spans="1:20">
      <c r="A944" s="11">
        <v>45834.416666666664</v>
      </c>
      <c r="B944" s="11">
        <v>45834.4375</v>
      </c>
      <c r="C944" s="10">
        <v>45834</v>
      </c>
      <c r="D944" s="7">
        <v>608.26350000000002</v>
      </c>
      <c r="E944" s="7">
        <v>3268300</v>
      </c>
      <c r="F944" s="7">
        <v>3268300</v>
      </c>
      <c r="G944" s="7">
        <v>8397614</v>
      </c>
      <c r="H944" s="7">
        <v>607.53549999999996</v>
      </c>
      <c r="I944" s="7">
        <v>605.44129999999996</v>
      </c>
      <c r="J944" s="7">
        <v>14</v>
      </c>
      <c r="K944" s="7">
        <v>1.795652E-3</v>
      </c>
      <c r="L944" s="7">
        <v>608.62642232890005</v>
      </c>
      <c r="M944" s="7">
        <v>604.35413812549996</v>
      </c>
      <c r="N944" s="7">
        <v>607.81883314679999</v>
      </c>
      <c r="O944" s="7">
        <v>608.62642232890005</v>
      </c>
      <c r="P944" s="7">
        <v>604.35413812549996</v>
      </c>
      <c r="Q944">
        <v>1</v>
      </c>
      <c r="R944">
        <v>0</v>
      </c>
      <c r="S944" s="11">
        <v>45834.666666666664</v>
      </c>
      <c r="T944">
        <v>1536</v>
      </c>
    </row>
    <row r="945" spans="1:20">
      <c r="A945" s="11">
        <v>45834.4375</v>
      </c>
      <c r="B945" s="11">
        <v>45834.458333333336</v>
      </c>
      <c r="C945" s="10">
        <v>45834</v>
      </c>
      <c r="D945" s="7">
        <v>608.71230000000003</v>
      </c>
      <c r="E945" s="7">
        <v>3397455</v>
      </c>
      <c r="F945" s="7">
        <v>3397455</v>
      </c>
      <c r="G945" s="7">
        <v>11795069</v>
      </c>
      <c r="H945" s="7">
        <v>607.53549999999996</v>
      </c>
      <c r="I945" s="7">
        <v>605.44129999999996</v>
      </c>
      <c r="J945" s="7">
        <v>14</v>
      </c>
      <c r="K945" s="7">
        <v>1.9570398000000001E-3</v>
      </c>
      <c r="L945" s="7">
        <v>608.72447116199999</v>
      </c>
      <c r="M945" s="7">
        <v>604.25642727080003</v>
      </c>
      <c r="N945" s="7">
        <v>608.07618759110005</v>
      </c>
      <c r="O945" s="7">
        <v>608.72447116199999</v>
      </c>
      <c r="P945" s="7">
        <v>604.25642727080003</v>
      </c>
      <c r="Q945">
        <v>1</v>
      </c>
      <c r="R945">
        <v>0</v>
      </c>
      <c r="S945" s="11">
        <v>45834.666666666664</v>
      </c>
      <c r="T945">
        <v>1535</v>
      </c>
    </row>
    <row r="946" spans="1:20">
      <c r="A946" s="11">
        <v>45834.458333333336</v>
      </c>
      <c r="B946" s="11">
        <v>45834.479166666664</v>
      </c>
      <c r="C946" s="10">
        <v>45834</v>
      </c>
      <c r="D946" s="7">
        <v>608.36329999999998</v>
      </c>
      <c r="E946" s="7">
        <v>2472810</v>
      </c>
      <c r="F946" s="7">
        <v>2472810</v>
      </c>
      <c r="G946" s="7">
        <v>14267879</v>
      </c>
      <c r="H946" s="7">
        <v>607.53549999999996</v>
      </c>
      <c r="I946" s="7">
        <v>605.44129999999996</v>
      </c>
      <c r="J946" s="7">
        <v>14</v>
      </c>
      <c r="K946" s="7">
        <v>2.1624574000000001E-3</v>
      </c>
      <c r="L946" s="7">
        <v>608.84926961140002</v>
      </c>
      <c r="M946" s="7">
        <v>604.13205900679998</v>
      </c>
      <c r="N946" s="7">
        <v>608.12594792590005</v>
      </c>
      <c r="O946" s="7">
        <v>608.84926961140002</v>
      </c>
      <c r="P946" s="7">
        <v>604.13205900679998</v>
      </c>
      <c r="Q946">
        <v>1</v>
      </c>
      <c r="R946">
        <v>0</v>
      </c>
      <c r="S946" s="11">
        <v>45834.666666666664</v>
      </c>
      <c r="T946">
        <v>1534</v>
      </c>
    </row>
    <row r="947" spans="1:20">
      <c r="A947" s="11">
        <v>45834.479166666664</v>
      </c>
      <c r="B947" s="11">
        <v>45834.5</v>
      </c>
      <c r="C947" s="10">
        <v>45834</v>
      </c>
      <c r="D947" s="7">
        <v>608.84199999999998</v>
      </c>
      <c r="E947" s="7">
        <v>2054241</v>
      </c>
      <c r="F947" s="7">
        <v>2054241</v>
      </c>
      <c r="G947" s="7">
        <v>16322120</v>
      </c>
      <c r="H947" s="7">
        <v>607.53549999999996</v>
      </c>
      <c r="I947" s="7">
        <v>605.44129999999996</v>
      </c>
      <c r="J947" s="7">
        <v>14</v>
      </c>
      <c r="K947" s="7">
        <v>2.3222927999999999E-3</v>
      </c>
      <c r="L947" s="7">
        <v>608.94637534590004</v>
      </c>
      <c r="M947" s="7">
        <v>604.03528799970002</v>
      </c>
      <c r="N947" s="7">
        <v>608.21606756280005</v>
      </c>
      <c r="O947" s="7">
        <v>608.94637534590004</v>
      </c>
      <c r="P947" s="7">
        <v>604.03528799970002</v>
      </c>
      <c r="Q947">
        <v>1</v>
      </c>
      <c r="R947">
        <v>0</v>
      </c>
      <c r="S947" s="11">
        <v>45834.666666666664</v>
      </c>
      <c r="T947">
        <v>1533</v>
      </c>
    </row>
    <row r="948" spans="1:20">
      <c r="A948" s="11">
        <v>45834.5</v>
      </c>
      <c r="B948" s="11">
        <v>45834.520833333336</v>
      </c>
      <c r="C948" s="10">
        <v>45834</v>
      </c>
      <c r="D948" s="7">
        <v>609.20100000000002</v>
      </c>
      <c r="E948" s="7">
        <v>1993815</v>
      </c>
      <c r="F948" s="7">
        <v>1993815</v>
      </c>
      <c r="G948" s="7">
        <v>18315935</v>
      </c>
      <c r="H948" s="7">
        <v>607.53549999999996</v>
      </c>
      <c r="I948" s="7">
        <v>605.44129999999996</v>
      </c>
      <c r="J948" s="7">
        <v>14</v>
      </c>
      <c r="K948" s="7">
        <v>2.5648358E-3</v>
      </c>
      <c r="L948" s="7">
        <v>609.0937288033</v>
      </c>
      <c r="M948" s="7">
        <v>603.88844247580005</v>
      </c>
      <c r="N948" s="7">
        <v>608.32328420600004</v>
      </c>
      <c r="O948" s="7">
        <v>609.0937288033</v>
      </c>
      <c r="P948" s="7">
        <v>603.88844247580005</v>
      </c>
      <c r="Q948">
        <v>1</v>
      </c>
      <c r="R948">
        <v>0</v>
      </c>
      <c r="S948" s="11">
        <v>45834.666666666664</v>
      </c>
      <c r="T948">
        <v>1532</v>
      </c>
    </row>
    <row r="949" spans="1:20">
      <c r="A949" s="11">
        <v>45834.520833333336</v>
      </c>
      <c r="B949" s="11">
        <v>45834.541666666664</v>
      </c>
      <c r="C949" s="10">
        <v>45834</v>
      </c>
      <c r="D949" s="7">
        <v>609.15110000000004</v>
      </c>
      <c r="E949" s="7">
        <v>1331678</v>
      </c>
      <c r="F949" s="7">
        <v>1331678</v>
      </c>
      <c r="G949" s="7">
        <v>19647613</v>
      </c>
      <c r="H949" s="7">
        <v>607.53549999999996</v>
      </c>
      <c r="I949" s="7">
        <v>605.44129999999996</v>
      </c>
      <c r="J949" s="7">
        <v>14</v>
      </c>
      <c r="K949" s="7">
        <v>2.6088595E-3</v>
      </c>
      <c r="L949" s="7">
        <v>609.12047478210002</v>
      </c>
      <c r="M949" s="7">
        <v>603.86178869150001</v>
      </c>
      <c r="N949" s="7">
        <v>608.37939199280004</v>
      </c>
      <c r="O949" s="7">
        <v>609.12047478210002</v>
      </c>
      <c r="P949" s="7">
        <v>603.86178869150001</v>
      </c>
      <c r="Q949">
        <v>1</v>
      </c>
      <c r="R949">
        <v>0</v>
      </c>
      <c r="S949" s="11">
        <v>45834.666666666664</v>
      </c>
      <c r="T949">
        <v>1531</v>
      </c>
    </row>
    <row r="950" spans="1:20">
      <c r="A950" s="11">
        <v>45834.541666666664</v>
      </c>
      <c r="B950" s="11">
        <v>45834.5625</v>
      </c>
      <c r="C950" s="10">
        <v>45834</v>
      </c>
      <c r="D950" s="7">
        <v>609.54</v>
      </c>
      <c r="E950" s="7">
        <v>1493135</v>
      </c>
      <c r="F950" s="7">
        <v>1493135</v>
      </c>
      <c r="G950" s="7">
        <v>21140748</v>
      </c>
      <c r="H950" s="7">
        <v>607.53549999999996</v>
      </c>
      <c r="I950" s="7">
        <v>605.44129999999996</v>
      </c>
      <c r="J950" s="7">
        <v>14</v>
      </c>
      <c r="K950" s="7">
        <v>2.6839490000000001E-3</v>
      </c>
      <c r="L950" s="7">
        <v>609.16609429070002</v>
      </c>
      <c r="M950" s="7">
        <v>603.81632643529997</v>
      </c>
      <c r="N950" s="7">
        <v>608.46136375820004</v>
      </c>
      <c r="O950" s="7">
        <v>609.16609429070002</v>
      </c>
      <c r="P950" s="7">
        <v>603.81632643529997</v>
      </c>
      <c r="Q950">
        <v>1</v>
      </c>
      <c r="R950">
        <v>0</v>
      </c>
      <c r="S950" s="11">
        <v>45834.666666666664</v>
      </c>
      <c r="T950">
        <v>1530</v>
      </c>
    </row>
    <row r="951" spans="1:20">
      <c r="A951" s="11">
        <v>45834.5625</v>
      </c>
      <c r="B951" s="11">
        <v>45834.583333333336</v>
      </c>
      <c r="C951" s="10">
        <v>45834</v>
      </c>
      <c r="D951" s="7">
        <v>609.59990000000005</v>
      </c>
      <c r="E951" s="7">
        <v>1863848</v>
      </c>
      <c r="F951" s="7">
        <v>1863848</v>
      </c>
      <c r="G951" s="7">
        <v>23004596</v>
      </c>
      <c r="H951" s="7">
        <v>607.53549999999996</v>
      </c>
      <c r="I951" s="7">
        <v>605.44129999999996</v>
      </c>
      <c r="J951" s="7">
        <v>14</v>
      </c>
      <c r="K951" s="7">
        <v>2.9515327E-3</v>
      </c>
      <c r="L951" s="7">
        <v>609.328660894</v>
      </c>
      <c r="M951" s="7">
        <v>603.65432020569995</v>
      </c>
      <c r="N951" s="7">
        <v>608.55360873819996</v>
      </c>
      <c r="O951" s="7">
        <v>609.328660894</v>
      </c>
      <c r="P951" s="7">
        <v>603.65432020569995</v>
      </c>
      <c r="Q951">
        <v>1</v>
      </c>
      <c r="R951">
        <v>0</v>
      </c>
      <c r="S951" s="11">
        <v>45834.666666666664</v>
      </c>
      <c r="T951">
        <v>1529</v>
      </c>
    </row>
    <row r="952" spans="1:20">
      <c r="A952" s="11">
        <v>45834.583333333336</v>
      </c>
      <c r="B952" s="11">
        <v>45834.604166666664</v>
      </c>
      <c r="C952" s="10">
        <v>45834</v>
      </c>
      <c r="D952" s="7">
        <v>610.05359999999996</v>
      </c>
      <c r="E952" s="7">
        <v>3060675</v>
      </c>
      <c r="F952" s="7">
        <v>3060675</v>
      </c>
      <c r="G952" s="7">
        <v>26065271</v>
      </c>
      <c r="H952" s="7">
        <v>607.53549999999996</v>
      </c>
      <c r="I952" s="7">
        <v>605.44129999999996</v>
      </c>
      <c r="J952" s="7">
        <v>14</v>
      </c>
      <c r="K952" s="7">
        <v>2.8810487E-3</v>
      </c>
      <c r="L952" s="7">
        <v>609.28583933790003</v>
      </c>
      <c r="M952" s="7">
        <v>603.69699415419996</v>
      </c>
      <c r="N952" s="7">
        <v>608.72974294200003</v>
      </c>
      <c r="O952" s="7">
        <v>609.28583933790003</v>
      </c>
      <c r="P952" s="7">
        <v>603.69699415419996</v>
      </c>
      <c r="Q952">
        <v>1</v>
      </c>
      <c r="R952">
        <v>0</v>
      </c>
      <c r="S952" s="11">
        <v>45834.666666666664</v>
      </c>
      <c r="T952">
        <v>1528</v>
      </c>
    </row>
    <row r="953" spans="1:20">
      <c r="A953" s="11">
        <v>45834.604166666664</v>
      </c>
      <c r="B953" s="11">
        <v>45834.625</v>
      </c>
      <c r="C953" s="10">
        <v>45834</v>
      </c>
      <c r="D953" s="7">
        <v>609.76130000000001</v>
      </c>
      <c r="E953" s="7">
        <v>2874949</v>
      </c>
      <c r="F953" s="7">
        <v>2874949</v>
      </c>
      <c r="G953" s="7">
        <v>28940220</v>
      </c>
      <c r="H953" s="7">
        <v>607.53549999999996</v>
      </c>
      <c r="I953" s="7">
        <v>605.44129999999996</v>
      </c>
      <c r="J953" s="7">
        <v>14</v>
      </c>
      <c r="K953" s="7">
        <v>3.4649031000000001E-3</v>
      </c>
      <c r="L953" s="7">
        <v>609.64055164729996</v>
      </c>
      <c r="M953" s="7">
        <v>603.34350455280003</v>
      </c>
      <c r="N953" s="7">
        <v>608.83221880200006</v>
      </c>
      <c r="O953" s="7">
        <v>609.64055164729996</v>
      </c>
      <c r="P953" s="7">
        <v>603.34350455280003</v>
      </c>
      <c r="Q953">
        <v>1</v>
      </c>
      <c r="R953">
        <v>0</v>
      </c>
      <c r="S953" s="11">
        <v>45834.666666666664</v>
      </c>
      <c r="T953">
        <v>1527</v>
      </c>
    </row>
    <row r="954" spans="1:20">
      <c r="A954" s="11">
        <v>45834.625</v>
      </c>
      <c r="B954" s="11">
        <v>45834.645833333336</v>
      </c>
      <c r="C954" s="10">
        <v>45834</v>
      </c>
      <c r="D954" s="7">
        <v>609.904</v>
      </c>
      <c r="E954" s="7">
        <v>3091773</v>
      </c>
      <c r="F954" s="7">
        <v>3091773</v>
      </c>
      <c r="G954" s="7">
        <v>32031993</v>
      </c>
      <c r="H954" s="7">
        <v>607.53549999999996</v>
      </c>
      <c r="I954" s="7">
        <v>605.44129999999996</v>
      </c>
      <c r="J954" s="7">
        <v>14</v>
      </c>
      <c r="K954" s="7">
        <v>3.7888144999999999E-3</v>
      </c>
      <c r="L954" s="7">
        <v>609.83733928970003</v>
      </c>
      <c r="M954" s="7">
        <v>603.14739524560002</v>
      </c>
      <c r="N954" s="7">
        <v>608.93566863010005</v>
      </c>
      <c r="O954" s="7">
        <v>609.83733928970003</v>
      </c>
      <c r="P954" s="7">
        <v>603.14739524560002</v>
      </c>
      <c r="Q954">
        <v>1</v>
      </c>
      <c r="R954">
        <v>0</v>
      </c>
      <c r="S954" s="11">
        <v>45834.666666666664</v>
      </c>
      <c r="T954">
        <v>1526</v>
      </c>
    </row>
    <row r="955" spans="1:20">
      <c r="A955" s="11">
        <v>45834.645833333336</v>
      </c>
      <c r="B955" s="11">
        <v>45834.666666666664</v>
      </c>
      <c r="C955" s="10">
        <v>45834</v>
      </c>
      <c r="D955" s="7">
        <v>610.17819999999995</v>
      </c>
      <c r="E955" s="7">
        <v>11605446</v>
      </c>
      <c r="F955" s="7">
        <v>11605446</v>
      </c>
      <c r="G955" s="7">
        <v>43637439</v>
      </c>
      <c r="H955" s="7">
        <v>607.53549999999996</v>
      </c>
      <c r="I955" s="7">
        <v>605.44129999999996</v>
      </c>
      <c r="J955" s="7">
        <v>14</v>
      </c>
      <c r="K955" s="7">
        <v>3.4166804999999998E-3</v>
      </c>
      <c r="L955" s="7">
        <v>609.61125469030003</v>
      </c>
      <c r="M955" s="7">
        <v>603.37270052199995</v>
      </c>
      <c r="N955" s="7">
        <v>609.28205231530001</v>
      </c>
      <c r="O955" s="7">
        <v>609.61125469030003</v>
      </c>
      <c r="P955" s="7">
        <v>603.37270052199995</v>
      </c>
      <c r="Q955">
        <v>1</v>
      </c>
      <c r="R955">
        <v>1</v>
      </c>
      <c r="S955" s="11">
        <v>45834.666666666664</v>
      </c>
      <c r="T955">
        <v>1525</v>
      </c>
    </row>
    <row r="956" spans="1:20">
      <c r="A956" s="11">
        <v>45835.395833333336</v>
      </c>
      <c r="B956" s="11">
        <v>45835.416666666664</v>
      </c>
      <c r="C956" s="10">
        <v>45835</v>
      </c>
      <c r="D956" s="7">
        <v>612.75120000000004</v>
      </c>
      <c r="E956" s="7">
        <v>4893241</v>
      </c>
      <c r="F956" s="7">
        <v>4893241</v>
      </c>
      <c r="G956" s="7">
        <v>4893241</v>
      </c>
      <c r="H956" s="7">
        <v>612.75120000000004</v>
      </c>
      <c r="I956" s="7">
        <v>610.17819999999995</v>
      </c>
      <c r="J956" s="7">
        <v>14</v>
      </c>
      <c r="K956" s="7">
        <v>0</v>
      </c>
      <c r="L956" s="7">
        <v>612.75120000000004</v>
      </c>
      <c r="M956" s="7">
        <v>610.17819999999995</v>
      </c>
      <c r="N956" s="7">
        <v>612.75120000000004</v>
      </c>
      <c r="O956" s="7">
        <v>612.75120000000004</v>
      </c>
      <c r="P956" s="7">
        <v>610.17819999999995</v>
      </c>
      <c r="Q956">
        <v>1</v>
      </c>
      <c r="R956">
        <v>0</v>
      </c>
      <c r="S956" s="11">
        <v>45835.666666666664</v>
      </c>
      <c r="T956">
        <v>1523</v>
      </c>
    </row>
    <row r="957" spans="1:20">
      <c r="A957" s="11">
        <v>45835.416666666664</v>
      </c>
      <c r="B957" s="11">
        <v>45835.4375</v>
      </c>
      <c r="C957" s="10">
        <v>45835</v>
      </c>
      <c r="D957" s="7">
        <v>613.19989999999996</v>
      </c>
      <c r="E957" s="7">
        <v>4361585</v>
      </c>
      <c r="F957" s="7">
        <v>4361585</v>
      </c>
      <c r="G957" s="7">
        <v>9254826</v>
      </c>
      <c r="H957" s="7">
        <v>612.75120000000004</v>
      </c>
      <c r="I957" s="7">
        <v>610.17819999999995</v>
      </c>
      <c r="J957" s="7">
        <v>14</v>
      </c>
      <c r="K957" s="7">
        <v>1.6528599000000001E-3</v>
      </c>
      <c r="L957" s="7">
        <v>613.76399190259997</v>
      </c>
      <c r="M957" s="7">
        <v>609.16966090599999</v>
      </c>
      <c r="N957" s="7">
        <v>612.96266191070004</v>
      </c>
      <c r="O957" s="7">
        <v>613.76399190259997</v>
      </c>
      <c r="P957" s="7">
        <v>609.16966090599999</v>
      </c>
      <c r="Q957">
        <v>1</v>
      </c>
      <c r="R957">
        <v>0</v>
      </c>
      <c r="S957" s="11">
        <v>45835.666666666664</v>
      </c>
      <c r="T957">
        <v>1522</v>
      </c>
    </row>
    <row r="958" spans="1:20">
      <c r="A958" s="11">
        <v>45835.4375</v>
      </c>
      <c r="B958" s="11">
        <v>45835.458333333336</v>
      </c>
      <c r="C958" s="10">
        <v>45835</v>
      </c>
      <c r="D958" s="7">
        <v>613.11509999999998</v>
      </c>
      <c r="E958" s="7">
        <v>2817361</v>
      </c>
      <c r="F958" s="7">
        <v>2817361</v>
      </c>
      <c r="G958" s="7">
        <v>12072187</v>
      </c>
      <c r="H958" s="7">
        <v>612.75120000000004</v>
      </c>
      <c r="I958" s="7">
        <v>610.17819999999995</v>
      </c>
      <c r="J958" s="7">
        <v>14</v>
      </c>
      <c r="K958" s="7">
        <v>1.7215719E-3</v>
      </c>
      <c r="L958" s="7">
        <v>613.80609524620002</v>
      </c>
      <c r="M958" s="7">
        <v>609.12773435830002</v>
      </c>
      <c r="N958" s="7">
        <v>612.99823733109997</v>
      </c>
      <c r="O958" s="7">
        <v>613.80609524620002</v>
      </c>
      <c r="P958" s="7">
        <v>609.12773435830002</v>
      </c>
      <c r="Q958">
        <v>1</v>
      </c>
      <c r="R958">
        <v>0</v>
      </c>
      <c r="S958" s="11">
        <v>45835.666666666664</v>
      </c>
      <c r="T958">
        <v>1521</v>
      </c>
    </row>
    <row r="959" spans="1:20">
      <c r="A959" s="11">
        <v>45835.458333333336</v>
      </c>
      <c r="B959" s="11">
        <v>45835.479166666664</v>
      </c>
      <c r="C959" s="10">
        <v>45835</v>
      </c>
      <c r="D959" s="7">
        <v>613.64859999999999</v>
      </c>
      <c r="E959" s="7">
        <v>1934196</v>
      </c>
      <c r="F959" s="7">
        <v>1934196</v>
      </c>
      <c r="G959" s="7">
        <v>14006383</v>
      </c>
      <c r="H959" s="7">
        <v>612.75120000000004</v>
      </c>
      <c r="I959" s="7">
        <v>610.17819999999995</v>
      </c>
      <c r="J959" s="7">
        <v>14</v>
      </c>
      <c r="K959" s="7">
        <v>1.7273022000000001E-3</v>
      </c>
      <c r="L959" s="7">
        <v>613.8096065208</v>
      </c>
      <c r="M959" s="7">
        <v>609.12423782789995</v>
      </c>
      <c r="N959" s="7">
        <v>613.08804844600002</v>
      </c>
      <c r="O959" s="7">
        <v>613.8096065208</v>
      </c>
      <c r="P959" s="7">
        <v>609.12423782789995</v>
      </c>
      <c r="Q959">
        <v>1</v>
      </c>
      <c r="R959">
        <v>0</v>
      </c>
      <c r="S959" s="11">
        <v>45835.666666666664</v>
      </c>
      <c r="T959">
        <v>1520</v>
      </c>
    </row>
    <row r="960" spans="1:20">
      <c r="A960" s="11">
        <v>45835.479166666664</v>
      </c>
      <c r="B960" s="11">
        <v>45835.5</v>
      </c>
      <c r="C960" s="10">
        <v>45835</v>
      </c>
      <c r="D960" s="7">
        <v>614.19709999999998</v>
      </c>
      <c r="E960" s="7">
        <v>2450085</v>
      </c>
      <c r="F960" s="7">
        <v>2450085</v>
      </c>
      <c r="G960" s="7">
        <v>16456468</v>
      </c>
      <c r="H960" s="7">
        <v>612.75120000000004</v>
      </c>
      <c r="I960" s="7">
        <v>610.17819999999995</v>
      </c>
      <c r="J960" s="7">
        <v>14</v>
      </c>
      <c r="K960" s="7">
        <v>1.9313905E-3</v>
      </c>
      <c r="L960" s="7">
        <v>613.93466185320005</v>
      </c>
      <c r="M960" s="7">
        <v>608.99970761459997</v>
      </c>
      <c r="N960" s="7">
        <v>613.25316714439998</v>
      </c>
      <c r="O960" s="7">
        <v>613.93466185320005</v>
      </c>
      <c r="P960" s="7">
        <v>608.99970761459997</v>
      </c>
      <c r="Q960">
        <v>1</v>
      </c>
      <c r="R960">
        <v>0</v>
      </c>
      <c r="S960" s="11">
        <v>45835.666666666664</v>
      </c>
      <c r="T960">
        <v>1519</v>
      </c>
    </row>
    <row r="961" spans="1:20">
      <c r="A961" s="11">
        <v>45835.5</v>
      </c>
      <c r="B961" s="11">
        <v>45835.520833333336</v>
      </c>
      <c r="C961" s="10">
        <v>45835</v>
      </c>
      <c r="D961" s="7">
        <v>614.596</v>
      </c>
      <c r="E961" s="7">
        <v>2064818</v>
      </c>
      <c r="F961" s="7">
        <v>2064818</v>
      </c>
      <c r="G961" s="7">
        <v>18521286</v>
      </c>
      <c r="H961" s="7">
        <v>612.75120000000004</v>
      </c>
      <c r="I961" s="7">
        <v>610.17819999999995</v>
      </c>
      <c r="J961" s="7">
        <v>14</v>
      </c>
      <c r="K961" s="7">
        <v>2.3219195000000001E-3</v>
      </c>
      <c r="L961" s="7">
        <v>614.17395894009996</v>
      </c>
      <c r="M961" s="7">
        <v>608.76141535869999</v>
      </c>
      <c r="N961" s="7">
        <v>613.40287086650005</v>
      </c>
      <c r="O961" s="7">
        <v>614.17395894009996</v>
      </c>
      <c r="P961" s="7">
        <v>608.76141535869999</v>
      </c>
      <c r="Q961">
        <v>1</v>
      </c>
      <c r="R961">
        <v>0</v>
      </c>
      <c r="S961" s="11">
        <v>45835.666666666664</v>
      </c>
      <c r="T961">
        <v>1518</v>
      </c>
    </row>
    <row r="962" spans="1:20">
      <c r="A962" s="11">
        <v>45835.520833333336</v>
      </c>
      <c r="B962" s="11">
        <v>45835.541666666664</v>
      </c>
      <c r="C962" s="10">
        <v>45835</v>
      </c>
      <c r="D962" s="7">
        <v>614.24199999999996</v>
      </c>
      <c r="E962" s="7">
        <v>2115174</v>
      </c>
      <c r="F962" s="7">
        <v>2115174</v>
      </c>
      <c r="G962" s="7">
        <v>20636460</v>
      </c>
      <c r="H962" s="7">
        <v>612.75120000000004</v>
      </c>
      <c r="I962" s="7">
        <v>610.17819999999995</v>
      </c>
      <c r="J962" s="7">
        <v>14</v>
      </c>
      <c r="K962" s="7">
        <v>2.7471151000000001E-3</v>
      </c>
      <c r="L962" s="7">
        <v>614.43449806499996</v>
      </c>
      <c r="M962" s="7">
        <v>608.50197026210003</v>
      </c>
      <c r="N962" s="7">
        <v>613.48887903479999</v>
      </c>
      <c r="O962" s="7">
        <v>614.43449806499996</v>
      </c>
      <c r="P962" s="7">
        <v>608.50197026210003</v>
      </c>
      <c r="Q962">
        <v>1</v>
      </c>
      <c r="R962">
        <v>0</v>
      </c>
      <c r="S962" s="11">
        <v>45835.666666666664</v>
      </c>
      <c r="T962">
        <v>1517</v>
      </c>
    </row>
    <row r="963" spans="1:20">
      <c r="A963" s="11">
        <v>45835.541666666664</v>
      </c>
      <c r="B963" s="11">
        <v>45835.5625</v>
      </c>
      <c r="C963" s="10">
        <v>45835</v>
      </c>
      <c r="D963" s="7">
        <v>613.68849999999998</v>
      </c>
      <c r="E963" s="7">
        <v>1485754</v>
      </c>
      <c r="F963" s="7">
        <v>1485754</v>
      </c>
      <c r="G963" s="7">
        <v>22122214</v>
      </c>
      <c r="H963" s="7">
        <v>612.75120000000004</v>
      </c>
      <c r="I963" s="7">
        <v>610.17819999999995</v>
      </c>
      <c r="J963" s="7">
        <v>14</v>
      </c>
      <c r="K963" s="7">
        <v>2.6539661999999999E-3</v>
      </c>
      <c r="L963" s="7">
        <v>614.37742098299998</v>
      </c>
      <c r="M963" s="7">
        <v>608.55880767199994</v>
      </c>
      <c r="N963" s="7">
        <v>613.50228581440001</v>
      </c>
      <c r="O963" s="7">
        <v>614.37742098299998</v>
      </c>
      <c r="P963" s="7">
        <v>608.55880767199994</v>
      </c>
      <c r="Q963">
        <v>1</v>
      </c>
      <c r="R963">
        <v>0</v>
      </c>
      <c r="S963" s="11">
        <v>45835.666666666664</v>
      </c>
      <c r="T963">
        <v>1516</v>
      </c>
    </row>
    <row r="964" spans="1:20">
      <c r="A964" s="11">
        <v>45835.5625</v>
      </c>
      <c r="B964" s="11">
        <v>45835.583333333336</v>
      </c>
      <c r="C964" s="10">
        <v>45835</v>
      </c>
      <c r="D964" s="7">
        <v>612.42200000000003</v>
      </c>
      <c r="E964" s="7">
        <v>5161447</v>
      </c>
      <c r="F964" s="7">
        <v>5161447</v>
      </c>
      <c r="G964" s="7">
        <v>27283661</v>
      </c>
      <c r="H964" s="7">
        <v>612.75120000000004</v>
      </c>
      <c r="I964" s="7">
        <v>610.17819999999995</v>
      </c>
      <c r="J964" s="7">
        <v>14</v>
      </c>
      <c r="K964" s="7">
        <v>3.0055262999999998E-3</v>
      </c>
      <c r="L964" s="7">
        <v>614.59283983529997</v>
      </c>
      <c r="M964" s="7">
        <v>608.34429338380005</v>
      </c>
      <c r="N964" s="7">
        <v>613.29792035280002</v>
      </c>
      <c r="O964" s="7">
        <v>614.59283983529997</v>
      </c>
      <c r="P964" s="7">
        <v>608.34429338380005</v>
      </c>
      <c r="Q964">
        <v>1</v>
      </c>
      <c r="R964">
        <v>0</v>
      </c>
      <c r="S964" s="11">
        <v>45835.666666666664</v>
      </c>
      <c r="T964">
        <v>1515</v>
      </c>
    </row>
    <row r="965" spans="1:20">
      <c r="A965" s="11">
        <v>45835.583333333336</v>
      </c>
      <c r="B965" s="11">
        <v>45835.604166666664</v>
      </c>
      <c r="C965" s="10">
        <v>45835</v>
      </c>
      <c r="D965" s="7">
        <v>610.69680000000005</v>
      </c>
      <c r="E965" s="7">
        <v>4076477</v>
      </c>
      <c r="F965" s="7">
        <v>4076477</v>
      </c>
      <c r="G965" s="7">
        <v>31360138</v>
      </c>
      <c r="H965" s="7">
        <v>612.75120000000004</v>
      </c>
      <c r="I965" s="7">
        <v>610.17819999999995</v>
      </c>
      <c r="J965" s="7">
        <v>14</v>
      </c>
      <c r="K965" s="7">
        <v>3.0472813999999999E-3</v>
      </c>
      <c r="L965" s="7">
        <v>614.61842533840002</v>
      </c>
      <c r="M965" s="7">
        <v>608.31881531659997</v>
      </c>
      <c r="N965" s="7">
        <v>612.95980298569998</v>
      </c>
      <c r="O965" s="7">
        <v>614.61842533840002</v>
      </c>
      <c r="P965" s="7">
        <v>608.31881531659997</v>
      </c>
      <c r="Q965">
        <v>1</v>
      </c>
      <c r="R965">
        <v>0</v>
      </c>
      <c r="S965" s="11">
        <v>45835.666666666664</v>
      </c>
      <c r="T965">
        <v>1514</v>
      </c>
    </row>
    <row r="966" spans="1:20">
      <c r="A966" s="11">
        <v>45835.604166666664</v>
      </c>
      <c r="B966" s="11">
        <v>45835.625</v>
      </c>
      <c r="C966" s="10">
        <v>45835</v>
      </c>
      <c r="D966" s="7">
        <v>609.37049999999999</v>
      </c>
      <c r="E966" s="7">
        <v>7518202</v>
      </c>
      <c r="F966" s="7">
        <v>7518202</v>
      </c>
      <c r="G966" s="7">
        <v>38878340</v>
      </c>
      <c r="H966" s="7">
        <v>612.75120000000004</v>
      </c>
      <c r="I966" s="7">
        <v>610.17819999999995</v>
      </c>
      <c r="J966" s="7">
        <v>14</v>
      </c>
      <c r="K966" s="7">
        <v>3.6051836999999999E-3</v>
      </c>
      <c r="L966" s="7">
        <v>614.9602806611</v>
      </c>
      <c r="M966" s="7">
        <v>607.97839547670003</v>
      </c>
      <c r="N966" s="7">
        <v>612.2657120115</v>
      </c>
      <c r="O966" s="7">
        <v>614.9602806611</v>
      </c>
      <c r="P966" s="7">
        <v>607.97839547670003</v>
      </c>
      <c r="Q966">
        <v>1</v>
      </c>
      <c r="R966">
        <v>0</v>
      </c>
      <c r="S966" s="11">
        <v>45835.666666666664</v>
      </c>
      <c r="T966">
        <v>1513</v>
      </c>
    </row>
    <row r="967" spans="1:20">
      <c r="A967" s="11">
        <v>45835.625</v>
      </c>
      <c r="B967" s="11">
        <v>45835.645833333336</v>
      </c>
      <c r="C967" s="10">
        <v>45835</v>
      </c>
      <c r="D967" s="7">
        <v>610.73670000000004</v>
      </c>
      <c r="E967" s="7">
        <v>5443010</v>
      </c>
      <c r="F967" s="7">
        <v>5443010</v>
      </c>
      <c r="G967" s="7">
        <v>44321350</v>
      </c>
      <c r="H967" s="7">
        <v>612.75120000000004</v>
      </c>
      <c r="I967" s="7">
        <v>610.17819999999995</v>
      </c>
      <c r="J967" s="7">
        <v>14</v>
      </c>
      <c r="K967" s="7">
        <v>3.8549880000000002E-3</v>
      </c>
      <c r="L967" s="7">
        <v>615.11334853000005</v>
      </c>
      <c r="M967" s="7">
        <v>607.82597035410004</v>
      </c>
      <c r="N967" s="7">
        <v>612.07793732350001</v>
      </c>
      <c r="O967" s="7">
        <v>615.11334853000005</v>
      </c>
      <c r="P967" s="7">
        <v>607.82597035410004</v>
      </c>
      <c r="Q967">
        <v>1</v>
      </c>
      <c r="R967">
        <v>0</v>
      </c>
      <c r="S967" s="11">
        <v>45835.666666666664</v>
      </c>
      <c r="T967">
        <v>1512</v>
      </c>
    </row>
    <row r="968" spans="1:20">
      <c r="A968" s="11">
        <v>45835.645833333336</v>
      </c>
      <c r="B968" s="11">
        <v>45835.666666666664</v>
      </c>
      <c r="C968" s="10">
        <v>45835</v>
      </c>
      <c r="D968" s="7">
        <v>613.20979999999997</v>
      </c>
      <c r="E968" s="7">
        <v>14339161</v>
      </c>
      <c r="F968" s="7">
        <v>14339161</v>
      </c>
      <c r="G968" s="7">
        <v>58660511</v>
      </c>
      <c r="H968" s="7">
        <v>612.75120000000004</v>
      </c>
      <c r="I968" s="7">
        <v>610.17819999999995</v>
      </c>
      <c r="J968" s="7">
        <v>14</v>
      </c>
      <c r="K968" s="7">
        <v>3.5831405E-3</v>
      </c>
      <c r="L968" s="7">
        <v>614.94677364869995</v>
      </c>
      <c r="M968" s="7">
        <v>607.99184577189999</v>
      </c>
      <c r="N968" s="7">
        <v>612.30100703289997</v>
      </c>
      <c r="O968" s="7">
        <v>614.94677364869995</v>
      </c>
      <c r="P968" s="7">
        <v>607.99184577189999</v>
      </c>
      <c r="Q968">
        <v>1</v>
      </c>
      <c r="R968">
        <v>1</v>
      </c>
      <c r="S968" s="11">
        <v>45835.666666666664</v>
      </c>
      <c r="T968">
        <v>1511</v>
      </c>
    </row>
    <row r="969" spans="1:20">
      <c r="A969" s="11">
        <v>45838.395833333336</v>
      </c>
      <c r="B969" s="11">
        <v>45838.416666666664</v>
      </c>
      <c r="C969" s="10">
        <v>45838</v>
      </c>
      <c r="D969" s="7">
        <v>614.68579999999997</v>
      </c>
      <c r="E969" s="7">
        <v>5638109</v>
      </c>
      <c r="F969" s="7">
        <v>5638109</v>
      </c>
      <c r="G969" s="7">
        <v>5638109</v>
      </c>
      <c r="H969" s="7">
        <v>614.68579999999997</v>
      </c>
      <c r="I969" s="7">
        <v>613.20979999999997</v>
      </c>
      <c r="J969" s="7">
        <v>14</v>
      </c>
      <c r="K969" s="7">
        <v>0</v>
      </c>
      <c r="L969" s="7">
        <v>614.68579999999997</v>
      </c>
      <c r="M969" s="7">
        <v>613.20979999999997</v>
      </c>
      <c r="N969" s="7">
        <v>614.68579999999997</v>
      </c>
      <c r="O969" s="7">
        <v>614.68579999999997</v>
      </c>
      <c r="P969" s="7">
        <v>613.20979999999997</v>
      </c>
      <c r="Q969">
        <v>1</v>
      </c>
      <c r="R969">
        <v>0</v>
      </c>
      <c r="S969" s="11">
        <v>45838.666666666664</v>
      </c>
      <c r="T969">
        <v>1509</v>
      </c>
    </row>
    <row r="970" spans="1:20">
      <c r="A970" s="11">
        <v>45838.416666666664</v>
      </c>
      <c r="B970" s="11">
        <v>45838.4375</v>
      </c>
      <c r="C970" s="10">
        <v>45838</v>
      </c>
      <c r="D970" s="7">
        <v>615.02480000000003</v>
      </c>
      <c r="E970" s="7">
        <v>3800110</v>
      </c>
      <c r="F970" s="7">
        <v>3800110</v>
      </c>
      <c r="G970" s="7">
        <v>9438219</v>
      </c>
      <c r="H970" s="7">
        <v>614.68579999999997</v>
      </c>
      <c r="I970" s="7">
        <v>613.20979999999997</v>
      </c>
      <c r="J970" s="7">
        <v>14</v>
      </c>
      <c r="K970" s="7">
        <v>1.5584677E-3</v>
      </c>
      <c r="L970" s="7">
        <v>615.64376796149998</v>
      </c>
      <c r="M970" s="7">
        <v>612.25413233680001</v>
      </c>
      <c r="N970" s="7">
        <v>614.82229156580001</v>
      </c>
      <c r="O970" s="7">
        <v>615.64376796149998</v>
      </c>
      <c r="P970" s="7">
        <v>612.25413233680001</v>
      </c>
      <c r="Q970">
        <v>1</v>
      </c>
      <c r="R970">
        <v>0</v>
      </c>
      <c r="S970" s="11">
        <v>45838.666666666664</v>
      </c>
      <c r="T970">
        <v>1508</v>
      </c>
    </row>
    <row r="971" spans="1:20">
      <c r="A971" s="11">
        <v>45838.4375</v>
      </c>
      <c r="B971" s="11">
        <v>45838.458333333336</v>
      </c>
      <c r="C971" s="10">
        <v>45838</v>
      </c>
      <c r="D971" s="7">
        <v>614.35170000000005</v>
      </c>
      <c r="E971" s="7">
        <v>2492200</v>
      </c>
      <c r="F971" s="7">
        <v>2492200</v>
      </c>
      <c r="G971" s="7">
        <v>11930419</v>
      </c>
      <c r="H971" s="7">
        <v>614.68579999999997</v>
      </c>
      <c r="I971" s="7">
        <v>613.20979999999997</v>
      </c>
      <c r="J971" s="7">
        <v>14</v>
      </c>
      <c r="K971" s="7">
        <v>1.6357334E-3</v>
      </c>
      <c r="L971" s="7">
        <v>615.69126208060004</v>
      </c>
      <c r="M971" s="7">
        <v>612.20675226180003</v>
      </c>
      <c r="N971" s="7">
        <v>614.72398753309994</v>
      </c>
      <c r="O971" s="7">
        <v>615.69126208060004</v>
      </c>
      <c r="P971" s="7">
        <v>612.20675226180003</v>
      </c>
      <c r="Q971">
        <v>1</v>
      </c>
      <c r="R971">
        <v>0</v>
      </c>
      <c r="S971" s="11">
        <v>45838.666666666664</v>
      </c>
      <c r="T971">
        <v>1507</v>
      </c>
    </row>
    <row r="972" spans="1:20">
      <c r="A972" s="11">
        <v>45838.458333333336</v>
      </c>
      <c r="B972" s="11">
        <v>45838.479166666664</v>
      </c>
      <c r="C972" s="10">
        <v>45838</v>
      </c>
      <c r="D972" s="7">
        <v>614.51620000000003</v>
      </c>
      <c r="E972" s="7">
        <v>3076332</v>
      </c>
      <c r="F972" s="7">
        <v>3076332</v>
      </c>
      <c r="G972" s="7">
        <v>15006751</v>
      </c>
      <c r="H972" s="7">
        <v>614.68579999999997</v>
      </c>
      <c r="I972" s="7">
        <v>613.20979999999997</v>
      </c>
      <c r="J972" s="7">
        <v>14</v>
      </c>
      <c r="K972" s="7">
        <v>1.6072835999999999E-3</v>
      </c>
      <c r="L972" s="7">
        <v>615.67377442940005</v>
      </c>
      <c r="M972" s="7">
        <v>612.22419792129995</v>
      </c>
      <c r="N972" s="7">
        <v>614.68139180820003</v>
      </c>
      <c r="O972" s="7">
        <v>615.67377442940005</v>
      </c>
      <c r="P972" s="7">
        <v>612.22419792129995</v>
      </c>
      <c r="Q972">
        <v>1</v>
      </c>
      <c r="R972">
        <v>0</v>
      </c>
      <c r="S972" s="11">
        <v>45838.666666666664</v>
      </c>
      <c r="T972">
        <v>1506</v>
      </c>
    </row>
    <row r="973" spans="1:20">
      <c r="A973" s="11">
        <v>45838.479166666664</v>
      </c>
      <c r="B973" s="11">
        <v>45838.5</v>
      </c>
      <c r="C973" s="10">
        <v>45838</v>
      </c>
      <c r="D973" s="7">
        <v>614.77549999999997</v>
      </c>
      <c r="E973" s="7">
        <v>2173244</v>
      </c>
      <c r="F973" s="7">
        <v>2173244</v>
      </c>
      <c r="G973" s="7">
        <v>17179995</v>
      </c>
      <c r="H973" s="7">
        <v>614.68579999999997</v>
      </c>
      <c r="I973" s="7">
        <v>613.20979999999997</v>
      </c>
      <c r="J973" s="7">
        <v>14</v>
      </c>
      <c r="K973" s="7">
        <v>1.9038723999999999E-3</v>
      </c>
      <c r="L973" s="7">
        <v>615.85608333170001</v>
      </c>
      <c r="M973" s="7">
        <v>612.04232678400001</v>
      </c>
      <c r="N973" s="7">
        <v>614.69329635550002</v>
      </c>
      <c r="O973" s="7">
        <v>615.85608333170001</v>
      </c>
      <c r="P973" s="7">
        <v>612.04232678400001</v>
      </c>
      <c r="Q973">
        <v>1</v>
      </c>
      <c r="R973">
        <v>0</v>
      </c>
      <c r="S973" s="11">
        <v>45838.666666666664</v>
      </c>
      <c r="T973">
        <v>1505</v>
      </c>
    </row>
    <row r="974" spans="1:20">
      <c r="A974" s="11">
        <v>45838.5</v>
      </c>
      <c r="B974" s="11">
        <v>45838.520833333336</v>
      </c>
      <c r="C974" s="10">
        <v>45838</v>
      </c>
      <c r="D974" s="7">
        <v>614.51620000000003</v>
      </c>
      <c r="E974" s="7">
        <v>1578901</v>
      </c>
      <c r="F974" s="7">
        <v>1578901</v>
      </c>
      <c r="G974" s="7">
        <v>18758896</v>
      </c>
      <c r="H974" s="7">
        <v>614.68579999999997</v>
      </c>
      <c r="I974" s="7">
        <v>613.20979999999997</v>
      </c>
      <c r="J974" s="7">
        <v>14</v>
      </c>
      <c r="K974" s="7">
        <v>2.3242452E-3</v>
      </c>
      <c r="L974" s="7">
        <v>616.11448054020002</v>
      </c>
      <c r="M974" s="7">
        <v>611.78455004570003</v>
      </c>
      <c r="N974" s="7">
        <v>614.67839048830001</v>
      </c>
      <c r="O974" s="7">
        <v>616.11448054020002</v>
      </c>
      <c r="P974" s="7">
        <v>611.78455004570003</v>
      </c>
      <c r="Q974">
        <v>1</v>
      </c>
      <c r="R974">
        <v>0</v>
      </c>
      <c r="S974" s="11">
        <v>45838.666666666664</v>
      </c>
      <c r="T974">
        <v>1504</v>
      </c>
    </row>
    <row r="975" spans="1:20">
      <c r="A975" s="11">
        <v>45838.520833333336</v>
      </c>
      <c r="B975" s="11">
        <v>45838.541666666664</v>
      </c>
      <c r="C975" s="10">
        <v>45838</v>
      </c>
      <c r="D975" s="7">
        <v>614.95500000000004</v>
      </c>
      <c r="E975" s="7">
        <v>2032740</v>
      </c>
      <c r="F975" s="7">
        <v>2032740</v>
      </c>
      <c r="G975" s="7">
        <v>20791636</v>
      </c>
      <c r="H975" s="7">
        <v>614.68579999999997</v>
      </c>
      <c r="I975" s="7">
        <v>613.20979999999997</v>
      </c>
      <c r="J975" s="7">
        <v>14</v>
      </c>
      <c r="K975" s="7">
        <v>2.591571E-3</v>
      </c>
      <c r="L975" s="7">
        <v>616.27880186599998</v>
      </c>
      <c r="M975" s="7">
        <v>611.62062329269997</v>
      </c>
      <c r="N975" s="7">
        <v>614.70543382530002</v>
      </c>
      <c r="O975" s="7">
        <v>616.27880186599998</v>
      </c>
      <c r="P975" s="7">
        <v>611.62062329269997</v>
      </c>
      <c r="Q975">
        <v>1</v>
      </c>
      <c r="R975">
        <v>0</v>
      </c>
      <c r="S975" s="11">
        <v>45838.666666666664</v>
      </c>
      <c r="T975">
        <v>1503</v>
      </c>
    </row>
    <row r="976" spans="1:20">
      <c r="A976" s="11">
        <v>45838.541666666664</v>
      </c>
      <c r="B976" s="11">
        <v>45838.5625</v>
      </c>
      <c r="C976" s="10">
        <v>45838</v>
      </c>
      <c r="D976" s="7">
        <v>614.81039999999996</v>
      </c>
      <c r="E976" s="7">
        <v>1690572</v>
      </c>
      <c r="F976" s="7">
        <v>1690572</v>
      </c>
      <c r="G976" s="7">
        <v>22482208</v>
      </c>
      <c r="H976" s="7">
        <v>614.68579999999997</v>
      </c>
      <c r="I976" s="7">
        <v>613.20979999999997</v>
      </c>
      <c r="J976" s="7">
        <v>14</v>
      </c>
      <c r="K976" s="7">
        <v>2.5076679000000002E-3</v>
      </c>
      <c r="L976" s="7">
        <v>616.22722784330006</v>
      </c>
      <c r="M976" s="7">
        <v>611.67207347450005</v>
      </c>
      <c r="N976" s="7">
        <v>614.71332686120002</v>
      </c>
      <c r="O976" s="7">
        <v>616.22722784330006</v>
      </c>
      <c r="P976" s="7">
        <v>611.67207347450005</v>
      </c>
      <c r="Q976">
        <v>1</v>
      </c>
      <c r="R976">
        <v>0</v>
      </c>
      <c r="S976" s="11">
        <v>45838.666666666664</v>
      </c>
      <c r="T976">
        <v>1502</v>
      </c>
    </row>
    <row r="977" spans="1:20">
      <c r="A977" s="11">
        <v>45838.5625</v>
      </c>
      <c r="B977" s="11">
        <v>45838.583333333336</v>
      </c>
      <c r="C977" s="10">
        <v>45838</v>
      </c>
      <c r="D977" s="7">
        <v>614.12729999999999</v>
      </c>
      <c r="E977" s="7">
        <v>3258255</v>
      </c>
      <c r="F977" s="7">
        <v>3258255</v>
      </c>
      <c r="G977" s="7">
        <v>25740463</v>
      </c>
      <c r="H977" s="7">
        <v>614.68579999999997</v>
      </c>
      <c r="I977" s="7">
        <v>613.20979999999997</v>
      </c>
      <c r="J977" s="7">
        <v>14</v>
      </c>
      <c r="K977" s="7">
        <v>2.8751992999999998E-3</v>
      </c>
      <c r="L977" s="7">
        <v>616.45314418600003</v>
      </c>
      <c r="M977" s="7">
        <v>611.44669960819999</v>
      </c>
      <c r="N977" s="7">
        <v>614.63914696200004</v>
      </c>
      <c r="O977" s="7">
        <v>616.45314418600003</v>
      </c>
      <c r="P977" s="7">
        <v>611.44669960819999</v>
      </c>
      <c r="Q977">
        <v>1</v>
      </c>
      <c r="R977">
        <v>0</v>
      </c>
      <c r="S977" s="11">
        <v>45838.666666666664</v>
      </c>
      <c r="T977">
        <v>1501</v>
      </c>
    </row>
    <row r="978" spans="1:20">
      <c r="A978" s="11">
        <v>45838.583333333336</v>
      </c>
      <c r="B978" s="11">
        <v>45838.604166666664</v>
      </c>
      <c r="C978" s="10">
        <v>45838</v>
      </c>
      <c r="D978" s="7">
        <v>614.33669999999995</v>
      </c>
      <c r="E978" s="7">
        <v>3382937</v>
      </c>
      <c r="F978" s="7">
        <v>3382937</v>
      </c>
      <c r="G978" s="7">
        <v>29123400</v>
      </c>
      <c r="H978" s="7">
        <v>614.68579999999997</v>
      </c>
      <c r="I978" s="7">
        <v>613.20979999999997</v>
      </c>
      <c r="J978" s="7">
        <v>14</v>
      </c>
      <c r="K978" s="7">
        <v>3.1918169E-3</v>
      </c>
      <c r="L978" s="7">
        <v>616.64776454959997</v>
      </c>
      <c r="M978" s="7">
        <v>611.2525465722</v>
      </c>
      <c r="N978" s="7">
        <v>614.60401510860004</v>
      </c>
      <c r="O978" s="7">
        <v>616.64776454959997</v>
      </c>
      <c r="P978" s="7">
        <v>611.2525465722</v>
      </c>
      <c r="Q978">
        <v>1</v>
      </c>
      <c r="R978">
        <v>0</v>
      </c>
      <c r="S978" s="11">
        <v>45838.666666666664</v>
      </c>
      <c r="T978">
        <v>1500</v>
      </c>
    </row>
    <row r="979" spans="1:20">
      <c r="A979" s="11">
        <v>45838.604166666664</v>
      </c>
      <c r="B979" s="11">
        <v>45838.625</v>
      </c>
      <c r="C979" s="10">
        <v>45838</v>
      </c>
      <c r="D979" s="7">
        <v>615.21429999999998</v>
      </c>
      <c r="E979" s="7">
        <v>4025631</v>
      </c>
      <c r="F979" s="7">
        <v>4025631</v>
      </c>
      <c r="G979" s="7">
        <v>33149031</v>
      </c>
      <c r="H979" s="7">
        <v>614.68579999999997</v>
      </c>
      <c r="I979" s="7">
        <v>613.20979999999997</v>
      </c>
      <c r="J979" s="7">
        <v>14</v>
      </c>
      <c r="K979" s="7">
        <v>3.9150356000000001E-3</v>
      </c>
      <c r="L979" s="7">
        <v>617.09231676540003</v>
      </c>
      <c r="M979" s="7">
        <v>610.80906182700005</v>
      </c>
      <c r="N979" s="7">
        <v>614.67812833920004</v>
      </c>
      <c r="O979" s="7">
        <v>617.09231676540003</v>
      </c>
      <c r="P979" s="7">
        <v>610.80906182700005</v>
      </c>
      <c r="Q979">
        <v>1</v>
      </c>
      <c r="R979">
        <v>0</v>
      </c>
      <c r="S979" s="11">
        <v>45838.666666666664</v>
      </c>
      <c r="T979">
        <v>1499</v>
      </c>
    </row>
    <row r="980" spans="1:20">
      <c r="A980" s="11">
        <v>45838.625</v>
      </c>
      <c r="B980" s="11">
        <v>45838.645833333336</v>
      </c>
      <c r="C980" s="10">
        <v>45838</v>
      </c>
      <c r="D980" s="7">
        <v>616.1866</v>
      </c>
      <c r="E980" s="7">
        <v>6776315</v>
      </c>
      <c r="F980" s="7">
        <v>6776315</v>
      </c>
      <c r="G980" s="7">
        <v>39925346</v>
      </c>
      <c r="H980" s="7">
        <v>614.68579999999997</v>
      </c>
      <c r="I980" s="7">
        <v>613.20979999999997</v>
      </c>
      <c r="J980" s="7">
        <v>14</v>
      </c>
      <c r="K980" s="7">
        <v>3.9627450000000002E-3</v>
      </c>
      <c r="L980" s="7">
        <v>617.12164305800002</v>
      </c>
      <c r="M980" s="7">
        <v>610.77980595359998</v>
      </c>
      <c r="N980" s="7">
        <v>614.93415314970002</v>
      </c>
      <c r="O980" s="7">
        <v>617.12164305800002</v>
      </c>
      <c r="P980" s="7">
        <v>610.77980595359998</v>
      </c>
      <c r="Q980">
        <v>1</v>
      </c>
      <c r="R980">
        <v>0</v>
      </c>
      <c r="S980" s="11">
        <v>45838.666666666664</v>
      </c>
      <c r="T980">
        <v>1498</v>
      </c>
    </row>
    <row r="981" spans="1:20">
      <c r="A981" s="11">
        <v>45838.645833333336</v>
      </c>
      <c r="B981" s="11">
        <v>45838.666666666664</v>
      </c>
      <c r="C981" s="10">
        <v>45838</v>
      </c>
      <c r="D981" s="7">
        <v>616.14170000000001</v>
      </c>
      <c r="E981" s="7">
        <v>19797674</v>
      </c>
      <c r="F981" s="7">
        <v>19797674</v>
      </c>
      <c r="G981" s="7">
        <v>59723020</v>
      </c>
      <c r="H981" s="7">
        <v>614.68579999999997</v>
      </c>
      <c r="I981" s="7">
        <v>613.20979999999997</v>
      </c>
      <c r="J981" s="7">
        <v>14</v>
      </c>
      <c r="K981" s="7">
        <v>3.4893041E-3</v>
      </c>
      <c r="L981" s="7">
        <v>616.83062565210003</v>
      </c>
      <c r="M981" s="7">
        <v>611.07012456070004</v>
      </c>
      <c r="N981" s="7">
        <v>615.36752752940004</v>
      </c>
      <c r="O981" s="7">
        <v>616.83062565210003</v>
      </c>
      <c r="P981" s="7">
        <v>611.07012456070004</v>
      </c>
      <c r="Q981">
        <v>1</v>
      </c>
      <c r="R981">
        <v>1</v>
      </c>
      <c r="S981" s="11">
        <v>45838.666666666664</v>
      </c>
      <c r="T981">
        <v>1497</v>
      </c>
    </row>
    <row r="982" spans="1:20">
      <c r="A982" s="11">
        <v>45839.395833333336</v>
      </c>
      <c r="B982" s="11">
        <v>45839.416666666664</v>
      </c>
      <c r="C982" s="10">
        <v>45839</v>
      </c>
      <c r="D982" s="7">
        <v>615.45529999999997</v>
      </c>
      <c r="E982" s="7">
        <v>4658837</v>
      </c>
      <c r="F982" s="7">
        <v>4658837</v>
      </c>
      <c r="G982" s="7">
        <v>4658837</v>
      </c>
      <c r="H982" s="7">
        <v>615.45529999999997</v>
      </c>
      <c r="I982" s="7">
        <v>616.14170000000001</v>
      </c>
      <c r="J982" s="7">
        <v>14</v>
      </c>
      <c r="K982" s="7">
        <v>0</v>
      </c>
      <c r="L982" s="7">
        <v>616.14170000000001</v>
      </c>
      <c r="M982" s="7">
        <v>615.45529999999997</v>
      </c>
      <c r="N982" s="7">
        <v>615.45529999999997</v>
      </c>
      <c r="O982" s="7">
        <v>616.14170000000001</v>
      </c>
      <c r="P982" s="7">
        <v>615.45529999999997</v>
      </c>
      <c r="Q982">
        <v>1</v>
      </c>
      <c r="R982">
        <v>0</v>
      </c>
      <c r="S982" s="11">
        <v>45839.666666666664</v>
      </c>
      <c r="T982">
        <v>1495</v>
      </c>
    </row>
    <row r="983" spans="1:20">
      <c r="A983" s="11">
        <v>45839.416666666664</v>
      </c>
      <c r="B983" s="11">
        <v>45839.4375</v>
      </c>
      <c r="C983" s="10">
        <v>45839</v>
      </c>
      <c r="D983" s="7">
        <v>615.32399999999996</v>
      </c>
      <c r="E983" s="7">
        <v>4044077</v>
      </c>
      <c r="F983" s="7">
        <v>4044077</v>
      </c>
      <c r="G983" s="7">
        <v>8702914</v>
      </c>
      <c r="H983" s="7">
        <v>615.45529999999997</v>
      </c>
      <c r="I983" s="7">
        <v>616.14170000000001</v>
      </c>
      <c r="J983" s="7">
        <v>14</v>
      </c>
      <c r="K983" s="7">
        <v>1.5048499E-3</v>
      </c>
      <c r="L983" s="7">
        <v>617.06890076330001</v>
      </c>
      <c r="M983" s="7">
        <v>614.52913216570005</v>
      </c>
      <c r="N983" s="7">
        <v>615.39428741159998</v>
      </c>
      <c r="O983" s="7">
        <v>617.06890076330001</v>
      </c>
      <c r="P983" s="7">
        <v>614.52913216570005</v>
      </c>
      <c r="Q983">
        <v>1</v>
      </c>
      <c r="R983">
        <v>0</v>
      </c>
      <c r="S983" s="11">
        <v>45839.666666666664</v>
      </c>
      <c r="T983">
        <v>1494</v>
      </c>
    </row>
    <row r="984" spans="1:20">
      <c r="A984" s="11">
        <v>45839.4375</v>
      </c>
      <c r="B984" s="11">
        <v>45839.458333333336</v>
      </c>
      <c r="C984" s="10">
        <v>45839</v>
      </c>
      <c r="D984" s="7">
        <v>614.74559999999997</v>
      </c>
      <c r="E984" s="7">
        <v>4015807</v>
      </c>
      <c r="F984" s="7">
        <v>4015807</v>
      </c>
      <c r="G984" s="7">
        <v>12718721</v>
      </c>
      <c r="H984" s="7">
        <v>615.45529999999997</v>
      </c>
      <c r="I984" s="7">
        <v>616.14170000000001</v>
      </c>
      <c r="J984" s="7">
        <v>14</v>
      </c>
      <c r="K984" s="7">
        <v>1.6077763000000001E-3</v>
      </c>
      <c r="L984" s="7">
        <v>617.13231801179995</v>
      </c>
      <c r="M984" s="7">
        <v>614.46578556580005</v>
      </c>
      <c r="N984" s="7">
        <v>615.18947094860005</v>
      </c>
      <c r="O984" s="7">
        <v>617.13231801179995</v>
      </c>
      <c r="P984" s="7">
        <v>614.46578556580005</v>
      </c>
      <c r="Q984">
        <v>1</v>
      </c>
      <c r="R984">
        <v>0</v>
      </c>
      <c r="S984" s="11">
        <v>45839.666666666664</v>
      </c>
      <c r="T984">
        <v>1493</v>
      </c>
    </row>
    <row r="985" spans="1:20">
      <c r="A985" s="11">
        <v>45839.458333333336</v>
      </c>
      <c r="B985" s="11">
        <v>45839.479166666664</v>
      </c>
      <c r="C985" s="10">
        <v>45839</v>
      </c>
      <c r="D985" s="7">
        <v>615.58309999999994</v>
      </c>
      <c r="E985" s="7">
        <v>4807050</v>
      </c>
      <c r="F985" s="7">
        <v>4807050</v>
      </c>
      <c r="G985" s="7">
        <v>17525771</v>
      </c>
      <c r="H985" s="7">
        <v>615.45529999999997</v>
      </c>
      <c r="I985" s="7">
        <v>616.14170000000001</v>
      </c>
      <c r="J985" s="7">
        <v>14</v>
      </c>
      <c r="K985" s="7">
        <v>1.5977751999999999E-3</v>
      </c>
      <c r="L985" s="7">
        <v>617.12615592780003</v>
      </c>
      <c r="M985" s="7">
        <v>614.47194078509995</v>
      </c>
      <c r="N985" s="7">
        <v>615.29743735600005</v>
      </c>
      <c r="O985" s="7">
        <v>617.12615592780003</v>
      </c>
      <c r="P985" s="7">
        <v>614.47194078509995</v>
      </c>
      <c r="Q985">
        <v>1</v>
      </c>
      <c r="R985">
        <v>0</v>
      </c>
      <c r="S985" s="11">
        <v>45839.666666666664</v>
      </c>
      <c r="T985">
        <v>1492</v>
      </c>
    </row>
    <row r="986" spans="1:20">
      <c r="A986" s="11">
        <v>45839.479166666664</v>
      </c>
      <c r="B986" s="11">
        <v>45839.5</v>
      </c>
      <c r="C986" s="10">
        <v>45839</v>
      </c>
      <c r="D986" s="7">
        <v>615.27409999999998</v>
      </c>
      <c r="E986" s="7">
        <v>2612708</v>
      </c>
      <c r="F986" s="7">
        <v>2612708</v>
      </c>
      <c r="G986" s="7">
        <v>20138479</v>
      </c>
      <c r="H986" s="7">
        <v>615.45529999999997</v>
      </c>
      <c r="I986" s="7">
        <v>616.14170000000001</v>
      </c>
      <c r="J986" s="7">
        <v>14</v>
      </c>
      <c r="K986" s="7">
        <v>1.8111385000000001E-3</v>
      </c>
      <c r="L986" s="7">
        <v>617.25761792759999</v>
      </c>
      <c r="M986" s="7">
        <v>614.34062523780005</v>
      </c>
      <c r="N986" s="7">
        <v>615.29440963499997</v>
      </c>
      <c r="O986" s="7">
        <v>617.25761792759999</v>
      </c>
      <c r="P986" s="7">
        <v>614.34062523780005</v>
      </c>
      <c r="Q986">
        <v>1</v>
      </c>
      <c r="R986">
        <v>0</v>
      </c>
      <c r="S986" s="11">
        <v>45839.666666666664</v>
      </c>
      <c r="T986">
        <v>1491</v>
      </c>
    </row>
    <row r="987" spans="1:20">
      <c r="A987" s="11">
        <v>45839.5</v>
      </c>
      <c r="B987" s="11">
        <v>45839.520833333336</v>
      </c>
      <c r="C987" s="10">
        <v>45839</v>
      </c>
      <c r="D987" s="7">
        <v>615.59320000000002</v>
      </c>
      <c r="E987" s="7">
        <v>3238301</v>
      </c>
      <c r="F987" s="7">
        <v>3238301</v>
      </c>
      <c r="G987" s="7">
        <v>23376780</v>
      </c>
      <c r="H987" s="7">
        <v>615.45529999999997</v>
      </c>
      <c r="I987" s="7">
        <v>616.14170000000001</v>
      </c>
      <c r="J987" s="7">
        <v>14</v>
      </c>
      <c r="K987" s="7">
        <v>2.2449697000000001E-3</v>
      </c>
      <c r="L987" s="7">
        <v>617.52491946370003</v>
      </c>
      <c r="M987" s="7">
        <v>614.07362148350001</v>
      </c>
      <c r="N987" s="7">
        <v>615.3357999863</v>
      </c>
      <c r="O987" s="7">
        <v>617.52491946370003</v>
      </c>
      <c r="P987" s="7">
        <v>614.07362148350001</v>
      </c>
      <c r="Q987">
        <v>1</v>
      </c>
      <c r="R987">
        <v>0</v>
      </c>
      <c r="S987" s="11">
        <v>45839.666666666664</v>
      </c>
      <c r="T987">
        <v>1490</v>
      </c>
    </row>
    <row r="988" spans="1:20">
      <c r="A988" s="11">
        <v>45839.520833333336</v>
      </c>
      <c r="B988" s="11">
        <v>45839.541666666664</v>
      </c>
      <c r="C988" s="10">
        <v>45839</v>
      </c>
      <c r="D988" s="7">
        <v>615.41380000000004</v>
      </c>
      <c r="E988" s="7">
        <v>2277235</v>
      </c>
      <c r="F988" s="7">
        <v>2277235</v>
      </c>
      <c r="G988" s="7">
        <v>25654015</v>
      </c>
      <c r="H988" s="7">
        <v>615.45529999999997</v>
      </c>
      <c r="I988" s="7">
        <v>616.14170000000001</v>
      </c>
      <c r="J988" s="7">
        <v>14</v>
      </c>
      <c r="K988" s="7">
        <v>2.4183372000000001E-3</v>
      </c>
      <c r="L988" s="7">
        <v>617.63173837679994</v>
      </c>
      <c r="M988" s="7">
        <v>613.96692156979998</v>
      </c>
      <c r="N988" s="7">
        <v>615.34272382890003</v>
      </c>
      <c r="O988" s="7">
        <v>617.63173837679994</v>
      </c>
      <c r="P988" s="7">
        <v>613.96692156979998</v>
      </c>
      <c r="Q988">
        <v>1</v>
      </c>
      <c r="R988">
        <v>0</v>
      </c>
      <c r="S988" s="11">
        <v>45839.666666666664</v>
      </c>
      <c r="T988">
        <v>1489</v>
      </c>
    </row>
    <row r="989" spans="1:20">
      <c r="A989" s="11">
        <v>45839.541666666664</v>
      </c>
      <c r="B989" s="11">
        <v>45839.5625</v>
      </c>
      <c r="C989" s="10">
        <v>45839</v>
      </c>
      <c r="D989" s="7">
        <v>616.36109999999996</v>
      </c>
      <c r="E989" s="7">
        <v>2360891</v>
      </c>
      <c r="F989" s="7">
        <v>2360891</v>
      </c>
      <c r="G989" s="7">
        <v>28014906</v>
      </c>
      <c r="H989" s="7">
        <v>615.45529999999997</v>
      </c>
      <c r="I989" s="7">
        <v>616.14170000000001</v>
      </c>
      <c r="J989" s="7">
        <v>14</v>
      </c>
      <c r="K989" s="7">
        <v>2.3009358999999999E-3</v>
      </c>
      <c r="L989" s="7">
        <v>617.55940257919997</v>
      </c>
      <c r="M989" s="7">
        <v>614.03917678319999</v>
      </c>
      <c r="N989" s="7">
        <v>615.42854511049995</v>
      </c>
      <c r="O989" s="7">
        <v>617.55940257919997</v>
      </c>
      <c r="P989" s="7">
        <v>614.03917678319999</v>
      </c>
      <c r="Q989">
        <v>1</v>
      </c>
      <c r="R989">
        <v>0</v>
      </c>
      <c r="S989" s="11">
        <v>45839.666666666664</v>
      </c>
      <c r="T989">
        <v>1488</v>
      </c>
    </row>
    <row r="990" spans="1:20">
      <c r="A990" s="11">
        <v>45839.5625</v>
      </c>
      <c r="B990" s="11">
        <v>45839.583333333336</v>
      </c>
      <c r="C990" s="10">
        <v>45839</v>
      </c>
      <c r="D990" s="7">
        <v>616.90959999999995</v>
      </c>
      <c r="E990" s="7">
        <v>2148696</v>
      </c>
      <c r="F990" s="7">
        <v>2148696</v>
      </c>
      <c r="G990" s="7">
        <v>30163602</v>
      </c>
      <c r="H990" s="7">
        <v>615.45529999999997</v>
      </c>
      <c r="I990" s="7">
        <v>616.14170000000001</v>
      </c>
      <c r="J990" s="7">
        <v>14</v>
      </c>
      <c r="K990" s="7">
        <v>2.7099406999999999E-3</v>
      </c>
      <c r="L990" s="7">
        <v>617.81140749329995</v>
      </c>
      <c r="M990" s="7">
        <v>613.78745260999995</v>
      </c>
      <c r="N990" s="7">
        <v>615.53404765350001</v>
      </c>
      <c r="O990" s="7">
        <v>617.81140749329995</v>
      </c>
      <c r="P990" s="7">
        <v>613.78745260999995</v>
      </c>
      <c r="Q990">
        <v>1</v>
      </c>
      <c r="R990">
        <v>0</v>
      </c>
      <c r="S990" s="11">
        <v>45839.666666666664</v>
      </c>
      <c r="T990">
        <v>1487</v>
      </c>
    </row>
    <row r="991" spans="1:20">
      <c r="A991" s="11">
        <v>45839.583333333336</v>
      </c>
      <c r="B991" s="11">
        <v>45839.604166666664</v>
      </c>
      <c r="C991" s="10">
        <v>45839</v>
      </c>
      <c r="D991" s="7">
        <v>616.28129999999999</v>
      </c>
      <c r="E991" s="7">
        <v>2763984</v>
      </c>
      <c r="F991" s="7">
        <v>2763984</v>
      </c>
      <c r="G991" s="7">
        <v>32927586</v>
      </c>
      <c r="H991" s="7">
        <v>615.45529999999997</v>
      </c>
      <c r="I991" s="7">
        <v>616.14170000000001</v>
      </c>
      <c r="J991" s="7">
        <v>14</v>
      </c>
      <c r="K991" s="7">
        <v>2.9938897999999999E-3</v>
      </c>
      <c r="L991" s="7">
        <v>617.98636034829997</v>
      </c>
      <c r="M991" s="7">
        <v>613.61269465769999</v>
      </c>
      <c r="N991" s="7">
        <v>615.59677297840005</v>
      </c>
      <c r="O991" s="7">
        <v>617.98636034829997</v>
      </c>
      <c r="P991" s="7">
        <v>613.61269465769999</v>
      </c>
      <c r="Q991">
        <v>1</v>
      </c>
      <c r="R991">
        <v>0</v>
      </c>
      <c r="S991" s="11">
        <v>45839.666666666664</v>
      </c>
      <c r="T991">
        <v>1486</v>
      </c>
    </row>
    <row r="992" spans="1:20">
      <c r="A992" s="11">
        <v>45839.604166666664</v>
      </c>
      <c r="B992" s="11">
        <v>45839.625</v>
      </c>
      <c r="C992" s="10">
        <v>45839</v>
      </c>
      <c r="D992" s="7">
        <v>615.98220000000003</v>
      </c>
      <c r="E992" s="7">
        <v>2180419</v>
      </c>
      <c r="F992" s="7">
        <v>2180419</v>
      </c>
      <c r="G992" s="7">
        <v>35108005</v>
      </c>
      <c r="H992" s="7">
        <v>615.45529999999997</v>
      </c>
      <c r="I992" s="7">
        <v>616.14170000000001</v>
      </c>
      <c r="J992" s="7">
        <v>14</v>
      </c>
      <c r="K992" s="7">
        <v>3.7355686000000001E-3</v>
      </c>
      <c r="L992" s="7">
        <v>618.44333956690002</v>
      </c>
      <c r="M992" s="7">
        <v>613.15622452729997</v>
      </c>
      <c r="N992" s="7">
        <v>615.62071032259996</v>
      </c>
      <c r="O992" s="7">
        <v>618.44333956690002</v>
      </c>
      <c r="P992" s="7">
        <v>613.15622452729997</v>
      </c>
      <c r="Q992">
        <v>1</v>
      </c>
      <c r="R992">
        <v>0</v>
      </c>
      <c r="S992" s="11">
        <v>45839.666666666664</v>
      </c>
      <c r="T992">
        <v>1485</v>
      </c>
    </row>
    <row r="993" spans="1:20">
      <c r="A993" s="11">
        <v>45839.625</v>
      </c>
      <c r="B993" s="11">
        <v>45839.645833333336</v>
      </c>
      <c r="C993" s="10">
        <v>45839</v>
      </c>
      <c r="D993" s="7">
        <v>616.65530000000001</v>
      </c>
      <c r="E993" s="7">
        <v>5424285</v>
      </c>
      <c r="F993" s="7">
        <v>5424285</v>
      </c>
      <c r="G993" s="7">
        <v>40532290</v>
      </c>
      <c r="H993" s="7">
        <v>615.45529999999997</v>
      </c>
      <c r="I993" s="7">
        <v>616.14170000000001</v>
      </c>
      <c r="J993" s="7">
        <v>14</v>
      </c>
      <c r="K993" s="7">
        <v>3.9546835999999998E-3</v>
      </c>
      <c r="L993" s="7">
        <v>618.57834547319999</v>
      </c>
      <c r="M993" s="7">
        <v>613.02136902159998</v>
      </c>
      <c r="N993" s="7">
        <v>615.75916559539996</v>
      </c>
      <c r="O993" s="7">
        <v>618.57834547319999</v>
      </c>
      <c r="P993" s="7">
        <v>613.02136902159998</v>
      </c>
      <c r="Q993">
        <v>1</v>
      </c>
      <c r="R993">
        <v>0</v>
      </c>
      <c r="S993" s="11">
        <v>45839.666666666664</v>
      </c>
      <c r="T993">
        <v>1484</v>
      </c>
    </row>
    <row r="994" spans="1:20">
      <c r="A994" s="11">
        <v>45839.645833333336</v>
      </c>
      <c r="B994" s="11">
        <v>45839.666666666664</v>
      </c>
      <c r="C994" s="10">
        <v>45839</v>
      </c>
      <c r="D994" s="7">
        <v>615.94230000000005</v>
      </c>
      <c r="E994" s="7">
        <v>9320322</v>
      </c>
      <c r="F994" s="7">
        <v>9320322</v>
      </c>
      <c r="G994" s="7">
        <v>49852612</v>
      </c>
      <c r="H994" s="7">
        <v>615.45529999999997</v>
      </c>
      <c r="I994" s="7">
        <v>616.14170000000001</v>
      </c>
      <c r="J994" s="7">
        <v>14</v>
      </c>
      <c r="K994" s="7">
        <v>3.5738094E-3</v>
      </c>
      <c r="L994" s="7">
        <v>618.3436729906</v>
      </c>
      <c r="M994" s="7">
        <v>613.25578007219997</v>
      </c>
      <c r="N994" s="7">
        <v>615.79340395429995</v>
      </c>
      <c r="O994" s="7">
        <v>618.3436729906</v>
      </c>
      <c r="P994" s="7">
        <v>613.25578007219997</v>
      </c>
      <c r="Q994">
        <v>1</v>
      </c>
      <c r="R994">
        <v>1</v>
      </c>
      <c r="S994" s="11">
        <v>45839.666666666664</v>
      </c>
      <c r="T994">
        <v>1483</v>
      </c>
    </row>
    <row r="995" spans="1:20">
      <c r="A995" s="11">
        <v>45840.395833333336</v>
      </c>
      <c r="B995" s="11">
        <v>45840.416666666664</v>
      </c>
      <c r="C995" s="10">
        <v>45840</v>
      </c>
      <c r="D995" s="7">
        <v>615.59320000000002</v>
      </c>
      <c r="E995" s="7">
        <v>4277776</v>
      </c>
      <c r="F995" s="7">
        <v>4277776</v>
      </c>
      <c r="G995" s="7">
        <v>4277776</v>
      </c>
      <c r="H995" s="7">
        <v>615.59320000000002</v>
      </c>
      <c r="I995" s="7">
        <v>615.94219999999996</v>
      </c>
      <c r="J995" s="7">
        <v>14</v>
      </c>
      <c r="K995" s="7">
        <v>0</v>
      </c>
      <c r="L995" s="7">
        <v>615.94219999999996</v>
      </c>
      <c r="M995" s="7">
        <v>615.59320000000002</v>
      </c>
      <c r="N995" s="7">
        <v>615.59320000000002</v>
      </c>
      <c r="O995" s="7">
        <v>615.94219999999996</v>
      </c>
      <c r="P995" s="7">
        <v>615.59320000000002</v>
      </c>
      <c r="Q995">
        <v>1</v>
      </c>
      <c r="R995">
        <v>0</v>
      </c>
      <c r="S995" s="11">
        <v>45840.666666666664</v>
      </c>
      <c r="T995">
        <v>1481</v>
      </c>
    </row>
    <row r="996" spans="1:20">
      <c r="A996" s="11">
        <v>45840.416666666664</v>
      </c>
      <c r="B996" s="11">
        <v>45840.4375</v>
      </c>
      <c r="C996" s="10">
        <v>45840</v>
      </c>
      <c r="D996" s="7">
        <v>616.93949999999995</v>
      </c>
      <c r="E996" s="7">
        <v>4217745</v>
      </c>
      <c r="F996" s="7">
        <v>4217745</v>
      </c>
      <c r="G996" s="7">
        <v>8495521</v>
      </c>
      <c r="H996" s="7">
        <v>615.59320000000002</v>
      </c>
      <c r="I996" s="7">
        <v>615.94219999999996</v>
      </c>
      <c r="J996" s="7">
        <v>14</v>
      </c>
      <c r="K996" s="7">
        <v>1.4463443999999999E-3</v>
      </c>
      <c r="L996" s="7">
        <v>616.83306457790002</v>
      </c>
      <c r="M996" s="7">
        <v>614.70284019630003</v>
      </c>
      <c r="N996" s="7">
        <v>616.26159339150001</v>
      </c>
      <c r="O996" s="7">
        <v>616.83306457790002</v>
      </c>
      <c r="P996" s="7">
        <v>614.70284019630003</v>
      </c>
      <c r="Q996">
        <v>1</v>
      </c>
      <c r="R996">
        <v>0</v>
      </c>
      <c r="S996" s="11">
        <v>45840.666666666664</v>
      </c>
      <c r="T996">
        <v>1480</v>
      </c>
    </row>
    <row r="997" spans="1:20">
      <c r="A997" s="11">
        <v>45840.4375</v>
      </c>
      <c r="B997" s="11">
        <v>45840.458333333336</v>
      </c>
      <c r="C997" s="10">
        <v>45840</v>
      </c>
      <c r="D997" s="7">
        <v>617.10910000000001</v>
      </c>
      <c r="E997" s="7">
        <v>4287954</v>
      </c>
      <c r="F997" s="7">
        <v>4287954</v>
      </c>
      <c r="G997" s="7">
        <v>12783475</v>
      </c>
      <c r="H997" s="7">
        <v>615.59320000000002</v>
      </c>
      <c r="I997" s="7">
        <v>615.94219999999996</v>
      </c>
      <c r="J997" s="7">
        <v>14</v>
      </c>
      <c r="K997" s="7">
        <v>1.629784E-3</v>
      </c>
      <c r="L997" s="7">
        <v>616.94605273529999</v>
      </c>
      <c r="M997" s="7">
        <v>614.58991605929998</v>
      </c>
      <c r="N997" s="7">
        <v>616.54587206780002</v>
      </c>
      <c r="O997" s="7">
        <v>616.94605273529999</v>
      </c>
      <c r="P997" s="7">
        <v>614.58991605929998</v>
      </c>
      <c r="Q997">
        <v>1</v>
      </c>
      <c r="R997">
        <v>0</v>
      </c>
      <c r="S997" s="11">
        <v>45840.666666666664</v>
      </c>
      <c r="T997">
        <v>1479</v>
      </c>
    </row>
    <row r="998" spans="1:20">
      <c r="A998" s="11">
        <v>45840.458333333336</v>
      </c>
      <c r="B998" s="11">
        <v>45840.479166666664</v>
      </c>
      <c r="C998" s="10">
        <v>45840</v>
      </c>
      <c r="D998" s="7">
        <v>617.04930000000002</v>
      </c>
      <c r="E998" s="7">
        <v>2605548</v>
      </c>
      <c r="F998" s="7">
        <v>2605548</v>
      </c>
      <c r="G998" s="7">
        <v>15389023</v>
      </c>
      <c r="H998" s="7">
        <v>615.59320000000002</v>
      </c>
      <c r="I998" s="7">
        <v>615.94219999999996</v>
      </c>
      <c r="J998" s="7">
        <v>14</v>
      </c>
      <c r="K998" s="7">
        <v>1.5454664E-3</v>
      </c>
      <c r="L998" s="7">
        <v>616.89411798430001</v>
      </c>
      <c r="M998" s="7">
        <v>614.64182138349997</v>
      </c>
      <c r="N998" s="7">
        <v>616.63110851470003</v>
      </c>
      <c r="O998" s="7">
        <v>616.89411798430001</v>
      </c>
      <c r="P998" s="7">
        <v>614.64182138349997</v>
      </c>
      <c r="Q998">
        <v>1</v>
      </c>
      <c r="R998">
        <v>0</v>
      </c>
      <c r="S998" s="11">
        <v>45840.666666666664</v>
      </c>
      <c r="T998">
        <v>1478</v>
      </c>
    </row>
    <row r="999" spans="1:20">
      <c r="A999" s="11">
        <v>45840.479166666664</v>
      </c>
      <c r="B999" s="11">
        <v>45840.5</v>
      </c>
      <c r="C999" s="10">
        <v>45840</v>
      </c>
      <c r="D999" s="7">
        <v>617.55280000000005</v>
      </c>
      <c r="E999" s="7">
        <v>2521881</v>
      </c>
      <c r="F999" s="7">
        <v>2521881</v>
      </c>
      <c r="G999" s="7">
        <v>17910904</v>
      </c>
      <c r="H999" s="7">
        <v>615.59320000000002</v>
      </c>
      <c r="I999" s="7">
        <v>615.94219999999996</v>
      </c>
      <c r="J999" s="7">
        <v>14</v>
      </c>
      <c r="K999" s="7">
        <v>1.7530893999999999E-3</v>
      </c>
      <c r="L999" s="7">
        <v>617.02200174259997</v>
      </c>
      <c r="M999" s="7">
        <v>614.51401008560003</v>
      </c>
      <c r="N999" s="7">
        <v>616.76088399920002</v>
      </c>
      <c r="O999" s="7">
        <v>617.02200174259997</v>
      </c>
      <c r="P999" s="7">
        <v>614.51401008560003</v>
      </c>
      <c r="Q999">
        <v>1</v>
      </c>
      <c r="R999">
        <v>0</v>
      </c>
      <c r="S999" s="11">
        <v>45840.666666666664</v>
      </c>
      <c r="T999">
        <v>1477</v>
      </c>
    </row>
    <row r="1000" spans="1:20">
      <c r="A1000" s="11">
        <v>45840.5</v>
      </c>
      <c r="B1000" s="11">
        <v>45840.520833333336</v>
      </c>
      <c r="C1000" s="10">
        <v>45840</v>
      </c>
      <c r="D1000" s="7">
        <v>617.42819999999995</v>
      </c>
      <c r="E1000" s="7">
        <v>1978457</v>
      </c>
      <c r="F1000" s="7">
        <v>1978457</v>
      </c>
      <c r="G1000" s="7">
        <v>19889361</v>
      </c>
      <c r="H1000" s="7">
        <v>615.59320000000002</v>
      </c>
      <c r="I1000" s="7">
        <v>615.94219999999996</v>
      </c>
      <c r="J1000" s="7">
        <v>14</v>
      </c>
      <c r="K1000" s="7">
        <v>2.1039768999999999E-3</v>
      </c>
      <c r="L1000" s="7">
        <v>617.2381281342</v>
      </c>
      <c r="M1000" s="7">
        <v>614.29800615370004</v>
      </c>
      <c r="N1000" s="7">
        <v>616.82726401080004</v>
      </c>
      <c r="O1000" s="7">
        <v>617.2381281342</v>
      </c>
      <c r="P1000" s="7">
        <v>614.29800615370004</v>
      </c>
      <c r="Q1000">
        <v>1</v>
      </c>
      <c r="R1000">
        <v>0</v>
      </c>
      <c r="S1000" s="11">
        <v>45840.666666666664</v>
      </c>
      <c r="T1000">
        <v>1476</v>
      </c>
    </row>
    <row r="1001" spans="1:20">
      <c r="A1001" s="11">
        <v>45840.520833333336</v>
      </c>
      <c r="B1001" s="11">
        <v>45840.541666666664</v>
      </c>
      <c r="C1001" s="10">
        <v>45840</v>
      </c>
      <c r="D1001" s="7">
        <v>617.83540000000005</v>
      </c>
      <c r="E1001" s="7">
        <v>2065785</v>
      </c>
      <c r="F1001" s="7">
        <v>2065785</v>
      </c>
      <c r="G1001" s="7">
        <v>21955146</v>
      </c>
      <c r="H1001" s="7">
        <v>615.59320000000002</v>
      </c>
      <c r="I1001" s="7">
        <v>615.94219999999996</v>
      </c>
      <c r="J1001" s="7">
        <v>14</v>
      </c>
      <c r="K1001" s="7">
        <v>2.2316707000000001E-3</v>
      </c>
      <c r="L1001" s="7">
        <v>617.31678017839999</v>
      </c>
      <c r="M1001" s="7">
        <v>614.21939867469996</v>
      </c>
      <c r="N1001" s="7">
        <v>616.92212068829997</v>
      </c>
      <c r="O1001" s="7">
        <v>617.31678017839999</v>
      </c>
      <c r="P1001" s="7">
        <v>614.21939867469996</v>
      </c>
      <c r="Q1001">
        <v>1</v>
      </c>
      <c r="R1001">
        <v>0</v>
      </c>
      <c r="S1001" s="11">
        <v>45840.666666666664</v>
      </c>
      <c r="T1001">
        <v>1475</v>
      </c>
    </row>
    <row r="1002" spans="1:20">
      <c r="A1002" s="11">
        <v>45840.541666666664</v>
      </c>
      <c r="B1002" s="11">
        <v>45840.5625</v>
      </c>
      <c r="C1002" s="10">
        <v>45840</v>
      </c>
      <c r="D1002" s="7">
        <v>617.75229999999999</v>
      </c>
      <c r="E1002" s="7">
        <v>1836882</v>
      </c>
      <c r="F1002" s="7">
        <v>1836882</v>
      </c>
      <c r="G1002" s="7">
        <v>23792028</v>
      </c>
      <c r="H1002" s="7">
        <v>615.59320000000002</v>
      </c>
      <c r="I1002" s="7">
        <v>615.94219999999996</v>
      </c>
      <c r="J1002" s="7">
        <v>14</v>
      </c>
      <c r="K1002" s="7">
        <v>2.2455115000000001E-3</v>
      </c>
      <c r="L1002" s="7">
        <v>617.32530526630001</v>
      </c>
      <c r="M1002" s="7">
        <v>614.21087841719998</v>
      </c>
      <c r="N1002" s="7">
        <v>616.98621532679999</v>
      </c>
      <c r="O1002" s="7">
        <v>617.32530526630001</v>
      </c>
      <c r="P1002" s="7">
        <v>614.21087841719998</v>
      </c>
      <c r="Q1002">
        <v>1</v>
      </c>
      <c r="R1002">
        <v>0</v>
      </c>
      <c r="S1002" s="11">
        <v>45840.666666666664</v>
      </c>
      <c r="T1002">
        <v>1474</v>
      </c>
    </row>
    <row r="1003" spans="1:20">
      <c r="A1003" s="11">
        <v>45840.5625</v>
      </c>
      <c r="B1003" s="11">
        <v>45840.583333333336</v>
      </c>
      <c r="C1003" s="10">
        <v>45840</v>
      </c>
      <c r="D1003" s="7">
        <v>617.7373</v>
      </c>
      <c r="E1003" s="7">
        <v>1717617</v>
      </c>
      <c r="F1003" s="7">
        <v>1717617</v>
      </c>
      <c r="G1003" s="7">
        <v>25509645</v>
      </c>
      <c r="H1003" s="7">
        <v>615.59320000000002</v>
      </c>
      <c r="I1003" s="7">
        <v>615.94219999999996</v>
      </c>
      <c r="J1003" s="7">
        <v>14</v>
      </c>
      <c r="K1003" s="7">
        <v>2.7942864000000001E-3</v>
      </c>
      <c r="L1003" s="7">
        <v>617.66331891669995</v>
      </c>
      <c r="M1003" s="7">
        <v>613.87305628930005</v>
      </c>
      <c r="N1003" s="7">
        <v>617.0367874067</v>
      </c>
      <c r="O1003" s="7">
        <v>617.66331891669995</v>
      </c>
      <c r="P1003" s="7">
        <v>613.87305628930005</v>
      </c>
      <c r="Q1003">
        <v>1</v>
      </c>
      <c r="R1003">
        <v>0</v>
      </c>
      <c r="S1003" s="11">
        <v>45840.666666666664</v>
      </c>
      <c r="T1003">
        <v>1473</v>
      </c>
    </row>
    <row r="1004" spans="1:20">
      <c r="A1004" s="11">
        <v>45840.583333333336</v>
      </c>
      <c r="B1004" s="11">
        <v>45840.604166666664</v>
      </c>
      <c r="C1004" s="10">
        <v>45840</v>
      </c>
      <c r="D1004" s="7">
        <v>617.87699999999995</v>
      </c>
      <c r="E1004" s="7">
        <v>2249588</v>
      </c>
      <c r="F1004" s="7">
        <v>2249588</v>
      </c>
      <c r="G1004" s="7">
        <v>27759233</v>
      </c>
      <c r="H1004" s="7">
        <v>615.59320000000002</v>
      </c>
      <c r="I1004" s="7">
        <v>615.94219999999996</v>
      </c>
      <c r="J1004" s="7">
        <v>14</v>
      </c>
      <c r="K1004" s="7">
        <v>3.0503399999999999E-3</v>
      </c>
      <c r="L1004" s="7">
        <v>617.82103312469997</v>
      </c>
      <c r="M1004" s="7">
        <v>613.7154314439</v>
      </c>
      <c r="N1004" s="7">
        <v>617.1048776225</v>
      </c>
      <c r="O1004" s="7">
        <v>617.82103312469997</v>
      </c>
      <c r="P1004" s="7">
        <v>613.7154314439</v>
      </c>
      <c r="Q1004">
        <v>1</v>
      </c>
      <c r="R1004">
        <v>0</v>
      </c>
      <c r="S1004" s="11">
        <v>45840.666666666664</v>
      </c>
      <c r="T1004">
        <v>1472</v>
      </c>
    </row>
    <row r="1005" spans="1:20">
      <c r="A1005" s="11">
        <v>45840.604166666664</v>
      </c>
      <c r="B1005" s="11">
        <v>45840.625</v>
      </c>
      <c r="C1005" s="10">
        <v>45840</v>
      </c>
      <c r="D1005" s="7">
        <v>618.13400000000001</v>
      </c>
      <c r="E1005" s="7">
        <v>2427868</v>
      </c>
      <c r="F1005" s="7">
        <v>2427868</v>
      </c>
      <c r="G1005" s="7">
        <v>30187101</v>
      </c>
      <c r="H1005" s="7">
        <v>615.59320000000002</v>
      </c>
      <c r="I1005" s="7">
        <v>615.94219999999996</v>
      </c>
      <c r="J1005" s="7">
        <v>14</v>
      </c>
      <c r="K1005" s="7">
        <v>3.5719354000000002E-3</v>
      </c>
      <c r="L1005" s="7">
        <v>618.14230572199995</v>
      </c>
      <c r="M1005" s="7">
        <v>613.39434088339999</v>
      </c>
      <c r="N1005" s="7">
        <v>617.18764718989996</v>
      </c>
      <c r="O1005" s="7">
        <v>618.14230572199995</v>
      </c>
      <c r="P1005" s="7">
        <v>613.39434088339999</v>
      </c>
      <c r="Q1005">
        <v>1</v>
      </c>
      <c r="R1005">
        <v>0</v>
      </c>
      <c r="S1005" s="11">
        <v>45840.666666666664</v>
      </c>
      <c r="T1005">
        <v>1471</v>
      </c>
    </row>
    <row r="1006" spans="1:20">
      <c r="A1006" s="11">
        <v>45840.625</v>
      </c>
      <c r="B1006" s="11">
        <v>45840.645833333336</v>
      </c>
      <c r="C1006" s="10">
        <v>45840</v>
      </c>
      <c r="D1006" s="7">
        <v>618.01649999999995</v>
      </c>
      <c r="E1006" s="7">
        <v>2996437</v>
      </c>
      <c r="F1006" s="7">
        <v>2996437</v>
      </c>
      <c r="G1006" s="7">
        <v>33183538</v>
      </c>
      <c r="H1006" s="7">
        <v>615.59320000000002</v>
      </c>
      <c r="I1006" s="7">
        <v>615.94219999999996</v>
      </c>
      <c r="J1006" s="7">
        <v>14</v>
      </c>
      <c r="K1006" s="7">
        <v>3.8465734E-3</v>
      </c>
      <c r="L1006" s="7">
        <v>618.31146690989999</v>
      </c>
      <c r="M1006" s="7">
        <v>613.22527554420003</v>
      </c>
      <c r="N1006" s="7">
        <v>617.26249168740003</v>
      </c>
      <c r="O1006" s="7">
        <v>618.31146690989999</v>
      </c>
      <c r="P1006" s="7">
        <v>613.22527554420003</v>
      </c>
      <c r="Q1006">
        <v>1</v>
      </c>
      <c r="R1006">
        <v>0</v>
      </c>
      <c r="S1006" s="11">
        <v>45840.666666666664</v>
      </c>
      <c r="T1006">
        <v>1470</v>
      </c>
    </row>
    <row r="1007" spans="1:20">
      <c r="A1007" s="11">
        <v>45840.645833333336</v>
      </c>
      <c r="B1007" s="11">
        <v>45840.666666666664</v>
      </c>
      <c r="C1007" s="10">
        <v>45840</v>
      </c>
      <c r="D1007" s="7">
        <v>618.7346</v>
      </c>
      <c r="E1007" s="7">
        <v>8509136</v>
      </c>
      <c r="F1007" s="7">
        <v>8509136</v>
      </c>
      <c r="G1007" s="7">
        <v>41692674</v>
      </c>
      <c r="H1007" s="7">
        <v>615.59320000000002</v>
      </c>
      <c r="I1007" s="7">
        <v>615.94219999999996</v>
      </c>
      <c r="J1007" s="7">
        <v>14</v>
      </c>
      <c r="K1007" s="7">
        <v>3.3318015999999999E-3</v>
      </c>
      <c r="L1007" s="7">
        <v>617.99439720309999</v>
      </c>
      <c r="M1007" s="7">
        <v>613.54216559559995</v>
      </c>
      <c r="N1007" s="7">
        <v>617.56293703270001</v>
      </c>
      <c r="O1007" s="7">
        <v>617.99439720309999</v>
      </c>
      <c r="P1007" s="7">
        <v>613.54216559559995</v>
      </c>
      <c r="Q1007">
        <v>1</v>
      </c>
      <c r="R1007">
        <v>1</v>
      </c>
      <c r="S1007" s="11">
        <v>45840.666666666664</v>
      </c>
      <c r="T1007">
        <v>1469</v>
      </c>
    </row>
    <row r="1008" spans="1:20">
      <c r="A1008" s="11">
        <v>45841.395833333336</v>
      </c>
      <c r="B1008" s="11">
        <v>45841.416666666664</v>
      </c>
      <c r="C1008" s="10">
        <v>45841</v>
      </c>
      <c r="D1008" s="7">
        <v>622.51400000000001</v>
      </c>
      <c r="E1008" s="7">
        <v>6512549</v>
      </c>
      <c r="F1008" s="7">
        <v>6512549</v>
      </c>
      <c r="G1008" s="7">
        <v>6512549</v>
      </c>
      <c r="H1008" s="7">
        <v>622.51400000000001</v>
      </c>
      <c r="I1008" s="7">
        <v>618.73440000000005</v>
      </c>
      <c r="J1008" s="7">
        <v>14</v>
      </c>
      <c r="K1008" s="7">
        <v>0</v>
      </c>
      <c r="L1008" s="7">
        <v>622.51400000000001</v>
      </c>
      <c r="M1008" s="7">
        <v>618.73440000000005</v>
      </c>
      <c r="N1008" s="7">
        <v>622.51400000000001</v>
      </c>
      <c r="O1008" s="7">
        <v>622.51400000000001</v>
      </c>
      <c r="P1008" s="7">
        <v>618.73440000000005</v>
      </c>
      <c r="Q1008">
        <v>1</v>
      </c>
      <c r="R1008">
        <v>0</v>
      </c>
      <c r="S1008" s="11">
        <v>45841.541666666664</v>
      </c>
      <c r="T1008">
        <v>1467</v>
      </c>
    </row>
    <row r="1009" spans="1:20">
      <c r="A1009" s="11">
        <v>45841.416666666664</v>
      </c>
      <c r="B1009" s="11">
        <v>45841.4375</v>
      </c>
      <c r="C1009" s="10">
        <v>45841</v>
      </c>
      <c r="D1009" s="7">
        <v>623.26199999999994</v>
      </c>
      <c r="E1009" s="7">
        <v>4168965</v>
      </c>
      <c r="F1009" s="7">
        <v>4168965</v>
      </c>
      <c r="G1009" s="7">
        <v>10681514</v>
      </c>
      <c r="H1009" s="7">
        <v>622.51400000000001</v>
      </c>
      <c r="I1009" s="7">
        <v>618.73440000000005</v>
      </c>
      <c r="J1009" s="7">
        <v>14</v>
      </c>
      <c r="K1009" s="7">
        <v>1.468862E-3</v>
      </c>
      <c r="L1009" s="7">
        <v>623.42838715100004</v>
      </c>
      <c r="M1009" s="7">
        <v>617.8255645598</v>
      </c>
      <c r="N1009" s="7">
        <v>622.80594230520001</v>
      </c>
      <c r="O1009" s="7">
        <v>623.42838715100004</v>
      </c>
      <c r="P1009" s="7">
        <v>617.8255645598</v>
      </c>
      <c r="Q1009">
        <v>1</v>
      </c>
      <c r="R1009">
        <v>0</v>
      </c>
      <c r="S1009" s="11">
        <v>45841.541666666664</v>
      </c>
      <c r="T1009">
        <v>1466</v>
      </c>
    </row>
    <row r="1010" spans="1:20">
      <c r="A1010" s="11">
        <v>45841.4375</v>
      </c>
      <c r="B1010" s="11">
        <v>45841.458333333336</v>
      </c>
      <c r="C1010" s="10">
        <v>45841</v>
      </c>
      <c r="D1010" s="7">
        <v>623.5711</v>
      </c>
      <c r="E1010" s="7">
        <v>2914576</v>
      </c>
      <c r="F1010" s="7">
        <v>2914576</v>
      </c>
      <c r="G1010" s="7">
        <v>13596090</v>
      </c>
      <c r="H1010" s="7">
        <v>622.51400000000001</v>
      </c>
      <c r="I1010" s="7">
        <v>618.73440000000005</v>
      </c>
      <c r="J1010" s="7">
        <v>14</v>
      </c>
      <c r="K1010" s="7">
        <v>1.6802637E-3</v>
      </c>
      <c r="L1010" s="7">
        <v>623.55998768469999</v>
      </c>
      <c r="M1010" s="7">
        <v>617.69476304010004</v>
      </c>
      <c r="N1010" s="7">
        <v>622.96996815770001</v>
      </c>
      <c r="O1010" s="7">
        <v>623.55998768469999</v>
      </c>
      <c r="P1010" s="7">
        <v>617.69476304010004</v>
      </c>
      <c r="Q1010">
        <v>1</v>
      </c>
      <c r="R1010">
        <v>0</v>
      </c>
      <c r="S1010" s="11">
        <v>45841.541666666664</v>
      </c>
      <c r="T1010">
        <v>1465</v>
      </c>
    </row>
    <row r="1011" spans="1:20">
      <c r="A1011" s="11">
        <v>45841.458333333336</v>
      </c>
      <c r="B1011" s="11">
        <v>45841.479166666664</v>
      </c>
      <c r="C1011" s="10">
        <v>45841</v>
      </c>
      <c r="D1011" s="7">
        <v>623.66089999999997</v>
      </c>
      <c r="E1011" s="7">
        <v>2982223</v>
      </c>
      <c r="F1011" s="7">
        <v>2982223</v>
      </c>
      <c r="G1011" s="7">
        <v>16578313</v>
      </c>
      <c r="H1011" s="7">
        <v>622.51400000000001</v>
      </c>
      <c r="I1011" s="7">
        <v>618.73440000000005</v>
      </c>
      <c r="J1011" s="7">
        <v>14</v>
      </c>
      <c r="K1011" s="7">
        <v>1.6469894000000001E-3</v>
      </c>
      <c r="L1011" s="7">
        <v>623.5392739399</v>
      </c>
      <c r="M1011" s="7">
        <v>617.71535102109999</v>
      </c>
      <c r="N1011" s="7">
        <v>623.09425781439995</v>
      </c>
      <c r="O1011" s="7">
        <v>623.5392739399</v>
      </c>
      <c r="P1011" s="7">
        <v>617.71535102109999</v>
      </c>
      <c r="Q1011">
        <v>1</v>
      </c>
      <c r="R1011">
        <v>0</v>
      </c>
      <c r="S1011" s="11">
        <v>45841.541666666664</v>
      </c>
      <c r="T1011">
        <v>1464</v>
      </c>
    </row>
    <row r="1012" spans="1:20">
      <c r="A1012" s="11">
        <v>45841.479166666664</v>
      </c>
      <c r="B1012" s="11">
        <v>45841.5</v>
      </c>
      <c r="C1012" s="10">
        <v>45841</v>
      </c>
      <c r="D1012" s="7">
        <v>624.16449999999998</v>
      </c>
      <c r="E1012" s="7">
        <v>3146120</v>
      </c>
      <c r="F1012" s="7">
        <v>3146120</v>
      </c>
      <c r="G1012" s="7">
        <v>19724433</v>
      </c>
      <c r="H1012" s="7">
        <v>622.51400000000001</v>
      </c>
      <c r="I1012" s="7">
        <v>618.73440000000005</v>
      </c>
      <c r="J1012" s="7">
        <v>14</v>
      </c>
      <c r="K1012" s="7">
        <v>1.9751222999999998E-3</v>
      </c>
      <c r="L1012" s="7">
        <v>623.7435413014</v>
      </c>
      <c r="M1012" s="7">
        <v>617.51232387089999</v>
      </c>
      <c r="N1012" s="7">
        <v>623.26496540050005</v>
      </c>
      <c r="O1012" s="7">
        <v>623.7435413014</v>
      </c>
      <c r="P1012" s="7">
        <v>617.51232387089999</v>
      </c>
      <c r="Q1012">
        <v>1</v>
      </c>
      <c r="R1012">
        <v>0</v>
      </c>
      <c r="S1012" s="11">
        <v>45841.541666666664</v>
      </c>
      <c r="T1012">
        <v>1463</v>
      </c>
    </row>
    <row r="1013" spans="1:20">
      <c r="A1013" s="11">
        <v>45841.5</v>
      </c>
      <c r="B1013" s="11">
        <v>45841.520833333336</v>
      </c>
      <c r="C1013" s="10">
        <v>45841</v>
      </c>
      <c r="D1013" s="7">
        <v>624.00490000000002</v>
      </c>
      <c r="E1013" s="7">
        <v>3426249</v>
      </c>
      <c r="F1013" s="7">
        <v>3426249</v>
      </c>
      <c r="G1013" s="7">
        <v>23150682</v>
      </c>
      <c r="H1013" s="7">
        <v>622.51400000000001</v>
      </c>
      <c r="I1013" s="7">
        <v>618.73440000000005</v>
      </c>
      <c r="J1013" s="7">
        <v>14</v>
      </c>
      <c r="K1013" s="7">
        <v>2.2689464000000001E-3</v>
      </c>
      <c r="L1013" s="7">
        <v>623.92645090070005</v>
      </c>
      <c r="M1013" s="7">
        <v>617.33052480909998</v>
      </c>
      <c r="N1013" s="7">
        <v>623.37447406130002</v>
      </c>
      <c r="O1013" s="7">
        <v>623.92645090070005</v>
      </c>
      <c r="P1013" s="7">
        <v>617.33052480909998</v>
      </c>
      <c r="Q1013">
        <v>1</v>
      </c>
      <c r="R1013">
        <v>0</v>
      </c>
      <c r="S1013" s="11">
        <v>45841.541666666664</v>
      </c>
      <c r="T1013">
        <v>1462</v>
      </c>
    </row>
    <row r="1014" spans="1:20">
      <c r="A1014" s="11">
        <v>45841.520833333336</v>
      </c>
      <c r="B1014" s="11">
        <v>45841.541666666664</v>
      </c>
      <c r="C1014" s="10">
        <v>45841</v>
      </c>
      <c r="D1014" s="7">
        <v>623.61099999999999</v>
      </c>
      <c r="E1014" s="7">
        <v>8923745</v>
      </c>
      <c r="F1014" s="7">
        <v>8923745</v>
      </c>
      <c r="G1014" s="7">
        <v>32074427</v>
      </c>
      <c r="H1014" s="7">
        <v>622.51400000000001</v>
      </c>
      <c r="I1014" s="7">
        <v>618.73440000000005</v>
      </c>
      <c r="J1014" s="7">
        <v>14</v>
      </c>
      <c r="K1014" s="7">
        <v>2.4652033000000001E-3</v>
      </c>
      <c r="L1014" s="7">
        <v>624.04862359039998</v>
      </c>
      <c r="M1014" s="7">
        <v>617.20909389220003</v>
      </c>
      <c r="N1014" s="7">
        <v>623.44028029260005</v>
      </c>
      <c r="O1014" s="7">
        <v>624.04862359039998</v>
      </c>
      <c r="P1014" s="7">
        <v>617.20909389220003</v>
      </c>
      <c r="Q1014">
        <v>1</v>
      </c>
      <c r="R1014">
        <v>1</v>
      </c>
      <c r="S1014" s="11">
        <v>45841.541666666664</v>
      </c>
      <c r="T1014">
        <v>1461</v>
      </c>
    </row>
    <row r="1015" spans="1:20">
      <c r="A1015" s="11">
        <v>45845.395833333336</v>
      </c>
      <c r="B1015" s="11">
        <v>45845.416666666664</v>
      </c>
      <c r="C1015" s="10">
        <v>45845</v>
      </c>
      <c r="D1015" s="7">
        <v>621.87580000000003</v>
      </c>
      <c r="E1015" s="7">
        <v>3931208</v>
      </c>
      <c r="F1015" s="7">
        <v>3931208</v>
      </c>
      <c r="G1015" s="7">
        <v>3931208</v>
      </c>
      <c r="H1015" s="7">
        <v>621.87580000000003</v>
      </c>
      <c r="I1015" s="7">
        <v>623.61099999999999</v>
      </c>
      <c r="J1015" s="7">
        <v>14</v>
      </c>
      <c r="K1015" s="7">
        <v>0</v>
      </c>
      <c r="L1015" s="7">
        <v>623.61099999999999</v>
      </c>
      <c r="M1015" s="7">
        <v>621.87580000000003</v>
      </c>
      <c r="N1015" s="7">
        <v>621.87580000000003</v>
      </c>
      <c r="O1015" s="7">
        <v>623.61099999999999</v>
      </c>
      <c r="P1015" s="7">
        <v>621.87580000000003</v>
      </c>
      <c r="Q1015">
        <v>1</v>
      </c>
      <c r="R1015">
        <v>0</v>
      </c>
      <c r="S1015" s="11">
        <v>45845.666666666664</v>
      </c>
      <c r="T1015">
        <v>1455</v>
      </c>
    </row>
    <row r="1016" spans="1:20">
      <c r="A1016" s="11">
        <v>45845.416666666664</v>
      </c>
      <c r="B1016" s="11">
        <v>45845.4375</v>
      </c>
      <c r="C1016" s="10">
        <v>45845</v>
      </c>
      <c r="D1016" s="7">
        <v>621.31730000000005</v>
      </c>
      <c r="E1016" s="7">
        <v>2464612</v>
      </c>
      <c r="F1016" s="7">
        <v>2464612</v>
      </c>
      <c r="G1016" s="7">
        <v>6395820</v>
      </c>
      <c r="H1016" s="7">
        <v>621.87580000000003</v>
      </c>
      <c r="I1016" s="7">
        <v>623.61099999999999</v>
      </c>
      <c r="J1016" s="7">
        <v>14</v>
      </c>
      <c r="K1016" s="7">
        <v>1.3513975E-3</v>
      </c>
      <c r="L1016" s="7">
        <v>624.45374636739996</v>
      </c>
      <c r="M1016" s="7">
        <v>621.03539857759995</v>
      </c>
      <c r="N1016" s="7">
        <v>621.66058353020003</v>
      </c>
      <c r="O1016" s="7">
        <v>624.45374636739996</v>
      </c>
      <c r="P1016" s="7">
        <v>621.03539857759995</v>
      </c>
      <c r="Q1016">
        <v>1</v>
      </c>
      <c r="R1016">
        <v>0</v>
      </c>
      <c r="S1016" s="11">
        <v>45845.666666666664</v>
      </c>
      <c r="T1016">
        <v>1454</v>
      </c>
    </row>
    <row r="1017" spans="1:20">
      <c r="A1017" s="11">
        <v>45845.4375</v>
      </c>
      <c r="B1017" s="11">
        <v>45845.458333333336</v>
      </c>
      <c r="C1017" s="10">
        <v>45845</v>
      </c>
      <c r="D1017" s="7">
        <v>620.37990000000002</v>
      </c>
      <c r="E1017" s="7">
        <v>2935008</v>
      </c>
      <c r="F1017" s="7">
        <v>2935008</v>
      </c>
      <c r="G1017" s="7">
        <v>9330828</v>
      </c>
      <c r="H1017" s="7">
        <v>621.87580000000003</v>
      </c>
      <c r="I1017" s="7">
        <v>623.61099999999999</v>
      </c>
      <c r="J1017" s="7">
        <v>14</v>
      </c>
      <c r="K1017" s="7">
        <v>1.5768512000000001E-3</v>
      </c>
      <c r="L1017" s="7">
        <v>624.5943417551</v>
      </c>
      <c r="M1017" s="7">
        <v>620.8951943971</v>
      </c>
      <c r="N1017" s="7">
        <v>621.25774506760001</v>
      </c>
      <c r="O1017" s="7">
        <v>624.5943417551</v>
      </c>
      <c r="P1017" s="7">
        <v>620.8951943971</v>
      </c>
      <c r="Q1017">
        <v>1</v>
      </c>
      <c r="R1017">
        <v>0</v>
      </c>
      <c r="S1017" s="11">
        <v>45845.666666666664</v>
      </c>
      <c r="T1017">
        <v>1453</v>
      </c>
    </row>
    <row r="1018" spans="1:20">
      <c r="A1018" s="11">
        <v>45845.458333333336</v>
      </c>
      <c r="B1018" s="11">
        <v>45845.479166666664</v>
      </c>
      <c r="C1018" s="10">
        <v>45845</v>
      </c>
      <c r="D1018" s="7">
        <v>620.32010000000002</v>
      </c>
      <c r="E1018" s="7">
        <v>2406522</v>
      </c>
      <c r="F1018" s="7">
        <v>2406522</v>
      </c>
      <c r="G1018" s="7">
        <v>11737350</v>
      </c>
      <c r="H1018" s="7">
        <v>621.87580000000003</v>
      </c>
      <c r="I1018" s="7">
        <v>623.61099999999999</v>
      </c>
      <c r="J1018" s="7">
        <v>14</v>
      </c>
      <c r="K1018" s="7">
        <v>1.5883645E-3</v>
      </c>
      <c r="L1018" s="7">
        <v>624.60152154779996</v>
      </c>
      <c r="M1018" s="7">
        <v>620.88803458220002</v>
      </c>
      <c r="N1018" s="7">
        <v>621.06549865049999</v>
      </c>
      <c r="O1018" s="7">
        <v>624.60152154779996</v>
      </c>
      <c r="P1018" s="7">
        <v>620.88803458220002</v>
      </c>
      <c r="Q1018">
        <v>1</v>
      </c>
      <c r="R1018">
        <v>0</v>
      </c>
      <c r="S1018" s="11">
        <v>45845.666666666664</v>
      </c>
      <c r="T1018">
        <v>1452</v>
      </c>
    </row>
    <row r="1019" spans="1:20">
      <c r="A1019" s="11">
        <v>45845.479166666664</v>
      </c>
      <c r="B1019" s="11">
        <v>45845.5</v>
      </c>
      <c r="C1019" s="10">
        <v>45845</v>
      </c>
      <c r="D1019" s="7">
        <v>620.03089999999997</v>
      </c>
      <c r="E1019" s="7">
        <v>2261258</v>
      </c>
      <c r="F1019" s="7">
        <v>2261258</v>
      </c>
      <c r="G1019" s="7">
        <v>13998608</v>
      </c>
      <c r="H1019" s="7">
        <v>621.87580000000003</v>
      </c>
      <c r="I1019" s="7">
        <v>623.61099999999999</v>
      </c>
      <c r="J1019" s="7">
        <v>14</v>
      </c>
      <c r="K1019" s="7">
        <v>1.9635921000000001E-3</v>
      </c>
      <c r="L1019" s="7">
        <v>624.83551760759997</v>
      </c>
      <c r="M1019" s="7">
        <v>620.65468961739998</v>
      </c>
      <c r="N1019" s="7">
        <v>620.89837528539999</v>
      </c>
      <c r="O1019" s="7">
        <v>624.83551760759997</v>
      </c>
      <c r="P1019" s="7">
        <v>620.65468961739998</v>
      </c>
      <c r="Q1019">
        <v>1</v>
      </c>
      <c r="R1019">
        <v>0</v>
      </c>
      <c r="S1019" s="11">
        <v>45845.666666666664</v>
      </c>
      <c r="T1019">
        <v>1451</v>
      </c>
    </row>
    <row r="1020" spans="1:20">
      <c r="A1020" s="11">
        <v>45845.5</v>
      </c>
      <c r="B1020" s="11">
        <v>45845.520833333336</v>
      </c>
      <c r="C1020" s="10">
        <v>45845</v>
      </c>
      <c r="D1020" s="7">
        <v>618.86419999999998</v>
      </c>
      <c r="E1020" s="7">
        <v>7092271</v>
      </c>
      <c r="F1020" s="7">
        <v>7092271</v>
      </c>
      <c r="G1020" s="7">
        <v>21090879</v>
      </c>
      <c r="H1020" s="7">
        <v>621.87580000000003</v>
      </c>
      <c r="I1020" s="7">
        <v>623.61099999999999</v>
      </c>
      <c r="J1020" s="7">
        <v>14</v>
      </c>
      <c r="K1020" s="7">
        <v>2.1820328999999999E-3</v>
      </c>
      <c r="L1020" s="7">
        <v>624.9717397265</v>
      </c>
      <c r="M1020" s="7">
        <v>620.51884653699994</v>
      </c>
      <c r="N1020" s="7">
        <v>620.21433919640003</v>
      </c>
      <c r="O1020" s="7">
        <v>624.9717397265</v>
      </c>
      <c r="P1020" s="7">
        <v>620.21433919640003</v>
      </c>
      <c r="Q1020">
        <v>1</v>
      </c>
      <c r="R1020">
        <v>0</v>
      </c>
      <c r="S1020" s="11">
        <v>45845.666666666664</v>
      </c>
      <c r="T1020">
        <v>1450</v>
      </c>
    </row>
    <row r="1021" spans="1:20">
      <c r="A1021" s="11">
        <v>45845.520833333336</v>
      </c>
      <c r="B1021" s="11">
        <v>45845.541666666664</v>
      </c>
      <c r="C1021" s="10">
        <v>45845</v>
      </c>
      <c r="D1021" s="7">
        <v>618.08130000000006</v>
      </c>
      <c r="E1021" s="7">
        <v>3688948</v>
      </c>
      <c r="F1021" s="7">
        <v>3688948</v>
      </c>
      <c r="G1021" s="7">
        <v>24779827</v>
      </c>
      <c r="H1021" s="7">
        <v>621.87580000000003</v>
      </c>
      <c r="I1021" s="7">
        <v>623.61099999999999</v>
      </c>
      <c r="J1021" s="7">
        <v>14</v>
      </c>
      <c r="K1021" s="7">
        <v>2.3960939000000001E-3</v>
      </c>
      <c r="L1021" s="7">
        <v>625.10523053839995</v>
      </c>
      <c r="M1021" s="7">
        <v>620.38572716379997</v>
      </c>
      <c r="N1021" s="7">
        <v>619.89679578990001</v>
      </c>
      <c r="O1021" s="7">
        <v>625.10523053839995</v>
      </c>
      <c r="P1021" s="7">
        <v>619.89679578990001</v>
      </c>
      <c r="Q1021">
        <v>1</v>
      </c>
      <c r="R1021">
        <v>0</v>
      </c>
      <c r="S1021" s="11">
        <v>45845.666666666664</v>
      </c>
      <c r="T1021">
        <v>1449</v>
      </c>
    </row>
    <row r="1022" spans="1:20">
      <c r="A1022" s="11">
        <v>45845.541666666664</v>
      </c>
      <c r="B1022" s="11">
        <v>45845.5625</v>
      </c>
      <c r="C1022" s="10">
        <v>45845</v>
      </c>
      <c r="D1022" s="7">
        <v>618.45029999999997</v>
      </c>
      <c r="E1022" s="7">
        <v>2341981</v>
      </c>
      <c r="F1022" s="7">
        <v>2341981</v>
      </c>
      <c r="G1022" s="7">
        <v>27121808</v>
      </c>
      <c r="H1022" s="7">
        <v>621.87580000000003</v>
      </c>
      <c r="I1022" s="7">
        <v>623.61099999999999</v>
      </c>
      <c r="J1022" s="7">
        <v>13</v>
      </c>
      <c r="K1022" s="7">
        <v>2.3197716999999998E-3</v>
      </c>
      <c r="L1022" s="7">
        <v>625.05763512559997</v>
      </c>
      <c r="M1022" s="7">
        <v>620.43319014220003</v>
      </c>
      <c r="N1022" s="7">
        <v>619.77189019160005</v>
      </c>
      <c r="O1022" s="7">
        <v>625.05763512559997</v>
      </c>
      <c r="P1022" s="7">
        <v>619.77189019160005</v>
      </c>
      <c r="Q1022">
        <v>1</v>
      </c>
      <c r="R1022">
        <v>0</v>
      </c>
      <c r="S1022" s="11">
        <v>45845.666666666664</v>
      </c>
      <c r="T1022">
        <v>1448</v>
      </c>
    </row>
    <row r="1023" spans="1:20">
      <c r="A1023" s="11">
        <v>45845.5625</v>
      </c>
      <c r="B1023" s="11">
        <v>45845.583333333336</v>
      </c>
      <c r="C1023" s="10">
        <v>45845</v>
      </c>
      <c r="D1023" s="7">
        <v>618.31569999999999</v>
      </c>
      <c r="E1023" s="7">
        <v>3875088</v>
      </c>
      <c r="F1023" s="7">
        <v>3875088</v>
      </c>
      <c r="G1023" s="7">
        <v>30996896</v>
      </c>
      <c r="H1023" s="7">
        <v>621.87580000000003</v>
      </c>
      <c r="I1023" s="7">
        <v>623.61099999999999</v>
      </c>
      <c r="J1023" s="7">
        <v>13</v>
      </c>
      <c r="K1023" s="7">
        <v>2.8284431E-3</v>
      </c>
      <c r="L1023" s="7">
        <v>625.37484826080004</v>
      </c>
      <c r="M1023" s="7">
        <v>620.11685965380002</v>
      </c>
      <c r="N1023" s="7">
        <v>619.58984405579997</v>
      </c>
      <c r="O1023" s="7">
        <v>625.37484826080004</v>
      </c>
      <c r="P1023" s="7">
        <v>619.58984405579997</v>
      </c>
      <c r="Q1023">
        <v>1</v>
      </c>
      <c r="R1023">
        <v>0</v>
      </c>
      <c r="S1023" s="11">
        <v>45845.666666666664</v>
      </c>
      <c r="T1023">
        <v>1447</v>
      </c>
    </row>
    <row r="1024" spans="1:20">
      <c r="A1024" s="11">
        <v>45845.583333333336</v>
      </c>
      <c r="B1024" s="11">
        <v>45845.604166666664</v>
      </c>
      <c r="C1024" s="10">
        <v>45845</v>
      </c>
      <c r="D1024" s="7">
        <v>616.26139999999998</v>
      </c>
      <c r="E1024" s="7">
        <v>4219440</v>
      </c>
      <c r="F1024" s="7">
        <v>4219440</v>
      </c>
      <c r="G1024" s="7">
        <v>35216336</v>
      </c>
      <c r="H1024" s="7">
        <v>621.87580000000003</v>
      </c>
      <c r="I1024" s="7">
        <v>623.61099999999999</v>
      </c>
      <c r="J1024" s="7">
        <v>13</v>
      </c>
      <c r="K1024" s="7">
        <v>2.9243326000000002E-3</v>
      </c>
      <c r="L1024" s="7">
        <v>625.43464598169999</v>
      </c>
      <c r="M1024" s="7">
        <v>620.05722832020001</v>
      </c>
      <c r="N1024" s="7">
        <v>619.19104703200003</v>
      </c>
      <c r="O1024" s="7">
        <v>625.43464598169999</v>
      </c>
      <c r="P1024" s="7">
        <v>619.19104703200003</v>
      </c>
      <c r="Q1024">
        <v>1</v>
      </c>
      <c r="R1024">
        <v>0</v>
      </c>
      <c r="S1024" s="11">
        <v>45845.666666666664</v>
      </c>
      <c r="T1024">
        <v>1446</v>
      </c>
    </row>
    <row r="1025" spans="1:20">
      <c r="A1025" s="11">
        <v>45845.604166666664</v>
      </c>
      <c r="B1025" s="11">
        <v>45845.625</v>
      </c>
      <c r="C1025" s="10">
        <v>45845</v>
      </c>
      <c r="D1025" s="7">
        <v>618.4402</v>
      </c>
      <c r="E1025" s="7">
        <v>3350164</v>
      </c>
      <c r="F1025" s="7">
        <v>3350164</v>
      </c>
      <c r="G1025" s="7">
        <v>38566500</v>
      </c>
      <c r="H1025" s="7">
        <v>621.87580000000003</v>
      </c>
      <c r="I1025" s="7">
        <v>623.61099999999999</v>
      </c>
      <c r="J1025" s="7">
        <v>13</v>
      </c>
      <c r="K1025" s="7">
        <v>3.4758078999999999E-3</v>
      </c>
      <c r="L1025" s="7">
        <v>625.77855202789999</v>
      </c>
      <c r="M1025" s="7">
        <v>619.71427919389998</v>
      </c>
      <c r="N1025" s="7">
        <v>619.12582305010005</v>
      </c>
      <c r="O1025" s="7">
        <v>625.77855202789999</v>
      </c>
      <c r="P1025" s="7">
        <v>619.12582305010005</v>
      </c>
      <c r="Q1025">
        <v>1</v>
      </c>
      <c r="R1025">
        <v>0</v>
      </c>
      <c r="S1025" s="11">
        <v>45845.666666666664</v>
      </c>
      <c r="T1025">
        <v>1445</v>
      </c>
    </row>
    <row r="1026" spans="1:20">
      <c r="A1026" s="11">
        <v>45845.625</v>
      </c>
      <c r="B1026" s="11">
        <v>45845.645833333336</v>
      </c>
      <c r="C1026" s="10">
        <v>45845</v>
      </c>
      <c r="D1026" s="7">
        <v>617.7473</v>
      </c>
      <c r="E1026" s="7">
        <v>3474387</v>
      </c>
      <c r="F1026" s="7">
        <v>3474387</v>
      </c>
      <c r="G1026" s="7">
        <v>42040887</v>
      </c>
      <c r="H1026" s="7">
        <v>621.87580000000003</v>
      </c>
      <c r="I1026" s="7">
        <v>623.61099999999999</v>
      </c>
      <c r="J1026" s="7">
        <v>13</v>
      </c>
      <c r="K1026" s="7">
        <v>3.7225069999999999E-3</v>
      </c>
      <c r="L1026" s="7">
        <v>625.93239630510004</v>
      </c>
      <c r="M1026" s="7">
        <v>619.56086298909997</v>
      </c>
      <c r="N1026" s="7">
        <v>619.01189770489998</v>
      </c>
      <c r="O1026" s="7">
        <v>625.93239630510004</v>
      </c>
      <c r="P1026" s="7">
        <v>619.01189770489998</v>
      </c>
      <c r="Q1026">
        <v>1</v>
      </c>
      <c r="R1026">
        <v>0</v>
      </c>
      <c r="S1026" s="11">
        <v>45845.666666666664</v>
      </c>
      <c r="T1026">
        <v>1444</v>
      </c>
    </row>
    <row r="1027" spans="1:20">
      <c r="A1027" s="11">
        <v>45845.645833333336</v>
      </c>
      <c r="B1027" s="11">
        <v>45845.666666666664</v>
      </c>
      <c r="C1027" s="10">
        <v>45845</v>
      </c>
      <c r="D1027" s="7">
        <v>618.96389999999997</v>
      </c>
      <c r="E1027" s="7">
        <v>11392345</v>
      </c>
      <c r="F1027" s="7">
        <v>11392345</v>
      </c>
      <c r="G1027" s="7">
        <v>53433232</v>
      </c>
      <c r="H1027" s="7">
        <v>621.87580000000003</v>
      </c>
      <c r="I1027" s="7">
        <v>623.61099999999999</v>
      </c>
      <c r="J1027" s="7">
        <v>13</v>
      </c>
      <c r="K1027" s="7">
        <v>3.3149301999999999E-3</v>
      </c>
      <c r="L1027" s="7">
        <v>625.67822695159998</v>
      </c>
      <c r="M1027" s="7">
        <v>619.81432511529999</v>
      </c>
      <c r="N1027" s="7">
        <v>619.00166425290001</v>
      </c>
      <c r="O1027" s="7">
        <v>625.67822695159998</v>
      </c>
      <c r="P1027" s="7">
        <v>619.00166425290001</v>
      </c>
      <c r="Q1027">
        <v>1</v>
      </c>
      <c r="R1027">
        <v>1</v>
      </c>
      <c r="S1027" s="11">
        <v>45845.666666666664</v>
      </c>
      <c r="T1027">
        <v>1443</v>
      </c>
    </row>
    <row r="1028" spans="1:20">
      <c r="A1028" s="11">
        <v>45846.395833333336</v>
      </c>
      <c r="B1028" s="11">
        <v>45846.416666666664</v>
      </c>
      <c r="C1028" s="10">
        <v>45846</v>
      </c>
      <c r="D1028" s="7">
        <v>618.94389999999999</v>
      </c>
      <c r="E1028" s="7">
        <v>3906956</v>
      </c>
      <c r="F1028" s="7">
        <v>3906956</v>
      </c>
      <c r="G1028" s="7">
        <v>3906956</v>
      </c>
      <c r="H1028" s="7">
        <v>618.94389999999999</v>
      </c>
      <c r="I1028" s="7">
        <v>618.96379999999999</v>
      </c>
      <c r="J1028" s="7">
        <v>14</v>
      </c>
      <c r="K1028" s="7">
        <v>0</v>
      </c>
      <c r="L1028" s="7">
        <v>618.96379999999999</v>
      </c>
      <c r="M1028" s="7">
        <v>618.94389999999999</v>
      </c>
      <c r="N1028" s="7">
        <v>618.94389999999999</v>
      </c>
      <c r="O1028" s="7">
        <v>618.96379999999999</v>
      </c>
      <c r="P1028" s="7">
        <v>618.94389999999999</v>
      </c>
      <c r="Q1028">
        <v>1</v>
      </c>
      <c r="R1028">
        <v>0</v>
      </c>
      <c r="S1028" s="11">
        <v>45846.666666666664</v>
      </c>
      <c r="T1028">
        <v>1441</v>
      </c>
    </row>
    <row r="1029" spans="1:20">
      <c r="A1029" s="11">
        <v>45846.416666666664</v>
      </c>
      <c r="B1029" s="11">
        <v>45846.4375</v>
      </c>
      <c r="C1029" s="10">
        <v>45846</v>
      </c>
      <c r="D1029" s="7">
        <v>618.3057</v>
      </c>
      <c r="E1029" s="7">
        <v>3106979</v>
      </c>
      <c r="F1029" s="7">
        <v>3106979</v>
      </c>
      <c r="G1029" s="7">
        <v>7013935</v>
      </c>
      <c r="H1029" s="7">
        <v>618.94389999999999</v>
      </c>
      <c r="I1029" s="7">
        <v>618.96379999999999</v>
      </c>
      <c r="J1029" s="7">
        <v>14</v>
      </c>
      <c r="K1029" s="7">
        <v>1.1853155999999999E-3</v>
      </c>
      <c r="L1029" s="7">
        <v>619.69746743789995</v>
      </c>
      <c r="M1029" s="7">
        <v>618.21025614990003</v>
      </c>
      <c r="N1029" s="7">
        <v>618.66119507079998</v>
      </c>
      <c r="O1029" s="7">
        <v>619.69746743789995</v>
      </c>
      <c r="P1029" s="7">
        <v>618.21025614990003</v>
      </c>
      <c r="Q1029">
        <v>1</v>
      </c>
      <c r="R1029">
        <v>0</v>
      </c>
      <c r="S1029" s="11">
        <v>45846.666666666664</v>
      </c>
      <c r="T1029">
        <v>1440</v>
      </c>
    </row>
    <row r="1030" spans="1:20">
      <c r="A1030" s="11">
        <v>45846.4375</v>
      </c>
      <c r="B1030" s="11">
        <v>45846.458333333336</v>
      </c>
      <c r="C1030" s="10">
        <v>45846</v>
      </c>
      <c r="D1030" s="7">
        <v>618.73299999999995</v>
      </c>
      <c r="E1030" s="7">
        <v>4557668</v>
      </c>
      <c r="F1030" s="7">
        <v>4557668</v>
      </c>
      <c r="G1030" s="7">
        <v>11571603</v>
      </c>
      <c r="H1030" s="7">
        <v>618.94389999999999</v>
      </c>
      <c r="I1030" s="7">
        <v>618.96379999999999</v>
      </c>
      <c r="J1030" s="7">
        <v>14</v>
      </c>
      <c r="K1030" s="7">
        <v>1.6979688000000001E-3</v>
      </c>
      <c r="L1030" s="7">
        <v>620.01478123720005</v>
      </c>
      <c r="M1030" s="7">
        <v>617.89295255239995</v>
      </c>
      <c r="N1030" s="7">
        <v>618.68947663450001</v>
      </c>
      <c r="O1030" s="7">
        <v>620.01478123720005</v>
      </c>
      <c r="P1030" s="7">
        <v>617.89295255239995</v>
      </c>
      <c r="Q1030">
        <v>1</v>
      </c>
      <c r="R1030">
        <v>0</v>
      </c>
      <c r="S1030" s="11">
        <v>45846.666666666664</v>
      </c>
      <c r="T1030">
        <v>1439</v>
      </c>
    </row>
    <row r="1031" spans="1:20">
      <c r="A1031" s="11">
        <v>45846.458333333336</v>
      </c>
      <c r="B1031" s="11">
        <v>45846.479166666664</v>
      </c>
      <c r="C1031" s="10">
        <v>45846</v>
      </c>
      <c r="D1031" s="7">
        <v>618.28579999999999</v>
      </c>
      <c r="E1031" s="7">
        <v>2721378</v>
      </c>
      <c r="F1031" s="7">
        <v>2721378</v>
      </c>
      <c r="G1031" s="7">
        <v>14292981</v>
      </c>
      <c r="H1031" s="7">
        <v>618.94389999999999</v>
      </c>
      <c r="I1031" s="7">
        <v>618.96379999999999</v>
      </c>
      <c r="J1031" s="7">
        <v>14</v>
      </c>
      <c r="K1031" s="7">
        <v>1.5523214999999999E-3</v>
      </c>
      <c r="L1031" s="7">
        <v>619.9246308022</v>
      </c>
      <c r="M1031" s="7">
        <v>617.983100089</v>
      </c>
      <c r="N1031" s="7">
        <v>618.61261676100003</v>
      </c>
      <c r="O1031" s="7">
        <v>619.9246308022</v>
      </c>
      <c r="P1031" s="7">
        <v>617.983100089</v>
      </c>
      <c r="Q1031">
        <v>1</v>
      </c>
      <c r="R1031">
        <v>0</v>
      </c>
      <c r="S1031" s="11">
        <v>45846.666666666664</v>
      </c>
      <c r="T1031">
        <v>1438</v>
      </c>
    </row>
    <row r="1032" spans="1:20">
      <c r="A1032" s="11">
        <v>45846.479166666664</v>
      </c>
      <c r="B1032" s="11">
        <v>45846.5</v>
      </c>
      <c r="C1032" s="10">
        <v>45846</v>
      </c>
      <c r="D1032" s="7">
        <v>619.37279999999998</v>
      </c>
      <c r="E1032" s="7">
        <v>2028743</v>
      </c>
      <c r="F1032" s="7">
        <v>2028743</v>
      </c>
      <c r="G1032" s="7">
        <v>16321724</v>
      </c>
      <c r="H1032" s="7">
        <v>618.94389999999999</v>
      </c>
      <c r="I1032" s="7">
        <v>618.96379999999999</v>
      </c>
      <c r="J1032" s="7">
        <v>14</v>
      </c>
      <c r="K1032" s="7">
        <v>1.8820512000000001E-3</v>
      </c>
      <c r="L1032" s="7">
        <v>620.12872159009999</v>
      </c>
      <c r="M1032" s="7">
        <v>617.77901586270002</v>
      </c>
      <c r="N1032" s="7">
        <v>618.70710533490001</v>
      </c>
      <c r="O1032" s="7">
        <v>620.12872159009999</v>
      </c>
      <c r="P1032" s="7">
        <v>617.77901586270002</v>
      </c>
      <c r="Q1032">
        <v>1</v>
      </c>
      <c r="R1032">
        <v>0</v>
      </c>
      <c r="S1032" s="11">
        <v>45846.666666666664</v>
      </c>
      <c r="T1032">
        <v>1437</v>
      </c>
    </row>
    <row r="1033" spans="1:20">
      <c r="A1033" s="11">
        <v>45846.5</v>
      </c>
      <c r="B1033" s="11">
        <v>45846.520833333336</v>
      </c>
      <c r="C1033" s="10">
        <v>45846</v>
      </c>
      <c r="D1033" s="7">
        <v>620.18050000000005</v>
      </c>
      <c r="E1033" s="7">
        <v>2907866</v>
      </c>
      <c r="F1033" s="7">
        <v>2907866</v>
      </c>
      <c r="G1033" s="7">
        <v>19229590</v>
      </c>
      <c r="H1033" s="7">
        <v>618.94389999999999</v>
      </c>
      <c r="I1033" s="7">
        <v>618.96379999999999</v>
      </c>
      <c r="J1033" s="7">
        <v>14</v>
      </c>
      <c r="K1033" s="7">
        <v>2.2749304999999998E-3</v>
      </c>
      <c r="L1033" s="7">
        <v>620.37189964669994</v>
      </c>
      <c r="M1033" s="7">
        <v>617.53584562449998</v>
      </c>
      <c r="N1033" s="7">
        <v>618.9299095783</v>
      </c>
      <c r="O1033" s="7">
        <v>620.37189964669994</v>
      </c>
      <c r="P1033" s="7">
        <v>617.53584562449998</v>
      </c>
      <c r="Q1033">
        <v>1</v>
      </c>
      <c r="R1033">
        <v>0</v>
      </c>
      <c r="S1033" s="11">
        <v>45846.666666666664</v>
      </c>
      <c r="T1033">
        <v>1436</v>
      </c>
    </row>
    <row r="1034" spans="1:20">
      <c r="A1034" s="11">
        <v>45846.520833333336</v>
      </c>
      <c r="B1034" s="11">
        <v>45846.541666666664</v>
      </c>
      <c r="C1034" s="10">
        <v>45846</v>
      </c>
      <c r="D1034" s="7">
        <v>619.08360000000005</v>
      </c>
      <c r="E1034" s="7">
        <v>3690230</v>
      </c>
      <c r="F1034" s="7">
        <v>3690230</v>
      </c>
      <c r="G1034" s="7">
        <v>22919820</v>
      </c>
      <c r="H1034" s="7">
        <v>618.94389999999999</v>
      </c>
      <c r="I1034" s="7">
        <v>618.96379999999999</v>
      </c>
      <c r="J1034" s="7">
        <v>14</v>
      </c>
      <c r="K1034" s="7">
        <v>2.5683096000000002E-3</v>
      </c>
      <c r="L1034" s="7">
        <v>620.55349066849999</v>
      </c>
      <c r="M1034" s="7">
        <v>617.35426044079998</v>
      </c>
      <c r="N1034" s="7">
        <v>618.95465466819996</v>
      </c>
      <c r="O1034" s="7">
        <v>620.55349066849999</v>
      </c>
      <c r="P1034" s="7">
        <v>617.35426044079998</v>
      </c>
      <c r="Q1034">
        <v>1</v>
      </c>
      <c r="R1034">
        <v>0</v>
      </c>
      <c r="S1034" s="11">
        <v>45846.666666666664</v>
      </c>
      <c r="T1034">
        <v>1435</v>
      </c>
    </row>
    <row r="1035" spans="1:20">
      <c r="A1035" s="11">
        <v>45846.541666666664</v>
      </c>
      <c r="B1035" s="11">
        <v>45846.5625</v>
      </c>
      <c r="C1035" s="10">
        <v>45846</v>
      </c>
      <c r="D1035" s="7">
        <v>619.13340000000005</v>
      </c>
      <c r="E1035" s="7">
        <v>2448164</v>
      </c>
      <c r="F1035" s="7">
        <v>2448164</v>
      </c>
      <c r="G1035" s="7">
        <v>25367984</v>
      </c>
      <c r="H1035" s="7">
        <v>618.94389999999999</v>
      </c>
      <c r="I1035" s="7">
        <v>618.96379999999999</v>
      </c>
      <c r="J1035" s="7">
        <v>13</v>
      </c>
      <c r="K1035" s="7">
        <v>2.6522720999999998E-3</v>
      </c>
      <c r="L1035" s="7">
        <v>620.6054604341</v>
      </c>
      <c r="M1035" s="7">
        <v>617.30229234609999</v>
      </c>
      <c r="N1035" s="7">
        <v>618.97190467459995</v>
      </c>
      <c r="O1035" s="7">
        <v>620.6054604341</v>
      </c>
      <c r="P1035" s="7">
        <v>617.30229234609999</v>
      </c>
      <c r="Q1035">
        <v>1</v>
      </c>
      <c r="R1035">
        <v>0</v>
      </c>
      <c r="S1035" s="11">
        <v>45846.666666666664</v>
      </c>
      <c r="T1035">
        <v>1434</v>
      </c>
    </row>
    <row r="1036" spans="1:20">
      <c r="A1036" s="11">
        <v>45846.5625</v>
      </c>
      <c r="B1036" s="11">
        <v>45846.583333333336</v>
      </c>
      <c r="C1036" s="10">
        <v>45846</v>
      </c>
      <c r="D1036" s="7">
        <v>619.40260000000001</v>
      </c>
      <c r="E1036" s="7">
        <v>1870754</v>
      </c>
      <c r="F1036" s="7">
        <v>1870754</v>
      </c>
      <c r="G1036" s="7">
        <v>27238738</v>
      </c>
      <c r="H1036" s="7">
        <v>618.94389999999999</v>
      </c>
      <c r="I1036" s="7">
        <v>618.96379999999999</v>
      </c>
      <c r="J1036" s="7">
        <v>13</v>
      </c>
      <c r="K1036" s="7">
        <v>3.1466746000000001E-3</v>
      </c>
      <c r="L1036" s="7">
        <v>620.91147768400003</v>
      </c>
      <c r="M1036" s="7">
        <v>616.99628493479997</v>
      </c>
      <c r="N1036" s="7">
        <v>619.0014847896</v>
      </c>
      <c r="O1036" s="7">
        <v>620.91147768400003</v>
      </c>
      <c r="P1036" s="7">
        <v>616.99628493479997</v>
      </c>
      <c r="Q1036">
        <v>1</v>
      </c>
      <c r="R1036">
        <v>0</v>
      </c>
      <c r="S1036" s="11">
        <v>45846.666666666664</v>
      </c>
      <c r="T1036">
        <v>1433</v>
      </c>
    </row>
    <row r="1037" spans="1:20">
      <c r="A1037" s="11">
        <v>45846.583333333336</v>
      </c>
      <c r="B1037" s="11">
        <v>45846.604166666664</v>
      </c>
      <c r="C1037" s="10">
        <v>45846</v>
      </c>
      <c r="D1037" s="7">
        <v>618.95389999999998</v>
      </c>
      <c r="E1037" s="7">
        <v>2005566</v>
      </c>
      <c r="F1037" s="7">
        <v>2005566</v>
      </c>
      <c r="G1037" s="7">
        <v>29244304</v>
      </c>
      <c r="H1037" s="7">
        <v>618.94389999999999</v>
      </c>
      <c r="I1037" s="7">
        <v>618.96379999999999</v>
      </c>
      <c r="J1037" s="7">
        <v>13</v>
      </c>
      <c r="K1037" s="7">
        <v>3.4055441E-3</v>
      </c>
      <c r="L1037" s="7">
        <v>621.07170850329999</v>
      </c>
      <c r="M1037" s="7">
        <v>616.836059267</v>
      </c>
      <c r="N1037" s="7">
        <v>618.99822143829999</v>
      </c>
      <c r="O1037" s="7">
        <v>621.07170850329999</v>
      </c>
      <c r="P1037" s="7">
        <v>616.836059267</v>
      </c>
      <c r="Q1037">
        <v>1</v>
      </c>
      <c r="R1037">
        <v>0</v>
      </c>
      <c r="S1037" s="11">
        <v>45846.666666666664</v>
      </c>
      <c r="T1037">
        <v>1432</v>
      </c>
    </row>
    <row r="1038" spans="1:20">
      <c r="A1038" s="11">
        <v>45846.604166666664</v>
      </c>
      <c r="B1038" s="11">
        <v>45846.625</v>
      </c>
      <c r="C1038" s="10">
        <v>45846</v>
      </c>
      <c r="D1038" s="7">
        <v>618.75450000000001</v>
      </c>
      <c r="E1038" s="7">
        <v>2032011</v>
      </c>
      <c r="F1038" s="7">
        <v>2032011</v>
      </c>
      <c r="G1038" s="7">
        <v>31276315</v>
      </c>
      <c r="H1038" s="7">
        <v>618.94389999999999</v>
      </c>
      <c r="I1038" s="7">
        <v>618.96379999999999</v>
      </c>
      <c r="J1038" s="7">
        <v>13</v>
      </c>
      <c r="K1038" s="7">
        <v>3.6811037E-3</v>
      </c>
      <c r="L1038" s="7">
        <v>621.24226991679996</v>
      </c>
      <c r="M1038" s="7">
        <v>616.66550333709995</v>
      </c>
      <c r="N1038" s="7">
        <v>618.98238694359998</v>
      </c>
      <c r="O1038" s="7">
        <v>621.24226991679996</v>
      </c>
      <c r="P1038" s="7">
        <v>616.66550333709995</v>
      </c>
      <c r="Q1038">
        <v>1</v>
      </c>
      <c r="R1038">
        <v>0</v>
      </c>
      <c r="S1038" s="11">
        <v>45846.666666666664</v>
      </c>
      <c r="T1038">
        <v>1431</v>
      </c>
    </row>
    <row r="1039" spans="1:20">
      <c r="A1039" s="11">
        <v>45846.625</v>
      </c>
      <c r="B1039" s="11">
        <v>45846.645833333336</v>
      </c>
      <c r="C1039" s="10">
        <v>45846</v>
      </c>
      <c r="D1039" s="7">
        <v>618.76980000000003</v>
      </c>
      <c r="E1039" s="7">
        <v>2722889</v>
      </c>
      <c r="F1039" s="7">
        <v>2722889</v>
      </c>
      <c r="G1039" s="7">
        <v>33999204</v>
      </c>
      <c r="H1039" s="7">
        <v>618.94389999999999</v>
      </c>
      <c r="I1039" s="7">
        <v>618.96379999999999</v>
      </c>
      <c r="J1039" s="7">
        <v>13</v>
      </c>
      <c r="K1039" s="7">
        <v>3.9171513000000003E-3</v>
      </c>
      <c r="L1039" s="7">
        <v>621.38837487529997</v>
      </c>
      <c r="M1039" s="7">
        <v>616.51940307610005</v>
      </c>
      <c r="N1039" s="7">
        <v>618.96536152589999</v>
      </c>
      <c r="O1039" s="7">
        <v>621.38837487529997</v>
      </c>
      <c r="P1039" s="7">
        <v>616.51940307610005</v>
      </c>
      <c r="Q1039">
        <v>1</v>
      </c>
      <c r="R1039">
        <v>0</v>
      </c>
      <c r="S1039" s="11">
        <v>45846.666666666664</v>
      </c>
      <c r="T1039">
        <v>1430</v>
      </c>
    </row>
    <row r="1040" spans="1:20">
      <c r="A1040" s="11">
        <v>45846.645833333336</v>
      </c>
      <c r="B1040" s="11">
        <v>45846.666666666664</v>
      </c>
      <c r="C1040" s="10">
        <v>45846</v>
      </c>
      <c r="D1040" s="7">
        <v>618.62490000000003</v>
      </c>
      <c r="E1040" s="7">
        <v>8817281</v>
      </c>
      <c r="F1040" s="7">
        <v>8817281</v>
      </c>
      <c r="G1040" s="7">
        <v>42816485</v>
      </c>
      <c r="H1040" s="7">
        <v>618.94389999999999</v>
      </c>
      <c r="I1040" s="7">
        <v>618.96379999999999</v>
      </c>
      <c r="J1040" s="7">
        <v>13</v>
      </c>
      <c r="K1040" s="7">
        <v>3.4464412999999998E-3</v>
      </c>
      <c r="L1040" s="7">
        <v>621.09702242970002</v>
      </c>
      <c r="M1040" s="7">
        <v>616.81074615449995</v>
      </c>
      <c r="N1040" s="7">
        <v>618.89319031069999</v>
      </c>
      <c r="O1040" s="7">
        <v>621.09702242970002</v>
      </c>
      <c r="P1040" s="7">
        <v>616.81074615449995</v>
      </c>
      <c r="Q1040">
        <v>1</v>
      </c>
      <c r="R1040">
        <v>1</v>
      </c>
      <c r="S1040" s="11">
        <v>45846.666666666664</v>
      </c>
      <c r="T1040">
        <v>1429</v>
      </c>
    </row>
    <row r="1041" spans="1:20">
      <c r="A1041" s="11">
        <v>45847.395833333336</v>
      </c>
      <c r="B1041" s="11">
        <v>45847.416666666664</v>
      </c>
      <c r="C1041" s="10">
        <v>45847</v>
      </c>
      <c r="D1041" s="7">
        <v>622.51400000000001</v>
      </c>
      <c r="E1041" s="7">
        <v>5494149</v>
      </c>
      <c r="F1041" s="7">
        <v>5494149</v>
      </c>
      <c r="G1041" s="7">
        <v>5494149</v>
      </c>
      <c r="H1041" s="7">
        <v>622.51400000000001</v>
      </c>
      <c r="I1041" s="7">
        <v>618.62480000000005</v>
      </c>
      <c r="J1041" s="7">
        <v>14</v>
      </c>
      <c r="K1041" s="7">
        <v>0</v>
      </c>
      <c r="L1041" s="7">
        <v>622.51400000000001</v>
      </c>
      <c r="M1041" s="7">
        <v>618.62480000000005</v>
      </c>
      <c r="N1041" s="7">
        <v>622.51400000000001</v>
      </c>
      <c r="O1041" s="7">
        <v>622.51400000000001</v>
      </c>
      <c r="P1041" s="7">
        <v>618.62480000000005</v>
      </c>
      <c r="Q1041">
        <v>1</v>
      </c>
      <c r="R1041">
        <v>0</v>
      </c>
      <c r="S1041" s="11">
        <v>45847.666666666664</v>
      </c>
      <c r="T1041">
        <v>1427</v>
      </c>
    </row>
    <row r="1042" spans="1:20">
      <c r="A1042" s="11">
        <v>45847.416666666664</v>
      </c>
      <c r="B1042" s="11">
        <v>45847.4375</v>
      </c>
      <c r="C1042" s="10">
        <v>45847</v>
      </c>
      <c r="D1042" s="7">
        <v>621.61159999999995</v>
      </c>
      <c r="E1042" s="7">
        <v>3302068</v>
      </c>
      <c r="F1042" s="7">
        <v>3302068</v>
      </c>
      <c r="G1042" s="7">
        <v>8796217</v>
      </c>
      <c r="H1042" s="7">
        <v>622.51400000000001</v>
      </c>
      <c r="I1042" s="7">
        <v>618.62480000000005</v>
      </c>
      <c r="J1042" s="7">
        <v>14</v>
      </c>
      <c r="K1042" s="7">
        <v>1.1529842E-3</v>
      </c>
      <c r="L1042" s="7">
        <v>623.23174882039996</v>
      </c>
      <c r="M1042" s="7">
        <v>617.91153536590002</v>
      </c>
      <c r="N1042" s="7">
        <v>622.17524230870004</v>
      </c>
      <c r="O1042" s="7">
        <v>623.23174882039996</v>
      </c>
      <c r="P1042" s="7">
        <v>617.91153536590002</v>
      </c>
      <c r="Q1042">
        <v>1</v>
      </c>
      <c r="R1042">
        <v>0</v>
      </c>
      <c r="S1042" s="11">
        <v>45847.666666666664</v>
      </c>
      <c r="T1042">
        <v>1426</v>
      </c>
    </row>
    <row r="1043" spans="1:20">
      <c r="A1043" s="11">
        <v>45847.4375</v>
      </c>
      <c r="B1043" s="11">
        <v>45847.458333333336</v>
      </c>
      <c r="C1043" s="10">
        <v>45847</v>
      </c>
      <c r="D1043" s="7">
        <v>619.62210000000005</v>
      </c>
      <c r="E1043" s="7">
        <v>6150981</v>
      </c>
      <c r="F1043" s="7">
        <v>6150981</v>
      </c>
      <c r="G1043" s="7">
        <v>14947198</v>
      </c>
      <c r="H1043" s="7">
        <v>622.51400000000001</v>
      </c>
      <c r="I1043" s="7">
        <v>618.62480000000005</v>
      </c>
      <c r="J1043" s="7">
        <v>14</v>
      </c>
      <c r="K1043" s="7">
        <v>1.6376432999999999E-3</v>
      </c>
      <c r="L1043" s="7">
        <v>623.53345586019998</v>
      </c>
      <c r="M1043" s="7">
        <v>617.61171326199997</v>
      </c>
      <c r="N1043" s="7">
        <v>621.12458854529996</v>
      </c>
      <c r="O1043" s="7">
        <v>623.53345586019998</v>
      </c>
      <c r="P1043" s="7">
        <v>617.61171326199997</v>
      </c>
      <c r="Q1043">
        <v>1</v>
      </c>
      <c r="R1043">
        <v>0</v>
      </c>
      <c r="S1043" s="11">
        <v>45847.666666666664</v>
      </c>
      <c r="T1043">
        <v>1425</v>
      </c>
    </row>
    <row r="1044" spans="1:20">
      <c r="A1044" s="11">
        <v>45847.458333333336</v>
      </c>
      <c r="B1044" s="11">
        <v>45847.479166666664</v>
      </c>
      <c r="C1044" s="10">
        <v>45847</v>
      </c>
      <c r="D1044" s="7">
        <v>620.40989999999999</v>
      </c>
      <c r="E1044" s="7">
        <v>3791184</v>
      </c>
      <c r="F1044" s="7">
        <v>3791184</v>
      </c>
      <c r="G1044" s="7">
        <v>18738382</v>
      </c>
      <c r="H1044" s="7">
        <v>622.51400000000001</v>
      </c>
      <c r="I1044" s="7">
        <v>618.62480000000005</v>
      </c>
      <c r="J1044" s="7">
        <v>14</v>
      </c>
      <c r="K1044" s="7">
        <v>1.6099045000000001E-3</v>
      </c>
      <c r="L1044" s="7">
        <v>623.5161880613</v>
      </c>
      <c r="M1044" s="7">
        <v>617.62887317909997</v>
      </c>
      <c r="N1044" s="7">
        <v>620.97999144089999</v>
      </c>
      <c r="O1044" s="7">
        <v>623.5161880613</v>
      </c>
      <c r="P1044" s="7">
        <v>617.62887317909997</v>
      </c>
      <c r="Q1044">
        <v>1</v>
      </c>
      <c r="R1044">
        <v>0</v>
      </c>
      <c r="S1044" s="11">
        <v>45847.666666666664</v>
      </c>
      <c r="T1044">
        <v>1424</v>
      </c>
    </row>
    <row r="1045" spans="1:20">
      <c r="A1045" s="11">
        <v>45847.479166666664</v>
      </c>
      <c r="B1045" s="11">
        <v>45847.5</v>
      </c>
      <c r="C1045" s="10">
        <v>45847</v>
      </c>
      <c r="D1045" s="7">
        <v>620.21040000000005</v>
      </c>
      <c r="E1045" s="7">
        <v>2934503</v>
      </c>
      <c r="F1045" s="7">
        <v>2934503</v>
      </c>
      <c r="G1045" s="7">
        <v>21672885</v>
      </c>
      <c r="H1045" s="7">
        <v>622.51400000000001</v>
      </c>
      <c r="I1045" s="7">
        <v>618.62480000000005</v>
      </c>
      <c r="J1045" s="7">
        <v>14</v>
      </c>
      <c r="K1045" s="7">
        <v>1.9238545E-3</v>
      </c>
      <c r="L1045" s="7">
        <v>623.71162635819996</v>
      </c>
      <c r="M1045" s="7">
        <v>617.43465589669995</v>
      </c>
      <c r="N1045" s="7">
        <v>620.8757889597</v>
      </c>
      <c r="O1045" s="7">
        <v>623.71162635819996</v>
      </c>
      <c r="P1045" s="7">
        <v>617.43465589669995</v>
      </c>
      <c r="Q1045">
        <v>1</v>
      </c>
      <c r="R1045">
        <v>0</v>
      </c>
      <c r="S1045" s="11">
        <v>45847.666666666664</v>
      </c>
      <c r="T1045">
        <v>1423</v>
      </c>
    </row>
    <row r="1046" spans="1:20">
      <c r="A1046" s="11">
        <v>45847.5</v>
      </c>
      <c r="B1046" s="11">
        <v>45847.520833333336</v>
      </c>
      <c r="C1046" s="10">
        <v>45847</v>
      </c>
      <c r="D1046" s="7">
        <v>620.10080000000005</v>
      </c>
      <c r="E1046" s="7">
        <v>2141828</v>
      </c>
      <c r="F1046" s="7">
        <v>2141828</v>
      </c>
      <c r="G1046" s="7">
        <v>23814713</v>
      </c>
      <c r="H1046" s="7">
        <v>622.51400000000001</v>
      </c>
      <c r="I1046" s="7">
        <v>618.62480000000005</v>
      </c>
      <c r="J1046" s="7">
        <v>14</v>
      </c>
      <c r="K1046" s="7">
        <v>2.3992865999999998E-3</v>
      </c>
      <c r="L1046" s="7">
        <v>624.00758949889996</v>
      </c>
      <c r="M1046" s="7">
        <v>617.14054180649998</v>
      </c>
      <c r="N1046" s="7">
        <v>620.80608864229998</v>
      </c>
      <c r="O1046" s="7">
        <v>624.00758949889996</v>
      </c>
      <c r="P1046" s="7">
        <v>617.14054180649998</v>
      </c>
      <c r="Q1046">
        <v>1</v>
      </c>
      <c r="R1046">
        <v>0</v>
      </c>
      <c r="S1046" s="11">
        <v>45847.666666666664</v>
      </c>
      <c r="T1046">
        <v>1422</v>
      </c>
    </row>
    <row r="1047" spans="1:20">
      <c r="A1047" s="11">
        <v>45847.520833333336</v>
      </c>
      <c r="B1047" s="11">
        <v>45847.541666666664</v>
      </c>
      <c r="C1047" s="10">
        <v>45847</v>
      </c>
      <c r="D1047" s="7">
        <v>620.30020000000002</v>
      </c>
      <c r="E1047" s="7">
        <v>1538188</v>
      </c>
      <c r="F1047" s="7">
        <v>1538188</v>
      </c>
      <c r="G1047" s="7">
        <v>25352901</v>
      </c>
      <c r="H1047" s="7">
        <v>622.51400000000001</v>
      </c>
      <c r="I1047" s="7">
        <v>618.62480000000005</v>
      </c>
      <c r="J1047" s="7">
        <v>14</v>
      </c>
      <c r="K1047" s="7">
        <v>2.5258250999999998E-3</v>
      </c>
      <c r="L1047" s="7">
        <v>624.08636151430005</v>
      </c>
      <c r="M1047" s="7">
        <v>617.06226192480005</v>
      </c>
      <c r="N1047" s="7">
        <v>620.7753958298</v>
      </c>
      <c r="O1047" s="7">
        <v>624.08636151430005</v>
      </c>
      <c r="P1047" s="7">
        <v>617.06226192480005</v>
      </c>
      <c r="Q1047">
        <v>1</v>
      </c>
      <c r="R1047">
        <v>0</v>
      </c>
      <c r="S1047" s="11">
        <v>45847.666666666664</v>
      </c>
      <c r="T1047">
        <v>1421</v>
      </c>
    </row>
    <row r="1048" spans="1:20">
      <c r="A1048" s="11">
        <v>45847.541666666664</v>
      </c>
      <c r="B1048" s="11">
        <v>45847.5625</v>
      </c>
      <c r="C1048" s="10">
        <v>45847</v>
      </c>
      <c r="D1048" s="7">
        <v>620.59939999999995</v>
      </c>
      <c r="E1048" s="7">
        <v>2189369</v>
      </c>
      <c r="F1048" s="7">
        <v>2189369</v>
      </c>
      <c r="G1048" s="7">
        <v>27542270</v>
      </c>
      <c r="H1048" s="7">
        <v>622.51400000000001</v>
      </c>
      <c r="I1048" s="7">
        <v>618.62480000000005</v>
      </c>
      <c r="J1048" s="7">
        <v>13</v>
      </c>
      <c r="K1048" s="7">
        <v>2.6509546999999999E-3</v>
      </c>
      <c r="L1048" s="7">
        <v>624.16425638529995</v>
      </c>
      <c r="M1048" s="7">
        <v>616.9848537076</v>
      </c>
      <c r="N1048" s="7">
        <v>620.76140570430005</v>
      </c>
      <c r="O1048" s="7">
        <v>624.16425638529995</v>
      </c>
      <c r="P1048" s="7">
        <v>616.9848537076</v>
      </c>
      <c r="Q1048">
        <v>1</v>
      </c>
      <c r="R1048">
        <v>0</v>
      </c>
      <c r="S1048" s="11">
        <v>45847.666666666664</v>
      </c>
      <c r="T1048">
        <v>1420</v>
      </c>
    </row>
    <row r="1049" spans="1:20">
      <c r="A1049" s="11">
        <v>45847.5625</v>
      </c>
      <c r="B1049" s="11">
        <v>45847.583333333336</v>
      </c>
      <c r="C1049" s="10">
        <v>45847</v>
      </c>
      <c r="D1049" s="7">
        <v>620.70899999999995</v>
      </c>
      <c r="E1049" s="7">
        <v>2398111</v>
      </c>
      <c r="F1049" s="7">
        <v>2398111</v>
      </c>
      <c r="G1049" s="7">
        <v>29940381</v>
      </c>
      <c r="H1049" s="7">
        <v>622.51400000000001</v>
      </c>
      <c r="I1049" s="7">
        <v>618.62480000000005</v>
      </c>
      <c r="J1049" s="7">
        <v>13</v>
      </c>
      <c r="K1049" s="7">
        <v>3.0895478000000001E-3</v>
      </c>
      <c r="L1049" s="7">
        <v>624.43728673800001</v>
      </c>
      <c r="M1049" s="7">
        <v>616.71352913119995</v>
      </c>
      <c r="N1049" s="7">
        <v>620.75720820599997</v>
      </c>
      <c r="O1049" s="7">
        <v>624.43728673800001</v>
      </c>
      <c r="P1049" s="7">
        <v>616.71352913119995</v>
      </c>
      <c r="Q1049">
        <v>1</v>
      </c>
      <c r="R1049">
        <v>0</v>
      </c>
      <c r="S1049" s="11">
        <v>45847.666666666664</v>
      </c>
      <c r="T1049">
        <v>1419</v>
      </c>
    </row>
    <row r="1050" spans="1:20">
      <c r="A1050" s="11">
        <v>45847.583333333336</v>
      </c>
      <c r="B1050" s="11">
        <v>45847.604166666664</v>
      </c>
      <c r="C1050" s="10">
        <v>45847</v>
      </c>
      <c r="D1050" s="7">
        <v>621.14779999999996</v>
      </c>
      <c r="E1050" s="7">
        <v>3013570</v>
      </c>
      <c r="F1050" s="7">
        <v>3013570</v>
      </c>
      <c r="G1050" s="7">
        <v>32953951</v>
      </c>
      <c r="H1050" s="7">
        <v>622.51400000000001</v>
      </c>
      <c r="I1050" s="7">
        <v>618.62480000000005</v>
      </c>
      <c r="J1050" s="7">
        <v>13</v>
      </c>
      <c r="K1050" s="7">
        <v>3.3270889000000001E-3</v>
      </c>
      <c r="L1050" s="7">
        <v>624.58515940380005</v>
      </c>
      <c r="M1050" s="7">
        <v>616.56658031029997</v>
      </c>
      <c r="N1050" s="7">
        <v>620.79292700990004</v>
      </c>
      <c r="O1050" s="7">
        <v>624.58515940380005</v>
      </c>
      <c r="P1050" s="7">
        <v>616.56658031029997</v>
      </c>
      <c r="Q1050">
        <v>1</v>
      </c>
      <c r="R1050">
        <v>0</v>
      </c>
      <c r="S1050" s="11">
        <v>45847.666666666664</v>
      </c>
      <c r="T1050">
        <v>1418</v>
      </c>
    </row>
    <row r="1051" spans="1:20">
      <c r="A1051" s="11">
        <v>45847.604166666664</v>
      </c>
      <c r="B1051" s="11">
        <v>45847.625</v>
      </c>
      <c r="C1051" s="10">
        <v>45847</v>
      </c>
      <c r="D1051" s="7">
        <v>621.68629999999996</v>
      </c>
      <c r="E1051" s="7">
        <v>2375741</v>
      </c>
      <c r="F1051" s="7">
        <v>2375741</v>
      </c>
      <c r="G1051" s="7">
        <v>35329692</v>
      </c>
      <c r="H1051" s="7">
        <v>622.51400000000001</v>
      </c>
      <c r="I1051" s="7">
        <v>618.62480000000005</v>
      </c>
      <c r="J1051" s="7">
        <v>13</v>
      </c>
      <c r="K1051" s="7">
        <v>3.6147354000000001E-3</v>
      </c>
      <c r="L1051" s="7">
        <v>624.76422337320002</v>
      </c>
      <c r="M1051" s="7">
        <v>616.38863505560005</v>
      </c>
      <c r="N1051" s="7">
        <v>620.85300177199997</v>
      </c>
      <c r="O1051" s="7">
        <v>624.76422337320002</v>
      </c>
      <c r="P1051" s="7">
        <v>616.38863505560005</v>
      </c>
      <c r="Q1051">
        <v>1</v>
      </c>
      <c r="R1051">
        <v>0</v>
      </c>
      <c r="S1051" s="11">
        <v>45847.666666666664</v>
      </c>
      <c r="T1051">
        <v>1417</v>
      </c>
    </row>
    <row r="1052" spans="1:20">
      <c r="A1052" s="11">
        <v>45847.625</v>
      </c>
      <c r="B1052" s="11">
        <v>45847.645833333336</v>
      </c>
      <c r="C1052" s="10">
        <v>45847</v>
      </c>
      <c r="D1052" s="7">
        <v>621.86580000000004</v>
      </c>
      <c r="E1052" s="7">
        <v>3720645</v>
      </c>
      <c r="F1052" s="7">
        <v>3720645</v>
      </c>
      <c r="G1052" s="7">
        <v>39050337</v>
      </c>
      <c r="H1052" s="7">
        <v>622.51400000000001</v>
      </c>
      <c r="I1052" s="7">
        <v>618.62480000000005</v>
      </c>
      <c r="J1052" s="7">
        <v>13</v>
      </c>
      <c r="K1052" s="7">
        <v>3.7902303E-3</v>
      </c>
      <c r="L1052" s="7">
        <v>624.87347139680003</v>
      </c>
      <c r="M1052" s="7">
        <v>616.28006956670004</v>
      </c>
      <c r="N1052" s="7">
        <v>620.94949934290003</v>
      </c>
      <c r="O1052" s="7">
        <v>624.87347139680003</v>
      </c>
      <c r="P1052" s="7">
        <v>616.28006956670004</v>
      </c>
      <c r="Q1052">
        <v>1</v>
      </c>
      <c r="R1052">
        <v>0</v>
      </c>
      <c r="S1052" s="11">
        <v>45847.666666666664</v>
      </c>
      <c r="T1052">
        <v>1416</v>
      </c>
    </row>
    <row r="1053" spans="1:20">
      <c r="A1053" s="11">
        <v>45847.645833333336</v>
      </c>
      <c r="B1053" s="11">
        <v>45847.666666666664</v>
      </c>
      <c r="C1053" s="10">
        <v>45847</v>
      </c>
      <c r="D1053" s="7">
        <v>622.33450000000005</v>
      </c>
      <c r="E1053" s="7">
        <v>8608344</v>
      </c>
      <c r="F1053" s="7">
        <v>8608344</v>
      </c>
      <c r="G1053" s="7">
        <v>47658681</v>
      </c>
      <c r="H1053" s="7">
        <v>622.51400000000001</v>
      </c>
      <c r="I1053" s="7">
        <v>618.62480000000005</v>
      </c>
      <c r="J1053" s="7">
        <v>13</v>
      </c>
      <c r="K1053" s="7">
        <v>3.4191375999999998E-3</v>
      </c>
      <c r="L1053" s="7">
        <v>624.64246104109998</v>
      </c>
      <c r="M1053" s="7">
        <v>616.50963666890004</v>
      </c>
      <c r="N1053" s="7">
        <v>621.19966493380002</v>
      </c>
      <c r="O1053" s="7">
        <v>624.64246104109998</v>
      </c>
      <c r="P1053" s="7">
        <v>616.50963666890004</v>
      </c>
      <c r="Q1053">
        <v>1</v>
      </c>
      <c r="R1053">
        <v>1</v>
      </c>
      <c r="S1053" s="11">
        <v>45847.666666666664</v>
      </c>
      <c r="T1053">
        <v>1415</v>
      </c>
    </row>
    <row r="1054" spans="1:20">
      <c r="A1054" s="11">
        <v>45848.395833333336</v>
      </c>
      <c r="B1054" s="11">
        <v>45848.416666666664</v>
      </c>
      <c r="C1054" s="10">
        <v>45848</v>
      </c>
      <c r="D1054" s="7">
        <v>621.63649999999996</v>
      </c>
      <c r="E1054" s="7">
        <v>4618062</v>
      </c>
      <c r="F1054" s="7">
        <v>4618062</v>
      </c>
      <c r="G1054" s="7">
        <v>4618062</v>
      </c>
      <c r="H1054" s="7">
        <v>621.63649999999996</v>
      </c>
      <c r="I1054" s="7">
        <v>622.33450000000005</v>
      </c>
      <c r="J1054" s="7">
        <v>14</v>
      </c>
      <c r="K1054" s="7">
        <v>0</v>
      </c>
      <c r="L1054" s="7">
        <v>622.33450000000005</v>
      </c>
      <c r="M1054" s="7">
        <v>621.63649999999996</v>
      </c>
      <c r="N1054" s="7">
        <v>621.63649999999996</v>
      </c>
      <c r="O1054" s="7">
        <v>622.33450000000005</v>
      </c>
      <c r="P1054" s="7">
        <v>621.63649999999996</v>
      </c>
      <c r="Q1054">
        <v>1</v>
      </c>
      <c r="R1054">
        <v>0</v>
      </c>
      <c r="S1054" s="11">
        <v>45848.666666666664</v>
      </c>
      <c r="T1054">
        <v>1413</v>
      </c>
    </row>
    <row r="1055" spans="1:20">
      <c r="A1055" s="11">
        <v>45848.416666666664</v>
      </c>
      <c r="B1055" s="11">
        <v>45848.4375</v>
      </c>
      <c r="C1055" s="10">
        <v>45848</v>
      </c>
      <c r="D1055" s="7">
        <v>622.02539999999999</v>
      </c>
      <c r="E1055" s="7">
        <v>4180099</v>
      </c>
      <c r="F1055" s="7">
        <v>4180099</v>
      </c>
      <c r="G1055" s="7">
        <v>8798161</v>
      </c>
      <c r="H1055" s="7">
        <v>621.63649999999996</v>
      </c>
      <c r="I1055" s="7">
        <v>622.33450000000005</v>
      </c>
      <c r="J1055" s="7">
        <v>14</v>
      </c>
      <c r="K1055" s="7">
        <v>1.2386930999999999E-3</v>
      </c>
      <c r="L1055" s="7">
        <v>623.10538146429997</v>
      </c>
      <c r="M1055" s="7">
        <v>620.86648314349998</v>
      </c>
      <c r="N1055" s="7">
        <v>621.82127048799998</v>
      </c>
      <c r="O1055" s="7">
        <v>623.10538146429997</v>
      </c>
      <c r="P1055" s="7">
        <v>620.86648314349998</v>
      </c>
      <c r="Q1055">
        <v>1</v>
      </c>
      <c r="R1055">
        <v>0</v>
      </c>
      <c r="S1055" s="11">
        <v>45848.666666666664</v>
      </c>
      <c r="T1055">
        <v>1412</v>
      </c>
    </row>
    <row r="1056" spans="1:20">
      <c r="A1056" s="11">
        <v>45848.4375</v>
      </c>
      <c r="B1056" s="11">
        <v>45848.458333333336</v>
      </c>
      <c r="C1056" s="10">
        <v>45848</v>
      </c>
      <c r="D1056" s="7">
        <v>623.13729999999998</v>
      </c>
      <c r="E1056" s="7">
        <v>3239324</v>
      </c>
      <c r="F1056" s="7">
        <v>3239324</v>
      </c>
      <c r="G1056" s="7">
        <v>12037485</v>
      </c>
      <c r="H1056" s="7">
        <v>621.63649999999996</v>
      </c>
      <c r="I1056" s="7">
        <v>622.33450000000005</v>
      </c>
      <c r="J1056" s="7">
        <v>14</v>
      </c>
      <c r="K1056" s="7">
        <v>1.9076671999999999E-3</v>
      </c>
      <c r="L1056" s="7">
        <v>623.52170712060001</v>
      </c>
      <c r="M1056" s="7">
        <v>620.45062443109998</v>
      </c>
      <c r="N1056" s="7">
        <v>622.17541805140002</v>
      </c>
      <c r="O1056" s="7">
        <v>623.52170712060001</v>
      </c>
      <c r="P1056" s="7">
        <v>620.45062443109998</v>
      </c>
      <c r="Q1056">
        <v>1</v>
      </c>
      <c r="R1056">
        <v>0</v>
      </c>
      <c r="S1056" s="11">
        <v>45848.666666666664</v>
      </c>
      <c r="T1056">
        <v>1411</v>
      </c>
    </row>
    <row r="1057" spans="1:20">
      <c r="A1057" s="11">
        <v>45848.458333333336</v>
      </c>
      <c r="B1057" s="11">
        <v>45848.479166666664</v>
      </c>
      <c r="C1057" s="10">
        <v>45848</v>
      </c>
      <c r="D1057" s="7">
        <v>623.78060000000005</v>
      </c>
      <c r="E1057" s="7">
        <v>2766155</v>
      </c>
      <c r="F1057" s="7">
        <v>2766155</v>
      </c>
      <c r="G1057" s="7">
        <v>14803640</v>
      </c>
      <c r="H1057" s="7">
        <v>621.63649999999996</v>
      </c>
      <c r="I1057" s="7">
        <v>622.33450000000005</v>
      </c>
      <c r="J1057" s="7">
        <v>14</v>
      </c>
      <c r="K1057" s="7">
        <v>1.7859725E-3</v>
      </c>
      <c r="L1057" s="7">
        <v>623.44597228309999</v>
      </c>
      <c r="M1057" s="7">
        <v>620.5262743257</v>
      </c>
      <c r="N1057" s="7">
        <v>622.47535658499999</v>
      </c>
      <c r="O1057" s="7">
        <v>623.44597228309999</v>
      </c>
      <c r="P1057" s="7">
        <v>620.5262743257</v>
      </c>
      <c r="Q1057">
        <v>1</v>
      </c>
      <c r="R1057">
        <v>0</v>
      </c>
      <c r="S1057" s="11">
        <v>45848.666666666664</v>
      </c>
      <c r="T1057">
        <v>1410</v>
      </c>
    </row>
    <row r="1058" spans="1:20">
      <c r="A1058" s="11">
        <v>45848.479166666664</v>
      </c>
      <c r="B1058" s="11">
        <v>45848.5</v>
      </c>
      <c r="C1058" s="10">
        <v>45848</v>
      </c>
      <c r="D1058" s="7">
        <v>623.96</v>
      </c>
      <c r="E1058" s="7">
        <v>1691523</v>
      </c>
      <c r="F1058" s="7">
        <v>1691523</v>
      </c>
      <c r="G1058" s="7">
        <v>16495163</v>
      </c>
      <c r="H1058" s="7">
        <v>621.63649999999996</v>
      </c>
      <c r="I1058" s="7">
        <v>622.33450000000005</v>
      </c>
      <c r="J1058" s="7">
        <v>14</v>
      </c>
      <c r="K1058" s="7">
        <v>2.1560917E-3</v>
      </c>
      <c r="L1058" s="7">
        <v>623.67631022629996</v>
      </c>
      <c r="M1058" s="7">
        <v>620.2961947256</v>
      </c>
      <c r="N1058" s="7">
        <v>622.62760173000004</v>
      </c>
      <c r="O1058" s="7">
        <v>623.67631022629996</v>
      </c>
      <c r="P1058" s="7">
        <v>620.2961947256</v>
      </c>
      <c r="Q1058">
        <v>1</v>
      </c>
      <c r="R1058">
        <v>0</v>
      </c>
      <c r="S1058" s="11">
        <v>45848.666666666664</v>
      </c>
      <c r="T1058">
        <v>1409</v>
      </c>
    </row>
    <row r="1059" spans="1:20">
      <c r="A1059" s="11">
        <v>45848.5</v>
      </c>
      <c r="B1059" s="11">
        <v>45848.520833333336</v>
      </c>
      <c r="C1059" s="10">
        <v>45848</v>
      </c>
      <c r="D1059" s="7">
        <v>623.84040000000005</v>
      </c>
      <c r="E1059" s="7">
        <v>2255563</v>
      </c>
      <c r="F1059" s="7">
        <v>2255563</v>
      </c>
      <c r="G1059" s="7">
        <v>18750726</v>
      </c>
      <c r="H1059" s="7">
        <v>621.63649999999996</v>
      </c>
      <c r="I1059" s="7">
        <v>622.33450000000005</v>
      </c>
      <c r="J1059" s="7">
        <v>14</v>
      </c>
      <c r="K1059" s="7">
        <v>2.6583479E-3</v>
      </c>
      <c r="L1059" s="7">
        <v>623.98888160050001</v>
      </c>
      <c r="M1059" s="7">
        <v>619.9839739263</v>
      </c>
      <c r="N1059" s="7">
        <v>622.77349170269997</v>
      </c>
      <c r="O1059" s="7">
        <v>623.98888160050001</v>
      </c>
      <c r="P1059" s="7">
        <v>619.9839739263</v>
      </c>
      <c r="Q1059">
        <v>1</v>
      </c>
      <c r="R1059">
        <v>0</v>
      </c>
      <c r="S1059" s="11">
        <v>45848.666666666664</v>
      </c>
      <c r="T1059">
        <v>1408</v>
      </c>
    </row>
    <row r="1060" spans="1:20">
      <c r="A1060" s="11">
        <v>45848.520833333336</v>
      </c>
      <c r="B1060" s="11">
        <v>45848.541666666664</v>
      </c>
      <c r="C1060" s="10">
        <v>45848</v>
      </c>
      <c r="D1060" s="7">
        <v>623.80050000000006</v>
      </c>
      <c r="E1060" s="7">
        <v>1561545</v>
      </c>
      <c r="F1060" s="7">
        <v>1561545</v>
      </c>
      <c r="G1060" s="7">
        <v>20312271</v>
      </c>
      <c r="H1060" s="7">
        <v>621.63649999999996</v>
      </c>
      <c r="I1060" s="7">
        <v>622.33450000000005</v>
      </c>
      <c r="J1060" s="7">
        <v>14</v>
      </c>
      <c r="K1060" s="7">
        <v>2.6324685E-3</v>
      </c>
      <c r="L1060" s="7">
        <v>623.97277596859999</v>
      </c>
      <c r="M1060" s="7">
        <v>620.00006149440003</v>
      </c>
      <c r="N1060" s="7">
        <v>622.85244494589995</v>
      </c>
      <c r="O1060" s="7">
        <v>623.97277596859999</v>
      </c>
      <c r="P1060" s="7">
        <v>620.00006149440003</v>
      </c>
      <c r="Q1060">
        <v>1</v>
      </c>
      <c r="R1060">
        <v>0</v>
      </c>
      <c r="S1060" s="11">
        <v>45848.666666666664</v>
      </c>
      <c r="T1060">
        <v>1407</v>
      </c>
    </row>
    <row r="1061" spans="1:20">
      <c r="A1061" s="11">
        <v>45848.541666666664</v>
      </c>
      <c r="B1061" s="11">
        <v>45848.5625</v>
      </c>
      <c r="C1061" s="10">
        <v>45848</v>
      </c>
      <c r="D1061" s="7">
        <v>624.35889999999995</v>
      </c>
      <c r="E1061" s="7">
        <v>1888962</v>
      </c>
      <c r="F1061" s="7">
        <v>1888962</v>
      </c>
      <c r="G1061" s="7">
        <v>22201233</v>
      </c>
      <c r="H1061" s="7">
        <v>621.63649999999996</v>
      </c>
      <c r="I1061" s="7">
        <v>622.33450000000005</v>
      </c>
      <c r="J1061" s="7">
        <v>13</v>
      </c>
      <c r="K1061" s="7">
        <v>2.6085202000000001E-3</v>
      </c>
      <c r="L1061" s="7">
        <v>623.95787212740004</v>
      </c>
      <c r="M1061" s="7">
        <v>620.01494861979995</v>
      </c>
      <c r="N1061" s="7">
        <v>622.98061964470003</v>
      </c>
      <c r="O1061" s="7">
        <v>623.95787212740004</v>
      </c>
      <c r="P1061" s="7">
        <v>620.01494861979995</v>
      </c>
      <c r="Q1061">
        <v>1</v>
      </c>
      <c r="R1061">
        <v>0</v>
      </c>
      <c r="S1061" s="11">
        <v>45848.666666666664</v>
      </c>
      <c r="T1061">
        <v>1406</v>
      </c>
    </row>
    <row r="1062" spans="1:20">
      <c r="A1062" s="11">
        <v>45848.5625</v>
      </c>
      <c r="B1062" s="11">
        <v>45848.583333333336</v>
      </c>
      <c r="C1062" s="10">
        <v>45848</v>
      </c>
      <c r="D1062" s="7">
        <v>624.8528</v>
      </c>
      <c r="E1062" s="7">
        <v>2640153</v>
      </c>
      <c r="F1062" s="7">
        <v>2640153</v>
      </c>
      <c r="G1062" s="7">
        <v>24841386</v>
      </c>
      <c r="H1062" s="7">
        <v>621.63649999999996</v>
      </c>
      <c r="I1062" s="7">
        <v>622.33450000000005</v>
      </c>
      <c r="J1062" s="7">
        <v>13</v>
      </c>
      <c r="K1062" s="7">
        <v>2.9209330000000001E-3</v>
      </c>
      <c r="L1062" s="7">
        <v>624.15229737080006</v>
      </c>
      <c r="M1062" s="7">
        <v>619.82074144039996</v>
      </c>
      <c r="N1062" s="7">
        <v>623.17959576379997</v>
      </c>
      <c r="O1062" s="7">
        <v>624.15229737080006</v>
      </c>
      <c r="P1062" s="7">
        <v>619.82074144039996</v>
      </c>
      <c r="Q1062">
        <v>1</v>
      </c>
      <c r="R1062">
        <v>0</v>
      </c>
      <c r="S1062" s="11">
        <v>45848.666666666664</v>
      </c>
      <c r="T1062">
        <v>1405</v>
      </c>
    </row>
    <row r="1063" spans="1:20">
      <c r="A1063" s="11">
        <v>45848.583333333336</v>
      </c>
      <c r="B1063" s="11">
        <v>45848.604166666664</v>
      </c>
      <c r="C1063" s="10">
        <v>45848</v>
      </c>
      <c r="D1063" s="7">
        <v>624.87750000000005</v>
      </c>
      <c r="E1063" s="7">
        <v>2183255</v>
      </c>
      <c r="F1063" s="7">
        <v>2183255</v>
      </c>
      <c r="G1063" s="7">
        <v>27024641</v>
      </c>
      <c r="H1063" s="7">
        <v>621.63649999999996</v>
      </c>
      <c r="I1063" s="7">
        <v>622.33450000000005</v>
      </c>
      <c r="J1063" s="7">
        <v>13</v>
      </c>
      <c r="K1063" s="7">
        <v>3.0325764000000001E-3</v>
      </c>
      <c r="L1063" s="7">
        <v>624.22177689540001</v>
      </c>
      <c r="M1063" s="7">
        <v>619.75133984290005</v>
      </c>
      <c r="N1063" s="7">
        <v>623.31676531640005</v>
      </c>
      <c r="O1063" s="7">
        <v>624.22177689540001</v>
      </c>
      <c r="P1063" s="7">
        <v>619.75133984290005</v>
      </c>
      <c r="Q1063">
        <v>1</v>
      </c>
      <c r="R1063">
        <v>0</v>
      </c>
      <c r="S1063" s="11">
        <v>45848.666666666664</v>
      </c>
      <c r="T1063">
        <v>1404</v>
      </c>
    </row>
    <row r="1064" spans="1:20">
      <c r="A1064" s="11">
        <v>45848.604166666664</v>
      </c>
      <c r="B1064" s="11">
        <v>45848.625</v>
      </c>
      <c r="C1064" s="10">
        <v>45848</v>
      </c>
      <c r="D1064" s="7">
        <v>624.51850000000002</v>
      </c>
      <c r="E1064" s="7">
        <v>2431375</v>
      </c>
      <c r="F1064" s="7">
        <v>2431375</v>
      </c>
      <c r="G1064" s="7">
        <v>29456016</v>
      </c>
      <c r="H1064" s="7">
        <v>621.63649999999996</v>
      </c>
      <c r="I1064" s="7">
        <v>622.33450000000005</v>
      </c>
      <c r="J1064" s="7">
        <v>13</v>
      </c>
      <c r="K1064" s="7">
        <v>3.3535229000000001E-3</v>
      </c>
      <c r="L1064" s="7">
        <v>624.42151300529997</v>
      </c>
      <c r="M1064" s="7">
        <v>619.55182775369997</v>
      </c>
      <c r="N1064" s="7">
        <v>623.41595957489994</v>
      </c>
      <c r="O1064" s="7">
        <v>624.42151300529997</v>
      </c>
      <c r="P1064" s="7">
        <v>619.55182775369997</v>
      </c>
      <c r="Q1064">
        <v>1</v>
      </c>
      <c r="R1064">
        <v>0</v>
      </c>
      <c r="S1064" s="11">
        <v>45848.666666666664</v>
      </c>
      <c r="T1064">
        <v>1403</v>
      </c>
    </row>
    <row r="1065" spans="1:20">
      <c r="A1065" s="11">
        <v>45848.625</v>
      </c>
      <c r="B1065" s="11">
        <v>45848.645833333336</v>
      </c>
      <c r="C1065" s="10">
        <v>45848</v>
      </c>
      <c r="D1065" s="7">
        <v>624.48850000000004</v>
      </c>
      <c r="E1065" s="7">
        <v>2682709</v>
      </c>
      <c r="F1065" s="7">
        <v>2682709</v>
      </c>
      <c r="G1065" s="7">
        <v>32138725</v>
      </c>
      <c r="H1065" s="7">
        <v>621.63649999999996</v>
      </c>
      <c r="I1065" s="7">
        <v>622.33450000000005</v>
      </c>
      <c r="J1065" s="7">
        <v>13</v>
      </c>
      <c r="K1065" s="7">
        <v>3.5221946E-3</v>
      </c>
      <c r="L1065" s="7">
        <v>624.52648318419995</v>
      </c>
      <c r="M1065" s="7">
        <v>619.44697530760004</v>
      </c>
      <c r="N1065" s="7">
        <v>623.50548751509996</v>
      </c>
      <c r="O1065" s="7">
        <v>624.52648318419995</v>
      </c>
      <c r="P1065" s="7">
        <v>619.44697530760004</v>
      </c>
      <c r="Q1065">
        <v>1</v>
      </c>
      <c r="R1065">
        <v>0</v>
      </c>
      <c r="S1065" s="11">
        <v>45848.666666666664</v>
      </c>
      <c r="T1065">
        <v>1402</v>
      </c>
    </row>
    <row r="1066" spans="1:20">
      <c r="A1066" s="11">
        <v>45848.645833333336</v>
      </c>
      <c r="B1066" s="11">
        <v>45848.666666666664</v>
      </c>
      <c r="C1066" s="10">
        <v>45848</v>
      </c>
      <c r="D1066" s="7">
        <v>624.08969999999999</v>
      </c>
      <c r="E1066" s="7">
        <v>8935504</v>
      </c>
      <c r="F1066" s="7">
        <v>8935504</v>
      </c>
      <c r="G1066" s="7">
        <v>41074229</v>
      </c>
      <c r="H1066" s="7">
        <v>621.63649999999996</v>
      </c>
      <c r="I1066" s="7">
        <v>622.33450000000005</v>
      </c>
      <c r="J1066" s="7">
        <v>13</v>
      </c>
      <c r="K1066" s="7">
        <v>2.99848E-3</v>
      </c>
      <c r="L1066" s="7">
        <v>624.20055755450005</v>
      </c>
      <c r="M1066" s="7">
        <v>619.77253538449997</v>
      </c>
      <c r="N1066" s="7">
        <v>623.63258017450005</v>
      </c>
      <c r="O1066" s="7">
        <v>624.20055755450005</v>
      </c>
      <c r="P1066" s="7">
        <v>619.77253538449997</v>
      </c>
      <c r="Q1066">
        <v>1</v>
      </c>
      <c r="R1066">
        <v>1</v>
      </c>
      <c r="S1066" s="11">
        <v>45848.666666666664</v>
      </c>
      <c r="T1066">
        <v>1401</v>
      </c>
    </row>
    <row r="1067" spans="1:20">
      <c r="A1067" s="11">
        <v>45849.395833333336</v>
      </c>
      <c r="B1067" s="11">
        <v>45849.416666666664</v>
      </c>
      <c r="C1067" s="10">
        <v>45849</v>
      </c>
      <c r="D1067" s="7">
        <v>621.46699999999998</v>
      </c>
      <c r="E1067" s="7">
        <v>5392624</v>
      </c>
      <c r="F1067" s="7">
        <v>5392624</v>
      </c>
      <c r="G1067" s="7">
        <v>5392624</v>
      </c>
      <c r="H1067" s="7">
        <v>621.46699999999998</v>
      </c>
      <c r="I1067" s="7">
        <v>624.08960000000002</v>
      </c>
      <c r="J1067" s="7">
        <v>14</v>
      </c>
      <c r="K1067" s="7">
        <v>0</v>
      </c>
      <c r="L1067" s="7">
        <v>624.08960000000002</v>
      </c>
      <c r="M1067" s="7">
        <v>621.46699999999998</v>
      </c>
      <c r="N1067" s="7">
        <v>621.46699999999998</v>
      </c>
      <c r="O1067" s="7">
        <v>624.08960000000002</v>
      </c>
      <c r="P1067" s="7">
        <v>621.46699999999998</v>
      </c>
      <c r="Q1067">
        <v>1</v>
      </c>
      <c r="R1067">
        <v>0</v>
      </c>
      <c r="S1067" s="11">
        <v>45849.666666666664</v>
      </c>
      <c r="T1067">
        <v>1399</v>
      </c>
    </row>
    <row r="1068" spans="1:20">
      <c r="A1068" s="11">
        <v>45849.416666666664</v>
      </c>
      <c r="B1068" s="11">
        <v>45849.4375</v>
      </c>
      <c r="C1068" s="10">
        <v>45849</v>
      </c>
      <c r="D1068" s="7">
        <v>622.29470000000003</v>
      </c>
      <c r="E1068" s="7">
        <v>2866941</v>
      </c>
      <c r="F1068" s="7">
        <v>2866941</v>
      </c>
      <c r="G1068" s="7">
        <v>8259565</v>
      </c>
      <c r="H1068" s="7">
        <v>621.46699999999998</v>
      </c>
      <c r="I1068" s="7">
        <v>624.08960000000002</v>
      </c>
      <c r="J1068" s="7">
        <v>14</v>
      </c>
      <c r="K1068" s="7">
        <v>1.0969307999999999E-3</v>
      </c>
      <c r="L1068" s="7">
        <v>624.77418310220003</v>
      </c>
      <c r="M1068" s="7">
        <v>620.78529370850003</v>
      </c>
      <c r="N1068" s="7">
        <v>621.7542992786</v>
      </c>
      <c r="O1068" s="7">
        <v>624.77418310220003</v>
      </c>
      <c r="P1068" s="7">
        <v>620.78529370850003</v>
      </c>
      <c r="Q1068">
        <v>1</v>
      </c>
      <c r="R1068">
        <v>0</v>
      </c>
      <c r="S1068" s="11">
        <v>45849.666666666664</v>
      </c>
      <c r="T1068">
        <v>1398</v>
      </c>
    </row>
    <row r="1069" spans="1:20">
      <c r="A1069" s="11">
        <v>45849.4375</v>
      </c>
      <c r="B1069" s="11">
        <v>45849.458333333336</v>
      </c>
      <c r="C1069" s="10">
        <v>45849</v>
      </c>
      <c r="D1069" s="7">
        <v>622.12509999999997</v>
      </c>
      <c r="E1069" s="7">
        <v>2625178</v>
      </c>
      <c r="F1069" s="7">
        <v>2625178</v>
      </c>
      <c r="G1069" s="7">
        <v>10884743</v>
      </c>
      <c r="H1069" s="7">
        <v>621.46699999999998</v>
      </c>
      <c r="I1069" s="7">
        <v>624.08960000000002</v>
      </c>
      <c r="J1069" s="7">
        <v>14</v>
      </c>
      <c r="K1069" s="7">
        <v>1.880802E-3</v>
      </c>
      <c r="L1069" s="7">
        <v>625.26338897810001</v>
      </c>
      <c r="M1069" s="7">
        <v>620.2981436133</v>
      </c>
      <c r="N1069" s="7">
        <v>621.84372884950005</v>
      </c>
      <c r="O1069" s="7">
        <v>625.26338897810001</v>
      </c>
      <c r="P1069" s="7">
        <v>620.2981436133</v>
      </c>
      <c r="Q1069">
        <v>1</v>
      </c>
      <c r="R1069">
        <v>0</v>
      </c>
      <c r="S1069" s="11">
        <v>45849.666666666664</v>
      </c>
      <c r="T1069">
        <v>1397</v>
      </c>
    </row>
    <row r="1070" spans="1:20">
      <c r="A1070" s="11">
        <v>45849.458333333336</v>
      </c>
      <c r="B1070" s="11">
        <v>45849.479166666664</v>
      </c>
      <c r="C1070" s="10">
        <v>45849</v>
      </c>
      <c r="D1070" s="7">
        <v>621.62649999999996</v>
      </c>
      <c r="E1070" s="7">
        <v>3206846</v>
      </c>
      <c r="F1070" s="7">
        <v>3206846</v>
      </c>
      <c r="G1070" s="7">
        <v>14091589</v>
      </c>
      <c r="H1070" s="7">
        <v>621.46699999999998</v>
      </c>
      <c r="I1070" s="7">
        <v>624.08960000000002</v>
      </c>
      <c r="J1070" s="7">
        <v>14</v>
      </c>
      <c r="K1070" s="7">
        <v>1.9176468999999999E-3</v>
      </c>
      <c r="L1070" s="7">
        <v>625.28638346939999</v>
      </c>
      <c r="M1070" s="7">
        <v>620.27524575129996</v>
      </c>
      <c r="N1070" s="7">
        <v>621.79429372430002</v>
      </c>
      <c r="O1070" s="7">
        <v>625.28638346939999</v>
      </c>
      <c r="P1070" s="7">
        <v>620.27524575129996</v>
      </c>
      <c r="Q1070">
        <v>1</v>
      </c>
      <c r="R1070">
        <v>0</v>
      </c>
      <c r="S1070" s="11">
        <v>45849.666666666664</v>
      </c>
      <c r="T1070">
        <v>1396</v>
      </c>
    </row>
    <row r="1071" spans="1:20">
      <c r="A1071" s="11">
        <v>45849.479166666664</v>
      </c>
      <c r="B1071" s="11">
        <v>45849.5</v>
      </c>
      <c r="C1071" s="10">
        <v>45849</v>
      </c>
      <c r="D1071" s="7">
        <v>622.0453</v>
      </c>
      <c r="E1071" s="7">
        <v>3122467</v>
      </c>
      <c r="F1071" s="7">
        <v>3122467</v>
      </c>
      <c r="G1071" s="7">
        <v>17214056</v>
      </c>
      <c r="H1071" s="7">
        <v>621.46699999999998</v>
      </c>
      <c r="I1071" s="7">
        <v>624.08960000000002</v>
      </c>
      <c r="J1071" s="7">
        <v>14</v>
      </c>
      <c r="K1071" s="7">
        <v>2.3597428E-3</v>
      </c>
      <c r="L1071" s="7">
        <v>625.56229095449999</v>
      </c>
      <c r="M1071" s="7">
        <v>620.00049770700002</v>
      </c>
      <c r="N1071" s="7">
        <v>621.83982388940001</v>
      </c>
      <c r="O1071" s="7">
        <v>625.56229095449999</v>
      </c>
      <c r="P1071" s="7">
        <v>620.00049770700002</v>
      </c>
      <c r="Q1071">
        <v>1</v>
      </c>
      <c r="R1071">
        <v>0</v>
      </c>
      <c r="S1071" s="11">
        <v>45849.666666666664</v>
      </c>
      <c r="T1071">
        <v>1395</v>
      </c>
    </row>
    <row r="1072" spans="1:20">
      <c r="A1072" s="11">
        <v>45849.5</v>
      </c>
      <c r="B1072" s="11">
        <v>45849.520833333336</v>
      </c>
      <c r="C1072" s="10">
        <v>45849</v>
      </c>
      <c r="D1072" s="7">
        <v>622.2097</v>
      </c>
      <c r="E1072" s="7">
        <v>2302642</v>
      </c>
      <c r="F1072" s="7">
        <v>2302642</v>
      </c>
      <c r="G1072" s="7">
        <v>19516698</v>
      </c>
      <c r="H1072" s="7">
        <v>621.46699999999998</v>
      </c>
      <c r="I1072" s="7">
        <v>624.08960000000002</v>
      </c>
      <c r="J1072" s="7">
        <v>14</v>
      </c>
      <c r="K1072" s="7">
        <v>2.8785540000000002E-3</v>
      </c>
      <c r="L1072" s="7">
        <v>625.88607558390004</v>
      </c>
      <c r="M1072" s="7">
        <v>619.67807371169999</v>
      </c>
      <c r="N1072" s="7">
        <v>621.88346304740003</v>
      </c>
      <c r="O1072" s="7">
        <v>625.88607558390004</v>
      </c>
      <c r="P1072" s="7">
        <v>619.67807371169999</v>
      </c>
      <c r="Q1072">
        <v>1</v>
      </c>
      <c r="R1072">
        <v>0</v>
      </c>
      <c r="S1072" s="11">
        <v>45849.666666666664</v>
      </c>
      <c r="T1072">
        <v>1394</v>
      </c>
    </row>
    <row r="1073" spans="1:20">
      <c r="A1073" s="11">
        <v>45849.520833333336</v>
      </c>
      <c r="B1073" s="11">
        <v>45849.541666666664</v>
      </c>
      <c r="C1073" s="10">
        <v>45849</v>
      </c>
      <c r="D1073" s="7">
        <v>622.62369999999999</v>
      </c>
      <c r="E1073" s="7">
        <v>1863216</v>
      </c>
      <c r="F1073" s="7">
        <v>1863216</v>
      </c>
      <c r="G1073" s="7">
        <v>21379914</v>
      </c>
      <c r="H1073" s="7">
        <v>621.46699999999998</v>
      </c>
      <c r="I1073" s="7">
        <v>624.08960000000002</v>
      </c>
      <c r="J1073" s="7">
        <v>14</v>
      </c>
      <c r="K1073" s="7">
        <v>2.8534611999999999E-3</v>
      </c>
      <c r="L1073" s="7">
        <v>625.87041545090005</v>
      </c>
      <c r="M1073" s="7">
        <v>619.69366803640003</v>
      </c>
      <c r="N1073" s="7">
        <v>621.94797319149995</v>
      </c>
      <c r="O1073" s="7">
        <v>625.87041545090005</v>
      </c>
      <c r="P1073" s="7">
        <v>619.69366803640003</v>
      </c>
      <c r="Q1073">
        <v>1</v>
      </c>
      <c r="R1073">
        <v>0</v>
      </c>
      <c r="S1073" s="11">
        <v>45849.666666666664</v>
      </c>
      <c r="T1073">
        <v>1393</v>
      </c>
    </row>
    <row r="1074" spans="1:20">
      <c r="A1074" s="11">
        <v>45849.541666666664</v>
      </c>
      <c r="B1074" s="11">
        <v>45849.5625</v>
      </c>
      <c r="C1074" s="10">
        <v>45849</v>
      </c>
      <c r="D1074" s="7">
        <v>622.70349999999996</v>
      </c>
      <c r="E1074" s="7">
        <v>2011768</v>
      </c>
      <c r="F1074" s="7">
        <v>2011768</v>
      </c>
      <c r="G1074" s="7">
        <v>23391682</v>
      </c>
      <c r="H1074" s="7">
        <v>621.46699999999998</v>
      </c>
      <c r="I1074" s="7">
        <v>624.08960000000002</v>
      </c>
      <c r="J1074" s="7">
        <v>13</v>
      </c>
      <c r="K1074" s="7">
        <v>2.9000903999999998E-3</v>
      </c>
      <c r="L1074" s="7">
        <v>625.89951627330004</v>
      </c>
      <c r="M1074" s="7">
        <v>619.66468950379999</v>
      </c>
      <c r="N1074" s="7">
        <v>622.01295118910002</v>
      </c>
      <c r="O1074" s="7">
        <v>625.89951627330004</v>
      </c>
      <c r="P1074" s="7">
        <v>619.66468950379999</v>
      </c>
      <c r="Q1074">
        <v>1</v>
      </c>
      <c r="R1074">
        <v>0</v>
      </c>
      <c r="S1074" s="11">
        <v>45849.666666666664</v>
      </c>
      <c r="T1074">
        <v>1392</v>
      </c>
    </row>
    <row r="1075" spans="1:20">
      <c r="A1075" s="11">
        <v>45849.5625</v>
      </c>
      <c r="B1075" s="11">
        <v>45849.583333333336</v>
      </c>
      <c r="C1075" s="10">
        <v>45849</v>
      </c>
      <c r="D1075" s="7">
        <v>622.73350000000005</v>
      </c>
      <c r="E1075" s="7">
        <v>2430320</v>
      </c>
      <c r="F1075" s="7">
        <v>2430320</v>
      </c>
      <c r="G1075" s="7">
        <v>25822002</v>
      </c>
      <c r="H1075" s="7">
        <v>621.46699999999998</v>
      </c>
      <c r="I1075" s="7">
        <v>624.08960000000002</v>
      </c>
      <c r="J1075" s="7">
        <v>13</v>
      </c>
      <c r="K1075" s="7">
        <v>3.2634711E-3</v>
      </c>
      <c r="L1075" s="7">
        <v>626.12629840449995</v>
      </c>
      <c r="M1075" s="7">
        <v>619.43886037489995</v>
      </c>
      <c r="N1075" s="7">
        <v>622.08076793650002</v>
      </c>
      <c r="O1075" s="7">
        <v>626.12629840449995</v>
      </c>
      <c r="P1075" s="7">
        <v>619.43886037489995</v>
      </c>
      <c r="Q1075">
        <v>1</v>
      </c>
      <c r="R1075">
        <v>0</v>
      </c>
      <c r="S1075" s="11">
        <v>45849.666666666664</v>
      </c>
      <c r="T1075">
        <v>1391</v>
      </c>
    </row>
    <row r="1076" spans="1:20">
      <c r="A1076" s="11">
        <v>45849.583333333336</v>
      </c>
      <c r="B1076" s="11">
        <v>45849.604166666664</v>
      </c>
      <c r="C1076" s="10">
        <v>45849</v>
      </c>
      <c r="D1076" s="7">
        <v>622.53399999999999</v>
      </c>
      <c r="E1076" s="7">
        <v>2332914</v>
      </c>
      <c r="F1076" s="7">
        <v>2332914</v>
      </c>
      <c r="G1076" s="7">
        <v>28154916</v>
      </c>
      <c r="H1076" s="7">
        <v>621.46699999999998</v>
      </c>
      <c r="I1076" s="7">
        <v>624.08960000000002</v>
      </c>
      <c r="J1076" s="7">
        <v>13</v>
      </c>
      <c r="K1076" s="7">
        <v>3.4128260999999999E-3</v>
      </c>
      <c r="L1076" s="7">
        <v>626.21950929260004</v>
      </c>
      <c r="M1076" s="7">
        <v>619.34604118519997</v>
      </c>
      <c r="N1076" s="7">
        <v>622.11832270759999</v>
      </c>
      <c r="O1076" s="7">
        <v>626.21950929260004</v>
      </c>
      <c r="P1076" s="7">
        <v>619.34604118519997</v>
      </c>
      <c r="Q1076">
        <v>1</v>
      </c>
      <c r="R1076">
        <v>0</v>
      </c>
      <c r="S1076" s="11">
        <v>45849.666666666664</v>
      </c>
      <c r="T1076">
        <v>1390</v>
      </c>
    </row>
    <row r="1077" spans="1:20">
      <c r="A1077" s="11">
        <v>45849.604166666664</v>
      </c>
      <c r="B1077" s="11">
        <v>45849.625</v>
      </c>
      <c r="C1077" s="10">
        <v>45849</v>
      </c>
      <c r="D1077" s="7">
        <v>622.60379999999998</v>
      </c>
      <c r="E1077" s="7">
        <v>2706579</v>
      </c>
      <c r="F1077" s="7">
        <v>2706579</v>
      </c>
      <c r="G1077" s="7">
        <v>30861495</v>
      </c>
      <c r="H1077" s="7">
        <v>621.46699999999998</v>
      </c>
      <c r="I1077" s="7">
        <v>624.08960000000002</v>
      </c>
      <c r="J1077" s="7">
        <v>13</v>
      </c>
      <c r="K1077" s="7">
        <v>3.4305327999999999E-3</v>
      </c>
      <c r="L1077" s="7">
        <v>626.2305598698</v>
      </c>
      <c r="M1077" s="7">
        <v>619.33503704570001</v>
      </c>
      <c r="N1077" s="7">
        <v>622.16089947340004</v>
      </c>
      <c r="O1077" s="7">
        <v>626.2305598698</v>
      </c>
      <c r="P1077" s="7">
        <v>619.33503704570001</v>
      </c>
      <c r="Q1077">
        <v>1</v>
      </c>
      <c r="R1077">
        <v>0</v>
      </c>
      <c r="S1077" s="11">
        <v>45849.666666666664</v>
      </c>
      <c r="T1077">
        <v>1389</v>
      </c>
    </row>
    <row r="1078" spans="1:20">
      <c r="A1078" s="11">
        <v>45849.625</v>
      </c>
      <c r="B1078" s="11">
        <v>45849.645833333336</v>
      </c>
      <c r="C1078" s="10">
        <v>45849</v>
      </c>
      <c r="D1078" s="7">
        <v>622.67359999999996</v>
      </c>
      <c r="E1078" s="7">
        <v>5219034</v>
      </c>
      <c r="F1078" s="7">
        <v>5219034</v>
      </c>
      <c r="G1078" s="7">
        <v>36080529</v>
      </c>
      <c r="H1078" s="7">
        <v>621.46699999999998</v>
      </c>
      <c r="I1078" s="7">
        <v>624.08960000000002</v>
      </c>
      <c r="J1078" s="7">
        <v>13</v>
      </c>
      <c r="K1078" s="7">
        <v>3.5749624999999998E-3</v>
      </c>
      <c r="L1078" s="7">
        <v>626.32069691820004</v>
      </c>
      <c r="M1078" s="7">
        <v>619.24527877850005</v>
      </c>
      <c r="N1078" s="7">
        <v>622.23506139819995</v>
      </c>
      <c r="O1078" s="7">
        <v>626.32069691820004</v>
      </c>
      <c r="P1078" s="7">
        <v>619.24527877850005</v>
      </c>
      <c r="Q1078">
        <v>1</v>
      </c>
      <c r="R1078">
        <v>0</v>
      </c>
      <c r="S1078" s="11">
        <v>45849.666666666664</v>
      </c>
      <c r="T1078">
        <v>1388</v>
      </c>
    </row>
    <row r="1079" spans="1:20">
      <c r="A1079" s="11">
        <v>45849.645833333336</v>
      </c>
      <c r="B1079" s="11">
        <v>45849.666666666664</v>
      </c>
      <c r="C1079" s="10">
        <v>45849</v>
      </c>
      <c r="D1079" s="7">
        <v>621.89580000000001</v>
      </c>
      <c r="E1079" s="7">
        <v>8509565</v>
      </c>
      <c r="F1079" s="7">
        <v>8509565</v>
      </c>
      <c r="G1079" s="7">
        <v>44590094</v>
      </c>
      <c r="H1079" s="7">
        <v>621.46699999999998</v>
      </c>
      <c r="I1079" s="7">
        <v>624.08960000000002</v>
      </c>
      <c r="J1079" s="7">
        <v>13</v>
      </c>
      <c r="K1079" s="7">
        <v>3.0789178999999999E-3</v>
      </c>
      <c r="L1079" s="7">
        <v>626.01112065910002</v>
      </c>
      <c r="M1079" s="7">
        <v>619.55355411109997</v>
      </c>
      <c r="N1079" s="7">
        <v>622.17031681799995</v>
      </c>
      <c r="O1079" s="7">
        <v>626.01112065910002</v>
      </c>
      <c r="P1079" s="7">
        <v>619.55355411109997</v>
      </c>
      <c r="Q1079">
        <v>1</v>
      </c>
      <c r="R1079">
        <v>1</v>
      </c>
      <c r="S1079" s="11">
        <v>45849.666666666664</v>
      </c>
      <c r="T1079">
        <v>1387</v>
      </c>
    </row>
    <row r="1080" spans="1:20">
      <c r="A1080" s="11">
        <v>45852.395833333336</v>
      </c>
      <c r="B1080" s="11">
        <v>45852.416666666664</v>
      </c>
      <c r="C1080" s="10">
        <v>45852</v>
      </c>
      <c r="D1080" s="7">
        <v>620.98829999999998</v>
      </c>
      <c r="E1080" s="7">
        <v>5452518</v>
      </c>
      <c r="F1080" s="7">
        <v>5452518</v>
      </c>
      <c r="G1080" s="7">
        <v>5452518</v>
      </c>
      <c r="H1080" s="7">
        <v>620.98829999999998</v>
      </c>
      <c r="I1080" s="7">
        <v>621.89570000000003</v>
      </c>
      <c r="J1080" s="7">
        <v>14</v>
      </c>
      <c r="K1080" s="7">
        <v>0</v>
      </c>
      <c r="L1080" s="7">
        <v>621.89570000000003</v>
      </c>
      <c r="M1080" s="7">
        <v>620.98829999999998</v>
      </c>
      <c r="N1080" s="7">
        <v>620.98829999999998</v>
      </c>
      <c r="O1080" s="7">
        <v>621.89570000000003</v>
      </c>
      <c r="P1080" s="7">
        <v>620.98829999999998</v>
      </c>
      <c r="Q1080">
        <v>1</v>
      </c>
      <c r="R1080">
        <v>0</v>
      </c>
      <c r="S1080" s="11">
        <v>45852.666666666664</v>
      </c>
      <c r="T1080">
        <v>1385</v>
      </c>
    </row>
    <row r="1081" spans="1:20">
      <c r="A1081" s="11">
        <v>45852.416666666664</v>
      </c>
      <c r="B1081" s="11">
        <v>45852.4375</v>
      </c>
      <c r="C1081" s="10">
        <v>45852</v>
      </c>
      <c r="D1081" s="7">
        <v>620.94839999999999</v>
      </c>
      <c r="E1081" s="7">
        <v>3496158</v>
      </c>
      <c r="F1081" s="7">
        <v>3496158</v>
      </c>
      <c r="G1081" s="7">
        <v>8948676</v>
      </c>
      <c r="H1081" s="7">
        <v>620.98829999999998</v>
      </c>
      <c r="I1081" s="7">
        <v>621.89570000000003</v>
      </c>
      <c r="J1081" s="7">
        <v>14</v>
      </c>
      <c r="K1081" s="7">
        <v>1.0593153E-3</v>
      </c>
      <c r="L1081" s="7">
        <v>622.55448360859998</v>
      </c>
      <c r="M1081" s="7">
        <v>620.3304776141</v>
      </c>
      <c r="N1081" s="7">
        <v>620.97271147000004</v>
      </c>
      <c r="O1081" s="7">
        <v>622.55448360859998</v>
      </c>
      <c r="P1081" s="7">
        <v>620.3304776141</v>
      </c>
      <c r="Q1081">
        <v>1</v>
      </c>
      <c r="R1081">
        <v>0</v>
      </c>
      <c r="S1081" s="11">
        <v>45852.666666666664</v>
      </c>
      <c r="T1081">
        <v>1384</v>
      </c>
    </row>
    <row r="1082" spans="1:20">
      <c r="A1082" s="11">
        <v>45852.4375</v>
      </c>
      <c r="B1082" s="11">
        <v>45852.458333333336</v>
      </c>
      <c r="C1082" s="10">
        <v>45852</v>
      </c>
      <c r="D1082" s="7">
        <v>621.70630000000006</v>
      </c>
      <c r="E1082" s="7">
        <v>2994127</v>
      </c>
      <c r="F1082" s="7">
        <v>2994127</v>
      </c>
      <c r="G1082" s="7">
        <v>11942803</v>
      </c>
      <c r="H1082" s="7">
        <v>620.98829999999998</v>
      </c>
      <c r="I1082" s="7">
        <v>621.89570000000003</v>
      </c>
      <c r="J1082" s="7">
        <v>14</v>
      </c>
      <c r="K1082" s="7">
        <v>1.5964550999999999E-3</v>
      </c>
      <c r="L1082" s="7">
        <v>622.88852856339997</v>
      </c>
      <c r="M1082" s="7">
        <v>619.99692005999998</v>
      </c>
      <c r="N1082" s="7">
        <v>621.15662618620001</v>
      </c>
      <c r="O1082" s="7">
        <v>622.88852856339997</v>
      </c>
      <c r="P1082" s="7">
        <v>619.99692005999998</v>
      </c>
      <c r="Q1082">
        <v>1</v>
      </c>
      <c r="R1082">
        <v>0</v>
      </c>
      <c r="S1082" s="11">
        <v>45852.666666666664</v>
      </c>
      <c r="T1082">
        <v>1383</v>
      </c>
    </row>
    <row r="1083" spans="1:20">
      <c r="A1083" s="11">
        <v>45852.458333333336</v>
      </c>
      <c r="B1083" s="11">
        <v>45852.479166666664</v>
      </c>
      <c r="C1083" s="10">
        <v>45852</v>
      </c>
      <c r="D1083" s="7">
        <v>622.42430000000002</v>
      </c>
      <c r="E1083" s="7">
        <v>2901142</v>
      </c>
      <c r="F1083" s="7">
        <v>2901142</v>
      </c>
      <c r="G1083" s="7">
        <v>14843945</v>
      </c>
      <c r="H1083" s="7">
        <v>620.98829999999998</v>
      </c>
      <c r="I1083" s="7">
        <v>621.89570000000003</v>
      </c>
      <c r="J1083" s="7">
        <v>14</v>
      </c>
      <c r="K1083" s="7">
        <v>1.6806297999999999E-3</v>
      </c>
      <c r="L1083" s="7">
        <v>622.94087642509999</v>
      </c>
      <c r="M1083" s="7">
        <v>619.94464857829996</v>
      </c>
      <c r="N1083" s="7">
        <v>621.40438389099995</v>
      </c>
      <c r="O1083" s="7">
        <v>622.94087642509999</v>
      </c>
      <c r="P1083" s="7">
        <v>619.94464857829996</v>
      </c>
      <c r="Q1083">
        <v>1</v>
      </c>
      <c r="R1083">
        <v>0</v>
      </c>
      <c r="S1083" s="11">
        <v>45852.666666666664</v>
      </c>
      <c r="T1083">
        <v>1382</v>
      </c>
    </row>
    <row r="1084" spans="1:20">
      <c r="A1084" s="11">
        <v>45852.479166666664</v>
      </c>
      <c r="B1084" s="11">
        <v>45852.5</v>
      </c>
      <c r="C1084" s="10">
        <v>45852</v>
      </c>
      <c r="D1084" s="7">
        <v>622.21489999999994</v>
      </c>
      <c r="E1084" s="7">
        <v>2406534</v>
      </c>
      <c r="F1084" s="7">
        <v>2406534</v>
      </c>
      <c r="G1084" s="7">
        <v>17250479</v>
      </c>
      <c r="H1084" s="7">
        <v>620.98829999999998</v>
      </c>
      <c r="I1084" s="7">
        <v>621.89570000000003</v>
      </c>
      <c r="J1084" s="7">
        <v>14</v>
      </c>
      <c r="K1084" s="7">
        <v>2.1152623999999998E-3</v>
      </c>
      <c r="L1084" s="7">
        <v>623.21117256239995</v>
      </c>
      <c r="M1084" s="7">
        <v>619.67474682659997</v>
      </c>
      <c r="N1084" s="7">
        <v>621.51745521930002</v>
      </c>
      <c r="O1084" s="7">
        <v>623.21117256239995</v>
      </c>
      <c r="P1084" s="7">
        <v>619.67474682659997</v>
      </c>
      <c r="Q1084">
        <v>1</v>
      </c>
      <c r="R1084">
        <v>0</v>
      </c>
      <c r="S1084" s="11">
        <v>45852.666666666664</v>
      </c>
      <c r="T1084">
        <v>1381</v>
      </c>
    </row>
    <row r="1085" spans="1:20">
      <c r="A1085" s="11">
        <v>45852.5</v>
      </c>
      <c r="B1085" s="11">
        <v>45852.520833333336</v>
      </c>
      <c r="C1085" s="10">
        <v>45852</v>
      </c>
      <c r="D1085" s="7">
        <v>622.15499999999997</v>
      </c>
      <c r="E1085" s="7">
        <v>1467462</v>
      </c>
      <c r="F1085" s="7">
        <v>1467462</v>
      </c>
      <c r="G1085" s="7">
        <v>18717941</v>
      </c>
      <c r="H1085" s="7">
        <v>620.98829999999998</v>
      </c>
      <c r="I1085" s="7">
        <v>621.89570000000003</v>
      </c>
      <c r="J1085" s="7">
        <v>14</v>
      </c>
      <c r="K1085" s="7">
        <v>2.690638E-3</v>
      </c>
      <c r="L1085" s="7">
        <v>623.56899623029994</v>
      </c>
      <c r="M1085" s="7">
        <v>619.31744525459999</v>
      </c>
      <c r="N1085" s="7">
        <v>621.56743789309996</v>
      </c>
      <c r="O1085" s="7">
        <v>623.56899623029994</v>
      </c>
      <c r="P1085" s="7">
        <v>619.31744525459999</v>
      </c>
      <c r="Q1085">
        <v>1</v>
      </c>
      <c r="R1085">
        <v>0</v>
      </c>
      <c r="S1085" s="11">
        <v>45852.666666666664</v>
      </c>
      <c r="T1085">
        <v>1380</v>
      </c>
    </row>
    <row r="1086" spans="1:20">
      <c r="A1086" s="11">
        <v>45852.520833333336</v>
      </c>
      <c r="B1086" s="11">
        <v>45852.541666666664</v>
      </c>
      <c r="C1086" s="10">
        <v>45852</v>
      </c>
      <c r="D1086" s="7">
        <v>622.56389999999999</v>
      </c>
      <c r="E1086" s="7">
        <v>1861417</v>
      </c>
      <c r="F1086" s="7">
        <v>1861417</v>
      </c>
      <c r="G1086" s="7">
        <v>20579358</v>
      </c>
      <c r="H1086" s="7">
        <v>620.98829999999998</v>
      </c>
      <c r="I1086" s="7">
        <v>621.89570000000003</v>
      </c>
      <c r="J1086" s="7">
        <v>14</v>
      </c>
      <c r="K1086" s="7">
        <v>2.7508097000000001E-3</v>
      </c>
      <c r="L1086" s="7">
        <v>623.60641673479995</v>
      </c>
      <c r="M1086" s="7">
        <v>619.28007934990001</v>
      </c>
      <c r="N1086" s="7">
        <v>621.65756857190001</v>
      </c>
      <c r="O1086" s="7">
        <v>623.60641673479995</v>
      </c>
      <c r="P1086" s="7">
        <v>619.28007934990001</v>
      </c>
      <c r="Q1086">
        <v>1</v>
      </c>
      <c r="R1086">
        <v>0</v>
      </c>
      <c r="S1086" s="11">
        <v>45852.666666666664</v>
      </c>
      <c r="T1086">
        <v>1379</v>
      </c>
    </row>
    <row r="1087" spans="1:20">
      <c r="A1087" s="11">
        <v>45852.541666666664</v>
      </c>
      <c r="B1087" s="11">
        <v>45852.5625</v>
      </c>
      <c r="C1087" s="10">
        <v>45852</v>
      </c>
      <c r="D1087" s="7">
        <v>623.0027</v>
      </c>
      <c r="E1087" s="7">
        <v>2053266</v>
      </c>
      <c r="F1087" s="7">
        <v>2053266</v>
      </c>
      <c r="G1087" s="7">
        <v>22632624</v>
      </c>
      <c r="H1087" s="7">
        <v>620.98829999999998</v>
      </c>
      <c r="I1087" s="7">
        <v>621.89570000000003</v>
      </c>
      <c r="J1087" s="7">
        <v>13</v>
      </c>
      <c r="K1087" s="7">
        <v>2.5521188000000002E-3</v>
      </c>
      <c r="L1087" s="7">
        <v>623.48285170999998</v>
      </c>
      <c r="M1087" s="7">
        <v>619.40346408259995</v>
      </c>
      <c r="N1087" s="7">
        <v>621.77960093659999</v>
      </c>
      <c r="O1087" s="7">
        <v>623.48285170999998</v>
      </c>
      <c r="P1087" s="7">
        <v>619.40346408259995</v>
      </c>
      <c r="Q1087">
        <v>1</v>
      </c>
      <c r="R1087">
        <v>0</v>
      </c>
      <c r="S1087" s="11">
        <v>45852.666666666664</v>
      </c>
      <c r="T1087">
        <v>1378</v>
      </c>
    </row>
    <row r="1088" spans="1:20">
      <c r="A1088" s="11">
        <v>45852.5625</v>
      </c>
      <c r="B1088" s="11">
        <v>45852.583333333336</v>
      </c>
      <c r="C1088" s="10">
        <v>45852</v>
      </c>
      <c r="D1088" s="7">
        <v>622.94290000000001</v>
      </c>
      <c r="E1088" s="7">
        <v>1749082</v>
      </c>
      <c r="F1088" s="7">
        <v>1749082</v>
      </c>
      <c r="G1088" s="7">
        <v>24381706</v>
      </c>
      <c r="H1088" s="7">
        <v>620.98829999999998</v>
      </c>
      <c r="I1088" s="7">
        <v>621.89570000000003</v>
      </c>
      <c r="J1088" s="7">
        <v>13</v>
      </c>
      <c r="K1088" s="7">
        <v>3.0003593999999999E-3</v>
      </c>
      <c r="L1088" s="7">
        <v>623.76161058399998</v>
      </c>
      <c r="M1088" s="7">
        <v>619.12511194210003</v>
      </c>
      <c r="N1088" s="7">
        <v>621.86305307290002</v>
      </c>
      <c r="O1088" s="7">
        <v>623.76161058399998</v>
      </c>
      <c r="P1088" s="7">
        <v>619.12511194210003</v>
      </c>
      <c r="Q1088">
        <v>1</v>
      </c>
      <c r="R1088">
        <v>0</v>
      </c>
      <c r="S1088" s="11">
        <v>45852.666666666664</v>
      </c>
      <c r="T1088">
        <v>1377</v>
      </c>
    </row>
    <row r="1089" spans="1:20">
      <c r="A1089" s="11">
        <v>45852.583333333336</v>
      </c>
      <c r="B1089" s="11">
        <v>45852.604166666664</v>
      </c>
      <c r="C1089" s="10">
        <v>45852</v>
      </c>
      <c r="D1089" s="7">
        <v>623.20209999999997</v>
      </c>
      <c r="E1089" s="7">
        <v>1540979</v>
      </c>
      <c r="F1089" s="7">
        <v>1540979</v>
      </c>
      <c r="G1089" s="7">
        <v>25922685</v>
      </c>
      <c r="H1089" s="7">
        <v>620.98829999999998</v>
      </c>
      <c r="I1089" s="7">
        <v>621.89570000000003</v>
      </c>
      <c r="J1089" s="7">
        <v>13</v>
      </c>
      <c r="K1089" s="7">
        <v>3.2460885E-3</v>
      </c>
      <c r="L1089" s="7">
        <v>623.91442846869995</v>
      </c>
      <c r="M1089" s="7">
        <v>618.97251703200004</v>
      </c>
      <c r="N1089" s="7">
        <v>621.94265297530001</v>
      </c>
      <c r="O1089" s="7">
        <v>623.91442846869995</v>
      </c>
      <c r="P1089" s="7">
        <v>618.97251703200004</v>
      </c>
      <c r="Q1089">
        <v>1</v>
      </c>
      <c r="R1089">
        <v>0</v>
      </c>
      <c r="S1089" s="11">
        <v>45852.666666666664</v>
      </c>
      <c r="T1089">
        <v>1376</v>
      </c>
    </row>
    <row r="1090" spans="1:20">
      <c r="A1090" s="11">
        <v>45852.604166666664</v>
      </c>
      <c r="B1090" s="11">
        <v>45852.625</v>
      </c>
      <c r="C1090" s="10">
        <v>45852</v>
      </c>
      <c r="D1090" s="7">
        <v>623.23209999999995</v>
      </c>
      <c r="E1090" s="7">
        <v>1596964</v>
      </c>
      <c r="F1090" s="7">
        <v>1596964</v>
      </c>
      <c r="G1090" s="7">
        <v>27519649</v>
      </c>
      <c r="H1090" s="7">
        <v>620.98829999999998</v>
      </c>
      <c r="I1090" s="7">
        <v>621.89570000000003</v>
      </c>
      <c r="J1090" s="7">
        <v>13</v>
      </c>
      <c r="K1090" s="7">
        <v>3.0869717999999998E-3</v>
      </c>
      <c r="L1090" s="7">
        <v>623.81547447399998</v>
      </c>
      <c r="M1090" s="7">
        <v>619.07132664419998</v>
      </c>
      <c r="N1090" s="7">
        <v>622.01747952840003</v>
      </c>
      <c r="O1090" s="7">
        <v>623.81547447399998</v>
      </c>
      <c r="P1090" s="7">
        <v>619.07132664419998</v>
      </c>
      <c r="Q1090">
        <v>1</v>
      </c>
      <c r="R1090">
        <v>0</v>
      </c>
      <c r="S1090" s="11">
        <v>45852.666666666664</v>
      </c>
      <c r="T1090">
        <v>1375</v>
      </c>
    </row>
    <row r="1091" spans="1:20">
      <c r="A1091" s="11">
        <v>45852.625</v>
      </c>
      <c r="B1091" s="11">
        <v>45852.645833333336</v>
      </c>
      <c r="C1091" s="10">
        <v>45852</v>
      </c>
      <c r="D1091" s="7">
        <v>622.96280000000002</v>
      </c>
      <c r="E1091" s="7">
        <v>2670536</v>
      </c>
      <c r="F1091" s="7">
        <v>2670536</v>
      </c>
      <c r="G1091" s="7">
        <v>30190185</v>
      </c>
      <c r="H1091" s="7">
        <v>620.98829999999998</v>
      </c>
      <c r="I1091" s="7">
        <v>621.89570000000003</v>
      </c>
      <c r="J1091" s="7">
        <v>13</v>
      </c>
      <c r="K1091" s="7">
        <v>3.2361794000000002E-3</v>
      </c>
      <c r="L1091" s="7">
        <v>623.90826604270001</v>
      </c>
      <c r="M1091" s="7">
        <v>618.97867046650003</v>
      </c>
      <c r="N1091" s="7">
        <v>622.10109982920005</v>
      </c>
      <c r="O1091" s="7">
        <v>623.90826604270001</v>
      </c>
      <c r="P1091" s="7">
        <v>618.97867046650003</v>
      </c>
      <c r="Q1091">
        <v>1</v>
      </c>
      <c r="R1091">
        <v>0</v>
      </c>
      <c r="S1091" s="11">
        <v>45852.666666666664</v>
      </c>
      <c r="T1091">
        <v>1374</v>
      </c>
    </row>
    <row r="1092" spans="1:20">
      <c r="A1092" s="11">
        <v>45852.645833333336</v>
      </c>
      <c r="B1092" s="11">
        <v>45852.666666666664</v>
      </c>
      <c r="C1092" s="10">
        <v>45852</v>
      </c>
      <c r="D1092" s="7">
        <v>623.08249999999998</v>
      </c>
      <c r="E1092" s="7">
        <v>7010944</v>
      </c>
      <c r="F1092" s="7">
        <v>7010944</v>
      </c>
      <c r="G1092" s="7">
        <v>37201129</v>
      </c>
      <c r="H1092" s="7">
        <v>620.98829999999998</v>
      </c>
      <c r="I1092" s="7">
        <v>621.89570000000003</v>
      </c>
      <c r="J1092" s="7">
        <v>13</v>
      </c>
      <c r="K1092" s="7">
        <v>2.7494694000000002E-3</v>
      </c>
      <c r="L1092" s="7">
        <v>623.60558318819994</v>
      </c>
      <c r="M1092" s="7">
        <v>619.28091168030005</v>
      </c>
      <c r="N1092" s="7">
        <v>622.27853543799995</v>
      </c>
      <c r="O1092" s="7">
        <v>623.60558318819994</v>
      </c>
      <c r="P1092" s="7">
        <v>619.28091168030005</v>
      </c>
      <c r="Q1092">
        <v>1</v>
      </c>
      <c r="R1092">
        <v>1</v>
      </c>
      <c r="S1092" s="11">
        <v>45852.666666666664</v>
      </c>
      <c r="T1092">
        <v>1373</v>
      </c>
    </row>
    <row r="1093" spans="1:20">
      <c r="A1093" s="11">
        <v>45853.395833333336</v>
      </c>
      <c r="B1093" s="11">
        <v>45853.416666666664</v>
      </c>
      <c r="C1093" s="10">
        <v>45853</v>
      </c>
      <c r="D1093" s="7">
        <v>623.97</v>
      </c>
      <c r="E1093" s="7">
        <v>5909934</v>
      </c>
      <c r="F1093" s="7">
        <v>5909934</v>
      </c>
      <c r="G1093" s="7">
        <v>5909934</v>
      </c>
      <c r="H1093" s="7">
        <v>623.97</v>
      </c>
      <c r="I1093" s="7">
        <v>623.08240000000001</v>
      </c>
      <c r="J1093" s="7">
        <v>14</v>
      </c>
      <c r="K1093" s="7">
        <v>0</v>
      </c>
      <c r="L1093" s="7">
        <v>623.97</v>
      </c>
      <c r="M1093" s="7">
        <v>623.08240000000001</v>
      </c>
      <c r="N1093" s="7">
        <v>623.97</v>
      </c>
      <c r="O1093" s="7">
        <v>623.97</v>
      </c>
      <c r="P1093" s="7">
        <v>623.08240000000001</v>
      </c>
      <c r="Q1093">
        <v>1</v>
      </c>
      <c r="R1093">
        <v>0</v>
      </c>
      <c r="S1093" s="11">
        <v>45853.666666666664</v>
      </c>
      <c r="T1093">
        <v>1371</v>
      </c>
    </row>
    <row r="1094" spans="1:20">
      <c r="A1094" s="11">
        <v>45853.416666666664</v>
      </c>
      <c r="B1094" s="11">
        <v>45853.4375</v>
      </c>
      <c r="C1094" s="10">
        <v>45853</v>
      </c>
      <c r="D1094" s="7">
        <v>623.67089999999996</v>
      </c>
      <c r="E1094" s="7">
        <v>3640929</v>
      </c>
      <c r="F1094" s="7">
        <v>3640929</v>
      </c>
      <c r="G1094" s="7">
        <v>9550863</v>
      </c>
      <c r="H1094" s="7">
        <v>623.97</v>
      </c>
      <c r="I1094" s="7">
        <v>623.08240000000001</v>
      </c>
      <c r="J1094" s="7">
        <v>14</v>
      </c>
      <c r="K1094" s="7">
        <v>9.6246920000000004E-4</v>
      </c>
      <c r="L1094" s="7">
        <v>624.57055190109998</v>
      </c>
      <c r="M1094" s="7">
        <v>622.48270238650002</v>
      </c>
      <c r="N1094" s="7">
        <v>623.85597869490005</v>
      </c>
      <c r="O1094" s="7">
        <v>624.57055190109998</v>
      </c>
      <c r="P1094" s="7">
        <v>622.48270238650002</v>
      </c>
      <c r="Q1094">
        <v>1</v>
      </c>
      <c r="R1094">
        <v>0</v>
      </c>
      <c r="S1094" s="11">
        <v>45853.666666666664</v>
      </c>
      <c r="T1094">
        <v>1370</v>
      </c>
    </row>
    <row r="1095" spans="1:20">
      <c r="A1095" s="11">
        <v>45853.4375</v>
      </c>
      <c r="B1095" s="11">
        <v>45853.458333333336</v>
      </c>
      <c r="C1095" s="10">
        <v>45853</v>
      </c>
      <c r="D1095" s="7">
        <v>622.26469999999995</v>
      </c>
      <c r="E1095" s="7">
        <v>5031483</v>
      </c>
      <c r="F1095" s="7">
        <v>5031483</v>
      </c>
      <c r="G1095" s="7">
        <v>14582346</v>
      </c>
      <c r="H1095" s="7">
        <v>623.97</v>
      </c>
      <c r="I1095" s="7">
        <v>623.08240000000001</v>
      </c>
      <c r="J1095" s="7">
        <v>14</v>
      </c>
      <c r="K1095" s="7">
        <v>1.6443183E-3</v>
      </c>
      <c r="L1095" s="7">
        <v>624.99600528569999</v>
      </c>
      <c r="M1095" s="7">
        <v>622.05785421120004</v>
      </c>
      <c r="N1095" s="7">
        <v>623.3069249486</v>
      </c>
      <c r="O1095" s="7">
        <v>624.99600528569999</v>
      </c>
      <c r="P1095" s="7">
        <v>622.05785421120004</v>
      </c>
      <c r="Q1095">
        <v>1</v>
      </c>
      <c r="R1095">
        <v>0</v>
      </c>
      <c r="S1095" s="11">
        <v>45853.666666666664</v>
      </c>
      <c r="T1095">
        <v>1369</v>
      </c>
    </row>
    <row r="1096" spans="1:20">
      <c r="A1096" s="11">
        <v>45853.458333333336</v>
      </c>
      <c r="B1096" s="11">
        <v>45853.479166666664</v>
      </c>
      <c r="C1096" s="10">
        <v>45853</v>
      </c>
      <c r="D1096" s="7">
        <v>623.39160000000004</v>
      </c>
      <c r="E1096" s="7">
        <v>3984586</v>
      </c>
      <c r="F1096" s="7">
        <v>3984586</v>
      </c>
      <c r="G1096" s="7">
        <v>18566932</v>
      </c>
      <c r="H1096" s="7">
        <v>623.97</v>
      </c>
      <c r="I1096" s="7">
        <v>623.08240000000001</v>
      </c>
      <c r="J1096" s="7">
        <v>14</v>
      </c>
      <c r="K1096" s="7">
        <v>1.8075033999999999E-3</v>
      </c>
      <c r="L1096" s="7">
        <v>625.09782788109999</v>
      </c>
      <c r="M1096" s="7">
        <v>621.95617645890002</v>
      </c>
      <c r="N1096" s="7">
        <v>623.32509677279995</v>
      </c>
      <c r="O1096" s="7">
        <v>625.09782788109999</v>
      </c>
      <c r="P1096" s="7">
        <v>621.95617645890002</v>
      </c>
      <c r="Q1096">
        <v>1</v>
      </c>
      <c r="R1096">
        <v>0</v>
      </c>
      <c r="S1096" s="11">
        <v>45853.666666666664</v>
      </c>
      <c r="T1096">
        <v>1368</v>
      </c>
    </row>
    <row r="1097" spans="1:20">
      <c r="A1097" s="11">
        <v>45853.479166666664</v>
      </c>
      <c r="B1097" s="11">
        <v>45853.5</v>
      </c>
      <c r="C1097" s="10">
        <v>45853</v>
      </c>
      <c r="D1097" s="7">
        <v>623.13229999999999</v>
      </c>
      <c r="E1097" s="7">
        <v>2743339</v>
      </c>
      <c r="F1097" s="7">
        <v>2743339</v>
      </c>
      <c r="G1097" s="7">
        <v>21310271</v>
      </c>
      <c r="H1097" s="7">
        <v>623.97</v>
      </c>
      <c r="I1097" s="7">
        <v>623.08240000000001</v>
      </c>
      <c r="J1097" s="7">
        <v>14</v>
      </c>
      <c r="K1097" s="7">
        <v>2.1486258000000002E-3</v>
      </c>
      <c r="L1097" s="7">
        <v>625.31067805689997</v>
      </c>
      <c r="M1097" s="7">
        <v>621.74362906340002</v>
      </c>
      <c r="N1097" s="7">
        <v>623.30027743070002</v>
      </c>
      <c r="O1097" s="7">
        <v>625.31067805689997</v>
      </c>
      <c r="P1097" s="7">
        <v>621.74362906340002</v>
      </c>
      <c r="Q1097">
        <v>1</v>
      </c>
      <c r="R1097">
        <v>0</v>
      </c>
      <c r="S1097" s="11">
        <v>45853.666666666664</v>
      </c>
      <c r="T1097">
        <v>1367</v>
      </c>
    </row>
    <row r="1098" spans="1:20">
      <c r="A1098" s="11">
        <v>45853.5</v>
      </c>
      <c r="B1098" s="11">
        <v>45853.520833333336</v>
      </c>
      <c r="C1098" s="10">
        <v>45853</v>
      </c>
      <c r="D1098" s="7">
        <v>622.53399999999999</v>
      </c>
      <c r="E1098" s="7">
        <v>2765867</v>
      </c>
      <c r="F1098" s="7">
        <v>2765867</v>
      </c>
      <c r="G1098" s="7">
        <v>24076138</v>
      </c>
      <c r="H1098" s="7">
        <v>623.97</v>
      </c>
      <c r="I1098" s="7">
        <v>623.08240000000001</v>
      </c>
      <c r="J1098" s="7">
        <v>14</v>
      </c>
      <c r="K1098" s="7">
        <v>2.5244069000000002E-3</v>
      </c>
      <c r="L1098" s="7">
        <v>625.54515415510002</v>
      </c>
      <c r="M1098" s="7">
        <v>621.50948650839996</v>
      </c>
      <c r="N1098" s="7">
        <v>623.21224747099996</v>
      </c>
      <c r="O1098" s="7">
        <v>625.54515415510002</v>
      </c>
      <c r="P1098" s="7">
        <v>621.50948650839996</v>
      </c>
      <c r="Q1098">
        <v>1</v>
      </c>
      <c r="R1098">
        <v>0</v>
      </c>
      <c r="S1098" s="11">
        <v>45853.666666666664</v>
      </c>
      <c r="T1098">
        <v>1366</v>
      </c>
    </row>
    <row r="1099" spans="1:20">
      <c r="A1099" s="11">
        <v>45853.520833333336</v>
      </c>
      <c r="B1099" s="11">
        <v>45853.541666666664</v>
      </c>
      <c r="C1099" s="10">
        <v>45853</v>
      </c>
      <c r="D1099" s="7">
        <v>621.447</v>
      </c>
      <c r="E1099" s="7">
        <v>3308130</v>
      </c>
      <c r="F1099" s="7">
        <v>3308130</v>
      </c>
      <c r="G1099" s="7">
        <v>27384268</v>
      </c>
      <c r="H1099" s="7">
        <v>623.97</v>
      </c>
      <c r="I1099" s="7">
        <v>623.08240000000001</v>
      </c>
      <c r="J1099" s="7">
        <v>14</v>
      </c>
      <c r="K1099" s="7">
        <v>2.5526095000000001E-3</v>
      </c>
      <c r="L1099" s="7">
        <v>625.56275177290001</v>
      </c>
      <c r="M1099" s="7">
        <v>621.49191392329999</v>
      </c>
      <c r="N1099" s="7">
        <v>622.99899845820005</v>
      </c>
      <c r="O1099" s="7">
        <v>625.56275177290001</v>
      </c>
      <c r="P1099" s="7">
        <v>621.49191392329999</v>
      </c>
      <c r="Q1099">
        <v>1</v>
      </c>
      <c r="R1099">
        <v>0</v>
      </c>
      <c r="S1099" s="11">
        <v>45853.666666666664</v>
      </c>
      <c r="T1099">
        <v>1365</v>
      </c>
    </row>
    <row r="1100" spans="1:20">
      <c r="A1100" s="11">
        <v>45853.541666666664</v>
      </c>
      <c r="B1100" s="11">
        <v>45853.5625</v>
      </c>
      <c r="C1100" s="10">
        <v>45853</v>
      </c>
      <c r="D1100" s="7">
        <v>622.12509999999997</v>
      </c>
      <c r="E1100" s="7">
        <v>3266457</v>
      </c>
      <c r="F1100" s="7">
        <v>3266457</v>
      </c>
      <c r="G1100" s="7">
        <v>30650725</v>
      </c>
      <c r="H1100" s="7">
        <v>623.97</v>
      </c>
      <c r="I1100" s="7">
        <v>623.08240000000001</v>
      </c>
      <c r="J1100" s="7">
        <v>13</v>
      </c>
      <c r="K1100" s="7">
        <v>2.6559827000000001E-3</v>
      </c>
      <c r="L1100" s="7">
        <v>625.62725349970003</v>
      </c>
      <c r="M1100" s="7">
        <v>621.42750395049995</v>
      </c>
      <c r="N1100" s="7">
        <v>622.90586683619995</v>
      </c>
      <c r="O1100" s="7">
        <v>625.62725349970003</v>
      </c>
      <c r="P1100" s="7">
        <v>621.42750395049995</v>
      </c>
      <c r="Q1100">
        <v>1</v>
      </c>
      <c r="R1100">
        <v>0</v>
      </c>
      <c r="S1100" s="11">
        <v>45853.666666666664</v>
      </c>
      <c r="T1100">
        <v>1364</v>
      </c>
    </row>
    <row r="1101" spans="1:20">
      <c r="A1101" s="11">
        <v>45853.5625</v>
      </c>
      <c r="B1101" s="11">
        <v>45853.583333333336</v>
      </c>
      <c r="C1101" s="10">
        <v>45853</v>
      </c>
      <c r="D1101" s="7">
        <v>622.87300000000005</v>
      </c>
      <c r="E1101" s="7">
        <v>2416017</v>
      </c>
      <c r="F1101" s="7">
        <v>2416017</v>
      </c>
      <c r="G1101" s="7">
        <v>33066742</v>
      </c>
      <c r="H1101" s="7">
        <v>623.97</v>
      </c>
      <c r="I1101" s="7">
        <v>623.08240000000001</v>
      </c>
      <c r="J1101" s="7">
        <v>13</v>
      </c>
      <c r="K1101" s="7">
        <v>3.0065787E-3</v>
      </c>
      <c r="L1101" s="7">
        <v>625.84601493169998</v>
      </c>
      <c r="M1101" s="7">
        <v>621.20905370759999</v>
      </c>
      <c r="N1101" s="7">
        <v>622.90346542530006</v>
      </c>
      <c r="O1101" s="7">
        <v>625.84601493169998</v>
      </c>
      <c r="P1101" s="7">
        <v>621.20905370759999</v>
      </c>
      <c r="Q1101">
        <v>1</v>
      </c>
      <c r="R1101">
        <v>0</v>
      </c>
      <c r="S1101" s="11">
        <v>45853.666666666664</v>
      </c>
      <c r="T1101">
        <v>1363</v>
      </c>
    </row>
    <row r="1102" spans="1:20">
      <c r="A1102" s="11">
        <v>45853.583333333336</v>
      </c>
      <c r="B1102" s="11">
        <v>45853.604166666664</v>
      </c>
      <c r="C1102" s="10">
        <v>45853</v>
      </c>
      <c r="D1102" s="7">
        <v>622.88300000000004</v>
      </c>
      <c r="E1102" s="7">
        <v>2372297</v>
      </c>
      <c r="F1102" s="7">
        <v>2372297</v>
      </c>
      <c r="G1102" s="7">
        <v>35439039</v>
      </c>
      <c r="H1102" s="7">
        <v>623.97</v>
      </c>
      <c r="I1102" s="7">
        <v>623.08240000000001</v>
      </c>
      <c r="J1102" s="7">
        <v>13</v>
      </c>
      <c r="K1102" s="7">
        <v>3.3050455000000001E-3</v>
      </c>
      <c r="L1102" s="7">
        <v>626.03224924079996</v>
      </c>
      <c r="M1102" s="7">
        <v>621.02308431760002</v>
      </c>
      <c r="N1102" s="7">
        <v>622.90209546519998</v>
      </c>
      <c r="O1102" s="7">
        <v>626.03224924079996</v>
      </c>
      <c r="P1102" s="7">
        <v>621.02308431760002</v>
      </c>
      <c r="Q1102">
        <v>1</v>
      </c>
      <c r="R1102">
        <v>0</v>
      </c>
      <c r="S1102" s="11">
        <v>45853.666666666664</v>
      </c>
      <c r="T1102">
        <v>1362</v>
      </c>
    </row>
    <row r="1103" spans="1:20">
      <c r="A1103" s="11">
        <v>45853.604166666664</v>
      </c>
      <c r="B1103" s="11">
        <v>45853.625</v>
      </c>
      <c r="C1103" s="10">
        <v>45853</v>
      </c>
      <c r="D1103" s="7">
        <v>621.30740000000003</v>
      </c>
      <c r="E1103" s="7">
        <v>3910683</v>
      </c>
      <c r="F1103" s="7">
        <v>3910683</v>
      </c>
      <c r="G1103" s="7">
        <v>39349722</v>
      </c>
      <c r="H1103" s="7">
        <v>623.97</v>
      </c>
      <c r="I1103" s="7">
        <v>623.08240000000001</v>
      </c>
      <c r="J1103" s="7">
        <v>13</v>
      </c>
      <c r="K1103" s="7">
        <v>3.1444745000000001E-3</v>
      </c>
      <c r="L1103" s="7">
        <v>625.93205776970001</v>
      </c>
      <c r="M1103" s="7">
        <v>621.12313326590004</v>
      </c>
      <c r="N1103" s="7">
        <v>622.74361026819997</v>
      </c>
      <c r="O1103" s="7">
        <v>625.93205776970001</v>
      </c>
      <c r="P1103" s="7">
        <v>621.12313326590004</v>
      </c>
      <c r="Q1103">
        <v>1</v>
      </c>
      <c r="R1103">
        <v>0</v>
      </c>
      <c r="S1103" s="11">
        <v>45853.666666666664</v>
      </c>
      <c r="T1103">
        <v>1361</v>
      </c>
    </row>
    <row r="1104" spans="1:20">
      <c r="A1104" s="11">
        <v>45853.625</v>
      </c>
      <c r="B1104" s="11">
        <v>45853.645833333336</v>
      </c>
      <c r="C1104" s="10">
        <v>45853</v>
      </c>
      <c r="D1104" s="7">
        <v>621.61659999999995</v>
      </c>
      <c r="E1104" s="7">
        <v>4228741</v>
      </c>
      <c r="F1104" s="7">
        <v>4228741</v>
      </c>
      <c r="G1104" s="7">
        <v>43578463</v>
      </c>
      <c r="H1104" s="7">
        <v>623.97</v>
      </c>
      <c r="I1104" s="7">
        <v>623.08240000000001</v>
      </c>
      <c r="J1104" s="7">
        <v>13</v>
      </c>
      <c r="K1104" s="7">
        <v>3.1623696000000001E-3</v>
      </c>
      <c r="L1104" s="7">
        <v>625.94322375540003</v>
      </c>
      <c r="M1104" s="7">
        <v>621.11198316390005</v>
      </c>
      <c r="N1104" s="7">
        <v>622.63424811540006</v>
      </c>
      <c r="O1104" s="7">
        <v>625.94322375540003</v>
      </c>
      <c r="P1104" s="7">
        <v>621.11198316390005</v>
      </c>
      <c r="Q1104">
        <v>1</v>
      </c>
      <c r="R1104">
        <v>0</v>
      </c>
      <c r="S1104" s="11">
        <v>45853.666666666664</v>
      </c>
      <c r="T1104">
        <v>1360</v>
      </c>
    </row>
    <row r="1105" spans="1:20">
      <c r="A1105" s="11">
        <v>45853.645833333336</v>
      </c>
      <c r="B1105" s="11">
        <v>45853.666666666664</v>
      </c>
      <c r="C1105" s="10">
        <v>45853</v>
      </c>
      <c r="D1105" s="7">
        <v>620.41989999999998</v>
      </c>
      <c r="E1105" s="7">
        <v>9367385</v>
      </c>
      <c r="F1105" s="7">
        <v>9367385</v>
      </c>
      <c r="G1105" s="7">
        <v>52945848</v>
      </c>
      <c r="H1105" s="7">
        <v>623.97</v>
      </c>
      <c r="I1105" s="7">
        <v>623.08240000000001</v>
      </c>
      <c r="J1105" s="7">
        <v>13</v>
      </c>
      <c r="K1105" s="7">
        <v>2.5705976999999998E-3</v>
      </c>
      <c r="L1105" s="7">
        <v>625.57397586230002</v>
      </c>
      <c r="M1105" s="7">
        <v>621.48070580019998</v>
      </c>
      <c r="N1105" s="7">
        <v>622.24247704920003</v>
      </c>
      <c r="O1105" s="7">
        <v>625.57397586230002</v>
      </c>
      <c r="P1105" s="7">
        <v>621.48070580019998</v>
      </c>
      <c r="Q1105">
        <v>1</v>
      </c>
      <c r="R1105">
        <v>1</v>
      </c>
      <c r="S1105" s="11">
        <v>45853.666666666664</v>
      </c>
      <c r="T1105">
        <v>1359</v>
      </c>
    </row>
    <row r="1106" spans="1:20">
      <c r="A1106" s="11">
        <v>45854.395833333336</v>
      </c>
      <c r="B1106" s="11">
        <v>45854.416666666664</v>
      </c>
      <c r="C1106" s="10">
        <v>45854</v>
      </c>
      <c r="D1106" s="7">
        <v>620.33010000000002</v>
      </c>
      <c r="E1106" s="7">
        <v>5109190</v>
      </c>
      <c r="F1106" s="7">
        <v>5109190</v>
      </c>
      <c r="G1106" s="7">
        <v>5109190</v>
      </c>
      <c r="H1106" s="7">
        <v>620.33010000000002</v>
      </c>
      <c r="I1106" s="7">
        <v>620.41980000000001</v>
      </c>
      <c r="J1106" s="7">
        <v>14</v>
      </c>
      <c r="K1106" s="7">
        <v>0</v>
      </c>
      <c r="L1106" s="7">
        <v>620.41980000000001</v>
      </c>
      <c r="M1106" s="7">
        <v>620.33010000000002</v>
      </c>
      <c r="N1106" s="7">
        <v>620.33010000000002</v>
      </c>
      <c r="O1106" s="7">
        <v>620.41980000000001</v>
      </c>
      <c r="P1106" s="7">
        <v>620.33010000000002</v>
      </c>
      <c r="Q1106">
        <v>1</v>
      </c>
      <c r="R1106">
        <v>0</v>
      </c>
      <c r="S1106" s="11">
        <v>45854.666666666664</v>
      </c>
      <c r="T1106">
        <v>1357</v>
      </c>
    </row>
    <row r="1107" spans="1:20">
      <c r="A1107" s="11">
        <v>45854.416666666664</v>
      </c>
      <c r="B1107" s="11">
        <v>45854.4375</v>
      </c>
      <c r="C1107" s="10">
        <v>45854</v>
      </c>
      <c r="D1107" s="7">
        <v>620.76980000000003</v>
      </c>
      <c r="E1107" s="7">
        <v>3180866</v>
      </c>
      <c r="F1107" s="7">
        <v>3180866</v>
      </c>
      <c r="G1107" s="7">
        <v>8290056</v>
      </c>
      <c r="H1107" s="7">
        <v>620.33010000000002</v>
      </c>
      <c r="I1107" s="7">
        <v>620.41980000000001</v>
      </c>
      <c r="J1107" s="7">
        <v>14</v>
      </c>
      <c r="K1107" s="7">
        <v>9.085807E-4</v>
      </c>
      <c r="L1107" s="7">
        <v>620.98350148190002</v>
      </c>
      <c r="M1107" s="7">
        <v>619.76648001779995</v>
      </c>
      <c r="N1107" s="7">
        <v>620.49881137909995</v>
      </c>
      <c r="O1107" s="7">
        <v>620.98350148190002</v>
      </c>
      <c r="P1107" s="7">
        <v>619.76648001779995</v>
      </c>
      <c r="Q1107">
        <v>1</v>
      </c>
      <c r="R1107">
        <v>0</v>
      </c>
      <c r="S1107" s="11">
        <v>45854.666666666664</v>
      </c>
      <c r="T1107">
        <v>1356</v>
      </c>
    </row>
    <row r="1108" spans="1:20">
      <c r="A1108" s="11">
        <v>45854.4375</v>
      </c>
      <c r="B1108" s="11">
        <v>45854.458333333336</v>
      </c>
      <c r="C1108" s="10">
        <v>45854</v>
      </c>
      <c r="D1108" s="7">
        <v>620.50959999999998</v>
      </c>
      <c r="E1108" s="7">
        <v>6447225</v>
      </c>
      <c r="F1108" s="7">
        <v>6447225</v>
      </c>
      <c r="G1108" s="7">
        <v>14737281</v>
      </c>
      <c r="H1108" s="7">
        <v>620.33010000000002</v>
      </c>
      <c r="I1108" s="7">
        <v>620.41980000000001</v>
      </c>
      <c r="J1108" s="7">
        <v>14</v>
      </c>
      <c r="K1108" s="7">
        <v>1.7070433E-3</v>
      </c>
      <c r="L1108" s="7">
        <v>621.47888346720003</v>
      </c>
      <c r="M1108" s="7">
        <v>619.27116965460004</v>
      </c>
      <c r="N1108" s="7">
        <v>620.50353115519999</v>
      </c>
      <c r="O1108" s="7">
        <v>621.47888346720003</v>
      </c>
      <c r="P1108" s="7">
        <v>619.27116965460004</v>
      </c>
      <c r="Q1108">
        <v>1</v>
      </c>
      <c r="R1108">
        <v>0</v>
      </c>
      <c r="S1108" s="11">
        <v>45854.666666666664</v>
      </c>
      <c r="T1108">
        <v>1355</v>
      </c>
    </row>
    <row r="1109" spans="1:20">
      <c r="A1109" s="11">
        <v>45854.458333333336</v>
      </c>
      <c r="B1109" s="11">
        <v>45854.479166666664</v>
      </c>
      <c r="C1109" s="10">
        <v>45854</v>
      </c>
      <c r="D1109" s="7">
        <v>619.69179999999994</v>
      </c>
      <c r="E1109" s="7">
        <v>12867068</v>
      </c>
      <c r="F1109" s="7">
        <v>12867068</v>
      </c>
      <c r="G1109" s="7">
        <v>27604349</v>
      </c>
      <c r="H1109" s="7">
        <v>620.33010000000002</v>
      </c>
      <c r="I1109" s="7">
        <v>620.41980000000001</v>
      </c>
      <c r="J1109" s="7">
        <v>14</v>
      </c>
      <c r="K1109" s="7">
        <v>1.6489718E-3</v>
      </c>
      <c r="L1109" s="7">
        <v>621.44285477849996</v>
      </c>
      <c r="M1109" s="7">
        <v>619.30719313429995</v>
      </c>
      <c r="N1109" s="7">
        <v>620.12516324030003</v>
      </c>
      <c r="O1109" s="7">
        <v>621.44285477849996</v>
      </c>
      <c r="P1109" s="7">
        <v>619.30719313429995</v>
      </c>
      <c r="Q1109">
        <v>1</v>
      </c>
      <c r="R1109">
        <v>0</v>
      </c>
      <c r="S1109" s="11">
        <v>45854.666666666664</v>
      </c>
      <c r="T1109">
        <v>1354</v>
      </c>
    </row>
    <row r="1110" spans="1:20">
      <c r="A1110" s="11">
        <v>45854.479166666664</v>
      </c>
      <c r="B1110" s="11">
        <v>45854.5</v>
      </c>
      <c r="C1110" s="10">
        <v>45854</v>
      </c>
      <c r="D1110" s="7">
        <v>620.22040000000004</v>
      </c>
      <c r="E1110" s="7">
        <v>14748487</v>
      </c>
      <c r="F1110" s="7">
        <v>14748487</v>
      </c>
      <c r="G1110" s="7">
        <v>42352836</v>
      </c>
      <c r="H1110" s="7">
        <v>620.33010000000002</v>
      </c>
      <c r="I1110" s="7">
        <v>620.41980000000001</v>
      </c>
      <c r="J1110" s="7">
        <v>14</v>
      </c>
      <c r="K1110" s="7">
        <v>2.0191963000000001E-3</v>
      </c>
      <c r="L1110" s="7">
        <v>621.67254936539996</v>
      </c>
      <c r="M1110" s="7">
        <v>619.07753175649998</v>
      </c>
      <c r="N1110" s="7">
        <v>620.15832744479997</v>
      </c>
      <c r="O1110" s="7">
        <v>621.67254936539996</v>
      </c>
      <c r="P1110" s="7">
        <v>619.07753175649998</v>
      </c>
      <c r="Q1110">
        <v>1</v>
      </c>
      <c r="R1110">
        <v>0</v>
      </c>
      <c r="S1110" s="11">
        <v>45854.666666666664</v>
      </c>
      <c r="T1110">
        <v>1353</v>
      </c>
    </row>
    <row r="1111" spans="1:20">
      <c r="A1111" s="11">
        <v>45854.5</v>
      </c>
      <c r="B1111" s="11">
        <v>45854.520833333336</v>
      </c>
      <c r="C1111" s="10">
        <v>45854</v>
      </c>
      <c r="D1111" s="7">
        <v>619.93119999999999</v>
      </c>
      <c r="E1111" s="7">
        <v>4276971</v>
      </c>
      <c r="F1111" s="7">
        <v>4276971</v>
      </c>
      <c r="G1111" s="7">
        <v>46629807</v>
      </c>
      <c r="H1111" s="7">
        <v>620.33010000000002</v>
      </c>
      <c r="I1111" s="7">
        <v>620.41980000000001</v>
      </c>
      <c r="J1111" s="7">
        <v>14</v>
      </c>
      <c r="K1111" s="7">
        <v>2.3788860999999998E-3</v>
      </c>
      <c r="L1111" s="7">
        <v>621.89570802979995</v>
      </c>
      <c r="M1111" s="7">
        <v>618.85440535630005</v>
      </c>
      <c r="N1111" s="7">
        <v>620.13749490099997</v>
      </c>
      <c r="O1111" s="7">
        <v>621.89570802979995</v>
      </c>
      <c r="P1111" s="7">
        <v>618.85440535630005</v>
      </c>
      <c r="Q1111">
        <v>1</v>
      </c>
      <c r="R1111">
        <v>0</v>
      </c>
      <c r="S1111" s="11">
        <v>45854.666666666664</v>
      </c>
      <c r="T1111">
        <v>1352</v>
      </c>
    </row>
    <row r="1112" spans="1:20">
      <c r="A1112" s="11">
        <v>45854.520833333336</v>
      </c>
      <c r="B1112" s="11">
        <v>45854.541666666664</v>
      </c>
      <c r="C1112" s="10">
        <v>45854</v>
      </c>
      <c r="D1112" s="7">
        <v>621.37720000000002</v>
      </c>
      <c r="E1112" s="7">
        <v>2912321</v>
      </c>
      <c r="F1112" s="7">
        <v>2912321</v>
      </c>
      <c r="G1112" s="7">
        <v>49542128</v>
      </c>
      <c r="H1112" s="7">
        <v>620.33010000000002</v>
      </c>
      <c r="I1112" s="7">
        <v>620.41980000000001</v>
      </c>
      <c r="J1112" s="7">
        <v>14</v>
      </c>
      <c r="K1112" s="7">
        <v>2.5149642999999998E-3</v>
      </c>
      <c r="L1112" s="7">
        <v>621.98013367290002</v>
      </c>
      <c r="M1112" s="7">
        <v>618.76999191940001</v>
      </c>
      <c r="N1112" s="7">
        <v>620.2103706401</v>
      </c>
      <c r="O1112" s="7">
        <v>621.98013367290002</v>
      </c>
      <c r="P1112" s="7">
        <v>618.76999191940001</v>
      </c>
      <c r="Q1112">
        <v>1</v>
      </c>
      <c r="R1112">
        <v>0</v>
      </c>
      <c r="S1112" s="11">
        <v>45854.666666666664</v>
      </c>
      <c r="T1112">
        <v>1351</v>
      </c>
    </row>
    <row r="1113" spans="1:20">
      <c r="A1113" s="11">
        <v>45854.541666666664</v>
      </c>
      <c r="B1113" s="11">
        <v>45854.5625</v>
      </c>
      <c r="C1113" s="10">
        <v>45854</v>
      </c>
      <c r="D1113" s="7">
        <v>621.35730000000001</v>
      </c>
      <c r="E1113" s="7">
        <v>2474448</v>
      </c>
      <c r="F1113" s="7">
        <v>2474448</v>
      </c>
      <c r="G1113" s="7">
        <v>52016576</v>
      </c>
      <c r="H1113" s="7">
        <v>620.33010000000002</v>
      </c>
      <c r="I1113" s="7">
        <v>620.41980000000001</v>
      </c>
      <c r="J1113" s="7">
        <v>13</v>
      </c>
      <c r="K1113" s="7">
        <v>2.5687863000000001E-3</v>
      </c>
      <c r="L1113" s="7">
        <v>622.01352587539998</v>
      </c>
      <c r="M1113" s="7">
        <v>618.73660454469996</v>
      </c>
      <c r="N1113" s="7">
        <v>620.26493049930002</v>
      </c>
      <c r="O1113" s="7">
        <v>622.01352587539998</v>
      </c>
      <c r="P1113" s="7">
        <v>618.73660454469996</v>
      </c>
      <c r="Q1113">
        <v>1</v>
      </c>
      <c r="R1113">
        <v>0</v>
      </c>
      <c r="S1113" s="11">
        <v>45854.666666666664</v>
      </c>
      <c r="T1113">
        <v>1350</v>
      </c>
    </row>
    <row r="1114" spans="1:20">
      <c r="A1114" s="11">
        <v>45854.5625</v>
      </c>
      <c r="B1114" s="11">
        <v>45854.583333333336</v>
      </c>
      <c r="C1114" s="10">
        <v>45854</v>
      </c>
      <c r="D1114" s="7">
        <v>621.38710000000003</v>
      </c>
      <c r="E1114" s="7">
        <v>1521460</v>
      </c>
      <c r="F1114" s="7">
        <v>1521460</v>
      </c>
      <c r="G1114" s="7">
        <v>53538036</v>
      </c>
      <c r="H1114" s="7">
        <v>620.33010000000002</v>
      </c>
      <c r="I1114" s="7">
        <v>620.41980000000001</v>
      </c>
      <c r="J1114" s="7">
        <v>13</v>
      </c>
      <c r="K1114" s="7">
        <v>2.7214552999999999E-3</v>
      </c>
      <c r="L1114" s="7">
        <v>622.10824473790001</v>
      </c>
      <c r="M1114" s="7">
        <v>618.64189937660001</v>
      </c>
      <c r="N1114" s="7">
        <v>620.29682064949998</v>
      </c>
      <c r="O1114" s="7">
        <v>622.10824473790001</v>
      </c>
      <c r="P1114" s="7">
        <v>618.64189937660001</v>
      </c>
      <c r="Q1114">
        <v>1</v>
      </c>
      <c r="R1114">
        <v>0</v>
      </c>
      <c r="S1114" s="11">
        <v>45854.666666666664</v>
      </c>
      <c r="T1114">
        <v>1349</v>
      </c>
    </row>
    <row r="1115" spans="1:20">
      <c r="A1115" s="11">
        <v>45854.583333333336</v>
      </c>
      <c r="B1115" s="11">
        <v>45854.604166666664</v>
      </c>
      <c r="C1115" s="10">
        <v>45854</v>
      </c>
      <c r="D1115" s="7">
        <v>621.65639999999996</v>
      </c>
      <c r="E1115" s="7">
        <v>2001191</v>
      </c>
      <c r="F1115" s="7">
        <v>2001191</v>
      </c>
      <c r="G1115" s="7">
        <v>55539227</v>
      </c>
      <c r="H1115" s="7">
        <v>620.33010000000002</v>
      </c>
      <c r="I1115" s="7">
        <v>620.41980000000001</v>
      </c>
      <c r="J1115" s="7">
        <v>13</v>
      </c>
      <c r="K1115" s="7">
        <v>3.0403403E-3</v>
      </c>
      <c r="L1115" s="7">
        <v>622.30608729189998</v>
      </c>
      <c r="M1115" s="7">
        <v>618.44408542660005</v>
      </c>
      <c r="N1115" s="7">
        <v>620.34580905109999</v>
      </c>
      <c r="O1115" s="7">
        <v>622.30608729189998</v>
      </c>
      <c r="P1115" s="7">
        <v>618.44408542660005</v>
      </c>
      <c r="Q1115">
        <v>1</v>
      </c>
      <c r="R1115">
        <v>0</v>
      </c>
      <c r="S1115" s="11">
        <v>45854.666666666664</v>
      </c>
      <c r="T1115">
        <v>1348</v>
      </c>
    </row>
    <row r="1116" spans="1:20">
      <c r="A1116" s="11">
        <v>45854.604166666664</v>
      </c>
      <c r="B1116" s="11">
        <v>45854.625</v>
      </c>
      <c r="C1116" s="10">
        <v>45854</v>
      </c>
      <c r="D1116" s="7">
        <v>622.60379999999998</v>
      </c>
      <c r="E1116" s="7">
        <v>2377166</v>
      </c>
      <c r="F1116" s="7">
        <v>2377166</v>
      </c>
      <c r="G1116" s="7">
        <v>57916393</v>
      </c>
      <c r="H1116" s="7">
        <v>620.33010000000002</v>
      </c>
      <c r="I1116" s="7">
        <v>620.41980000000001</v>
      </c>
      <c r="J1116" s="7">
        <v>13</v>
      </c>
      <c r="K1116" s="7">
        <v>3.0351524999999999E-3</v>
      </c>
      <c r="L1116" s="7">
        <v>622.30286872470003</v>
      </c>
      <c r="M1116" s="7">
        <v>618.44730352850002</v>
      </c>
      <c r="N1116" s="7">
        <v>620.43848780810004</v>
      </c>
      <c r="O1116" s="7">
        <v>622.30286872470003</v>
      </c>
      <c r="P1116" s="7">
        <v>618.44730352850002</v>
      </c>
      <c r="Q1116">
        <v>1</v>
      </c>
      <c r="R1116">
        <v>0</v>
      </c>
      <c r="S1116" s="11">
        <v>45854.666666666664</v>
      </c>
      <c r="T1116">
        <v>1347</v>
      </c>
    </row>
    <row r="1117" spans="1:20">
      <c r="A1117" s="11">
        <v>45854.625</v>
      </c>
      <c r="B1117" s="11">
        <v>45854.645833333336</v>
      </c>
      <c r="C1117" s="10">
        <v>45854</v>
      </c>
      <c r="D1117" s="7">
        <v>622.40440000000001</v>
      </c>
      <c r="E1117" s="7">
        <v>2505362</v>
      </c>
      <c r="F1117" s="7">
        <v>2505362</v>
      </c>
      <c r="G1117" s="7">
        <v>60421755</v>
      </c>
      <c r="H1117" s="7">
        <v>620.33010000000002</v>
      </c>
      <c r="I1117" s="7">
        <v>620.41980000000001</v>
      </c>
      <c r="J1117" s="7">
        <v>13</v>
      </c>
      <c r="K1117" s="7">
        <v>2.9939171000000001E-3</v>
      </c>
      <c r="L1117" s="7">
        <v>622.27728542080001</v>
      </c>
      <c r="M1117" s="7">
        <v>618.47288313360002</v>
      </c>
      <c r="N1117" s="7">
        <v>620.5200035089</v>
      </c>
      <c r="O1117" s="7">
        <v>622.27728542080001</v>
      </c>
      <c r="P1117" s="7">
        <v>618.47288313360002</v>
      </c>
      <c r="Q1117">
        <v>1</v>
      </c>
      <c r="R1117">
        <v>0</v>
      </c>
      <c r="S1117" s="11">
        <v>45854.666666666664</v>
      </c>
      <c r="T1117">
        <v>1346</v>
      </c>
    </row>
    <row r="1118" spans="1:20">
      <c r="A1118" s="11">
        <v>45854.645833333336</v>
      </c>
      <c r="B1118" s="11">
        <v>45854.666666666664</v>
      </c>
      <c r="C1118" s="10">
        <v>45854</v>
      </c>
      <c r="D1118" s="7">
        <v>622.4941</v>
      </c>
      <c r="E1118" s="7">
        <v>7238262</v>
      </c>
      <c r="F1118" s="7">
        <v>7238262</v>
      </c>
      <c r="G1118" s="7">
        <v>67660017</v>
      </c>
      <c r="H1118" s="7">
        <v>620.33010000000002</v>
      </c>
      <c r="I1118" s="7">
        <v>620.41980000000001</v>
      </c>
      <c r="J1118" s="7">
        <v>13</v>
      </c>
      <c r="K1118" s="7">
        <v>2.6388331999999998E-3</v>
      </c>
      <c r="L1118" s="7">
        <v>622.05698436759997</v>
      </c>
      <c r="M1118" s="7">
        <v>618.69315233580005</v>
      </c>
      <c r="N1118" s="7">
        <v>620.72906325830002</v>
      </c>
      <c r="O1118" s="7">
        <v>622.05698436759997</v>
      </c>
      <c r="P1118" s="7">
        <v>618.69315233580005</v>
      </c>
      <c r="Q1118">
        <v>1</v>
      </c>
      <c r="R1118">
        <v>1</v>
      </c>
      <c r="S1118" s="11">
        <v>45854.666666666664</v>
      </c>
      <c r="T1118">
        <v>1345</v>
      </c>
    </row>
    <row r="1119" spans="1:20">
      <c r="A1119" s="11">
        <v>45855.395833333336</v>
      </c>
      <c r="B1119" s="11">
        <v>45855.416666666664</v>
      </c>
      <c r="C1119" s="10">
        <v>45855</v>
      </c>
      <c r="D1119" s="7">
        <v>624.1395</v>
      </c>
      <c r="E1119" s="7">
        <v>4956137</v>
      </c>
      <c r="F1119" s="7">
        <v>4956137</v>
      </c>
      <c r="G1119" s="7">
        <v>4956137</v>
      </c>
      <c r="H1119" s="7">
        <v>624.1395</v>
      </c>
      <c r="I1119" s="7">
        <v>622.49400000000003</v>
      </c>
      <c r="J1119" s="7">
        <v>14</v>
      </c>
      <c r="K1119" s="7">
        <v>0</v>
      </c>
      <c r="L1119" s="7">
        <v>624.1395</v>
      </c>
      <c r="M1119" s="7">
        <v>622.49400000000003</v>
      </c>
      <c r="N1119" s="7">
        <v>624.1395</v>
      </c>
      <c r="O1119" s="7">
        <v>624.1395</v>
      </c>
      <c r="P1119" s="7">
        <v>622.49400000000003</v>
      </c>
      <c r="Q1119">
        <v>1</v>
      </c>
      <c r="R1119">
        <v>0</v>
      </c>
      <c r="S1119" s="11">
        <v>45855.666666666664</v>
      </c>
      <c r="T1119">
        <v>1343</v>
      </c>
    </row>
    <row r="1120" spans="1:20">
      <c r="A1120" s="11">
        <v>45855.416666666664</v>
      </c>
      <c r="B1120" s="11">
        <v>45855.4375</v>
      </c>
      <c r="C1120" s="10">
        <v>45855</v>
      </c>
      <c r="D1120" s="7">
        <v>623.73940000000005</v>
      </c>
      <c r="E1120" s="7">
        <v>3320526</v>
      </c>
      <c r="F1120" s="7">
        <v>3320526</v>
      </c>
      <c r="G1120" s="7">
        <v>8276663</v>
      </c>
      <c r="H1120" s="7">
        <v>624.1395</v>
      </c>
      <c r="I1120" s="7">
        <v>622.49400000000003</v>
      </c>
      <c r="J1120" s="7">
        <v>14</v>
      </c>
      <c r="K1120" s="7">
        <v>9.0518930000000003E-4</v>
      </c>
      <c r="L1120" s="7">
        <v>624.70446440319995</v>
      </c>
      <c r="M1120" s="7">
        <v>621.93052508580001</v>
      </c>
      <c r="N1120" s="7">
        <v>623.97898332160003</v>
      </c>
      <c r="O1120" s="7">
        <v>624.70446440319995</v>
      </c>
      <c r="P1120" s="7">
        <v>621.93052508580001</v>
      </c>
      <c r="Q1120">
        <v>1</v>
      </c>
      <c r="R1120">
        <v>0</v>
      </c>
      <c r="S1120" s="11">
        <v>45855.666666666664</v>
      </c>
      <c r="T1120">
        <v>1342</v>
      </c>
    </row>
    <row r="1121" spans="1:20">
      <c r="A1121" s="11">
        <v>45855.4375</v>
      </c>
      <c r="B1121" s="11">
        <v>45855.458333333336</v>
      </c>
      <c r="C1121" s="10">
        <v>45855</v>
      </c>
      <c r="D1121" s="7">
        <v>624.09969999999998</v>
      </c>
      <c r="E1121" s="7">
        <v>2701052</v>
      </c>
      <c r="F1121" s="7">
        <v>2701052</v>
      </c>
      <c r="G1121" s="7">
        <v>10977715</v>
      </c>
      <c r="H1121" s="7">
        <v>624.1395</v>
      </c>
      <c r="I1121" s="7">
        <v>622.49400000000003</v>
      </c>
      <c r="J1121" s="7">
        <v>14</v>
      </c>
      <c r="K1121" s="7">
        <v>1.6736908999999999E-3</v>
      </c>
      <c r="L1121" s="7">
        <v>625.18411658210005</v>
      </c>
      <c r="M1121" s="7">
        <v>621.45213747629998</v>
      </c>
      <c r="N1121" s="7">
        <v>624.00868549790005</v>
      </c>
      <c r="O1121" s="7">
        <v>625.18411658210005</v>
      </c>
      <c r="P1121" s="7">
        <v>621.45213747629998</v>
      </c>
      <c r="Q1121">
        <v>1</v>
      </c>
      <c r="R1121">
        <v>0</v>
      </c>
      <c r="S1121" s="11">
        <v>45855.666666666664</v>
      </c>
      <c r="T1121">
        <v>1341</v>
      </c>
    </row>
    <row r="1122" spans="1:20">
      <c r="A1122" s="11">
        <v>45855.458333333336</v>
      </c>
      <c r="B1122" s="11">
        <v>45855.479166666664</v>
      </c>
      <c r="C1122" s="10">
        <v>45855</v>
      </c>
      <c r="D1122" s="7">
        <v>624.92729999999995</v>
      </c>
      <c r="E1122" s="7">
        <v>3330502</v>
      </c>
      <c r="F1122" s="7">
        <v>3330502</v>
      </c>
      <c r="G1122" s="7">
        <v>14308217</v>
      </c>
      <c r="H1122" s="7">
        <v>624.1395</v>
      </c>
      <c r="I1122" s="7">
        <v>622.49400000000003</v>
      </c>
      <c r="J1122" s="7">
        <v>14</v>
      </c>
      <c r="K1122" s="7">
        <v>1.6026738E-3</v>
      </c>
      <c r="L1122" s="7">
        <v>625.13979202430005</v>
      </c>
      <c r="M1122" s="7">
        <v>621.49634517540005</v>
      </c>
      <c r="N1122" s="7">
        <v>624.22251000419999</v>
      </c>
      <c r="O1122" s="7">
        <v>625.13979202430005</v>
      </c>
      <c r="P1122" s="7">
        <v>621.49634517540005</v>
      </c>
      <c r="Q1122">
        <v>1</v>
      </c>
      <c r="R1122">
        <v>0</v>
      </c>
      <c r="S1122" s="11">
        <v>45855.666666666664</v>
      </c>
      <c r="T1122">
        <v>1340</v>
      </c>
    </row>
    <row r="1123" spans="1:20">
      <c r="A1123" s="11">
        <v>45855.479166666664</v>
      </c>
      <c r="B1123" s="11">
        <v>45855.5</v>
      </c>
      <c r="C1123" s="10">
        <v>45855</v>
      </c>
      <c r="D1123" s="7">
        <v>625.48080000000004</v>
      </c>
      <c r="E1123" s="7">
        <v>2642942</v>
      </c>
      <c r="F1123" s="7">
        <v>2642942</v>
      </c>
      <c r="G1123" s="7">
        <v>16951159</v>
      </c>
      <c r="H1123" s="7">
        <v>624.1395</v>
      </c>
      <c r="I1123" s="7">
        <v>622.49400000000003</v>
      </c>
      <c r="J1123" s="7">
        <v>14</v>
      </c>
      <c r="K1123" s="7">
        <v>1.8791506E-3</v>
      </c>
      <c r="L1123" s="7">
        <v>625.31235213590003</v>
      </c>
      <c r="M1123" s="7">
        <v>621.32424000649996</v>
      </c>
      <c r="N1123" s="7">
        <v>624.41869644070005</v>
      </c>
      <c r="O1123" s="7">
        <v>625.31235213590003</v>
      </c>
      <c r="P1123" s="7">
        <v>621.32424000649996</v>
      </c>
      <c r="Q1123">
        <v>1</v>
      </c>
      <c r="R1123">
        <v>0</v>
      </c>
      <c r="S1123" s="11">
        <v>45855.666666666664</v>
      </c>
      <c r="T1123">
        <v>1339</v>
      </c>
    </row>
    <row r="1124" spans="1:20">
      <c r="A1124" s="11">
        <v>45855.5</v>
      </c>
      <c r="B1124" s="11">
        <v>45855.520833333336</v>
      </c>
      <c r="C1124" s="10">
        <v>45855</v>
      </c>
      <c r="D1124" s="7">
        <v>625.1069</v>
      </c>
      <c r="E1124" s="7">
        <v>2612682</v>
      </c>
      <c r="F1124" s="7">
        <v>2612682</v>
      </c>
      <c r="G1124" s="7">
        <v>19563841</v>
      </c>
      <c r="H1124" s="7">
        <v>624.1395</v>
      </c>
      <c r="I1124" s="7">
        <v>622.49400000000003</v>
      </c>
      <c r="J1124" s="7">
        <v>14</v>
      </c>
      <c r="K1124" s="7">
        <v>2.2791951E-3</v>
      </c>
      <c r="L1124" s="7">
        <v>625.56203568390004</v>
      </c>
      <c r="M1124" s="7">
        <v>621.0752147316</v>
      </c>
      <c r="N1124" s="7">
        <v>624.51060359999997</v>
      </c>
      <c r="O1124" s="7">
        <v>625.56203568390004</v>
      </c>
      <c r="P1124" s="7">
        <v>621.0752147316</v>
      </c>
      <c r="Q1124">
        <v>1</v>
      </c>
      <c r="R1124">
        <v>0</v>
      </c>
      <c r="S1124" s="11">
        <v>45855.666666666664</v>
      </c>
      <c r="T1124">
        <v>1338</v>
      </c>
    </row>
    <row r="1125" spans="1:20">
      <c r="A1125" s="11">
        <v>45855.520833333336</v>
      </c>
      <c r="B1125" s="11">
        <v>45855.541666666664</v>
      </c>
      <c r="C1125" s="10">
        <v>45855</v>
      </c>
      <c r="D1125" s="7">
        <v>625.08680000000004</v>
      </c>
      <c r="E1125" s="7">
        <v>1705708</v>
      </c>
      <c r="F1125" s="7">
        <v>1705708</v>
      </c>
      <c r="G1125" s="7">
        <v>21269549</v>
      </c>
      <c r="H1125" s="7">
        <v>624.1395</v>
      </c>
      <c r="I1125" s="7">
        <v>622.49400000000003</v>
      </c>
      <c r="J1125" s="7">
        <v>14</v>
      </c>
      <c r="K1125" s="7">
        <v>2.4640604999999999E-3</v>
      </c>
      <c r="L1125" s="7">
        <v>625.67741747720004</v>
      </c>
      <c r="M1125" s="7">
        <v>620.96013713440004</v>
      </c>
      <c r="N1125" s="7">
        <v>624.55681157599997</v>
      </c>
      <c r="O1125" s="7">
        <v>625.67741747720004</v>
      </c>
      <c r="P1125" s="7">
        <v>620.96013713440004</v>
      </c>
      <c r="Q1125">
        <v>1</v>
      </c>
      <c r="R1125">
        <v>0</v>
      </c>
      <c r="S1125" s="11">
        <v>45855.666666666664</v>
      </c>
      <c r="T1125">
        <v>1337</v>
      </c>
    </row>
    <row r="1126" spans="1:20">
      <c r="A1126" s="11">
        <v>45855.541666666664</v>
      </c>
      <c r="B1126" s="11">
        <v>45855.5625</v>
      </c>
      <c r="C1126" s="10">
        <v>45855</v>
      </c>
      <c r="D1126" s="7">
        <v>625.28639999999996</v>
      </c>
      <c r="E1126" s="7">
        <v>2153807</v>
      </c>
      <c r="F1126" s="7">
        <v>2153807</v>
      </c>
      <c r="G1126" s="7">
        <v>23423356</v>
      </c>
      <c r="H1126" s="7">
        <v>624.1395</v>
      </c>
      <c r="I1126" s="7">
        <v>622.49400000000003</v>
      </c>
      <c r="J1126" s="7">
        <v>13</v>
      </c>
      <c r="K1126" s="7">
        <v>2.5481907999999999E-3</v>
      </c>
      <c r="L1126" s="7">
        <v>625.72992654200004</v>
      </c>
      <c r="M1126" s="7">
        <v>620.90776650600003</v>
      </c>
      <c r="N1126" s="7">
        <v>624.62389814779999</v>
      </c>
      <c r="O1126" s="7">
        <v>625.72992654200004</v>
      </c>
      <c r="P1126" s="7">
        <v>620.90776650600003</v>
      </c>
      <c r="Q1126">
        <v>1</v>
      </c>
      <c r="R1126">
        <v>0</v>
      </c>
      <c r="S1126" s="11">
        <v>45855.666666666664</v>
      </c>
      <c r="T1126">
        <v>1336</v>
      </c>
    </row>
    <row r="1127" spans="1:20">
      <c r="A1127" s="11">
        <v>45855.5625</v>
      </c>
      <c r="B1127" s="11">
        <v>45855.583333333336</v>
      </c>
      <c r="C1127" s="10">
        <v>45855</v>
      </c>
      <c r="D1127" s="7">
        <v>625.69600000000003</v>
      </c>
      <c r="E1127" s="7">
        <v>1574085</v>
      </c>
      <c r="F1127" s="7">
        <v>1574085</v>
      </c>
      <c r="G1127" s="7">
        <v>24997441</v>
      </c>
      <c r="H1127" s="7">
        <v>624.1395</v>
      </c>
      <c r="I1127" s="7">
        <v>622.49400000000003</v>
      </c>
      <c r="J1127" s="7">
        <v>13</v>
      </c>
      <c r="K1127" s="7">
        <v>2.6058944999999998E-3</v>
      </c>
      <c r="L1127" s="7">
        <v>625.76594171609997</v>
      </c>
      <c r="M1127" s="7">
        <v>620.87184628340003</v>
      </c>
      <c r="N1127" s="7">
        <v>624.69140823589998</v>
      </c>
      <c r="O1127" s="7">
        <v>625.76594171609997</v>
      </c>
      <c r="P1127" s="7">
        <v>620.87184628340003</v>
      </c>
      <c r="Q1127">
        <v>1</v>
      </c>
      <c r="R1127">
        <v>0</v>
      </c>
      <c r="S1127" s="11">
        <v>45855.666666666664</v>
      </c>
      <c r="T1127">
        <v>1335</v>
      </c>
    </row>
    <row r="1128" spans="1:20">
      <c r="A1128" s="11">
        <v>45855.583333333336</v>
      </c>
      <c r="B1128" s="11">
        <v>45855.604166666664</v>
      </c>
      <c r="C1128" s="10">
        <v>45855</v>
      </c>
      <c r="D1128" s="7">
        <v>626.10410000000002</v>
      </c>
      <c r="E1128" s="7">
        <v>2558319</v>
      </c>
      <c r="F1128" s="7">
        <v>2558319</v>
      </c>
      <c r="G1128" s="7">
        <v>27555760</v>
      </c>
      <c r="H1128" s="7">
        <v>624.1395</v>
      </c>
      <c r="I1128" s="7">
        <v>622.49400000000003</v>
      </c>
      <c r="J1128" s="7">
        <v>13</v>
      </c>
      <c r="K1128" s="7">
        <v>2.9793922E-3</v>
      </c>
      <c r="L1128" s="7">
        <v>625.99905635990001</v>
      </c>
      <c r="M1128" s="7">
        <v>620.63934623</v>
      </c>
      <c r="N1128" s="7">
        <v>624.82256470489995</v>
      </c>
      <c r="O1128" s="7">
        <v>625.99905635990001</v>
      </c>
      <c r="P1128" s="7">
        <v>620.63934623</v>
      </c>
      <c r="Q1128">
        <v>1</v>
      </c>
      <c r="R1128">
        <v>0</v>
      </c>
      <c r="S1128" s="11">
        <v>45855.666666666664</v>
      </c>
      <c r="T1128">
        <v>1334</v>
      </c>
    </row>
    <row r="1129" spans="1:20">
      <c r="A1129" s="11">
        <v>45855.604166666664</v>
      </c>
      <c r="B1129" s="11">
        <v>45855.625</v>
      </c>
      <c r="C1129" s="10">
        <v>45855</v>
      </c>
      <c r="D1129" s="7">
        <v>626.24369999999999</v>
      </c>
      <c r="E1129" s="7">
        <v>2314848</v>
      </c>
      <c r="F1129" s="7">
        <v>2314848</v>
      </c>
      <c r="G1129" s="7">
        <v>29870608</v>
      </c>
      <c r="H1129" s="7">
        <v>624.1395</v>
      </c>
      <c r="I1129" s="7">
        <v>622.49400000000003</v>
      </c>
      <c r="J1129" s="7">
        <v>13</v>
      </c>
      <c r="K1129" s="7">
        <v>3.0919644000000001E-3</v>
      </c>
      <c r="L1129" s="7">
        <v>626.06931710089998</v>
      </c>
      <c r="M1129" s="7">
        <v>620.56927072650001</v>
      </c>
      <c r="N1129" s="7">
        <v>624.93269678499996</v>
      </c>
      <c r="O1129" s="7">
        <v>626.06931710089998</v>
      </c>
      <c r="P1129" s="7">
        <v>620.56927072650001</v>
      </c>
      <c r="Q1129">
        <v>1</v>
      </c>
      <c r="R1129">
        <v>0</v>
      </c>
      <c r="S1129" s="11">
        <v>45855.666666666664</v>
      </c>
      <c r="T1129">
        <v>1333</v>
      </c>
    </row>
    <row r="1130" spans="1:20">
      <c r="A1130" s="11">
        <v>45855.625</v>
      </c>
      <c r="B1130" s="11">
        <v>45855.645833333336</v>
      </c>
      <c r="C1130" s="10">
        <v>45855</v>
      </c>
      <c r="D1130" s="7">
        <v>626.2337</v>
      </c>
      <c r="E1130" s="7">
        <v>3286603</v>
      </c>
      <c r="F1130" s="7">
        <v>3286603</v>
      </c>
      <c r="G1130" s="7">
        <v>33157211</v>
      </c>
      <c r="H1130" s="7">
        <v>624.1395</v>
      </c>
      <c r="I1130" s="7">
        <v>622.49400000000003</v>
      </c>
      <c r="J1130" s="7">
        <v>13</v>
      </c>
      <c r="K1130" s="7">
        <v>3.0999948999999999E-3</v>
      </c>
      <c r="L1130" s="7">
        <v>626.07432924750003</v>
      </c>
      <c r="M1130" s="7">
        <v>620.56427179410002</v>
      </c>
      <c r="N1130" s="7">
        <v>625.06165458759995</v>
      </c>
      <c r="O1130" s="7">
        <v>626.07432924750003</v>
      </c>
      <c r="P1130" s="7">
        <v>620.56427179410002</v>
      </c>
      <c r="Q1130">
        <v>1</v>
      </c>
      <c r="R1130">
        <v>0</v>
      </c>
      <c r="S1130" s="11">
        <v>45855.666666666664</v>
      </c>
      <c r="T1130">
        <v>1332</v>
      </c>
    </row>
    <row r="1131" spans="1:20">
      <c r="A1131" s="11">
        <v>45855.645833333336</v>
      </c>
      <c r="B1131" s="11">
        <v>45855.666666666664</v>
      </c>
      <c r="C1131" s="10">
        <v>45855</v>
      </c>
      <c r="D1131" s="7">
        <v>626.30349999999999</v>
      </c>
      <c r="E1131" s="7">
        <v>12708872</v>
      </c>
      <c r="F1131" s="7">
        <v>12708872</v>
      </c>
      <c r="G1131" s="7">
        <v>45866083</v>
      </c>
      <c r="H1131" s="7">
        <v>624.1395</v>
      </c>
      <c r="I1131" s="7">
        <v>622.49400000000003</v>
      </c>
      <c r="J1131" s="7">
        <v>13</v>
      </c>
      <c r="K1131" s="7">
        <v>2.7718497000000001E-3</v>
      </c>
      <c r="L1131" s="7">
        <v>625.86952091579997</v>
      </c>
      <c r="M1131" s="7">
        <v>620.76854016300001</v>
      </c>
      <c r="N1131" s="7">
        <v>625.40575317540004</v>
      </c>
      <c r="O1131" s="7">
        <v>625.86952091579997</v>
      </c>
      <c r="P1131" s="7">
        <v>620.76854016300001</v>
      </c>
      <c r="Q1131">
        <v>1</v>
      </c>
      <c r="R1131">
        <v>1</v>
      </c>
      <c r="S1131" s="11">
        <v>45855.666666666664</v>
      </c>
      <c r="T1131">
        <v>1331</v>
      </c>
    </row>
    <row r="1132" spans="1:20">
      <c r="A1132" s="11">
        <v>45856.395833333336</v>
      </c>
      <c r="B1132" s="11">
        <v>45856.416666666664</v>
      </c>
      <c r="C1132" s="10">
        <v>45856</v>
      </c>
      <c r="D1132" s="7">
        <v>627.50019999999995</v>
      </c>
      <c r="E1132" s="7">
        <v>4677932</v>
      </c>
      <c r="F1132" s="7">
        <v>4677932</v>
      </c>
      <c r="G1132" s="7">
        <v>4677932</v>
      </c>
      <c r="H1132" s="7">
        <v>627.50019999999995</v>
      </c>
      <c r="I1132" s="7">
        <v>626.30349999999999</v>
      </c>
      <c r="J1132" s="7">
        <v>14</v>
      </c>
      <c r="K1132" s="7">
        <v>0</v>
      </c>
      <c r="L1132" s="7">
        <v>627.50019999999995</v>
      </c>
      <c r="M1132" s="7">
        <v>626.30349999999999</v>
      </c>
      <c r="N1132" s="7">
        <v>627.50019999999995</v>
      </c>
      <c r="O1132" s="7">
        <v>627.50019999999995</v>
      </c>
      <c r="P1132" s="7">
        <v>626.30349999999999</v>
      </c>
      <c r="Q1132">
        <v>1</v>
      </c>
      <c r="R1132">
        <v>0</v>
      </c>
      <c r="S1132" s="11">
        <v>45856.666666666664</v>
      </c>
      <c r="T1132">
        <v>1329</v>
      </c>
    </row>
    <row r="1133" spans="1:20">
      <c r="A1133" s="11">
        <v>45856.416666666664</v>
      </c>
      <c r="B1133" s="11">
        <v>45856.4375</v>
      </c>
      <c r="C1133" s="10">
        <v>45856</v>
      </c>
      <c r="D1133" s="7">
        <v>625.64530000000002</v>
      </c>
      <c r="E1133" s="7">
        <v>4161437</v>
      </c>
      <c r="F1133" s="7">
        <v>4161437</v>
      </c>
      <c r="G1133" s="7">
        <v>8839369</v>
      </c>
      <c r="H1133" s="7">
        <v>627.50019999999995</v>
      </c>
      <c r="I1133" s="7">
        <v>626.30349999999999</v>
      </c>
      <c r="J1133" s="7">
        <v>14</v>
      </c>
      <c r="K1133" s="7">
        <v>8.6538640000000003E-4</v>
      </c>
      <c r="L1133" s="7">
        <v>628.04323011389999</v>
      </c>
      <c r="M1133" s="7">
        <v>625.76150549390002</v>
      </c>
      <c r="N1133" s="7">
        <v>626.62694202299997</v>
      </c>
      <c r="O1133" s="7">
        <v>628.04323011389999</v>
      </c>
      <c r="P1133" s="7">
        <v>625.76150549390002</v>
      </c>
      <c r="Q1133">
        <v>1</v>
      </c>
      <c r="R1133">
        <v>0</v>
      </c>
      <c r="S1133" s="11">
        <v>45856.666666666664</v>
      </c>
      <c r="T1133">
        <v>1328</v>
      </c>
    </row>
    <row r="1134" spans="1:20">
      <c r="A1134" s="11">
        <v>45856.4375</v>
      </c>
      <c r="B1134" s="11">
        <v>45856.458333333336</v>
      </c>
      <c r="C1134" s="10">
        <v>45856</v>
      </c>
      <c r="D1134" s="7">
        <v>625.43589999999995</v>
      </c>
      <c r="E1134" s="7">
        <v>2388022</v>
      </c>
      <c r="F1134" s="7">
        <v>2388022</v>
      </c>
      <c r="G1134" s="7">
        <v>11227391</v>
      </c>
      <c r="H1134" s="7">
        <v>627.50019999999995</v>
      </c>
      <c r="I1134" s="7">
        <v>626.30349999999999</v>
      </c>
      <c r="J1134" s="7">
        <v>14</v>
      </c>
      <c r="K1134" s="7">
        <v>1.5398880999999999E-3</v>
      </c>
      <c r="L1134" s="7">
        <v>628.46648010909996</v>
      </c>
      <c r="M1134" s="7">
        <v>625.33906267500004</v>
      </c>
      <c r="N1134" s="7">
        <v>626.37361205929994</v>
      </c>
      <c r="O1134" s="7">
        <v>628.46648010909996</v>
      </c>
      <c r="P1134" s="7">
        <v>625.33906267500004</v>
      </c>
      <c r="Q1134">
        <v>1</v>
      </c>
      <c r="R1134">
        <v>0</v>
      </c>
      <c r="S1134" s="11">
        <v>45856.666666666664</v>
      </c>
      <c r="T1134">
        <v>1327</v>
      </c>
    </row>
    <row r="1135" spans="1:20">
      <c r="A1135" s="11">
        <v>45856.458333333336</v>
      </c>
      <c r="B1135" s="11">
        <v>45856.479166666664</v>
      </c>
      <c r="C1135" s="10">
        <v>45856</v>
      </c>
      <c r="D1135" s="7">
        <v>625.89469999999994</v>
      </c>
      <c r="E1135" s="7">
        <v>2221227</v>
      </c>
      <c r="F1135" s="7">
        <v>2221227</v>
      </c>
      <c r="G1135" s="7">
        <v>13448618</v>
      </c>
      <c r="H1135" s="7">
        <v>627.50019999999995</v>
      </c>
      <c r="I1135" s="7">
        <v>626.30349999999999</v>
      </c>
      <c r="J1135" s="7">
        <v>14</v>
      </c>
      <c r="K1135" s="7">
        <v>1.5955069000000001E-3</v>
      </c>
      <c r="L1135" s="7">
        <v>628.50138091240001</v>
      </c>
      <c r="M1135" s="7">
        <v>625.30422843079998</v>
      </c>
      <c r="N1135" s="7">
        <v>626.29451304730003</v>
      </c>
      <c r="O1135" s="7">
        <v>628.50138091240001</v>
      </c>
      <c r="P1135" s="7">
        <v>625.30422843079998</v>
      </c>
      <c r="Q1135">
        <v>1</v>
      </c>
      <c r="R1135">
        <v>0</v>
      </c>
      <c r="S1135" s="11">
        <v>45856.666666666664</v>
      </c>
      <c r="T1135">
        <v>1326</v>
      </c>
    </row>
    <row r="1136" spans="1:20">
      <c r="A1136" s="11">
        <v>45856.479166666664</v>
      </c>
      <c r="B1136" s="11">
        <v>45856.5</v>
      </c>
      <c r="C1136" s="10">
        <v>45856</v>
      </c>
      <c r="D1136" s="7">
        <v>626.36329999999998</v>
      </c>
      <c r="E1136" s="7">
        <v>1791878</v>
      </c>
      <c r="F1136" s="7">
        <v>1791878</v>
      </c>
      <c r="G1136" s="7">
        <v>15240496</v>
      </c>
      <c r="H1136" s="7">
        <v>627.50019999999995</v>
      </c>
      <c r="I1136" s="7">
        <v>626.30349999999999</v>
      </c>
      <c r="J1136" s="7">
        <v>14</v>
      </c>
      <c r="K1136" s="7">
        <v>1.8790469E-3</v>
      </c>
      <c r="L1136" s="7">
        <v>628.67930227989996</v>
      </c>
      <c r="M1136" s="7">
        <v>625.12664637549994</v>
      </c>
      <c r="N1136" s="7">
        <v>626.302600568</v>
      </c>
      <c r="O1136" s="7">
        <v>628.67930227989996</v>
      </c>
      <c r="P1136" s="7">
        <v>625.12664637549994</v>
      </c>
      <c r="Q1136">
        <v>1</v>
      </c>
      <c r="R1136">
        <v>0</v>
      </c>
      <c r="S1136" s="11">
        <v>45856.666666666664</v>
      </c>
      <c r="T1136">
        <v>1325</v>
      </c>
    </row>
    <row r="1137" spans="1:20">
      <c r="A1137" s="11">
        <v>45856.5</v>
      </c>
      <c r="B1137" s="11">
        <v>45856.520833333336</v>
      </c>
      <c r="C1137" s="10">
        <v>45856</v>
      </c>
      <c r="D1137" s="7">
        <v>625.19659999999999</v>
      </c>
      <c r="E1137" s="7">
        <v>2830991</v>
      </c>
      <c r="F1137" s="7">
        <v>2830991</v>
      </c>
      <c r="G1137" s="7">
        <v>18071487</v>
      </c>
      <c r="H1137" s="7">
        <v>627.50019999999995</v>
      </c>
      <c r="I1137" s="7">
        <v>626.30349999999999</v>
      </c>
      <c r="J1137" s="7">
        <v>14</v>
      </c>
      <c r="K1137" s="7">
        <v>2.1940929999999998E-3</v>
      </c>
      <c r="L1137" s="7">
        <v>628.87699378180002</v>
      </c>
      <c r="M1137" s="7">
        <v>624.92933188919994</v>
      </c>
      <c r="N1137" s="7">
        <v>626.12933991420005</v>
      </c>
      <c r="O1137" s="7">
        <v>628.87699378180002</v>
      </c>
      <c r="P1137" s="7">
        <v>624.92933188919994</v>
      </c>
      <c r="Q1137">
        <v>1</v>
      </c>
      <c r="R1137">
        <v>0</v>
      </c>
      <c r="S1137" s="11">
        <v>45856.666666666664</v>
      </c>
      <c r="T1137">
        <v>1324</v>
      </c>
    </row>
    <row r="1138" spans="1:20">
      <c r="A1138" s="11">
        <v>45856.520833333336</v>
      </c>
      <c r="B1138" s="11">
        <v>45856.541666666664</v>
      </c>
      <c r="C1138" s="10">
        <v>45856</v>
      </c>
      <c r="D1138" s="7">
        <v>624.93730000000005</v>
      </c>
      <c r="E1138" s="7">
        <v>2566128</v>
      </c>
      <c r="F1138" s="7">
        <v>2566128</v>
      </c>
      <c r="G1138" s="7">
        <v>20637615</v>
      </c>
      <c r="H1138" s="7">
        <v>627.50019999999995</v>
      </c>
      <c r="I1138" s="7">
        <v>626.30349999999999</v>
      </c>
      <c r="J1138" s="7">
        <v>14</v>
      </c>
      <c r="K1138" s="7">
        <v>2.3825248999999999E-3</v>
      </c>
      <c r="L1138" s="7">
        <v>628.99523482170002</v>
      </c>
      <c r="M1138" s="7">
        <v>624.81131634580004</v>
      </c>
      <c r="N1138" s="7">
        <v>625.98111895930003</v>
      </c>
      <c r="O1138" s="7">
        <v>628.99523482170002</v>
      </c>
      <c r="P1138" s="7">
        <v>624.81131634580004</v>
      </c>
      <c r="Q1138">
        <v>1</v>
      </c>
      <c r="R1138">
        <v>0</v>
      </c>
      <c r="S1138" s="11">
        <v>45856.666666666664</v>
      </c>
      <c r="T1138">
        <v>1323</v>
      </c>
    </row>
    <row r="1139" spans="1:20">
      <c r="A1139" s="11">
        <v>45856.541666666664</v>
      </c>
      <c r="B1139" s="11">
        <v>45856.5625</v>
      </c>
      <c r="C1139" s="10">
        <v>45856</v>
      </c>
      <c r="D1139" s="7">
        <v>625.22659999999996</v>
      </c>
      <c r="E1139" s="7">
        <v>2041421</v>
      </c>
      <c r="F1139" s="7">
        <v>2041421</v>
      </c>
      <c r="G1139" s="7">
        <v>22679036</v>
      </c>
      <c r="H1139" s="7">
        <v>627.50019999999995</v>
      </c>
      <c r="I1139" s="7">
        <v>626.30349999999999</v>
      </c>
      <c r="J1139" s="7">
        <v>13</v>
      </c>
      <c r="K1139" s="7">
        <v>2.4357427000000001E-3</v>
      </c>
      <c r="L1139" s="7">
        <v>629.02862902200002</v>
      </c>
      <c r="M1139" s="7">
        <v>624.77798583130004</v>
      </c>
      <c r="N1139" s="7">
        <v>625.91320201400003</v>
      </c>
      <c r="O1139" s="7">
        <v>629.02862902200002</v>
      </c>
      <c r="P1139" s="7">
        <v>624.77798583130004</v>
      </c>
      <c r="Q1139">
        <v>1</v>
      </c>
      <c r="R1139">
        <v>0</v>
      </c>
      <c r="S1139" s="11">
        <v>45856.666666666664</v>
      </c>
      <c r="T1139">
        <v>1322</v>
      </c>
    </row>
    <row r="1140" spans="1:20">
      <c r="A1140" s="11">
        <v>45856.5625</v>
      </c>
      <c r="B1140" s="11">
        <v>45856.583333333336</v>
      </c>
      <c r="C1140" s="10">
        <v>45856</v>
      </c>
      <c r="D1140" s="7">
        <v>625.36609999999996</v>
      </c>
      <c r="E1140" s="7">
        <v>1388687</v>
      </c>
      <c r="F1140" s="7">
        <v>1388687</v>
      </c>
      <c r="G1140" s="7">
        <v>24067723</v>
      </c>
      <c r="H1140" s="7">
        <v>627.50019999999995</v>
      </c>
      <c r="I1140" s="7">
        <v>626.30349999999999</v>
      </c>
      <c r="J1140" s="7">
        <v>13</v>
      </c>
      <c r="K1140" s="7">
        <v>2.5363439999999998E-3</v>
      </c>
      <c r="L1140" s="7">
        <v>629.09175635819997</v>
      </c>
      <c r="M1140" s="7">
        <v>624.71497888459999</v>
      </c>
      <c r="N1140" s="7">
        <v>625.88163469640006</v>
      </c>
      <c r="O1140" s="7">
        <v>629.09175635819997</v>
      </c>
      <c r="P1140" s="7">
        <v>624.71497888459999</v>
      </c>
      <c r="Q1140">
        <v>1</v>
      </c>
      <c r="R1140">
        <v>0</v>
      </c>
      <c r="S1140" s="11">
        <v>45856.666666666664</v>
      </c>
      <c r="T1140">
        <v>1321</v>
      </c>
    </row>
    <row r="1141" spans="1:20">
      <c r="A1141" s="11">
        <v>45856.583333333336</v>
      </c>
      <c r="B1141" s="11">
        <v>45856.604166666664</v>
      </c>
      <c r="C1141" s="10">
        <v>45856</v>
      </c>
      <c r="D1141" s="7">
        <v>625.36609999999996</v>
      </c>
      <c r="E1141" s="7">
        <v>1909018</v>
      </c>
      <c r="F1141" s="7">
        <v>1909018</v>
      </c>
      <c r="G1141" s="7">
        <v>25976741</v>
      </c>
      <c r="H1141" s="7">
        <v>627.50019999999995</v>
      </c>
      <c r="I1141" s="7">
        <v>626.30349999999999</v>
      </c>
      <c r="J1141" s="7">
        <v>13</v>
      </c>
      <c r="K1141" s="7">
        <v>2.9026934000000002E-3</v>
      </c>
      <c r="L1141" s="7">
        <v>629.32164067999997</v>
      </c>
      <c r="M1141" s="7">
        <v>624.48553297310002</v>
      </c>
      <c r="N1141" s="7">
        <v>625.84374830360002</v>
      </c>
      <c r="O1141" s="7">
        <v>629.32164067999997</v>
      </c>
      <c r="P1141" s="7">
        <v>624.48553297310002</v>
      </c>
      <c r="Q1141">
        <v>1</v>
      </c>
      <c r="R1141">
        <v>0</v>
      </c>
      <c r="S1141" s="11">
        <v>45856.666666666664</v>
      </c>
      <c r="T1141">
        <v>1320</v>
      </c>
    </row>
    <row r="1142" spans="1:20">
      <c r="A1142" s="11">
        <v>45856.604166666664</v>
      </c>
      <c r="B1142" s="11">
        <v>45856.625</v>
      </c>
      <c r="C1142" s="10">
        <v>45856</v>
      </c>
      <c r="D1142" s="7">
        <v>625.49580000000003</v>
      </c>
      <c r="E1142" s="7">
        <v>1566019</v>
      </c>
      <c r="F1142" s="7">
        <v>1566019</v>
      </c>
      <c r="G1142" s="7">
        <v>27542760</v>
      </c>
      <c r="H1142" s="7">
        <v>627.50019999999995</v>
      </c>
      <c r="I1142" s="7">
        <v>626.30349999999999</v>
      </c>
      <c r="J1142" s="7">
        <v>13</v>
      </c>
      <c r="K1142" s="7">
        <v>3.0694803E-3</v>
      </c>
      <c r="L1142" s="7">
        <v>629.42629952540005</v>
      </c>
      <c r="M1142" s="7">
        <v>624.38107372169998</v>
      </c>
      <c r="N1142" s="7">
        <v>625.82396475049995</v>
      </c>
      <c r="O1142" s="7">
        <v>629.42629952540005</v>
      </c>
      <c r="P1142" s="7">
        <v>624.38107372169998</v>
      </c>
      <c r="Q1142">
        <v>1</v>
      </c>
      <c r="R1142">
        <v>0</v>
      </c>
      <c r="S1142" s="11">
        <v>45856.666666666664</v>
      </c>
      <c r="T1142">
        <v>1319</v>
      </c>
    </row>
    <row r="1143" spans="1:20">
      <c r="A1143" s="11">
        <v>45856.625</v>
      </c>
      <c r="B1143" s="11">
        <v>45856.645833333336</v>
      </c>
      <c r="C1143" s="10">
        <v>45856</v>
      </c>
      <c r="D1143" s="7">
        <v>625.65530000000001</v>
      </c>
      <c r="E1143" s="7">
        <v>2270659</v>
      </c>
      <c r="F1143" s="7">
        <v>2270659</v>
      </c>
      <c r="G1143" s="7">
        <v>29813419</v>
      </c>
      <c r="H1143" s="7">
        <v>627.50019999999995</v>
      </c>
      <c r="I1143" s="7">
        <v>626.30349999999999</v>
      </c>
      <c r="J1143" s="7">
        <v>13</v>
      </c>
      <c r="K1143" s="7">
        <v>3.0582104000000001E-3</v>
      </c>
      <c r="L1143" s="7">
        <v>629.419227643</v>
      </c>
      <c r="M1143" s="7">
        <v>624.3881321174</v>
      </c>
      <c r="N1143" s="7">
        <v>625.81111885270002</v>
      </c>
      <c r="O1143" s="7">
        <v>629.419227643</v>
      </c>
      <c r="P1143" s="7">
        <v>624.3881321174</v>
      </c>
      <c r="Q1143">
        <v>1</v>
      </c>
      <c r="R1143">
        <v>0</v>
      </c>
      <c r="S1143" s="11">
        <v>45856.666666666664</v>
      </c>
      <c r="T1143">
        <v>1318</v>
      </c>
    </row>
    <row r="1144" spans="1:20">
      <c r="A1144" s="11">
        <v>45856.645833333336</v>
      </c>
      <c r="B1144" s="11">
        <v>45856.666666666664</v>
      </c>
      <c r="C1144" s="10">
        <v>45856</v>
      </c>
      <c r="D1144" s="7">
        <v>625.84479999999996</v>
      </c>
      <c r="E1144" s="7">
        <v>7487095</v>
      </c>
      <c r="F1144" s="7">
        <v>7487095</v>
      </c>
      <c r="G1144" s="7">
        <v>37300514</v>
      </c>
      <c r="H1144" s="7">
        <v>627.50019999999995</v>
      </c>
      <c r="I1144" s="7">
        <v>626.30349999999999</v>
      </c>
      <c r="J1144" s="7">
        <v>13</v>
      </c>
      <c r="K1144" s="7">
        <v>2.7039501000000001E-3</v>
      </c>
      <c r="L1144" s="7">
        <v>629.19692921700005</v>
      </c>
      <c r="M1144" s="7">
        <v>624.61000660009995</v>
      </c>
      <c r="N1144" s="7">
        <v>625.8178794552</v>
      </c>
      <c r="O1144" s="7">
        <v>629.19692921700005</v>
      </c>
      <c r="P1144" s="7">
        <v>624.61000660009995</v>
      </c>
      <c r="Q1144">
        <v>1</v>
      </c>
      <c r="R1144">
        <v>1</v>
      </c>
      <c r="S1144" s="11">
        <v>45856.666666666664</v>
      </c>
      <c r="T1144">
        <v>1317</v>
      </c>
    </row>
    <row r="1145" spans="1:20">
      <c r="A1145" s="11">
        <v>45859.395833333336</v>
      </c>
      <c r="B1145" s="11">
        <v>45859.416666666664</v>
      </c>
      <c r="C1145" s="10">
        <v>45859</v>
      </c>
      <c r="D1145" s="7">
        <v>629.03599999999994</v>
      </c>
      <c r="E1145" s="7">
        <v>4734746</v>
      </c>
      <c r="F1145" s="7">
        <v>4734746</v>
      </c>
      <c r="G1145" s="7">
        <v>4734746</v>
      </c>
      <c r="H1145" s="7">
        <v>629.03599999999994</v>
      </c>
      <c r="I1145" s="7">
        <v>625.84469999999999</v>
      </c>
      <c r="J1145" s="7">
        <v>14</v>
      </c>
      <c r="K1145" s="7">
        <v>0</v>
      </c>
      <c r="L1145" s="7">
        <v>629.03599999999994</v>
      </c>
      <c r="M1145" s="7">
        <v>625.84469999999999</v>
      </c>
      <c r="N1145" s="7">
        <v>629.03599999999994</v>
      </c>
      <c r="O1145" s="7">
        <v>629.03599999999994</v>
      </c>
      <c r="P1145" s="7">
        <v>625.84469999999999</v>
      </c>
      <c r="Q1145">
        <v>1</v>
      </c>
      <c r="R1145">
        <v>0</v>
      </c>
      <c r="S1145" s="11">
        <v>45859.666666666664</v>
      </c>
      <c r="T1145">
        <v>1315</v>
      </c>
    </row>
    <row r="1146" spans="1:20">
      <c r="A1146" s="11">
        <v>45859.416666666664</v>
      </c>
      <c r="B1146" s="11">
        <v>45859.4375</v>
      </c>
      <c r="C1146" s="10">
        <v>45859</v>
      </c>
      <c r="D1146" s="7">
        <v>629.51459999999997</v>
      </c>
      <c r="E1146" s="7">
        <v>3952682</v>
      </c>
      <c r="F1146" s="7">
        <v>3952682</v>
      </c>
      <c r="G1146" s="7">
        <v>8687428</v>
      </c>
      <c r="H1146" s="7">
        <v>629.03599999999994</v>
      </c>
      <c r="I1146" s="7">
        <v>625.84469999999999</v>
      </c>
      <c r="J1146" s="7">
        <v>14</v>
      </c>
      <c r="K1146" s="7">
        <v>1.0242252E-3</v>
      </c>
      <c r="L1146" s="7">
        <v>629.68027452850004</v>
      </c>
      <c r="M1146" s="7">
        <v>625.20369408140004</v>
      </c>
      <c r="N1146" s="7">
        <v>629.25375761539999</v>
      </c>
      <c r="O1146" s="7">
        <v>629.68027452850004</v>
      </c>
      <c r="P1146" s="7">
        <v>625.20369408140004</v>
      </c>
      <c r="Q1146">
        <v>1</v>
      </c>
      <c r="R1146">
        <v>0</v>
      </c>
      <c r="S1146" s="11">
        <v>45859.666666666664</v>
      </c>
      <c r="T1146">
        <v>1314</v>
      </c>
    </row>
    <row r="1147" spans="1:20">
      <c r="A1147" s="11">
        <v>45859.4375</v>
      </c>
      <c r="B1147" s="11">
        <v>45859.458333333336</v>
      </c>
      <c r="C1147" s="10">
        <v>45859</v>
      </c>
      <c r="D1147" s="7">
        <v>629.27530000000002</v>
      </c>
      <c r="E1147" s="7">
        <v>2914478</v>
      </c>
      <c r="F1147" s="7">
        <v>2914478</v>
      </c>
      <c r="G1147" s="7">
        <v>11601906</v>
      </c>
      <c r="H1147" s="7">
        <v>629.03599999999994</v>
      </c>
      <c r="I1147" s="7">
        <v>625.84469999999999</v>
      </c>
      <c r="J1147" s="7">
        <v>14</v>
      </c>
      <c r="K1147" s="7">
        <v>1.7324482E-3</v>
      </c>
      <c r="L1147" s="7">
        <v>630.12577229450005</v>
      </c>
      <c r="M1147" s="7">
        <v>624.76045646750003</v>
      </c>
      <c r="N1147" s="7">
        <v>629.25916920949999</v>
      </c>
      <c r="O1147" s="7">
        <v>630.12577229450005</v>
      </c>
      <c r="P1147" s="7">
        <v>624.76045646750003</v>
      </c>
      <c r="Q1147">
        <v>1</v>
      </c>
      <c r="R1147">
        <v>0</v>
      </c>
      <c r="S1147" s="11">
        <v>45859.666666666664</v>
      </c>
      <c r="T1147">
        <v>1313</v>
      </c>
    </row>
    <row r="1148" spans="1:20">
      <c r="A1148" s="11">
        <v>45859.458333333336</v>
      </c>
      <c r="B1148" s="11">
        <v>45859.479166666664</v>
      </c>
      <c r="C1148" s="10">
        <v>45859</v>
      </c>
      <c r="D1148" s="7">
        <v>629.54259999999999</v>
      </c>
      <c r="E1148" s="7">
        <v>2136648</v>
      </c>
      <c r="F1148" s="7">
        <v>2136648</v>
      </c>
      <c r="G1148" s="7">
        <v>13738554</v>
      </c>
      <c r="H1148" s="7">
        <v>629.03599999999994</v>
      </c>
      <c r="I1148" s="7">
        <v>625.84469999999999</v>
      </c>
      <c r="J1148" s="7">
        <v>14</v>
      </c>
      <c r="K1148" s="7">
        <v>1.6736514000000001E-3</v>
      </c>
      <c r="L1148" s="7">
        <v>630.08878698240005</v>
      </c>
      <c r="M1148" s="7">
        <v>624.79725414129996</v>
      </c>
      <c r="N1148" s="7">
        <v>629.30324894540001</v>
      </c>
      <c r="O1148" s="7">
        <v>630.08878698240005</v>
      </c>
      <c r="P1148" s="7">
        <v>624.79725414129996</v>
      </c>
      <c r="Q1148">
        <v>1</v>
      </c>
      <c r="R1148">
        <v>0</v>
      </c>
      <c r="S1148" s="11">
        <v>45859.666666666664</v>
      </c>
      <c r="T1148">
        <v>1312</v>
      </c>
    </row>
    <row r="1149" spans="1:20">
      <c r="A1149" s="11">
        <v>45859.479166666664</v>
      </c>
      <c r="B1149" s="11">
        <v>45859.5</v>
      </c>
      <c r="C1149" s="10">
        <v>45859</v>
      </c>
      <c r="D1149" s="7">
        <v>629.41489999999999</v>
      </c>
      <c r="E1149" s="7">
        <v>2235714</v>
      </c>
      <c r="F1149" s="7">
        <v>2235714</v>
      </c>
      <c r="G1149" s="7">
        <v>15974268</v>
      </c>
      <c r="H1149" s="7">
        <v>629.03599999999994</v>
      </c>
      <c r="I1149" s="7">
        <v>625.84469999999999</v>
      </c>
      <c r="J1149" s="7">
        <v>14</v>
      </c>
      <c r="K1149" s="7">
        <v>1.8399116000000001E-3</v>
      </c>
      <c r="L1149" s="7">
        <v>630.19337065909997</v>
      </c>
      <c r="M1149" s="7">
        <v>624.69320105090003</v>
      </c>
      <c r="N1149" s="7">
        <v>629.31887531560005</v>
      </c>
      <c r="O1149" s="7">
        <v>630.19337065909997</v>
      </c>
      <c r="P1149" s="7">
        <v>624.69320105090003</v>
      </c>
      <c r="Q1149">
        <v>1</v>
      </c>
      <c r="R1149">
        <v>0</v>
      </c>
      <c r="S1149" s="11">
        <v>45859.666666666664</v>
      </c>
      <c r="T1149">
        <v>1311</v>
      </c>
    </row>
    <row r="1150" spans="1:20">
      <c r="A1150" s="11">
        <v>45859.5</v>
      </c>
      <c r="B1150" s="11">
        <v>45859.520833333336</v>
      </c>
      <c r="C1150" s="10">
        <v>45859</v>
      </c>
      <c r="D1150" s="7">
        <v>629.01099999999997</v>
      </c>
      <c r="E1150" s="7">
        <v>2334883</v>
      </c>
      <c r="F1150" s="7">
        <v>2334883</v>
      </c>
      <c r="G1150" s="7">
        <v>18309151</v>
      </c>
      <c r="H1150" s="7">
        <v>629.03599999999994</v>
      </c>
      <c r="I1150" s="7">
        <v>625.84469999999999</v>
      </c>
      <c r="J1150" s="7">
        <v>14</v>
      </c>
      <c r="K1150" s="7">
        <v>2.2412638000000001E-3</v>
      </c>
      <c r="L1150" s="7">
        <v>630.44583558809995</v>
      </c>
      <c r="M1150" s="7">
        <v>624.44201695690003</v>
      </c>
      <c r="N1150" s="7">
        <v>629.27961337270006</v>
      </c>
      <c r="O1150" s="7">
        <v>630.44583558809995</v>
      </c>
      <c r="P1150" s="7">
        <v>624.44201695690003</v>
      </c>
      <c r="Q1150">
        <v>1</v>
      </c>
      <c r="R1150">
        <v>0</v>
      </c>
      <c r="S1150" s="11">
        <v>45859.666666666664</v>
      </c>
      <c r="T1150">
        <v>1310</v>
      </c>
    </row>
    <row r="1151" spans="1:20">
      <c r="A1151" s="11">
        <v>45859.520833333336</v>
      </c>
      <c r="B1151" s="11">
        <v>45859.541666666664</v>
      </c>
      <c r="C1151" s="10">
        <v>45859</v>
      </c>
      <c r="D1151" s="7">
        <v>629.49469999999997</v>
      </c>
      <c r="E1151" s="7">
        <v>1704689</v>
      </c>
      <c r="F1151" s="7">
        <v>1704689</v>
      </c>
      <c r="G1151" s="7">
        <v>20013840</v>
      </c>
      <c r="H1151" s="7">
        <v>629.03599999999994</v>
      </c>
      <c r="I1151" s="7">
        <v>625.84469999999999</v>
      </c>
      <c r="J1151" s="7">
        <v>14</v>
      </c>
      <c r="K1151" s="7">
        <v>2.5004776999999999E-3</v>
      </c>
      <c r="L1151" s="7">
        <v>630.60889050200001</v>
      </c>
      <c r="M1151" s="7">
        <v>624.27978927250001</v>
      </c>
      <c r="N1151" s="7">
        <v>629.29793348559997</v>
      </c>
      <c r="O1151" s="7">
        <v>630.60889050200001</v>
      </c>
      <c r="P1151" s="7">
        <v>624.27978927250001</v>
      </c>
      <c r="Q1151">
        <v>1</v>
      </c>
      <c r="R1151">
        <v>0</v>
      </c>
      <c r="S1151" s="11">
        <v>45859.666666666664</v>
      </c>
      <c r="T1151">
        <v>1309</v>
      </c>
    </row>
    <row r="1152" spans="1:20">
      <c r="A1152" s="11">
        <v>45859.541666666664</v>
      </c>
      <c r="B1152" s="11">
        <v>45859.5625</v>
      </c>
      <c r="C1152" s="10">
        <v>45859</v>
      </c>
      <c r="D1152" s="7">
        <v>629.64430000000004</v>
      </c>
      <c r="E1152" s="7">
        <v>1482985</v>
      </c>
      <c r="F1152" s="7">
        <v>1482985</v>
      </c>
      <c r="G1152" s="7">
        <v>21496825</v>
      </c>
      <c r="H1152" s="7">
        <v>629.03599999999994</v>
      </c>
      <c r="I1152" s="7">
        <v>625.84469999999999</v>
      </c>
      <c r="J1152" s="7">
        <v>13</v>
      </c>
      <c r="K1152" s="7">
        <v>2.5967894000000001E-3</v>
      </c>
      <c r="L1152" s="7">
        <v>630.66947402259996</v>
      </c>
      <c r="M1152" s="7">
        <v>624.21951311140003</v>
      </c>
      <c r="N1152" s="7">
        <v>629.32182800700002</v>
      </c>
      <c r="O1152" s="7">
        <v>630.66947402259996</v>
      </c>
      <c r="P1152" s="7">
        <v>624.21951311140003</v>
      </c>
      <c r="Q1152">
        <v>1</v>
      </c>
      <c r="R1152">
        <v>0</v>
      </c>
      <c r="S1152" s="11">
        <v>45859.666666666664</v>
      </c>
      <c r="T1152">
        <v>1308</v>
      </c>
    </row>
    <row r="1153" spans="1:20">
      <c r="A1153" s="11">
        <v>45859.5625</v>
      </c>
      <c r="B1153" s="11">
        <v>45859.583333333336</v>
      </c>
      <c r="C1153" s="10">
        <v>45859</v>
      </c>
      <c r="D1153" s="7">
        <v>629.41</v>
      </c>
      <c r="E1153" s="7">
        <v>1388416</v>
      </c>
      <c r="F1153" s="7">
        <v>1388416</v>
      </c>
      <c r="G1153" s="7">
        <v>22885241</v>
      </c>
      <c r="H1153" s="7">
        <v>629.03599999999994</v>
      </c>
      <c r="I1153" s="7">
        <v>625.84469999999999</v>
      </c>
      <c r="J1153" s="7">
        <v>13</v>
      </c>
      <c r="K1153" s="7">
        <v>2.7566291000000001E-3</v>
      </c>
      <c r="L1153" s="7">
        <v>630.77001892099997</v>
      </c>
      <c r="M1153" s="7">
        <v>624.11947830940005</v>
      </c>
      <c r="N1153" s="7">
        <v>629.32717728019998</v>
      </c>
      <c r="O1153" s="7">
        <v>630.77001892099997</v>
      </c>
      <c r="P1153" s="7">
        <v>624.11947830940005</v>
      </c>
      <c r="Q1153">
        <v>1</v>
      </c>
      <c r="R1153">
        <v>0</v>
      </c>
      <c r="S1153" s="11">
        <v>45859.666666666664</v>
      </c>
      <c r="T1153">
        <v>1307</v>
      </c>
    </row>
    <row r="1154" spans="1:20">
      <c r="A1154" s="11">
        <v>45859.583333333336</v>
      </c>
      <c r="B1154" s="11">
        <v>45859.604166666664</v>
      </c>
      <c r="C1154" s="10">
        <v>45859</v>
      </c>
      <c r="D1154" s="7">
        <v>629.4547</v>
      </c>
      <c r="E1154" s="7">
        <v>1654388</v>
      </c>
      <c r="F1154" s="7">
        <v>1654388</v>
      </c>
      <c r="G1154" s="7">
        <v>24539629</v>
      </c>
      <c r="H1154" s="7">
        <v>629.03599999999994</v>
      </c>
      <c r="I1154" s="7">
        <v>625.84469999999999</v>
      </c>
      <c r="J1154" s="7">
        <v>13</v>
      </c>
      <c r="K1154" s="7">
        <v>2.9064017000000001E-3</v>
      </c>
      <c r="L1154" s="7">
        <v>630.86423128009994</v>
      </c>
      <c r="M1154" s="7">
        <v>624.02574391960002</v>
      </c>
      <c r="N1154" s="7">
        <v>629.33577447849996</v>
      </c>
      <c r="O1154" s="7">
        <v>630.86423128009994</v>
      </c>
      <c r="P1154" s="7">
        <v>624.02574391960002</v>
      </c>
      <c r="Q1154">
        <v>1</v>
      </c>
      <c r="R1154">
        <v>0</v>
      </c>
      <c r="S1154" s="11">
        <v>45859.666666666664</v>
      </c>
      <c r="T1154">
        <v>1306</v>
      </c>
    </row>
    <row r="1155" spans="1:20">
      <c r="A1155" s="11">
        <v>45859.604166666664</v>
      </c>
      <c r="B1155" s="11">
        <v>45859.625</v>
      </c>
      <c r="C1155" s="10">
        <v>45859</v>
      </c>
      <c r="D1155" s="7">
        <v>628.64700000000005</v>
      </c>
      <c r="E1155" s="7">
        <v>3082060</v>
      </c>
      <c r="F1155" s="7">
        <v>3082060</v>
      </c>
      <c r="G1155" s="7">
        <v>27621689</v>
      </c>
      <c r="H1155" s="7">
        <v>629.03599999999994</v>
      </c>
      <c r="I1155" s="7">
        <v>625.84469999999999</v>
      </c>
      <c r="J1155" s="7">
        <v>13</v>
      </c>
      <c r="K1155" s="7">
        <v>2.8907891E-3</v>
      </c>
      <c r="L1155" s="7">
        <v>630.85441043920002</v>
      </c>
      <c r="M1155" s="7">
        <v>624.0355149362</v>
      </c>
      <c r="N1155" s="7">
        <v>629.25892022569997</v>
      </c>
      <c r="O1155" s="7">
        <v>630.85441043920002</v>
      </c>
      <c r="P1155" s="7">
        <v>624.0355149362</v>
      </c>
      <c r="Q1155">
        <v>1</v>
      </c>
      <c r="R1155">
        <v>0</v>
      </c>
      <c r="S1155" s="11">
        <v>45859.666666666664</v>
      </c>
      <c r="T1155">
        <v>1305</v>
      </c>
    </row>
    <row r="1156" spans="1:20">
      <c r="A1156" s="11">
        <v>45859.625</v>
      </c>
      <c r="B1156" s="11">
        <v>45859.645833333336</v>
      </c>
      <c r="C1156" s="10">
        <v>45859</v>
      </c>
      <c r="D1156" s="7">
        <v>627.7097</v>
      </c>
      <c r="E1156" s="7">
        <v>5294070</v>
      </c>
      <c r="F1156" s="7">
        <v>5294070</v>
      </c>
      <c r="G1156" s="7">
        <v>32915759</v>
      </c>
      <c r="H1156" s="7">
        <v>629.03599999999994</v>
      </c>
      <c r="I1156" s="7">
        <v>625.84469999999999</v>
      </c>
      <c r="J1156" s="7">
        <v>13</v>
      </c>
      <c r="K1156" s="7">
        <v>3.0314755999999998E-3</v>
      </c>
      <c r="L1156" s="7">
        <v>630.94290728529995</v>
      </c>
      <c r="M1156" s="7">
        <v>623.9474670628</v>
      </c>
      <c r="N1156" s="7">
        <v>629.00974838310003</v>
      </c>
      <c r="O1156" s="7">
        <v>630.94290728529995</v>
      </c>
      <c r="P1156" s="7">
        <v>623.9474670628</v>
      </c>
      <c r="Q1156">
        <v>1</v>
      </c>
      <c r="R1156">
        <v>0</v>
      </c>
      <c r="S1156" s="11">
        <v>45859.666666666664</v>
      </c>
      <c r="T1156">
        <v>1304</v>
      </c>
    </row>
    <row r="1157" spans="1:20">
      <c r="A1157" s="11">
        <v>45859.645833333336</v>
      </c>
      <c r="B1157" s="11">
        <v>45859.666666666664</v>
      </c>
      <c r="C1157" s="10">
        <v>45859</v>
      </c>
      <c r="D1157" s="7">
        <v>627.03160000000003</v>
      </c>
      <c r="E1157" s="7">
        <v>10481527</v>
      </c>
      <c r="F1157" s="7">
        <v>10481527</v>
      </c>
      <c r="G1157" s="7">
        <v>43397286</v>
      </c>
      <c r="H1157" s="7">
        <v>629.03599999999994</v>
      </c>
      <c r="I1157" s="7">
        <v>625.84469999999999</v>
      </c>
      <c r="J1157" s="7">
        <v>13</v>
      </c>
      <c r="K1157" s="7">
        <v>2.8493084999999998E-3</v>
      </c>
      <c r="L1157" s="7">
        <v>630.82831760340002</v>
      </c>
      <c r="M1157" s="7">
        <v>624.06147539480003</v>
      </c>
      <c r="N1157" s="7">
        <v>628.53197620890001</v>
      </c>
      <c r="O1157" s="7">
        <v>630.82831760340002</v>
      </c>
      <c r="P1157" s="7">
        <v>624.06147539480003</v>
      </c>
      <c r="Q1157">
        <v>1</v>
      </c>
      <c r="R1157">
        <v>1</v>
      </c>
      <c r="S1157" s="11">
        <v>45859.666666666664</v>
      </c>
      <c r="T1157">
        <v>1303</v>
      </c>
    </row>
    <row r="1158" spans="1:20">
      <c r="A1158" s="11">
        <v>45860.395833333336</v>
      </c>
      <c r="B1158" s="11">
        <v>45860.416666666664</v>
      </c>
      <c r="C1158" s="10">
        <v>45860</v>
      </c>
      <c r="D1158" s="7">
        <v>625.03700000000003</v>
      </c>
      <c r="E1158" s="7">
        <v>6919406</v>
      </c>
      <c r="F1158" s="7">
        <v>6919406</v>
      </c>
      <c r="G1158" s="7">
        <v>6919406</v>
      </c>
      <c r="H1158" s="7">
        <v>625.03700000000003</v>
      </c>
      <c r="I1158" s="7">
        <v>627.03139999999996</v>
      </c>
      <c r="J1158" s="7">
        <v>14</v>
      </c>
      <c r="K1158" s="7">
        <v>0</v>
      </c>
      <c r="L1158" s="7">
        <v>627.03139999999996</v>
      </c>
      <c r="M1158" s="7">
        <v>625.03700000000003</v>
      </c>
      <c r="N1158" s="7">
        <v>625.03700000000003</v>
      </c>
      <c r="O1158" s="7">
        <v>627.03139999999996</v>
      </c>
      <c r="P1158" s="7">
        <v>625.03700000000003</v>
      </c>
      <c r="Q1158">
        <v>1</v>
      </c>
      <c r="R1158">
        <v>0</v>
      </c>
      <c r="S1158" s="11">
        <v>45860.666666666664</v>
      </c>
      <c r="T1158">
        <v>1301</v>
      </c>
    </row>
    <row r="1159" spans="1:20">
      <c r="A1159" s="11">
        <v>45860.416666666664</v>
      </c>
      <c r="B1159" s="11">
        <v>45860.4375</v>
      </c>
      <c r="C1159" s="10">
        <v>45860</v>
      </c>
      <c r="D1159" s="7">
        <v>625.32619999999997</v>
      </c>
      <c r="E1159" s="7">
        <v>3641105</v>
      </c>
      <c r="F1159" s="7">
        <v>3641105</v>
      </c>
      <c r="G1159" s="7">
        <v>10560511</v>
      </c>
      <c r="H1159" s="7">
        <v>625.03700000000003</v>
      </c>
      <c r="I1159" s="7">
        <v>627.03139999999996</v>
      </c>
      <c r="J1159" s="7">
        <v>14</v>
      </c>
      <c r="K1159" s="7">
        <v>1.0391784999999999E-3</v>
      </c>
      <c r="L1159" s="7">
        <v>627.68299752329995</v>
      </c>
      <c r="M1159" s="7">
        <v>624.38747501420005</v>
      </c>
      <c r="N1159" s="7">
        <v>625.13671180050005</v>
      </c>
      <c r="O1159" s="7">
        <v>627.68299752329995</v>
      </c>
      <c r="P1159" s="7">
        <v>624.38747501420005</v>
      </c>
      <c r="Q1159">
        <v>1</v>
      </c>
      <c r="R1159">
        <v>0</v>
      </c>
      <c r="S1159" s="11">
        <v>45860.666666666664</v>
      </c>
      <c r="T1159">
        <v>1300</v>
      </c>
    </row>
    <row r="1160" spans="1:20">
      <c r="A1160" s="11">
        <v>45860.4375</v>
      </c>
      <c r="B1160" s="11">
        <v>45860.458333333336</v>
      </c>
      <c r="C1160" s="10">
        <v>45860</v>
      </c>
      <c r="D1160" s="7">
        <v>626.22879999999998</v>
      </c>
      <c r="E1160" s="7">
        <v>2793184</v>
      </c>
      <c r="F1160" s="7">
        <v>2793184</v>
      </c>
      <c r="G1160" s="7">
        <v>13353695</v>
      </c>
      <c r="H1160" s="7">
        <v>625.03700000000003</v>
      </c>
      <c r="I1160" s="7">
        <v>627.03139999999996</v>
      </c>
      <c r="J1160" s="7">
        <v>14</v>
      </c>
      <c r="K1160" s="7">
        <v>1.7207978000000001E-3</v>
      </c>
      <c r="L1160" s="7">
        <v>628.11039422900001</v>
      </c>
      <c r="M1160" s="7">
        <v>623.96143772999994</v>
      </c>
      <c r="N1160" s="7">
        <v>625.36514320360004</v>
      </c>
      <c r="O1160" s="7">
        <v>628.11039422900001</v>
      </c>
      <c r="P1160" s="7">
        <v>623.96143772999994</v>
      </c>
      <c r="Q1160">
        <v>1</v>
      </c>
      <c r="R1160">
        <v>0</v>
      </c>
      <c r="S1160" s="11">
        <v>45860.666666666664</v>
      </c>
      <c r="T1160">
        <v>1299</v>
      </c>
    </row>
    <row r="1161" spans="1:20">
      <c r="A1161" s="11">
        <v>45860.458333333336</v>
      </c>
      <c r="B1161" s="11">
        <v>45860.479166666664</v>
      </c>
      <c r="C1161" s="10">
        <v>45860</v>
      </c>
      <c r="D1161" s="7">
        <v>625.91470000000004</v>
      </c>
      <c r="E1161" s="7">
        <v>2097955</v>
      </c>
      <c r="F1161" s="7">
        <v>2097955</v>
      </c>
      <c r="G1161" s="7">
        <v>15451650</v>
      </c>
      <c r="H1161" s="7">
        <v>625.03700000000003</v>
      </c>
      <c r="I1161" s="7">
        <v>627.03139999999996</v>
      </c>
      <c r="J1161" s="7">
        <v>14</v>
      </c>
      <c r="K1161" s="7">
        <v>1.711469E-3</v>
      </c>
      <c r="L1161" s="7">
        <v>628.10454478520001</v>
      </c>
      <c r="M1161" s="7">
        <v>623.96726856860005</v>
      </c>
      <c r="N1161" s="7">
        <v>625.43975953450001</v>
      </c>
      <c r="O1161" s="7">
        <v>628.10454478520001</v>
      </c>
      <c r="P1161" s="7">
        <v>623.96726856860005</v>
      </c>
      <c r="Q1161">
        <v>1</v>
      </c>
      <c r="R1161">
        <v>0</v>
      </c>
      <c r="S1161" s="11">
        <v>45860.666666666664</v>
      </c>
      <c r="T1161">
        <v>1298</v>
      </c>
    </row>
    <row r="1162" spans="1:20">
      <c r="A1162" s="11">
        <v>45860.479166666664</v>
      </c>
      <c r="B1162" s="11">
        <v>45860.5</v>
      </c>
      <c r="C1162" s="10">
        <v>45860</v>
      </c>
      <c r="D1162" s="7">
        <v>625.95450000000005</v>
      </c>
      <c r="E1162" s="7">
        <v>2219589</v>
      </c>
      <c r="F1162" s="7">
        <v>2219589</v>
      </c>
      <c r="G1162" s="7">
        <v>17671239</v>
      </c>
      <c r="H1162" s="7">
        <v>625.03700000000003</v>
      </c>
      <c r="I1162" s="7">
        <v>627.03139999999996</v>
      </c>
      <c r="J1162" s="7">
        <v>14</v>
      </c>
      <c r="K1162" s="7">
        <v>1.8725132E-3</v>
      </c>
      <c r="L1162" s="7">
        <v>628.20552458350005</v>
      </c>
      <c r="M1162" s="7">
        <v>623.86660995689999</v>
      </c>
      <c r="N1162" s="7">
        <v>625.50441330750004</v>
      </c>
      <c r="O1162" s="7">
        <v>628.20552458350005</v>
      </c>
      <c r="P1162" s="7">
        <v>623.86660995689999</v>
      </c>
      <c r="Q1162">
        <v>1</v>
      </c>
      <c r="R1162">
        <v>0</v>
      </c>
      <c r="S1162" s="11">
        <v>45860.666666666664</v>
      </c>
      <c r="T1162">
        <v>1297</v>
      </c>
    </row>
    <row r="1163" spans="1:20">
      <c r="A1163" s="11">
        <v>45860.5</v>
      </c>
      <c r="B1163" s="11">
        <v>45860.520833333336</v>
      </c>
      <c r="C1163" s="10">
        <v>45860</v>
      </c>
      <c r="D1163" s="7">
        <v>625.44590000000005</v>
      </c>
      <c r="E1163" s="7">
        <v>2252752</v>
      </c>
      <c r="F1163" s="7">
        <v>2252752</v>
      </c>
      <c r="G1163" s="7">
        <v>19923991</v>
      </c>
      <c r="H1163" s="7">
        <v>625.03700000000003</v>
      </c>
      <c r="I1163" s="7">
        <v>627.03139999999996</v>
      </c>
      <c r="J1163" s="7">
        <v>14</v>
      </c>
      <c r="K1163" s="7">
        <v>2.2243944999999999E-3</v>
      </c>
      <c r="L1163" s="7">
        <v>628.42616518039995</v>
      </c>
      <c r="M1163" s="7">
        <v>623.64667115190002</v>
      </c>
      <c r="N1163" s="7">
        <v>625.49779736539995</v>
      </c>
      <c r="O1163" s="7">
        <v>628.42616518039995</v>
      </c>
      <c r="P1163" s="7">
        <v>623.64667115190002</v>
      </c>
      <c r="Q1163">
        <v>1</v>
      </c>
      <c r="R1163">
        <v>0</v>
      </c>
      <c r="S1163" s="11">
        <v>45860.666666666664</v>
      </c>
      <c r="T1163">
        <v>1296</v>
      </c>
    </row>
    <row r="1164" spans="1:20">
      <c r="A1164" s="11">
        <v>45860.520833333336</v>
      </c>
      <c r="B1164" s="11">
        <v>45860.541666666664</v>
      </c>
      <c r="C1164" s="10">
        <v>45860</v>
      </c>
      <c r="D1164" s="7">
        <v>626.11410000000001</v>
      </c>
      <c r="E1164" s="7">
        <v>1893008</v>
      </c>
      <c r="F1164" s="7">
        <v>1893008</v>
      </c>
      <c r="G1164" s="7">
        <v>21816999</v>
      </c>
      <c r="H1164" s="7">
        <v>625.03700000000003</v>
      </c>
      <c r="I1164" s="7">
        <v>627.03139999999996</v>
      </c>
      <c r="J1164" s="7">
        <v>14</v>
      </c>
      <c r="K1164" s="7">
        <v>2.5212822999999998E-3</v>
      </c>
      <c r="L1164" s="7">
        <v>628.61232315159998</v>
      </c>
      <c r="M1164" s="7">
        <v>623.46110529370003</v>
      </c>
      <c r="N1164" s="7">
        <v>625.55127244769994</v>
      </c>
      <c r="O1164" s="7">
        <v>628.61232315159998</v>
      </c>
      <c r="P1164" s="7">
        <v>623.46110529370003</v>
      </c>
      <c r="Q1164">
        <v>1</v>
      </c>
      <c r="R1164">
        <v>0</v>
      </c>
      <c r="S1164" s="11">
        <v>45860.666666666664</v>
      </c>
      <c r="T1164">
        <v>1295</v>
      </c>
    </row>
    <row r="1165" spans="1:20">
      <c r="A1165" s="11">
        <v>45860.541666666664</v>
      </c>
      <c r="B1165" s="11">
        <v>45860.5625</v>
      </c>
      <c r="C1165" s="10">
        <v>45860</v>
      </c>
      <c r="D1165" s="7">
        <v>627.35059999999999</v>
      </c>
      <c r="E1165" s="7">
        <v>2219748</v>
      </c>
      <c r="F1165" s="7">
        <v>2219748</v>
      </c>
      <c r="G1165" s="7">
        <v>24036747</v>
      </c>
      <c r="H1165" s="7">
        <v>625.03700000000003</v>
      </c>
      <c r="I1165" s="7">
        <v>627.03139999999996</v>
      </c>
      <c r="J1165" s="7">
        <v>13</v>
      </c>
      <c r="K1165" s="7">
        <v>2.6555839999999999E-3</v>
      </c>
      <c r="L1165" s="7">
        <v>628.69653457269999</v>
      </c>
      <c r="M1165" s="7">
        <v>623.37716172410001</v>
      </c>
      <c r="N1165" s="7">
        <v>625.71743693480005</v>
      </c>
      <c r="O1165" s="7">
        <v>628.69653457269999</v>
      </c>
      <c r="P1165" s="7">
        <v>623.37716172410001</v>
      </c>
      <c r="Q1165">
        <v>1</v>
      </c>
      <c r="R1165">
        <v>0</v>
      </c>
      <c r="S1165" s="11">
        <v>45860.666666666664</v>
      </c>
      <c r="T1165">
        <v>1294</v>
      </c>
    </row>
    <row r="1166" spans="1:20">
      <c r="A1166" s="11">
        <v>45860.5625</v>
      </c>
      <c r="B1166" s="11">
        <v>45860.583333333336</v>
      </c>
      <c r="C1166" s="10">
        <v>45860</v>
      </c>
      <c r="D1166" s="7">
        <v>626.60270000000003</v>
      </c>
      <c r="E1166" s="7">
        <v>1967246</v>
      </c>
      <c r="F1166" s="7">
        <v>1967246</v>
      </c>
      <c r="G1166" s="7">
        <v>26003993</v>
      </c>
      <c r="H1166" s="7">
        <v>625.03700000000003</v>
      </c>
      <c r="I1166" s="7">
        <v>627.03139999999996</v>
      </c>
      <c r="J1166" s="7">
        <v>13</v>
      </c>
      <c r="K1166" s="7">
        <v>2.7324725999999999E-3</v>
      </c>
      <c r="L1166" s="7">
        <v>628.74474613639995</v>
      </c>
      <c r="M1166" s="7">
        <v>623.32910350700001</v>
      </c>
      <c r="N1166" s="7">
        <v>625.78440858119995</v>
      </c>
      <c r="O1166" s="7">
        <v>628.74474613639995</v>
      </c>
      <c r="P1166" s="7">
        <v>623.32910350700001</v>
      </c>
      <c r="Q1166">
        <v>1</v>
      </c>
      <c r="R1166">
        <v>0</v>
      </c>
      <c r="S1166" s="11">
        <v>45860.666666666664</v>
      </c>
      <c r="T1166">
        <v>1293</v>
      </c>
    </row>
    <row r="1167" spans="1:20">
      <c r="A1167" s="11">
        <v>45860.583333333336</v>
      </c>
      <c r="B1167" s="11">
        <v>45860.604166666664</v>
      </c>
      <c r="C1167" s="10">
        <v>45860</v>
      </c>
      <c r="D1167" s="7">
        <v>626.65260000000001</v>
      </c>
      <c r="E1167" s="7">
        <v>2861036</v>
      </c>
      <c r="F1167" s="7">
        <v>2861036</v>
      </c>
      <c r="G1167" s="7">
        <v>28865029</v>
      </c>
      <c r="H1167" s="7">
        <v>625.03700000000003</v>
      </c>
      <c r="I1167" s="7">
        <v>627.03139999999996</v>
      </c>
      <c r="J1167" s="7">
        <v>13</v>
      </c>
      <c r="K1167" s="7">
        <v>2.9139162E-3</v>
      </c>
      <c r="L1167" s="7">
        <v>628.85851697099997</v>
      </c>
      <c r="M1167" s="7">
        <v>623.21569454350004</v>
      </c>
      <c r="N1167" s="7">
        <v>625.87046173930003</v>
      </c>
      <c r="O1167" s="7">
        <v>628.85851697099997</v>
      </c>
      <c r="P1167" s="7">
        <v>623.21569454350004</v>
      </c>
      <c r="Q1167">
        <v>1</v>
      </c>
      <c r="R1167">
        <v>0</v>
      </c>
      <c r="S1167" s="11">
        <v>45860.666666666664</v>
      </c>
      <c r="T1167">
        <v>1292</v>
      </c>
    </row>
    <row r="1168" spans="1:20">
      <c r="A1168" s="11">
        <v>45860.604166666664</v>
      </c>
      <c r="B1168" s="11">
        <v>45860.625</v>
      </c>
      <c r="C1168" s="10">
        <v>45860</v>
      </c>
      <c r="D1168" s="7">
        <v>627.59</v>
      </c>
      <c r="E1168" s="7">
        <v>2903034</v>
      </c>
      <c r="F1168" s="7">
        <v>2903034</v>
      </c>
      <c r="G1168" s="7">
        <v>31768063</v>
      </c>
      <c r="H1168" s="7">
        <v>625.03700000000003</v>
      </c>
      <c r="I1168" s="7">
        <v>627.03139999999996</v>
      </c>
      <c r="J1168" s="7">
        <v>13</v>
      </c>
      <c r="K1168" s="7">
        <v>2.8722213E-3</v>
      </c>
      <c r="L1168" s="7">
        <v>628.83237292729996</v>
      </c>
      <c r="M1168" s="7">
        <v>623.24175543080003</v>
      </c>
      <c r="N1168" s="7">
        <v>626.02759684800003</v>
      </c>
      <c r="O1168" s="7">
        <v>628.83237292729996</v>
      </c>
      <c r="P1168" s="7">
        <v>623.24175543080003</v>
      </c>
      <c r="Q1168">
        <v>1</v>
      </c>
      <c r="R1168">
        <v>0</v>
      </c>
      <c r="S1168" s="11">
        <v>45860.666666666664</v>
      </c>
      <c r="T1168">
        <v>1291</v>
      </c>
    </row>
    <row r="1169" spans="1:20">
      <c r="A1169" s="11">
        <v>45860.625</v>
      </c>
      <c r="B1169" s="11">
        <v>45860.645833333336</v>
      </c>
      <c r="C1169" s="10">
        <v>45860</v>
      </c>
      <c r="D1169" s="7">
        <v>627.45540000000005</v>
      </c>
      <c r="E1169" s="7">
        <v>2735073</v>
      </c>
      <c r="F1169" s="7">
        <v>2735073</v>
      </c>
      <c r="G1169" s="7">
        <v>34503136</v>
      </c>
      <c r="H1169" s="7">
        <v>625.03700000000003</v>
      </c>
      <c r="I1169" s="7">
        <v>627.03139999999996</v>
      </c>
      <c r="J1169" s="7">
        <v>13</v>
      </c>
      <c r="K1169" s="7">
        <v>3.0058518999999998E-3</v>
      </c>
      <c r="L1169" s="7">
        <v>628.91616351959999</v>
      </c>
      <c r="M1169" s="7">
        <v>623.15823135139999</v>
      </c>
      <c r="N1169" s="7">
        <v>626.14077919329998</v>
      </c>
      <c r="O1169" s="7">
        <v>628.91616351959999</v>
      </c>
      <c r="P1169" s="7">
        <v>623.15823135139999</v>
      </c>
      <c r="Q1169">
        <v>1</v>
      </c>
      <c r="R1169">
        <v>0</v>
      </c>
      <c r="S1169" s="11">
        <v>45860.666666666664</v>
      </c>
      <c r="T1169">
        <v>1290</v>
      </c>
    </row>
    <row r="1170" spans="1:20">
      <c r="A1170" s="11">
        <v>45860.645833333336</v>
      </c>
      <c r="B1170" s="11">
        <v>45860.666666666664</v>
      </c>
      <c r="C1170" s="10">
        <v>45860</v>
      </c>
      <c r="D1170" s="7">
        <v>627.12130000000002</v>
      </c>
      <c r="E1170" s="7">
        <v>8454587</v>
      </c>
      <c r="F1170" s="7">
        <v>8454587</v>
      </c>
      <c r="G1170" s="7">
        <v>42957723</v>
      </c>
      <c r="H1170" s="7">
        <v>625.03700000000003</v>
      </c>
      <c r="I1170" s="7">
        <v>627.03139999999996</v>
      </c>
      <c r="J1170" s="7">
        <v>13</v>
      </c>
      <c r="K1170" s="7">
        <v>2.9122266000000002E-3</v>
      </c>
      <c r="L1170" s="7">
        <v>628.85745753549998</v>
      </c>
      <c r="M1170" s="7">
        <v>623.21675060919995</v>
      </c>
      <c r="N1170" s="7">
        <v>626.33375726300005</v>
      </c>
      <c r="O1170" s="7">
        <v>628.85745753549998</v>
      </c>
      <c r="P1170" s="7">
        <v>623.21675060919995</v>
      </c>
      <c r="Q1170">
        <v>1</v>
      </c>
      <c r="R1170">
        <v>1</v>
      </c>
      <c r="S1170" s="11">
        <v>45860.666666666664</v>
      </c>
      <c r="T1170">
        <v>1289</v>
      </c>
    </row>
    <row r="1171" spans="1:20">
      <c r="A1171" s="11">
        <v>45861.395833333336</v>
      </c>
      <c r="B1171" s="11">
        <v>45861.416666666664</v>
      </c>
      <c r="C1171" s="10">
        <v>45861</v>
      </c>
      <c r="D1171" s="7">
        <v>628.2183</v>
      </c>
      <c r="E1171" s="7">
        <v>5301738</v>
      </c>
      <c r="F1171" s="7">
        <v>5301738</v>
      </c>
      <c r="G1171" s="7">
        <v>5301738</v>
      </c>
      <c r="H1171" s="7">
        <v>628.2183</v>
      </c>
      <c r="I1171" s="7">
        <v>627.12120000000004</v>
      </c>
      <c r="J1171" s="7">
        <v>14</v>
      </c>
      <c r="K1171" s="7">
        <v>0</v>
      </c>
      <c r="L1171" s="7">
        <v>628.2183</v>
      </c>
      <c r="M1171" s="7">
        <v>627.12120000000004</v>
      </c>
      <c r="N1171" s="7">
        <v>628.2183</v>
      </c>
      <c r="O1171" s="7">
        <v>628.2183</v>
      </c>
      <c r="P1171" s="7">
        <v>627.12120000000004</v>
      </c>
      <c r="Q1171">
        <v>1</v>
      </c>
      <c r="R1171">
        <v>0</v>
      </c>
      <c r="S1171" s="11">
        <v>45861.666666666664</v>
      </c>
      <c r="T1171">
        <v>1287</v>
      </c>
    </row>
    <row r="1172" spans="1:20">
      <c r="A1172" s="11">
        <v>45861.416666666664</v>
      </c>
      <c r="B1172" s="11">
        <v>45861.4375</v>
      </c>
      <c r="C1172" s="10">
        <v>45861</v>
      </c>
      <c r="D1172" s="7">
        <v>628.99609999999996</v>
      </c>
      <c r="E1172" s="7">
        <v>3011837</v>
      </c>
      <c r="F1172" s="7">
        <v>3011837</v>
      </c>
      <c r="G1172" s="7">
        <v>8313575</v>
      </c>
      <c r="H1172" s="7">
        <v>628.2183</v>
      </c>
      <c r="I1172" s="7">
        <v>627.12120000000004</v>
      </c>
      <c r="J1172" s="7">
        <v>14</v>
      </c>
      <c r="K1172" s="7">
        <v>1.0569895000000001E-3</v>
      </c>
      <c r="L1172" s="7">
        <v>628.88232014790003</v>
      </c>
      <c r="M1172" s="7">
        <v>626.45833947530002</v>
      </c>
      <c r="N1172" s="7">
        <v>628.50008092079997</v>
      </c>
      <c r="O1172" s="7">
        <v>628.88232014790003</v>
      </c>
      <c r="P1172" s="7">
        <v>626.45833947530002</v>
      </c>
      <c r="Q1172">
        <v>1</v>
      </c>
      <c r="R1172">
        <v>0</v>
      </c>
      <c r="S1172" s="11">
        <v>45861.666666666664</v>
      </c>
      <c r="T1172">
        <v>1286</v>
      </c>
    </row>
    <row r="1173" spans="1:20">
      <c r="A1173" s="11">
        <v>45861.4375</v>
      </c>
      <c r="B1173" s="11">
        <v>45861.458333333336</v>
      </c>
      <c r="C1173" s="10">
        <v>45861</v>
      </c>
      <c r="D1173" s="7">
        <v>628.98609999999996</v>
      </c>
      <c r="E1173" s="7">
        <v>2017491</v>
      </c>
      <c r="F1173" s="7">
        <v>2017491</v>
      </c>
      <c r="G1173" s="7">
        <v>10331066</v>
      </c>
      <c r="H1173" s="7">
        <v>628.2183</v>
      </c>
      <c r="I1173" s="7">
        <v>627.12120000000004</v>
      </c>
      <c r="J1173" s="7">
        <v>14</v>
      </c>
      <c r="K1173" s="7">
        <v>1.774629E-3</v>
      </c>
      <c r="L1173" s="7">
        <v>629.333154401</v>
      </c>
      <c r="M1173" s="7">
        <v>626.00829254450002</v>
      </c>
      <c r="N1173" s="7">
        <v>628.59499262869997</v>
      </c>
      <c r="O1173" s="7">
        <v>629.333154401</v>
      </c>
      <c r="P1173" s="7">
        <v>626.00829254450002</v>
      </c>
      <c r="Q1173">
        <v>1</v>
      </c>
      <c r="R1173">
        <v>0</v>
      </c>
      <c r="S1173" s="11">
        <v>45861.666666666664</v>
      </c>
      <c r="T1173">
        <v>1285</v>
      </c>
    </row>
    <row r="1174" spans="1:20">
      <c r="A1174" s="11">
        <v>45861.458333333336</v>
      </c>
      <c r="B1174" s="11">
        <v>45861.479166666664</v>
      </c>
      <c r="C1174" s="10">
        <v>45861</v>
      </c>
      <c r="D1174" s="7">
        <v>629.11569999999995</v>
      </c>
      <c r="E1174" s="7">
        <v>2242962</v>
      </c>
      <c r="F1174" s="7">
        <v>2242962</v>
      </c>
      <c r="G1174" s="7">
        <v>12574028</v>
      </c>
      <c r="H1174" s="7">
        <v>628.2183</v>
      </c>
      <c r="I1174" s="7">
        <v>627.12120000000004</v>
      </c>
      <c r="J1174" s="7">
        <v>14</v>
      </c>
      <c r="K1174" s="7">
        <v>1.7969393999999999E-3</v>
      </c>
      <c r="L1174" s="7">
        <v>629.34717020250002</v>
      </c>
      <c r="M1174" s="7">
        <v>625.99430121969999</v>
      </c>
      <c r="N1174" s="7">
        <v>628.68787669469998</v>
      </c>
      <c r="O1174" s="7">
        <v>629.34717020250002</v>
      </c>
      <c r="P1174" s="7">
        <v>625.99430121969999</v>
      </c>
      <c r="Q1174">
        <v>1</v>
      </c>
      <c r="R1174">
        <v>0</v>
      </c>
      <c r="S1174" s="11">
        <v>45861.666666666664</v>
      </c>
      <c r="T1174">
        <v>1284</v>
      </c>
    </row>
    <row r="1175" spans="1:20">
      <c r="A1175" s="11">
        <v>45861.479166666664</v>
      </c>
      <c r="B1175" s="11">
        <v>45861.5</v>
      </c>
      <c r="C1175" s="10">
        <v>45861</v>
      </c>
      <c r="D1175" s="7">
        <v>630.22270000000003</v>
      </c>
      <c r="E1175" s="7">
        <v>4250822</v>
      </c>
      <c r="F1175" s="7">
        <v>4250822</v>
      </c>
      <c r="G1175" s="7">
        <v>16824850</v>
      </c>
      <c r="H1175" s="7">
        <v>628.2183</v>
      </c>
      <c r="I1175" s="7">
        <v>627.12120000000004</v>
      </c>
      <c r="J1175" s="7">
        <v>14</v>
      </c>
      <c r="K1175" s="7">
        <v>1.9563343999999998E-3</v>
      </c>
      <c r="L1175" s="7">
        <v>629.44730508639998</v>
      </c>
      <c r="M1175" s="7">
        <v>625.89434120809995</v>
      </c>
      <c r="N1175" s="7">
        <v>629.07565195999996</v>
      </c>
      <c r="O1175" s="7">
        <v>629.44730508639998</v>
      </c>
      <c r="P1175" s="7">
        <v>625.89434120809995</v>
      </c>
      <c r="Q1175">
        <v>1</v>
      </c>
      <c r="R1175">
        <v>0</v>
      </c>
      <c r="S1175" s="11">
        <v>45861.666666666664</v>
      </c>
      <c r="T1175">
        <v>1283</v>
      </c>
    </row>
    <row r="1176" spans="1:20">
      <c r="A1176" s="11">
        <v>45861.5</v>
      </c>
      <c r="B1176" s="11">
        <v>45861.520833333336</v>
      </c>
      <c r="C1176" s="10">
        <v>45861</v>
      </c>
      <c r="D1176" s="7">
        <v>629.92349999999999</v>
      </c>
      <c r="E1176" s="7">
        <v>3092490</v>
      </c>
      <c r="F1176" s="7">
        <v>3092490</v>
      </c>
      <c r="G1176" s="7">
        <v>19917340</v>
      </c>
      <c r="H1176" s="7">
        <v>628.2183</v>
      </c>
      <c r="I1176" s="7">
        <v>627.12120000000004</v>
      </c>
      <c r="J1176" s="7">
        <v>14</v>
      </c>
      <c r="K1176" s="7">
        <v>2.2551187000000002E-3</v>
      </c>
      <c r="L1176" s="7">
        <v>629.63500685070005</v>
      </c>
      <c r="M1176" s="7">
        <v>625.70696724009997</v>
      </c>
      <c r="N1176" s="7">
        <v>629.20729411629998</v>
      </c>
      <c r="O1176" s="7">
        <v>629.63500685070005</v>
      </c>
      <c r="P1176" s="7">
        <v>625.70696724009997</v>
      </c>
      <c r="Q1176">
        <v>1</v>
      </c>
      <c r="R1176">
        <v>0</v>
      </c>
      <c r="S1176" s="11">
        <v>45861.666666666664</v>
      </c>
      <c r="T1176">
        <v>1282</v>
      </c>
    </row>
    <row r="1177" spans="1:20">
      <c r="A1177" s="11">
        <v>45861.520833333336</v>
      </c>
      <c r="B1177" s="11">
        <v>45861.541666666664</v>
      </c>
      <c r="C1177" s="10">
        <v>45861</v>
      </c>
      <c r="D1177" s="7">
        <v>630.1037</v>
      </c>
      <c r="E1177" s="7">
        <v>1786095</v>
      </c>
      <c r="F1177" s="7">
        <v>1786095</v>
      </c>
      <c r="G1177" s="7">
        <v>21703435</v>
      </c>
      <c r="H1177" s="7">
        <v>628.2183</v>
      </c>
      <c r="I1177" s="7">
        <v>627.12120000000004</v>
      </c>
      <c r="J1177" s="7">
        <v>14</v>
      </c>
      <c r="K1177" s="7">
        <v>2.6395556999999998E-3</v>
      </c>
      <c r="L1177" s="7">
        <v>629.87651720400004</v>
      </c>
      <c r="M1177" s="7">
        <v>625.46587865250001</v>
      </c>
      <c r="N1177" s="7">
        <v>629.28106428520005</v>
      </c>
      <c r="O1177" s="7">
        <v>629.87651720400004</v>
      </c>
      <c r="P1177" s="7">
        <v>625.46587865250001</v>
      </c>
      <c r="Q1177">
        <v>1</v>
      </c>
      <c r="R1177">
        <v>0</v>
      </c>
      <c r="S1177" s="11">
        <v>45861.666666666664</v>
      </c>
      <c r="T1177">
        <v>1281</v>
      </c>
    </row>
    <row r="1178" spans="1:20">
      <c r="A1178" s="11">
        <v>45861.541666666664</v>
      </c>
      <c r="B1178" s="11">
        <v>45861.5625</v>
      </c>
      <c r="C1178" s="10">
        <v>45861</v>
      </c>
      <c r="D1178" s="7">
        <v>630.36720000000003</v>
      </c>
      <c r="E1178" s="7">
        <v>1716419</v>
      </c>
      <c r="F1178" s="7">
        <v>1716419</v>
      </c>
      <c r="G1178" s="7">
        <v>23419854</v>
      </c>
      <c r="H1178" s="7">
        <v>628.2183</v>
      </c>
      <c r="I1178" s="7">
        <v>627.12120000000004</v>
      </c>
      <c r="J1178" s="7">
        <v>13</v>
      </c>
      <c r="K1178" s="7">
        <v>2.8271059000000002E-3</v>
      </c>
      <c r="L1178" s="7">
        <v>629.99433969239999</v>
      </c>
      <c r="M1178" s="7">
        <v>625.34826192560001</v>
      </c>
      <c r="N1178" s="7">
        <v>629.36066614690003</v>
      </c>
      <c r="O1178" s="7">
        <v>629.99433969239999</v>
      </c>
      <c r="P1178" s="7">
        <v>625.34826192560001</v>
      </c>
      <c r="Q1178">
        <v>1</v>
      </c>
      <c r="R1178">
        <v>0</v>
      </c>
      <c r="S1178" s="11">
        <v>45861.666666666664</v>
      </c>
      <c r="T1178">
        <v>1280</v>
      </c>
    </row>
    <row r="1179" spans="1:20">
      <c r="A1179" s="11">
        <v>45861.5625</v>
      </c>
      <c r="B1179" s="11">
        <v>45861.583333333336</v>
      </c>
      <c r="C1179" s="10">
        <v>45861</v>
      </c>
      <c r="D1179" s="7">
        <v>630.80600000000004</v>
      </c>
      <c r="E1179" s="7">
        <v>3651213</v>
      </c>
      <c r="F1179" s="7">
        <v>3651213</v>
      </c>
      <c r="G1179" s="7">
        <v>27071067</v>
      </c>
      <c r="H1179" s="7">
        <v>628.2183</v>
      </c>
      <c r="I1179" s="7">
        <v>627.12120000000004</v>
      </c>
      <c r="J1179" s="7">
        <v>13</v>
      </c>
      <c r="K1179" s="7">
        <v>2.7433961E-3</v>
      </c>
      <c r="L1179" s="7">
        <v>629.94175165659999</v>
      </c>
      <c r="M1179" s="7">
        <v>625.40075812329997</v>
      </c>
      <c r="N1179" s="7">
        <v>629.5556057018</v>
      </c>
      <c r="O1179" s="7">
        <v>629.94175165659999</v>
      </c>
      <c r="P1179" s="7">
        <v>625.40075812329997</v>
      </c>
      <c r="Q1179">
        <v>1</v>
      </c>
      <c r="R1179">
        <v>0</v>
      </c>
      <c r="S1179" s="11">
        <v>45861.666666666664</v>
      </c>
      <c r="T1179">
        <v>1279</v>
      </c>
    </row>
    <row r="1180" spans="1:20">
      <c r="A1180" s="11">
        <v>45861.583333333336</v>
      </c>
      <c r="B1180" s="11">
        <v>45861.604166666664</v>
      </c>
      <c r="C1180" s="10">
        <v>45861</v>
      </c>
      <c r="D1180" s="7">
        <v>631.4941</v>
      </c>
      <c r="E1180" s="7">
        <v>3025062</v>
      </c>
      <c r="F1180" s="7">
        <v>3025062</v>
      </c>
      <c r="G1180" s="7">
        <v>30096129</v>
      </c>
      <c r="H1180" s="7">
        <v>628.2183</v>
      </c>
      <c r="I1180" s="7">
        <v>627.12120000000004</v>
      </c>
      <c r="J1180" s="7">
        <v>13</v>
      </c>
      <c r="K1180" s="7">
        <v>3.0095094000000002E-3</v>
      </c>
      <c r="L1180" s="7">
        <v>630.10892887329999</v>
      </c>
      <c r="M1180" s="7">
        <v>625.23387285939998</v>
      </c>
      <c r="N1180" s="7">
        <v>629.75045020949995</v>
      </c>
      <c r="O1180" s="7">
        <v>630.10892887329999</v>
      </c>
      <c r="P1180" s="7">
        <v>625.23387285939998</v>
      </c>
      <c r="Q1180">
        <v>1</v>
      </c>
      <c r="R1180">
        <v>0</v>
      </c>
      <c r="S1180" s="11">
        <v>45861.666666666664</v>
      </c>
      <c r="T1180">
        <v>1278</v>
      </c>
    </row>
    <row r="1181" spans="1:20">
      <c r="A1181" s="11">
        <v>45861.604166666664</v>
      </c>
      <c r="B1181" s="11">
        <v>45861.625</v>
      </c>
      <c r="C1181" s="10">
        <v>45861</v>
      </c>
      <c r="D1181" s="7">
        <v>631.52909999999997</v>
      </c>
      <c r="E1181" s="7">
        <v>2164560</v>
      </c>
      <c r="F1181" s="7">
        <v>2164560</v>
      </c>
      <c r="G1181" s="7">
        <v>32260689</v>
      </c>
      <c r="H1181" s="7">
        <v>628.2183</v>
      </c>
      <c r="I1181" s="7">
        <v>627.12120000000004</v>
      </c>
      <c r="J1181" s="7">
        <v>13</v>
      </c>
      <c r="K1181" s="7">
        <v>3.1205630999999998E-3</v>
      </c>
      <c r="L1181" s="7">
        <v>630.17869486059999</v>
      </c>
      <c r="M1181" s="7">
        <v>625.16422870919996</v>
      </c>
      <c r="N1181" s="7">
        <v>629.86979032010004</v>
      </c>
      <c r="O1181" s="7">
        <v>630.17869486059999</v>
      </c>
      <c r="P1181" s="7">
        <v>625.16422870919996</v>
      </c>
      <c r="Q1181">
        <v>1</v>
      </c>
      <c r="R1181">
        <v>0</v>
      </c>
      <c r="S1181" s="11">
        <v>45861.666666666664</v>
      </c>
      <c r="T1181">
        <v>1277</v>
      </c>
    </row>
    <row r="1182" spans="1:20">
      <c r="A1182" s="11">
        <v>45861.625</v>
      </c>
      <c r="B1182" s="11">
        <v>45861.645833333336</v>
      </c>
      <c r="C1182" s="10">
        <v>45861</v>
      </c>
      <c r="D1182" s="7">
        <v>631.58889999999997</v>
      </c>
      <c r="E1182" s="7">
        <v>3279362</v>
      </c>
      <c r="F1182" s="7">
        <v>3279362</v>
      </c>
      <c r="G1182" s="7">
        <v>35540051</v>
      </c>
      <c r="H1182" s="7">
        <v>628.2183</v>
      </c>
      <c r="I1182" s="7">
        <v>627.12120000000004</v>
      </c>
      <c r="J1182" s="7">
        <v>13</v>
      </c>
      <c r="K1182" s="7">
        <v>3.1535006999999999E-3</v>
      </c>
      <c r="L1182" s="7">
        <v>630.19938686739999</v>
      </c>
      <c r="M1182" s="7">
        <v>625.14357283820004</v>
      </c>
      <c r="N1182" s="7">
        <v>630.02841651220001</v>
      </c>
      <c r="O1182" s="7">
        <v>630.19938686739999</v>
      </c>
      <c r="P1182" s="7">
        <v>625.14357283820004</v>
      </c>
      <c r="Q1182">
        <v>1</v>
      </c>
      <c r="R1182">
        <v>0</v>
      </c>
      <c r="S1182" s="11">
        <v>45861.666666666664</v>
      </c>
      <c r="T1182">
        <v>1276</v>
      </c>
    </row>
    <row r="1183" spans="1:20">
      <c r="A1183" s="11">
        <v>45861.645833333336</v>
      </c>
      <c r="B1183" s="11">
        <v>45861.666666666664</v>
      </c>
      <c r="C1183" s="10">
        <v>45861</v>
      </c>
      <c r="D1183" s="7">
        <v>632.45650000000001</v>
      </c>
      <c r="E1183" s="7">
        <v>8179336</v>
      </c>
      <c r="F1183" s="7">
        <v>8179336</v>
      </c>
      <c r="G1183" s="7">
        <v>43719387</v>
      </c>
      <c r="H1183" s="7">
        <v>628.2183</v>
      </c>
      <c r="I1183" s="7">
        <v>627.12120000000004</v>
      </c>
      <c r="J1183" s="7">
        <v>13</v>
      </c>
      <c r="K1183" s="7">
        <v>3.1078727E-3</v>
      </c>
      <c r="L1183" s="7">
        <v>630.17072247780004</v>
      </c>
      <c r="M1183" s="7">
        <v>625.17218716929995</v>
      </c>
      <c r="N1183" s="7">
        <v>630.48267975889996</v>
      </c>
      <c r="O1183" s="7">
        <v>630.48267975889996</v>
      </c>
      <c r="P1183" s="7">
        <v>625.17218716929995</v>
      </c>
      <c r="Q1183">
        <v>1</v>
      </c>
      <c r="R1183">
        <v>1</v>
      </c>
      <c r="S1183" s="11">
        <v>45861.666666666664</v>
      </c>
      <c r="T1183">
        <v>1275</v>
      </c>
    </row>
    <row r="1184" spans="1:20">
      <c r="A1184" s="11">
        <v>45862.395833333336</v>
      </c>
      <c r="B1184" s="11">
        <v>45862.416666666664</v>
      </c>
      <c r="C1184" s="10">
        <v>45862</v>
      </c>
      <c r="D1184" s="7">
        <v>633.35400000000004</v>
      </c>
      <c r="E1184" s="7">
        <v>5422138</v>
      </c>
      <c r="F1184" s="7">
        <v>5422138</v>
      </c>
      <c r="G1184" s="7">
        <v>5422138</v>
      </c>
      <c r="H1184" s="7">
        <v>633.35400000000004</v>
      </c>
      <c r="I1184" s="7">
        <v>632.45640000000003</v>
      </c>
      <c r="J1184" s="7">
        <v>14</v>
      </c>
      <c r="K1184" s="7">
        <v>0</v>
      </c>
      <c r="L1184" s="7">
        <v>633.35400000000004</v>
      </c>
      <c r="M1184" s="7">
        <v>632.45640000000003</v>
      </c>
      <c r="N1184" s="7">
        <v>633.35400000000004</v>
      </c>
      <c r="O1184" s="7">
        <v>633.35400000000004</v>
      </c>
      <c r="P1184" s="7">
        <v>632.45640000000003</v>
      </c>
      <c r="Q1184">
        <v>1</v>
      </c>
      <c r="R1184">
        <v>0</v>
      </c>
      <c r="S1184" s="11">
        <v>45862.666666666664</v>
      </c>
      <c r="T1184">
        <v>1273</v>
      </c>
    </row>
    <row r="1185" spans="1:20">
      <c r="A1185" s="11">
        <v>45862.416666666664</v>
      </c>
      <c r="B1185" s="11">
        <v>45862.4375</v>
      </c>
      <c r="C1185" s="10">
        <v>45862</v>
      </c>
      <c r="D1185" s="7">
        <v>633.04489999999998</v>
      </c>
      <c r="E1185" s="7">
        <v>3919871</v>
      </c>
      <c r="F1185" s="7">
        <v>3919871</v>
      </c>
      <c r="G1185" s="7">
        <v>9342009</v>
      </c>
      <c r="H1185" s="7">
        <v>633.35400000000004</v>
      </c>
      <c r="I1185" s="7">
        <v>632.45640000000003</v>
      </c>
      <c r="J1185" s="7">
        <v>14</v>
      </c>
      <c r="K1185" s="7">
        <v>9.8921149999999999E-4</v>
      </c>
      <c r="L1185" s="7">
        <v>633.98052108110005</v>
      </c>
      <c r="M1185" s="7">
        <v>631.83076683520005</v>
      </c>
      <c r="N1185" s="7">
        <v>633.22430283040001</v>
      </c>
      <c r="O1185" s="7">
        <v>633.98052108110005</v>
      </c>
      <c r="P1185" s="7">
        <v>631.83076683520005</v>
      </c>
      <c r="Q1185">
        <v>1</v>
      </c>
      <c r="R1185">
        <v>0</v>
      </c>
      <c r="S1185" s="11">
        <v>45862.666666666664</v>
      </c>
      <c r="T1185">
        <v>1272</v>
      </c>
    </row>
    <row r="1186" spans="1:20">
      <c r="A1186" s="11">
        <v>45862.4375</v>
      </c>
      <c r="B1186" s="11">
        <v>45862.458333333336</v>
      </c>
      <c r="C1186" s="10">
        <v>45862</v>
      </c>
      <c r="D1186" s="7">
        <v>633.7722</v>
      </c>
      <c r="E1186" s="7">
        <v>2717004</v>
      </c>
      <c r="F1186" s="7">
        <v>2717004</v>
      </c>
      <c r="G1186" s="7">
        <v>12059013</v>
      </c>
      <c r="H1186" s="7">
        <v>633.35400000000004</v>
      </c>
      <c r="I1186" s="7">
        <v>632.45640000000003</v>
      </c>
      <c r="J1186" s="7">
        <v>14</v>
      </c>
      <c r="K1186" s="7">
        <v>1.686035E-3</v>
      </c>
      <c r="L1186" s="7">
        <v>634.42185698900005</v>
      </c>
      <c r="M1186" s="7">
        <v>631.39005639599998</v>
      </c>
      <c r="N1186" s="7">
        <v>633.34774898650005</v>
      </c>
      <c r="O1186" s="7">
        <v>634.42185698900005</v>
      </c>
      <c r="P1186" s="7">
        <v>631.39005639599998</v>
      </c>
      <c r="Q1186">
        <v>1</v>
      </c>
      <c r="R1186">
        <v>0</v>
      </c>
      <c r="S1186" s="11">
        <v>45862.666666666664</v>
      </c>
      <c r="T1186">
        <v>1271</v>
      </c>
    </row>
    <row r="1187" spans="1:20">
      <c r="A1187" s="11">
        <v>45862.458333333336</v>
      </c>
      <c r="B1187" s="11">
        <v>45862.479166666664</v>
      </c>
      <c r="C1187" s="10">
        <v>45862</v>
      </c>
      <c r="D1187" s="7">
        <v>633.77779999999996</v>
      </c>
      <c r="E1187" s="7">
        <v>2844013</v>
      </c>
      <c r="F1187" s="7">
        <v>2844013</v>
      </c>
      <c r="G1187" s="7">
        <v>14903026</v>
      </c>
      <c r="H1187" s="7">
        <v>633.35400000000004</v>
      </c>
      <c r="I1187" s="7">
        <v>632.45640000000003</v>
      </c>
      <c r="J1187" s="7">
        <v>14</v>
      </c>
      <c r="K1187" s="7">
        <v>1.7300195999999999E-3</v>
      </c>
      <c r="L1187" s="7">
        <v>634.44971485600001</v>
      </c>
      <c r="M1187" s="7">
        <v>631.36223800959999</v>
      </c>
      <c r="N1187" s="7">
        <v>633.42981759949998</v>
      </c>
      <c r="O1187" s="7">
        <v>634.44971485600001</v>
      </c>
      <c r="P1187" s="7">
        <v>631.36223800959999</v>
      </c>
      <c r="Q1187">
        <v>1</v>
      </c>
      <c r="R1187">
        <v>0</v>
      </c>
      <c r="S1187" s="11">
        <v>45862.666666666664</v>
      </c>
      <c r="T1187">
        <v>1270</v>
      </c>
    </row>
    <row r="1188" spans="1:20">
      <c r="A1188" s="11">
        <v>45862.479166666664</v>
      </c>
      <c r="B1188" s="11">
        <v>45862.5</v>
      </c>
      <c r="C1188" s="10">
        <v>45862</v>
      </c>
      <c r="D1188" s="7">
        <v>633.75350000000003</v>
      </c>
      <c r="E1188" s="7">
        <v>2032835</v>
      </c>
      <c r="F1188" s="7">
        <v>2032835</v>
      </c>
      <c r="G1188" s="7">
        <v>16935861</v>
      </c>
      <c r="H1188" s="7">
        <v>633.35400000000004</v>
      </c>
      <c r="I1188" s="7">
        <v>632.45640000000003</v>
      </c>
      <c r="J1188" s="7">
        <v>14</v>
      </c>
      <c r="K1188" s="7">
        <v>1.9568586999999999E-3</v>
      </c>
      <c r="L1188" s="7">
        <v>634.59338427449995</v>
      </c>
      <c r="M1188" s="7">
        <v>631.21877220190004</v>
      </c>
      <c r="N1188" s="7">
        <v>633.46866964909998</v>
      </c>
      <c r="O1188" s="7">
        <v>634.59338427449995</v>
      </c>
      <c r="P1188" s="7">
        <v>631.21877220190004</v>
      </c>
      <c r="Q1188">
        <v>1</v>
      </c>
      <c r="R1188">
        <v>0</v>
      </c>
      <c r="S1188" s="11">
        <v>45862.666666666664</v>
      </c>
      <c r="T1188">
        <v>1269</v>
      </c>
    </row>
    <row r="1189" spans="1:20">
      <c r="A1189" s="11">
        <v>45862.5</v>
      </c>
      <c r="B1189" s="11">
        <v>45862.520833333336</v>
      </c>
      <c r="C1189" s="10">
        <v>45862</v>
      </c>
      <c r="D1189" s="7">
        <v>632.79549999999995</v>
      </c>
      <c r="E1189" s="7">
        <v>2809710</v>
      </c>
      <c r="F1189" s="7">
        <v>2809710</v>
      </c>
      <c r="G1189" s="7">
        <v>19745571</v>
      </c>
      <c r="H1189" s="7">
        <v>633.35400000000004</v>
      </c>
      <c r="I1189" s="7">
        <v>632.45640000000003</v>
      </c>
      <c r="J1189" s="7">
        <v>14</v>
      </c>
      <c r="K1189" s="7">
        <v>2.2360815000000002E-3</v>
      </c>
      <c r="L1189" s="7">
        <v>634.77023114329995</v>
      </c>
      <c r="M1189" s="7">
        <v>631.04217596349997</v>
      </c>
      <c r="N1189" s="7">
        <v>633.37288049749998</v>
      </c>
      <c r="O1189" s="7">
        <v>634.77023114329995</v>
      </c>
      <c r="P1189" s="7">
        <v>631.04217596349997</v>
      </c>
      <c r="Q1189">
        <v>1</v>
      </c>
      <c r="R1189">
        <v>0</v>
      </c>
      <c r="S1189" s="11">
        <v>45862.666666666664</v>
      </c>
      <c r="T1189">
        <v>1268</v>
      </c>
    </row>
    <row r="1190" spans="1:20">
      <c r="A1190" s="11">
        <v>45862.520833333336</v>
      </c>
      <c r="B1190" s="11">
        <v>45862.541666666664</v>
      </c>
      <c r="C1190" s="10">
        <v>45862</v>
      </c>
      <c r="D1190" s="7">
        <v>633.12959999999998</v>
      </c>
      <c r="E1190" s="7">
        <v>2303804</v>
      </c>
      <c r="F1190" s="7">
        <v>2303804</v>
      </c>
      <c r="G1190" s="7">
        <v>22049375</v>
      </c>
      <c r="H1190" s="7">
        <v>633.35400000000004</v>
      </c>
      <c r="I1190" s="7">
        <v>632.45640000000003</v>
      </c>
      <c r="J1190" s="7">
        <v>14</v>
      </c>
      <c r="K1190" s="7">
        <v>2.5937590000000002E-3</v>
      </c>
      <c r="L1190" s="7">
        <v>634.99676762110005</v>
      </c>
      <c r="M1190" s="7">
        <v>630.81596053689998</v>
      </c>
      <c r="N1190" s="7">
        <v>633.34746160999998</v>
      </c>
      <c r="O1190" s="7">
        <v>634.99676762110005</v>
      </c>
      <c r="P1190" s="7">
        <v>630.81596053689998</v>
      </c>
      <c r="Q1190">
        <v>1</v>
      </c>
      <c r="R1190">
        <v>0</v>
      </c>
      <c r="S1190" s="11">
        <v>45862.666666666664</v>
      </c>
      <c r="T1190">
        <v>1267</v>
      </c>
    </row>
    <row r="1191" spans="1:20">
      <c r="A1191" s="11">
        <v>45862.541666666664</v>
      </c>
      <c r="B1191" s="11">
        <v>45862.5625</v>
      </c>
      <c r="C1191" s="10">
        <v>45862</v>
      </c>
      <c r="D1191" s="7">
        <v>633.60329999999999</v>
      </c>
      <c r="E1191" s="7">
        <v>2556259</v>
      </c>
      <c r="F1191" s="7">
        <v>2556259</v>
      </c>
      <c r="G1191" s="7">
        <v>24605634</v>
      </c>
      <c r="H1191" s="7">
        <v>633.35400000000004</v>
      </c>
      <c r="I1191" s="7">
        <v>632.45640000000003</v>
      </c>
      <c r="J1191" s="7">
        <v>13</v>
      </c>
      <c r="K1191" s="7">
        <v>2.820435E-3</v>
      </c>
      <c r="L1191" s="7">
        <v>635.14033378279998</v>
      </c>
      <c r="M1191" s="7">
        <v>630.67259783960003</v>
      </c>
      <c r="N1191" s="7">
        <v>633.37404044909999</v>
      </c>
      <c r="O1191" s="7">
        <v>635.14033378279998</v>
      </c>
      <c r="P1191" s="7">
        <v>630.67259783960003</v>
      </c>
      <c r="Q1191">
        <v>1</v>
      </c>
      <c r="R1191">
        <v>0</v>
      </c>
      <c r="S1191" s="11">
        <v>45862.666666666664</v>
      </c>
      <c r="T1191">
        <v>1266</v>
      </c>
    </row>
    <row r="1192" spans="1:20">
      <c r="A1192" s="11">
        <v>45862.5625</v>
      </c>
      <c r="B1192" s="11">
        <v>45862.583333333336</v>
      </c>
      <c r="C1192" s="10">
        <v>45862</v>
      </c>
      <c r="D1192" s="7">
        <v>633.49860000000001</v>
      </c>
      <c r="E1192" s="7">
        <v>1711849</v>
      </c>
      <c r="F1192" s="7">
        <v>1711849</v>
      </c>
      <c r="G1192" s="7">
        <v>26317483</v>
      </c>
      <c r="H1192" s="7">
        <v>633.35400000000004</v>
      </c>
      <c r="I1192" s="7">
        <v>632.45640000000003</v>
      </c>
      <c r="J1192" s="7">
        <v>13</v>
      </c>
      <c r="K1192" s="7">
        <v>2.7923290000000001E-3</v>
      </c>
      <c r="L1192" s="7">
        <v>635.12253275959995</v>
      </c>
      <c r="M1192" s="7">
        <v>630.69037363489997</v>
      </c>
      <c r="N1192" s="7">
        <v>633.38214255909998</v>
      </c>
      <c r="O1192" s="7">
        <v>635.12253275959995</v>
      </c>
      <c r="P1192" s="7">
        <v>630.69037363489997</v>
      </c>
      <c r="Q1192">
        <v>1</v>
      </c>
      <c r="R1192">
        <v>0</v>
      </c>
      <c r="S1192" s="11">
        <v>45862.666666666664</v>
      </c>
      <c r="T1192">
        <v>1265</v>
      </c>
    </row>
    <row r="1193" spans="1:20">
      <c r="A1193" s="11">
        <v>45862.583333333336</v>
      </c>
      <c r="B1193" s="11">
        <v>45862.604166666664</v>
      </c>
      <c r="C1193" s="10">
        <v>45862</v>
      </c>
      <c r="D1193" s="7">
        <v>634.0222</v>
      </c>
      <c r="E1193" s="7">
        <v>4693326</v>
      </c>
      <c r="F1193" s="7">
        <v>4693326</v>
      </c>
      <c r="G1193" s="7">
        <v>31010809</v>
      </c>
      <c r="H1193" s="7">
        <v>633.35400000000004</v>
      </c>
      <c r="I1193" s="7">
        <v>632.45640000000003</v>
      </c>
      <c r="J1193" s="7">
        <v>13</v>
      </c>
      <c r="K1193" s="7">
        <v>3.1252411E-3</v>
      </c>
      <c r="L1193" s="7">
        <v>635.33338393700001</v>
      </c>
      <c r="M1193" s="7">
        <v>630.47982127939997</v>
      </c>
      <c r="N1193" s="7">
        <v>633.4790119516</v>
      </c>
      <c r="O1193" s="7">
        <v>635.33338393700001</v>
      </c>
      <c r="P1193" s="7">
        <v>630.47982127939997</v>
      </c>
      <c r="Q1193">
        <v>1</v>
      </c>
      <c r="R1193">
        <v>0</v>
      </c>
      <c r="S1193" s="11">
        <v>45862.666666666664</v>
      </c>
      <c r="T1193">
        <v>1264</v>
      </c>
    </row>
    <row r="1194" spans="1:20">
      <c r="A1194" s="11">
        <v>45862.604166666664</v>
      </c>
      <c r="B1194" s="11">
        <v>45862.625</v>
      </c>
      <c r="C1194" s="10">
        <v>45862</v>
      </c>
      <c r="D1194" s="7">
        <v>633.43380000000002</v>
      </c>
      <c r="E1194" s="7">
        <v>3913417</v>
      </c>
      <c r="F1194" s="7">
        <v>3913417</v>
      </c>
      <c r="G1194" s="7">
        <v>34924226</v>
      </c>
      <c r="H1194" s="7">
        <v>633.35400000000004</v>
      </c>
      <c r="I1194" s="7">
        <v>632.45640000000003</v>
      </c>
      <c r="J1194" s="7">
        <v>13</v>
      </c>
      <c r="K1194" s="7">
        <v>3.2084663000000002E-3</v>
      </c>
      <c r="L1194" s="7">
        <v>635.38609497719995</v>
      </c>
      <c r="M1194" s="7">
        <v>630.42718494220003</v>
      </c>
      <c r="N1194" s="7">
        <v>633.4739457485</v>
      </c>
      <c r="O1194" s="7">
        <v>635.38609497719995</v>
      </c>
      <c r="P1194" s="7">
        <v>630.42718494220003</v>
      </c>
      <c r="Q1194">
        <v>1</v>
      </c>
      <c r="R1194">
        <v>0</v>
      </c>
      <c r="S1194" s="11">
        <v>45862.666666666664</v>
      </c>
      <c r="T1194">
        <v>1263</v>
      </c>
    </row>
    <row r="1195" spans="1:20">
      <c r="A1195" s="11">
        <v>45862.625</v>
      </c>
      <c r="B1195" s="11">
        <v>45862.645833333336</v>
      </c>
      <c r="C1195" s="10">
        <v>45862</v>
      </c>
      <c r="D1195" s="7">
        <v>633.69309999999996</v>
      </c>
      <c r="E1195" s="7">
        <v>3064511</v>
      </c>
      <c r="F1195" s="7">
        <v>3064511</v>
      </c>
      <c r="G1195" s="7">
        <v>37988737</v>
      </c>
      <c r="H1195" s="7">
        <v>633.35400000000004</v>
      </c>
      <c r="I1195" s="7">
        <v>632.45640000000003</v>
      </c>
      <c r="J1195" s="7">
        <v>13</v>
      </c>
      <c r="K1195" s="7">
        <v>3.2634087E-3</v>
      </c>
      <c r="L1195" s="7">
        <v>635.42089298170004</v>
      </c>
      <c r="M1195" s="7">
        <v>630.39243625400002</v>
      </c>
      <c r="N1195" s="7">
        <v>633.49162468889995</v>
      </c>
      <c r="O1195" s="7">
        <v>635.42089298170004</v>
      </c>
      <c r="P1195" s="7">
        <v>630.39243625400002</v>
      </c>
      <c r="Q1195">
        <v>1</v>
      </c>
      <c r="R1195">
        <v>0</v>
      </c>
      <c r="S1195" s="11">
        <v>45862.666666666664</v>
      </c>
      <c r="T1195">
        <v>1262</v>
      </c>
    </row>
    <row r="1196" spans="1:20">
      <c r="A1196" s="11">
        <v>45862.645833333336</v>
      </c>
      <c r="B1196" s="11">
        <v>45862.666666666664</v>
      </c>
      <c r="C1196" s="10">
        <v>45862</v>
      </c>
      <c r="D1196" s="7">
        <v>632.66589999999997</v>
      </c>
      <c r="E1196" s="7">
        <v>9992125</v>
      </c>
      <c r="F1196" s="7">
        <v>9992125</v>
      </c>
      <c r="G1196" s="7">
        <v>47980862</v>
      </c>
      <c r="H1196" s="7">
        <v>633.35400000000004</v>
      </c>
      <c r="I1196" s="7">
        <v>632.45640000000003</v>
      </c>
      <c r="J1196" s="7">
        <v>13</v>
      </c>
      <c r="K1196" s="7">
        <v>3.2342831000000002E-3</v>
      </c>
      <c r="L1196" s="7">
        <v>635.40244613489995</v>
      </c>
      <c r="M1196" s="7">
        <v>630.4108569576</v>
      </c>
      <c r="N1196" s="7">
        <v>633.31966562100001</v>
      </c>
      <c r="O1196" s="7">
        <v>635.40244613489995</v>
      </c>
      <c r="P1196" s="7">
        <v>630.4108569576</v>
      </c>
      <c r="Q1196">
        <v>1</v>
      </c>
      <c r="R1196">
        <v>1</v>
      </c>
      <c r="S1196" s="11">
        <v>45862.666666666664</v>
      </c>
      <c r="T1196">
        <v>1261</v>
      </c>
    </row>
    <row r="1197" spans="1:20">
      <c r="A1197" s="11">
        <v>45863.395833333336</v>
      </c>
      <c r="B1197" s="11">
        <v>45863.416666666664</v>
      </c>
      <c r="C1197" s="10">
        <v>45863</v>
      </c>
      <c r="D1197" s="7">
        <v>633.53340000000003</v>
      </c>
      <c r="E1197" s="7">
        <v>3906476</v>
      </c>
      <c r="F1197" s="7">
        <v>3906476</v>
      </c>
      <c r="G1197" s="7">
        <v>3906476</v>
      </c>
      <c r="H1197" s="7">
        <v>633.53340000000003</v>
      </c>
      <c r="I1197" s="7">
        <v>632.66579999999999</v>
      </c>
      <c r="J1197" s="7">
        <v>14</v>
      </c>
      <c r="K1197" s="7">
        <v>0</v>
      </c>
      <c r="L1197" s="7">
        <v>633.53340000000003</v>
      </c>
      <c r="M1197" s="7">
        <v>632.66579999999999</v>
      </c>
      <c r="N1197" s="7">
        <v>633.53340000000003</v>
      </c>
      <c r="O1197" s="7">
        <v>633.53340000000003</v>
      </c>
      <c r="P1197" s="7">
        <v>632.66579999999999</v>
      </c>
      <c r="Q1197">
        <v>1</v>
      </c>
      <c r="R1197">
        <v>0</v>
      </c>
      <c r="S1197" s="11">
        <v>45863.666666666664</v>
      </c>
      <c r="T1197">
        <v>1259</v>
      </c>
    </row>
    <row r="1198" spans="1:20">
      <c r="A1198" s="11">
        <v>45863.416666666664</v>
      </c>
      <c r="B1198" s="11">
        <v>45863.4375</v>
      </c>
      <c r="C1198" s="10">
        <v>45863</v>
      </c>
      <c r="D1198" s="7">
        <v>633.73789999999997</v>
      </c>
      <c r="E1198" s="7">
        <v>2703028</v>
      </c>
      <c r="F1198" s="7">
        <v>2703028</v>
      </c>
      <c r="G1198" s="7">
        <v>6609504</v>
      </c>
      <c r="H1198" s="7">
        <v>633.53340000000003</v>
      </c>
      <c r="I1198" s="7">
        <v>632.66579999999999</v>
      </c>
      <c r="J1198" s="7">
        <v>14</v>
      </c>
      <c r="K1198" s="7">
        <v>9.3824420000000004E-4</v>
      </c>
      <c r="L1198" s="7">
        <v>634.12780903630005</v>
      </c>
      <c r="M1198" s="7">
        <v>632.07220498430001</v>
      </c>
      <c r="N1198" s="7">
        <v>633.61703248230003</v>
      </c>
      <c r="O1198" s="7">
        <v>634.12780903630005</v>
      </c>
      <c r="P1198" s="7">
        <v>632.07220498430001</v>
      </c>
      <c r="Q1198">
        <v>1</v>
      </c>
      <c r="R1198">
        <v>0</v>
      </c>
      <c r="S1198" s="11">
        <v>45863.666666666664</v>
      </c>
      <c r="T1198">
        <v>1258</v>
      </c>
    </row>
    <row r="1199" spans="1:20">
      <c r="A1199" s="11">
        <v>45863.4375</v>
      </c>
      <c r="B1199" s="11">
        <v>45863.458333333336</v>
      </c>
      <c r="C1199" s="10">
        <v>45863</v>
      </c>
      <c r="D1199" s="7">
        <v>634.06200000000001</v>
      </c>
      <c r="E1199" s="7">
        <v>2946749</v>
      </c>
      <c r="F1199" s="7">
        <v>2946749</v>
      </c>
      <c r="G1199" s="7">
        <v>9556253</v>
      </c>
      <c r="H1199" s="7">
        <v>633.53340000000003</v>
      </c>
      <c r="I1199" s="7">
        <v>632.66579999999999</v>
      </c>
      <c r="J1199" s="7">
        <v>14</v>
      </c>
      <c r="K1199" s="7">
        <v>1.6119050000000001E-3</v>
      </c>
      <c r="L1199" s="7">
        <v>634.55459562470003</v>
      </c>
      <c r="M1199" s="7">
        <v>631.64600286400002</v>
      </c>
      <c r="N1199" s="7">
        <v>633.75424186630005</v>
      </c>
      <c r="O1199" s="7">
        <v>634.55459562470003</v>
      </c>
      <c r="P1199" s="7">
        <v>631.64600286400002</v>
      </c>
      <c r="Q1199">
        <v>1</v>
      </c>
      <c r="R1199">
        <v>0</v>
      </c>
      <c r="S1199" s="11">
        <v>45863.666666666664</v>
      </c>
      <c r="T1199">
        <v>1257</v>
      </c>
    </row>
    <row r="1200" spans="1:20">
      <c r="A1200" s="11">
        <v>45863.458333333336</v>
      </c>
      <c r="B1200" s="11">
        <v>45863.479166666664</v>
      </c>
      <c r="C1200" s="10">
        <v>45863</v>
      </c>
      <c r="D1200" s="7">
        <v>634.22659999999996</v>
      </c>
      <c r="E1200" s="7">
        <v>1767047</v>
      </c>
      <c r="F1200" s="7">
        <v>1767047</v>
      </c>
      <c r="G1200" s="7">
        <v>11323300</v>
      </c>
      <c r="H1200" s="7">
        <v>633.53340000000003</v>
      </c>
      <c r="I1200" s="7">
        <v>632.66579999999999</v>
      </c>
      <c r="J1200" s="7">
        <v>14</v>
      </c>
      <c r="K1200" s="7">
        <v>1.6462173000000001E-3</v>
      </c>
      <c r="L1200" s="7">
        <v>634.57633366799996</v>
      </c>
      <c r="M1200" s="7">
        <v>631.62429459010002</v>
      </c>
      <c r="N1200" s="7">
        <v>633.82795527339999</v>
      </c>
      <c r="O1200" s="7">
        <v>634.57633366799996</v>
      </c>
      <c r="P1200" s="7">
        <v>631.62429459010002</v>
      </c>
      <c r="Q1200">
        <v>1</v>
      </c>
      <c r="R1200">
        <v>0</v>
      </c>
      <c r="S1200" s="11">
        <v>45863.666666666664</v>
      </c>
      <c r="T1200">
        <v>1256</v>
      </c>
    </row>
    <row r="1201" spans="1:20">
      <c r="A1201" s="11">
        <v>45863.479166666664</v>
      </c>
      <c r="B1201" s="11">
        <v>45863.5</v>
      </c>
      <c r="C1201" s="10">
        <v>45863</v>
      </c>
      <c r="D1201" s="7">
        <v>634.16669999999999</v>
      </c>
      <c r="E1201" s="7">
        <v>1557555</v>
      </c>
      <c r="F1201" s="7">
        <v>1557555</v>
      </c>
      <c r="G1201" s="7">
        <v>12880855</v>
      </c>
      <c r="H1201" s="7">
        <v>633.53340000000003</v>
      </c>
      <c r="I1201" s="7">
        <v>632.66579999999999</v>
      </c>
      <c r="J1201" s="7">
        <v>14</v>
      </c>
      <c r="K1201" s="7">
        <v>1.8125317000000001E-3</v>
      </c>
      <c r="L1201" s="7">
        <v>634.68169940049995</v>
      </c>
      <c r="M1201" s="7">
        <v>631.51907315200003</v>
      </c>
      <c r="N1201" s="7">
        <v>633.86891633870005</v>
      </c>
      <c r="O1201" s="7">
        <v>634.68169940049995</v>
      </c>
      <c r="P1201" s="7">
        <v>631.51907315200003</v>
      </c>
      <c r="Q1201">
        <v>1</v>
      </c>
      <c r="R1201">
        <v>0</v>
      </c>
      <c r="S1201" s="11">
        <v>45863.666666666664</v>
      </c>
      <c r="T1201">
        <v>1255</v>
      </c>
    </row>
    <row r="1202" spans="1:20">
      <c r="A1202" s="11">
        <v>45863.5</v>
      </c>
      <c r="B1202" s="11">
        <v>45863.520833333336</v>
      </c>
      <c r="C1202" s="10">
        <v>45863</v>
      </c>
      <c r="D1202" s="7">
        <v>635.00450000000001</v>
      </c>
      <c r="E1202" s="7">
        <v>3043085</v>
      </c>
      <c r="F1202" s="7">
        <v>3043085</v>
      </c>
      <c r="G1202" s="7">
        <v>15923940</v>
      </c>
      <c r="H1202" s="7">
        <v>633.53340000000003</v>
      </c>
      <c r="I1202" s="7">
        <v>632.66579999999999</v>
      </c>
      <c r="J1202" s="7">
        <v>14</v>
      </c>
      <c r="K1202" s="7">
        <v>2.1279990999999998E-3</v>
      </c>
      <c r="L1202" s="7">
        <v>634.88155851819999</v>
      </c>
      <c r="M1202" s="7">
        <v>631.31948773390002</v>
      </c>
      <c r="N1202" s="7">
        <v>634.08592780740003</v>
      </c>
      <c r="O1202" s="7">
        <v>634.88155851819999</v>
      </c>
      <c r="P1202" s="7">
        <v>631.31948773390002</v>
      </c>
      <c r="Q1202">
        <v>1</v>
      </c>
      <c r="R1202">
        <v>0</v>
      </c>
      <c r="S1202" s="11">
        <v>45863.666666666664</v>
      </c>
      <c r="T1202">
        <v>1254</v>
      </c>
    </row>
    <row r="1203" spans="1:20">
      <c r="A1203" s="11">
        <v>45863.520833333336</v>
      </c>
      <c r="B1203" s="11">
        <v>45863.541666666664</v>
      </c>
      <c r="C1203" s="10">
        <v>45863</v>
      </c>
      <c r="D1203" s="7">
        <v>635.08420000000001</v>
      </c>
      <c r="E1203" s="7">
        <v>1826380</v>
      </c>
      <c r="F1203" s="7">
        <v>1826380</v>
      </c>
      <c r="G1203" s="7">
        <v>17750320</v>
      </c>
      <c r="H1203" s="7">
        <v>633.53340000000003</v>
      </c>
      <c r="I1203" s="7">
        <v>632.66579999999999</v>
      </c>
      <c r="J1203" s="7">
        <v>14</v>
      </c>
      <c r="K1203" s="7">
        <v>2.4931942999999999E-3</v>
      </c>
      <c r="L1203" s="7">
        <v>635.11292187519996</v>
      </c>
      <c r="M1203" s="7">
        <v>631.08844122020002</v>
      </c>
      <c r="N1203" s="7">
        <v>634.18864282139998</v>
      </c>
      <c r="O1203" s="7">
        <v>635.11292187519996</v>
      </c>
      <c r="P1203" s="7">
        <v>631.08844122020002</v>
      </c>
      <c r="Q1203">
        <v>1</v>
      </c>
      <c r="R1203">
        <v>0</v>
      </c>
      <c r="S1203" s="11">
        <v>45863.666666666664</v>
      </c>
      <c r="T1203">
        <v>1253</v>
      </c>
    </row>
    <row r="1204" spans="1:20">
      <c r="A1204" s="11">
        <v>45863.541666666664</v>
      </c>
      <c r="B1204" s="11">
        <v>45863.5625</v>
      </c>
      <c r="C1204" s="10">
        <v>45863</v>
      </c>
      <c r="D1204" s="7">
        <v>635.28359999999998</v>
      </c>
      <c r="E1204" s="7">
        <v>1518039</v>
      </c>
      <c r="F1204" s="7">
        <v>1518039</v>
      </c>
      <c r="G1204" s="7">
        <v>19268359</v>
      </c>
      <c r="H1204" s="7">
        <v>633.53340000000003</v>
      </c>
      <c r="I1204" s="7">
        <v>632.66579999999999</v>
      </c>
      <c r="J1204" s="7">
        <v>14</v>
      </c>
      <c r="K1204" s="7">
        <v>2.6470909999999999E-3</v>
      </c>
      <c r="L1204" s="7">
        <v>635.21042054359998</v>
      </c>
      <c r="M1204" s="7">
        <v>630.99107607250005</v>
      </c>
      <c r="N1204" s="7">
        <v>634.27490796209997</v>
      </c>
      <c r="O1204" s="7">
        <v>635.21042054359998</v>
      </c>
      <c r="P1204" s="7">
        <v>630.99107607250005</v>
      </c>
      <c r="Q1204">
        <v>1</v>
      </c>
      <c r="R1204">
        <v>0</v>
      </c>
      <c r="S1204" s="11">
        <v>45863.666666666664</v>
      </c>
      <c r="T1204">
        <v>1252</v>
      </c>
    </row>
    <row r="1205" spans="1:20">
      <c r="A1205" s="11">
        <v>45863.5625</v>
      </c>
      <c r="B1205" s="11">
        <v>45863.583333333336</v>
      </c>
      <c r="C1205" s="10">
        <v>45863</v>
      </c>
      <c r="D1205" s="7">
        <v>635.37339999999995</v>
      </c>
      <c r="E1205" s="7">
        <v>1904209</v>
      </c>
      <c r="F1205" s="7">
        <v>1904209</v>
      </c>
      <c r="G1205" s="7">
        <v>21172568</v>
      </c>
      <c r="H1205" s="7">
        <v>633.53340000000003</v>
      </c>
      <c r="I1205" s="7">
        <v>632.66579999999999</v>
      </c>
      <c r="J1205" s="7">
        <v>14</v>
      </c>
      <c r="K1205" s="7">
        <v>2.6091846999999999E-3</v>
      </c>
      <c r="L1205" s="7">
        <v>635.1864056503</v>
      </c>
      <c r="M1205" s="7">
        <v>631.01505807839999</v>
      </c>
      <c r="N1205" s="7">
        <v>634.37370365020001</v>
      </c>
      <c r="O1205" s="7">
        <v>635.1864056503</v>
      </c>
      <c r="P1205" s="7">
        <v>631.01505807839999</v>
      </c>
      <c r="Q1205">
        <v>1</v>
      </c>
      <c r="R1205">
        <v>0</v>
      </c>
      <c r="S1205" s="11">
        <v>45863.666666666664</v>
      </c>
      <c r="T1205">
        <v>1251</v>
      </c>
    </row>
    <row r="1206" spans="1:20">
      <c r="A1206" s="11">
        <v>45863.583333333336</v>
      </c>
      <c r="B1206" s="11">
        <v>45863.604166666664</v>
      </c>
      <c r="C1206" s="10">
        <v>45863</v>
      </c>
      <c r="D1206" s="7">
        <v>635.5779</v>
      </c>
      <c r="E1206" s="7">
        <v>2177212</v>
      </c>
      <c r="F1206" s="7">
        <v>2177212</v>
      </c>
      <c r="G1206" s="7">
        <v>23349780</v>
      </c>
      <c r="H1206" s="7">
        <v>633.53340000000003</v>
      </c>
      <c r="I1206" s="7">
        <v>632.66579999999999</v>
      </c>
      <c r="J1206" s="7">
        <v>14</v>
      </c>
      <c r="K1206" s="7">
        <v>2.9773680000000002E-3</v>
      </c>
      <c r="L1206" s="7">
        <v>635.41966208129998</v>
      </c>
      <c r="M1206" s="7">
        <v>630.78212108319997</v>
      </c>
      <c r="N1206" s="7">
        <v>634.48598696689999</v>
      </c>
      <c r="O1206" s="7">
        <v>635.41966208129998</v>
      </c>
      <c r="P1206" s="7">
        <v>630.78212108319997</v>
      </c>
      <c r="Q1206">
        <v>1</v>
      </c>
      <c r="R1206">
        <v>0</v>
      </c>
      <c r="S1206" s="11">
        <v>45863.666666666664</v>
      </c>
      <c r="T1206">
        <v>1250</v>
      </c>
    </row>
    <row r="1207" spans="1:20">
      <c r="A1207" s="11">
        <v>45863.604166666664</v>
      </c>
      <c r="B1207" s="11">
        <v>45863.625</v>
      </c>
      <c r="C1207" s="10">
        <v>45863</v>
      </c>
      <c r="D1207" s="7">
        <v>635.41830000000004</v>
      </c>
      <c r="E1207" s="7">
        <v>1707277</v>
      </c>
      <c r="F1207" s="7">
        <v>1707277</v>
      </c>
      <c r="G1207" s="7">
        <v>25057057</v>
      </c>
      <c r="H1207" s="7">
        <v>633.53340000000003</v>
      </c>
      <c r="I1207" s="7">
        <v>632.66579999999999</v>
      </c>
      <c r="J1207" s="7">
        <v>14</v>
      </c>
      <c r="K1207" s="7">
        <v>2.9882899000000002E-3</v>
      </c>
      <c r="L1207" s="7">
        <v>635.42658143519998</v>
      </c>
      <c r="M1207" s="7">
        <v>630.77521120510005</v>
      </c>
      <c r="N1207" s="7">
        <v>634.54951065199998</v>
      </c>
      <c r="O1207" s="7">
        <v>635.42658143519998</v>
      </c>
      <c r="P1207" s="7">
        <v>630.77521120510005</v>
      </c>
      <c r="Q1207">
        <v>1</v>
      </c>
      <c r="R1207">
        <v>0</v>
      </c>
      <c r="S1207" s="11">
        <v>45863.666666666664</v>
      </c>
      <c r="T1207">
        <v>1249</v>
      </c>
    </row>
    <row r="1208" spans="1:20">
      <c r="A1208" s="11">
        <v>45863.625</v>
      </c>
      <c r="B1208" s="11">
        <v>45863.645833333336</v>
      </c>
      <c r="C1208" s="10">
        <v>45863</v>
      </c>
      <c r="D1208" s="7">
        <v>635.56790000000001</v>
      </c>
      <c r="E1208" s="7">
        <v>2263682</v>
      </c>
      <c r="F1208" s="7">
        <v>2263682</v>
      </c>
      <c r="G1208" s="7">
        <v>27320739</v>
      </c>
      <c r="H1208" s="7">
        <v>633.53340000000003</v>
      </c>
      <c r="I1208" s="7">
        <v>632.66579999999999</v>
      </c>
      <c r="J1208" s="7">
        <v>14</v>
      </c>
      <c r="K1208" s="7">
        <v>3.0685512000000002E-3</v>
      </c>
      <c r="L1208" s="7">
        <v>635.47742969540002</v>
      </c>
      <c r="M1208" s="7">
        <v>630.72443257969996</v>
      </c>
      <c r="N1208" s="7">
        <v>634.63389012779999</v>
      </c>
      <c r="O1208" s="7">
        <v>635.47742969540002</v>
      </c>
      <c r="P1208" s="7">
        <v>630.72443257969996</v>
      </c>
      <c r="Q1208">
        <v>1</v>
      </c>
      <c r="R1208">
        <v>0</v>
      </c>
      <c r="S1208" s="11">
        <v>45863.666666666664</v>
      </c>
      <c r="T1208">
        <v>1248</v>
      </c>
    </row>
    <row r="1209" spans="1:20">
      <c r="A1209" s="11">
        <v>45863.645833333336</v>
      </c>
      <c r="B1209" s="11">
        <v>45863.666666666664</v>
      </c>
      <c r="C1209" s="10">
        <v>45863</v>
      </c>
      <c r="D1209" s="7">
        <v>635.33839999999998</v>
      </c>
      <c r="E1209" s="7">
        <v>9846561</v>
      </c>
      <c r="F1209" s="7">
        <v>9846561</v>
      </c>
      <c r="G1209" s="7">
        <v>37167300</v>
      </c>
      <c r="H1209" s="7">
        <v>633.53340000000003</v>
      </c>
      <c r="I1209" s="7">
        <v>632.66579999999999</v>
      </c>
      <c r="J1209" s="7">
        <v>14</v>
      </c>
      <c r="K1209" s="7">
        <v>3.0808656000000001E-3</v>
      </c>
      <c r="L1209" s="7">
        <v>635.48523126120006</v>
      </c>
      <c r="M1209" s="7">
        <v>630.71664169780001</v>
      </c>
      <c r="N1209" s="7">
        <v>634.79679535809998</v>
      </c>
      <c r="O1209" s="7">
        <v>635.48523126120006</v>
      </c>
      <c r="P1209" s="7">
        <v>630.71664169780001</v>
      </c>
      <c r="Q1209">
        <v>1</v>
      </c>
      <c r="R1209">
        <v>1</v>
      </c>
      <c r="S1209" s="11">
        <v>45863.666666666664</v>
      </c>
      <c r="T1209">
        <v>1247</v>
      </c>
    </row>
    <row r="1210" spans="1:20">
      <c r="A1210" s="11">
        <v>45866.395833333336</v>
      </c>
      <c r="B1210" s="11">
        <v>45866.416666666664</v>
      </c>
      <c r="C1210" s="10">
        <v>45866</v>
      </c>
      <c r="D1210" s="7">
        <v>635.68759999999997</v>
      </c>
      <c r="E1210" s="7">
        <v>5294752</v>
      </c>
      <c r="F1210" s="7">
        <v>5294752</v>
      </c>
      <c r="G1210" s="7">
        <v>5294752</v>
      </c>
      <c r="H1210" s="7">
        <v>635.68759999999997</v>
      </c>
      <c r="I1210" s="7">
        <v>635.33839999999998</v>
      </c>
      <c r="J1210" s="7">
        <v>14</v>
      </c>
      <c r="K1210" s="7">
        <v>0</v>
      </c>
      <c r="L1210" s="7">
        <v>635.68759999999997</v>
      </c>
      <c r="M1210" s="7">
        <v>635.33839999999998</v>
      </c>
      <c r="N1210" s="7">
        <v>635.68759999999997</v>
      </c>
      <c r="O1210" s="7">
        <v>635.68759999999997</v>
      </c>
      <c r="P1210" s="7">
        <v>635.33839999999998</v>
      </c>
      <c r="Q1210">
        <v>1</v>
      </c>
      <c r="R1210">
        <v>0</v>
      </c>
      <c r="S1210" s="11">
        <v>45866.666666666664</v>
      </c>
      <c r="T1210">
        <v>1245</v>
      </c>
    </row>
    <row r="1211" spans="1:20">
      <c r="A1211" s="11">
        <v>45866.416666666664</v>
      </c>
      <c r="B1211" s="11">
        <v>45866.4375</v>
      </c>
      <c r="C1211" s="10">
        <v>45866</v>
      </c>
      <c r="D1211" s="7">
        <v>635.96669999999995</v>
      </c>
      <c r="E1211" s="7">
        <v>3224150</v>
      </c>
      <c r="F1211" s="7">
        <v>3224150</v>
      </c>
      <c r="G1211" s="7">
        <v>8518902</v>
      </c>
      <c r="H1211" s="7">
        <v>635.68759999999997</v>
      </c>
      <c r="I1211" s="7">
        <v>635.33839999999998</v>
      </c>
      <c r="J1211" s="7">
        <v>14</v>
      </c>
      <c r="K1211" s="7">
        <v>8.9715159999999999E-4</v>
      </c>
      <c r="L1211" s="7">
        <v>636.2579081399</v>
      </c>
      <c r="M1211" s="7">
        <v>634.76840514549997</v>
      </c>
      <c r="N1211" s="7">
        <v>635.79323101499995</v>
      </c>
      <c r="O1211" s="7">
        <v>636.2579081399</v>
      </c>
      <c r="P1211" s="7">
        <v>634.76840514549997</v>
      </c>
      <c r="Q1211">
        <v>1</v>
      </c>
      <c r="R1211">
        <v>0</v>
      </c>
      <c r="S1211" s="11">
        <v>45866.666666666664</v>
      </c>
      <c r="T1211">
        <v>1244</v>
      </c>
    </row>
    <row r="1212" spans="1:20">
      <c r="A1212" s="11">
        <v>45866.4375</v>
      </c>
      <c r="B1212" s="11">
        <v>45866.458333333336</v>
      </c>
      <c r="C1212" s="10">
        <v>45866</v>
      </c>
      <c r="D1212" s="7">
        <v>635.66759999999999</v>
      </c>
      <c r="E1212" s="7">
        <v>2268138</v>
      </c>
      <c r="F1212" s="7">
        <v>2268138</v>
      </c>
      <c r="G1212" s="7">
        <v>10787040</v>
      </c>
      <c r="H1212" s="7">
        <v>635.68759999999997</v>
      </c>
      <c r="I1212" s="7">
        <v>635.33839999999998</v>
      </c>
      <c r="J1212" s="7">
        <v>14</v>
      </c>
      <c r="K1212" s="7">
        <v>1.4996838E-3</v>
      </c>
      <c r="L1212" s="7">
        <v>636.64093039069996</v>
      </c>
      <c r="M1212" s="7">
        <v>634.38559329889995</v>
      </c>
      <c r="N1212" s="7">
        <v>635.76681519759995</v>
      </c>
      <c r="O1212" s="7">
        <v>636.64093039069996</v>
      </c>
      <c r="P1212" s="7">
        <v>634.38559329889995</v>
      </c>
      <c r="Q1212">
        <v>1</v>
      </c>
      <c r="R1212">
        <v>0</v>
      </c>
      <c r="S1212" s="11">
        <v>45866.666666666664</v>
      </c>
      <c r="T1212">
        <v>1243</v>
      </c>
    </row>
    <row r="1213" spans="1:20">
      <c r="A1213" s="11">
        <v>45866.458333333336</v>
      </c>
      <c r="B1213" s="11">
        <v>45866.479166666664</v>
      </c>
      <c r="C1213" s="10">
        <v>45866</v>
      </c>
      <c r="D1213" s="7">
        <v>635.30859999999996</v>
      </c>
      <c r="E1213" s="7">
        <v>2903153</v>
      </c>
      <c r="F1213" s="7">
        <v>2903153</v>
      </c>
      <c r="G1213" s="7">
        <v>13690193</v>
      </c>
      <c r="H1213" s="7">
        <v>635.68759999999997</v>
      </c>
      <c r="I1213" s="7">
        <v>635.33839999999998</v>
      </c>
      <c r="J1213" s="7">
        <v>14</v>
      </c>
      <c r="K1213" s="7">
        <v>1.5456856E-3</v>
      </c>
      <c r="L1213" s="7">
        <v>636.67017317379998</v>
      </c>
      <c r="M1213" s="7">
        <v>634.35636657960004</v>
      </c>
      <c r="N1213" s="7">
        <v>635.66964572560005</v>
      </c>
      <c r="O1213" s="7">
        <v>636.67017317379998</v>
      </c>
      <c r="P1213" s="7">
        <v>634.35636657960004</v>
      </c>
      <c r="Q1213">
        <v>1</v>
      </c>
      <c r="R1213">
        <v>0</v>
      </c>
      <c r="S1213" s="11">
        <v>45866.666666666664</v>
      </c>
      <c r="T1213">
        <v>1242</v>
      </c>
    </row>
    <row r="1214" spans="1:20">
      <c r="A1214" s="11">
        <v>45866.479166666664</v>
      </c>
      <c r="B1214" s="11">
        <v>45866.5</v>
      </c>
      <c r="C1214" s="10">
        <v>45866</v>
      </c>
      <c r="D1214" s="7">
        <v>635.61770000000001</v>
      </c>
      <c r="E1214" s="7">
        <v>1547572</v>
      </c>
      <c r="F1214" s="7">
        <v>1547572</v>
      </c>
      <c r="G1214" s="7">
        <v>15237765</v>
      </c>
      <c r="H1214" s="7">
        <v>635.68759999999997</v>
      </c>
      <c r="I1214" s="7">
        <v>635.33839999999998</v>
      </c>
      <c r="J1214" s="7">
        <v>14</v>
      </c>
      <c r="K1214" s="7">
        <v>1.672029E-3</v>
      </c>
      <c r="L1214" s="7">
        <v>636.75048812499995</v>
      </c>
      <c r="M1214" s="7">
        <v>634.27609574760004</v>
      </c>
      <c r="N1214" s="7">
        <v>635.66437003390001</v>
      </c>
      <c r="O1214" s="7">
        <v>636.75048812499995</v>
      </c>
      <c r="P1214" s="7">
        <v>634.27609574760004</v>
      </c>
      <c r="Q1214">
        <v>1</v>
      </c>
      <c r="R1214">
        <v>0</v>
      </c>
      <c r="S1214" s="11">
        <v>45866.666666666664</v>
      </c>
      <c r="T1214">
        <v>1241</v>
      </c>
    </row>
    <row r="1215" spans="1:20">
      <c r="A1215" s="11">
        <v>45866.5</v>
      </c>
      <c r="B1215" s="11">
        <v>45866.520833333336</v>
      </c>
      <c r="C1215" s="10">
        <v>45866</v>
      </c>
      <c r="D1215" s="7">
        <v>635.6377</v>
      </c>
      <c r="E1215" s="7">
        <v>1459179</v>
      </c>
      <c r="F1215" s="7">
        <v>1459179</v>
      </c>
      <c r="G1215" s="7">
        <v>16696944</v>
      </c>
      <c r="H1215" s="7">
        <v>635.68759999999997</v>
      </c>
      <c r="I1215" s="7">
        <v>635.33839999999998</v>
      </c>
      <c r="J1215" s="7">
        <v>14</v>
      </c>
      <c r="K1215" s="7">
        <v>1.9479483E-3</v>
      </c>
      <c r="L1215" s="7">
        <v>636.92588657060003</v>
      </c>
      <c r="M1215" s="7">
        <v>634.10079365290005</v>
      </c>
      <c r="N1215" s="7">
        <v>635.6620392868</v>
      </c>
      <c r="O1215" s="7">
        <v>636.92588657060003</v>
      </c>
      <c r="P1215" s="7">
        <v>634.10079365290005</v>
      </c>
      <c r="Q1215">
        <v>1</v>
      </c>
      <c r="R1215">
        <v>0</v>
      </c>
      <c r="S1215" s="11">
        <v>45866.666666666664</v>
      </c>
      <c r="T1215">
        <v>1240</v>
      </c>
    </row>
    <row r="1216" spans="1:20">
      <c r="A1216" s="11">
        <v>45866.520833333336</v>
      </c>
      <c r="B1216" s="11">
        <v>45866.541666666664</v>
      </c>
      <c r="C1216" s="10">
        <v>45866</v>
      </c>
      <c r="D1216" s="7">
        <v>635.1241</v>
      </c>
      <c r="E1216" s="7">
        <v>1506948</v>
      </c>
      <c r="F1216" s="7">
        <v>1506948</v>
      </c>
      <c r="G1216" s="7">
        <v>18203892</v>
      </c>
      <c r="H1216" s="7">
        <v>635.68759999999997</v>
      </c>
      <c r="I1216" s="7">
        <v>635.33839999999998</v>
      </c>
      <c r="J1216" s="7">
        <v>14</v>
      </c>
      <c r="K1216" s="7">
        <v>2.2322055999999999E-3</v>
      </c>
      <c r="L1216" s="7">
        <v>637.10658540780003</v>
      </c>
      <c r="M1216" s="7">
        <v>633.92019407839996</v>
      </c>
      <c r="N1216" s="7">
        <v>635.61750779140004</v>
      </c>
      <c r="O1216" s="7">
        <v>637.10658540780003</v>
      </c>
      <c r="P1216" s="7">
        <v>633.92019407839996</v>
      </c>
      <c r="Q1216">
        <v>1</v>
      </c>
      <c r="R1216">
        <v>0</v>
      </c>
      <c r="S1216" s="11">
        <v>45866.666666666664</v>
      </c>
      <c r="T1216">
        <v>1239</v>
      </c>
    </row>
    <row r="1217" spans="1:20">
      <c r="A1217" s="11">
        <v>45866.541666666664</v>
      </c>
      <c r="B1217" s="11">
        <v>45866.5625</v>
      </c>
      <c r="C1217" s="10">
        <v>45866</v>
      </c>
      <c r="D1217" s="7">
        <v>634.55070000000001</v>
      </c>
      <c r="E1217" s="7">
        <v>2202275</v>
      </c>
      <c r="F1217" s="7">
        <v>2202275</v>
      </c>
      <c r="G1217" s="7">
        <v>20406167</v>
      </c>
      <c r="H1217" s="7">
        <v>635.68759999999997</v>
      </c>
      <c r="I1217" s="7">
        <v>635.33839999999998</v>
      </c>
      <c r="J1217" s="7">
        <v>14</v>
      </c>
      <c r="K1217" s="7">
        <v>2.4509671000000001E-3</v>
      </c>
      <c r="L1217" s="7">
        <v>637.24564941970004</v>
      </c>
      <c r="M1217" s="7">
        <v>633.78120645800004</v>
      </c>
      <c r="N1217" s="7">
        <v>635.50237572720005</v>
      </c>
      <c r="O1217" s="7">
        <v>637.24564941970004</v>
      </c>
      <c r="P1217" s="7">
        <v>633.78120645800004</v>
      </c>
      <c r="Q1217">
        <v>1</v>
      </c>
      <c r="R1217">
        <v>0</v>
      </c>
      <c r="S1217" s="11">
        <v>45866.666666666664</v>
      </c>
      <c r="T1217">
        <v>1238</v>
      </c>
    </row>
    <row r="1218" spans="1:20">
      <c r="A1218" s="11">
        <v>45866.5625</v>
      </c>
      <c r="B1218" s="11">
        <v>45866.583333333336</v>
      </c>
      <c r="C1218" s="10">
        <v>45866</v>
      </c>
      <c r="D1218" s="7">
        <v>634.33130000000006</v>
      </c>
      <c r="E1218" s="7">
        <v>1409710</v>
      </c>
      <c r="F1218" s="7">
        <v>1409710</v>
      </c>
      <c r="G1218" s="7">
        <v>21815877</v>
      </c>
      <c r="H1218" s="7">
        <v>635.68759999999997</v>
      </c>
      <c r="I1218" s="7">
        <v>635.33839999999998</v>
      </c>
      <c r="J1218" s="7">
        <v>14</v>
      </c>
      <c r="K1218" s="7">
        <v>2.4077253E-3</v>
      </c>
      <c r="L1218" s="7">
        <v>637.21816114679996</v>
      </c>
      <c r="M1218" s="7">
        <v>633.80867963089997</v>
      </c>
      <c r="N1218" s="7">
        <v>635.42670253000006</v>
      </c>
      <c r="O1218" s="7">
        <v>637.21816114679996</v>
      </c>
      <c r="P1218" s="7">
        <v>633.80867963089997</v>
      </c>
      <c r="Q1218">
        <v>1</v>
      </c>
      <c r="R1218">
        <v>0</v>
      </c>
      <c r="S1218" s="11">
        <v>45866.666666666664</v>
      </c>
      <c r="T1218">
        <v>1237</v>
      </c>
    </row>
    <row r="1219" spans="1:20">
      <c r="A1219" s="11">
        <v>45866.583333333336</v>
      </c>
      <c r="B1219" s="11">
        <v>45866.604166666664</v>
      </c>
      <c r="C1219" s="10">
        <v>45866</v>
      </c>
      <c r="D1219" s="7">
        <v>634.3193</v>
      </c>
      <c r="E1219" s="7">
        <v>3347872</v>
      </c>
      <c r="F1219" s="7">
        <v>3347872</v>
      </c>
      <c r="G1219" s="7">
        <v>25163749</v>
      </c>
      <c r="H1219" s="7">
        <v>635.68759999999997</v>
      </c>
      <c r="I1219" s="7">
        <v>635.33839999999998</v>
      </c>
      <c r="J1219" s="7">
        <v>14</v>
      </c>
      <c r="K1219" s="7">
        <v>2.5630087000000001E-3</v>
      </c>
      <c r="L1219" s="7">
        <v>637.31687282990003</v>
      </c>
      <c r="M1219" s="7">
        <v>633.7100221728</v>
      </c>
      <c r="N1219" s="7">
        <v>635.27936987609996</v>
      </c>
      <c r="O1219" s="7">
        <v>637.31687282990003</v>
      </c>
      <c r="P1219" s="7">
        <v>633.7100221728</v>
      </c>
      <c r="Q1219">
        <v>1</v>
      </c>
      <c r="R1219">
        <v>0</v>
      </c>
      <c r="S1219" s="11">
        <v>45866.666666666664</v>
      </c>
      <c r="T1219">
        <v>1236</v>
      </c>
    </row>
    <row r="1220" spans="1:20">
      <c r="A1220" s="11">
        <v>45866.604166666664</v>
      </c>
      <c r="B1220" s="11">
        <v>45866.625</v>
      </c>
      <c r="C1220" s="10">
        <v>45866</v>
      </c>
      <c r="D1220" s="7">
        <v>634.29139999999995</v>
      </c>
      <c r="E1220" s="7">
        <v>2061926</v>
      </c>
      <c r="F1220" s="7">
        <v>2061926</v>
      </c>
      <c r="G1220" s="7">
        <v>27225675</v>
      </c>
      <c r="H1220" s="7">
        <v>635.68759999999997</v>
      </c>
      <c r="I1220" s="7">
        <v>635.33839999999998</v>
      </c>
      <c r="J1220" s="7">
        <v>14</v>
      </c>
      <c r="K1220" s="7">
        <v>2.8061929000000002E-3</v>
      </c>
      <c r="L1220" s="7">
        <v>637.47146201479995</v>
      </c>
      <c r="M1220" s="7">
        <v>633.55551790779998</v>
      </c>
      <c r="N1220" s="7">
        <v>635.20454635839997</v>
      </c>
      <c r="O1220" s="7">
        <v>637.47146201479995</v>
      </c>
      <c r="P1220" s="7">
        <v>633.55551790779998</v>
      </c>
      <c r="Q1220">
        <v>1</v>
      </c>
      <c r="R1220">
        <v>0</v>
      </c>
      <c r="S1220" s="11">
        <v>45866.666666666664</v>
      </c>
      <c r="T1220">
        <v>1235</v>
      </c>
    </row>
    <row r="1221" spans="1:20">
      <c r="A1221" s="11">
        <v>45866.625</v>
      </c>
      <c r="B1221" s="11">
        <v>45866.645833333336</v>
      </c>
      <c r="C1221" s="10">
        <v>45866</v>
      </c>
      <c r="D1221" s="7">
        <v>634.29139999999995</v>
      </c>
      <c r="E1221" s="7">
        <v>2334015</v>
      </c>
      <c r="F1221" s="7">
        <v>2334015</v>
      </c>
      <c r="G1221" s="7">
        <v>29559690</v>
      </c>
      <c r="H1221" s="7">
        <v>635.68759999999997</v>
      </c>
      <c r="I1221" s="7">
        <v>635.33839999999998</v>
      </c>
      <c r="J1221" s="7">
        <v>14</v>
      </c>
      <c r="K1221" s="7">
        <v>2.8237346999999999E-3</v>
      </c>
      <c r="L1221" s="7">
        <v>637.48261313429998</v>
      </c>
      <c r="M1221" s="7">
        <v>633.54437291379998</v>
      </c>
      <c r="N1221" s="7">
        <v>635.13244488179998</v>
      </c>
      <c r="O1221" s="7">
        <v>637.48261313429998</v>
      </c>
      <c r="P1221" s="7">
        <v>633.54437291379998</v>
      </c>
      <c r="Q1221">
        <v>1</v>
      </c>
      <c r="R1221">
        <v>0</v>
      </c>
      <c r="S1221" s="11">
        <v>45866.666666666664</v>
      </c>
      <c r="T1221">
        <v>1234</v>
      </c>
    </row>
    <row r="1222" spans="1:20">
      <c r="A1222" s="11">
        <v>45866.645833333336</v>
      </c>
      <c r="B1222" s="11">
        <v>45866.666666666664</v>
      </c>
      <c r="C1222" s="10">
        <v>45866</v>
      </c>
      <c r="D1222" s="7">
        <v>635.17899999999997</v>
      </c>
      <c r="E1222" s="7">
        <v>6665436</v>
      </c>
      <c r="F1222" s="7">
        <v>6665436</v>
      </c>
      <c r="G1222" s="7">
        <v>36225126</v>
      </c>
      <c r="H1222" s="7">
        <v>635.68759999999997</v>
      </c>
      <c r="I1222" s="7">
        <v>635.33839999999998</v>
      </c>
      <c r="J1222" s="7">
        <v>14</v>
      </c>
      <c r="K1222" s="7">
        <v>2.9499122999999999E-3</v>
      </c>
      <c r="L1222" s="7">
        <v>637.56282267040001</v>
      </c>
      <c r="M1222" s="7">
        <v>633.46420743889996</v>
      </c>
      <c r="N1222" s="7">
        <v>635.14101103999997</v>
      </c>
      <c r="O1222" s="7">
        <v>637.56282267040001</v>
      </c>
      <c r="P1222" s="7">
        <v>633.46420743889996</v>
      </c>
      <c r="Q1222">
        <v>1</v>
      </c>
      <c r="R1222">
        <v>1</v>
      </c>
      <c r="S1222" s="11">
        <v>45866.666666666664</v>
      </c>
      <c r="T1222">
        <v>1233</v>
      </c>
    </row>
    <row r="1223" spans="1:20">
      <c r="A1223" s="11">
        <v>45867.395833333336</v>
      </c>
      <c r="B1223" s="11">
        <v>45867.416666666664</v>
      </c>
      <c r="C1223" s="10">
        <v>45867</v>
      </c>
      <c r="D1223" s="7">
        <v>636.25599999999997</v>
      </c>
      <c r="E1223" s="7">
        <v>4639846</v>
      </c>
      <c r="F1223" s="7">
        <v>4639846</v>
      </c>
      <c r="G1223" s="7">
        <v>4639846</v>
      </c>
      <c r="H1223" s="7">
        <v>636.25599999999997</v>
      </c>
      <c r="I1223" s="7">
        <v>635.17880000000002</v>
      </c>
      <c r="J1223" s="7">
        <v>14</v>
      </c>
      <c r="K1223" s="7">
        <v>0</v>
      </c>
      <c r="L1223" s="7">
        <v>636.25599999999997</v>
      </c>
      <c r="M1223" s="7">
        <v>635.17880000000002</v>
      </c>
      <c r="N1223" s="7">
        <v>636.25599999999997</v>
      </c>
      <c r="O1223" s="7">
        <v>636.25599999999997</v>
      </c>
      <c r="P1223" s="7">
        <v>635.17880000000002</v>
      </c>
      <c r="Q1223">
        <v>1</v>
      </c>
      <c r="R1223">
        <v>0</v>
      </c>
      <c r="S1223" s="11">
        <v>45867.666666666664</v>
      </c>
      <c r="T1223">
        <v>1231</v>
      </c>
    </row>
    <row r="1224" spans="1:20">
      <c r="A1224" s="11">
        <v>45867.416666666664</v>
      </c>
      <c r="B1224" s="11">
        <v>45867.4375</v>
      </c>
      <c r="C1224" s="10">
        <v>45867</v>
      </c>
      <c r="D1224" s="7">
        <v>635.98670000000004</v>
      </c>
      <c r="E1224" s="7">
        <v>2787876</v>
      </c>
      <c r="F1224" s="7">
        <v>2787876</v>
      </c>
      <c r="G1224" s="7">
        <v>7427722</v>
      </c>
      <c r="H1224" s="7">
        <v>636.25599999999997</v>
      </c>
      <c r="I1224" s="7">
        <v>635.17880000000002</v>
      </c>
      <c r="J1224" s="7">
        <v>14</v>
      </c>
      <c r="K1224" s="7">
        <v>8.5486169999999997E-4</v>
      </c>
      <c r="L1224" s="7">
        <v>636.79991085630002</v>
      </c>
      <c r="M1224" s="7">
        <v>634.63581000069996</v>
      </c>
      <c r="N1224" s="7">
        <v>636.15492257589995</v>
      </c>
      <c r="O1224" s="7">
        <v>636.79991085630002</v>
      </c>
      <c r="P1224" s="7">
        <v>634.63581000069996</v>
      </c>
      <c r="Q1224">
        <v>1</v>
      </c>
      <c r="R1224">
        <v>0</v>
      </c>
      <c r="S1224" s="11">
        <v>45867.666666666664</v>
      </c>
      <c r="T1224">
        <v>1230</v>
      </c>
    </row>
    <row r="1225" spans="1:20">
      <c r="A1225" s="11">
        <v>45867.4375</v>
      </c>
      <c r="B1225" s="11">
        <v>45867.458333333336</v>
      </c>
      <c r="C1225" s="10">
        <v>45867</v>
      </c>
      <c r="D1225" s="7">
        <v>634.93960000000004</v>
      </c>
      <c r="E1225" s="7">
        <v>3108330</v>
      </c>
      <c r="F1225" s="7">
        <v>3108330</v>
      </c>
      <c r="G1225" s="7">
        <v>10536052</v>
      </c>
      <c r="H1225" s="7">
        <v>636.25599999999997</v>
      </c>
      <c r="I1225" s="7">
        <v>635.17880000000002</v>
      </c>
      <c r="J1225" s="7">
        <v>14</v>
      </c>
      <c r="K1225" s="7">
        <v>1.4775923999999999E-3</v>
      </c>
      <c r="L1225" s="7">
        <v>637.19612702009999</v>
      </c>
      <c r="M1225" s="7">
        <v>634.24026464240001</v>
      </c>
      <c r="N1225" s="7">
        <v>635.79637996220004</v>
      </c>
      <c r="O1225" s="7">
        <v>637.19612702009999</v>
      </c>
      <c r="P1225" s="7">
        <v>634.24026464240001</v>
      </c>
      <c r="Q1225">
        <v>1</v>
      </c>
      <c r="R1225">
        <v>0</v>
      </c>
      <c r="S1225" s="11">
        <v>45867.666666666664</v>
      </c>
      <c r="T1225">
        <v>1229</v>
      </c>
    </row>
    <row r="1226" spans="1:20">
      <c r="A1226" s="11">
        <v>45867.458333333336</v>
      </c>
      <c r="B1226" s="11">
        <v>45867.479166666664</v>
      </c>
      <c r="C1226" s="10">
        <v>45867</v>
      </c>
      <c r="D1226" s="7">
        <v>633.48360000000002</v>
      </c>
      <c r="E1226" s="7">
        <v>3653885</v>
      </c>
      <c r="F1226" s="7">
        <v>3653885</v>
      </c>
      <c r="G1226" s="7">
        <v>14189937</v>
      </c>
      <c r="H1226" s="7">
        <v>636.25599999999997</v>
      </c>
      <c r="I1226" s="7">
        <v>635.17880000000002</v>
      </c>
      <c r="J1226" s="7">
        <v>14</v>
      </c>
      <c r="K1226" s="7">
        <v>1.5123243000000001E-3</v>
      </c>
      <c r="L1226" s="7">
        <v>637.21822542519999</v>
      </c>
      <c r="M1226" s="7">
        <v>634.2182036506</v>
      </c>
      <c r="N1226" s="7">
        <v>635.20084299730001</v>
      </c>
      <c r="O1226" s="7">
        <v>637.21822542519999</v>
      </c>
      <c r="P1226" s="7">
        <v>634.2182036506</v>
      </c>
      <c r="Q1226">
        <v>1</v>
      </c>
      <c r="R1226">
        <v>0</v>
      </c>
      <c r="S1226" s="11">
        <v>45867.666666666664</v>
      </c>
      <c r="T1226">
        <v>1228</v>
      </c>
    </row>
    <row r="1227" spans="1:20">
      <c r="A1227" s="11">
        <v>45867.479166666664</v>
      </c>
      <c r="B1227" s="11">
        <v>45867.5</v>
      </c>
      <c r="C1227" s="10">
        <v>45867</v>
      </c>
      <c r="D1227" s="7">
        <v>634.12180000000001</v>
      </c>
      <c r="E1227" s="7">
        <v>3417035</v>
      </c>
      <c r="F1227" s="7">
        <v>3417035</v>
      </c>
      <c r="G1227" s="7">
        <v>17606972</v>
      </c>
      <c r="H1227" s="7">
        <v>636.25599999999997</v>
      </c>
      <c r="I1227" s="7">
        <v>635.17880000000002</v>
      </c>
      <c r="J1227" s="7">
        <v>14</v>
      </c>
      <c r="K1227" s="7">
        <v>1.6303864999999999E-3</v>
      </c>
      <c r="L1227" s="7">
        <v>637.29334322069997</v>
      </c>
      <c r="M1227" s="7">
        <v>634.14321303170004</v>
      </c>
      <c r="N1227" s="7">
        <v>634.99143006199995</v>
      </c>
      <c r="O1227" s="7">
        <v>637.29334322069997</v>
      </c>
      <c r="P1227" s="7">
        <v>634.14321303170004</v>
      </c>
      <c r="Q1227">
        <v>1</v>
      </c>
      <c r="R1227">
        <v>0</v>
      </c>
      <c r="S1227" s="11">
        <v>45867.666666666664</v>
      </c>
      <c r="T1227">
        <v>1227</v>
      </c>
    </row>
    <row r="1228" spans="1:20">
      <c r="A1228" s="11">
        <v>45867.5</v>
      </c>
      <c r="B1228" s="11">
        <v>45867.520833333336</v>
      </c>
      <c r="C1228" s="10">
        <v>45867</v>
      </c>
      <c r="D1228" s="7">
        <v>633.90250000000003</v>
      </c>
      <c r="E1228" s="7">
        <v>2128536</v>
      </c>
      <c r="F1228" s="7">
        <v>2128536</v>
      </c>
      <c r="G1228" s="7">
        <v>19735508</v>
      </c>
      <c r="H1228" s="7">
        <v>636.25599999999997</v>
      </c>
      <c r="I1228" s="7">
        <v>635.17880000000002</v>
      </c>
      <c r="J1228" s="7">
        <v>14</v>
      </c>
      <c r="K1228" s="7">
        <v>1.8108467000000001E-3</v>
      </c>
      <c r="L1228" s="7">
        <v>637.40816210150001</v>
      </c>
      <c r="M1228" s="7">
        <v>634.0285885426</v>
      </c>
      <c r="N1228" s="7">
        <v>634.87398556359994</v>
      </c>
      <c r="O1228" s="7">
        <v>637.40816210150001</v>
      </c>
      <c r="P1228" s="7">
        <v>634.0285885426</v>
      </c>
      <c r="Q1228">
        <v>1</v>
      </c>
      <c r="R1228">
        <v>0</v>
      </c>
      <c r="S1228" s="11">
        <v>45867.666666666664</v>
      </c>
      <c r="T1228">
        <v>1226</v>
      </c>
    </row>
    <row r="1229" spans="1:20">
      <c r="A1229" s="11">
        <v>45867.520833333336</v>
      </c>
      <c r="B1229" s="11">
        <v>45867.541666666664</v>
      </c>
      <c r="C1229" s="10">
        <v>45867</v>
      </c>
      <c r="D1229" s="7">
        <v>634.39589999999998</v>
      </c>
      <c r="E1229" s="7">
        <v>1820911</v>
      </c>
      <c r="F1229" s="7">
        <v>1820911</v>
      </c>
      <c r="G1229" s="7">
        <v>21556419</v>
      </c>
      <c r="H1229" s="7">
        <v>636.25599999999997</v>
      </c>
      <c r="I1229" s="7">
        <v>635.17880000000002</v>
      </c>
      <c r="J1229" s="7">
        <v>14</v>
      </c>
      <c r="K1229" s="7">
        <v>2.2794008999999999E-3</v>
      </c>
      <c r="L1229" s="7">
        <v>637.70628250699997</v>
      </c>
      <c r="M1229" s="7">
        <v>633.73097286359996</v>
      </c>
      <c r="N1229" s="7">
        <v>634.83360078249996</v>
      </c>
      <c r="O1229" s="7">
        <v>637.70628250699997</v>
      </c>
      <c r="P1229" s="7">
        <v>633.73097286359996</v>
      </c>
      <c r="Q1229">
        <v>1</v>
      </c>
      <c r="R1229">
        <v>0</v>
      </c>
      <c r="S1229" s="11">
        <v>45867.666666666664</v>
      </c>
      <c r="T1229">
        <v>1225</v>
      </c>
    </row>
    <row r="1230" spans="1:20">
      <c r="A1230" s="11">
        <v>45867.541666666664</v>
      </c>
      <c r="B1230" s="11">
        <v>45867.5625</v>
      </c>
      <c r="C1230" s="10">
        <v>45867</v>
      </c>
      <c r="D1230" s="7">
        <v>634.43029999999999</v>
      </c>
      <c r="E1230" s="7">
        <v>2241335</v>
      </c>
      <c r="F1230" s="7">
        <v>2241335</v>
      </c>
      <c r="G1230" s="7">
        <v>23797754</v>
      </c>
      <c r="H1230" s="7">
        <v>636.25599999999997</v>
      </c>
      <c r="I1230" s="7">
        <v>635.17880000000002</v>
      </c>
      <c r="J1230" s="7">
        <v>14</v>
      </c>
      <c r="K1230" s="7">
        <v>2.5568449999999999E-3</v>
      </c>
      <c r="L1230" s="7">
        <v>637.88280799020004</v>
      </c>
      <c r="M1230" s="7">
        <v>633.55474624320004</v>
      </c>
      <c r="N1230" s="7">
        <v>634.79561685520002</v>
      </c>
      <c r="O1230" s="7">
        <v>637.88280799020004</v>
      </c>
      <c r="P1230" s="7">
        <v>633.55474624320004</v>
      </c>
      <c r="Q1230">
        <v>1</v>
      </c>
      <c r="R1230">
        <v>0</v>
      </c>
      <c r="S1230" s="11">
        <v>45867.666666666664</v>
      </c>
      <c r="T1230">
        <v>1224</v>
      </c>
    </row>
    <row r="1231" spans="1:20">
      <c r="A1231" s="11">
        <v>45867.5625</v>
      </c>
      <c r="B1231" s="11">
        <v>45867.583333333336</v>
      </c>
      <c r="C1231" s="10">
        <v>45867</v>
      </c>
      <c r="D1231" s="7">
        <v>633.82270000000005</v>
      </c>
      <c r="E1231" s="7">
        <v>2728534</v>
      </c>
      <c r="F1231" s="7">
        <v>2728534</v>
      </c>
      <c r="G1231" s="7">
        <v>26526288</v>
      </c>
      <c r="H1231" s="7">
        <v>636.25599999999997</v>
      </c>
      <c r="I1231" s="7">
        <v>635.17880000000002</v>
      </c>
      <c r="J1231" s="7">
        <v>14</v>
      </c>
      <c r="K1231" s="7">
        <v>2.5071892E-3</v>
      </c>
      <c r="L1231" s="7">
        <v>637.85121417790003</v>
      </c>
      <c r="M1231" s="7">
        <v>633.58628656630003</v>
      </c>
      <c r="N1231" s="7">
        <v>634.69554115979997</v>
      </c>
      <c r="O1231" s="7">
        <v>637.85121417790003</v>
      </c>
      <c r="P1231" s="7">
        <v>633.58628656630003</v>
      </c>
      <c r="Q1231">
        <v>1</v>
      </c>
      <c r="R1231">
        <v>0</v>
      </c>
      <c r="S1231" s="11">
        <v>45867.666666666664</v>
      </c>
      <c r="T1231">
        <v>1223</v>
      </c>
    </row>
    <row r="1232" spans="1:20">
      <c r="A1232" s="11">
        <v>45867.583333333336</v>
      </c>
      <c r="B1232" s="11">
        <v>45867.604166666664</v>
      </c>
      <c r="C1232" s="10">
        <v>45867</v>
      </c>
      <c r="D1232" s="7">
        <v>633.55840000000001</v>
      </c>
      <c r="E1232" s="7">
        <v>2163463</v>
      </c>
      <c r="F1232" s="7">
        <v>2163463</v>
      </c>
      <c r="G1232" s="7">
        <v>28689751</v>
      </c>
      <c r="H1232" s="7">
        <v>636.25599999999997</v>
      </c>
      <c r="I1232" s="7">
        <v>635.17880000000002</v>
      </c>
      <c r="J1232" s="7">
        <v>14</v>
      </c>
      <c r="K1232" s="7">
        <v>2.7156026999999999E-3</v>
      </c>
      <c r="L1232" s="7">
        <v>637.98381848409997</v>
      </c>
      <c r="M1232" s="7">
        <v>633.45390676310001</v>
      </c>
      <c r="N1232" s="7">
        <v>634.6097905785</v>
      </c>
      <c r="O1232" s="7">
        <v>637.98381848409997</v>
      </c>
      <c r="P1232" s="7">
        <v>633.45390676310001</v>
      </c>
      <c r="Q1232">
        <v>1</v>
      </c>
      <c r="R1232">
        <v>0</v>
      </c>
      <c r="S1232" s="11">
        <v>45867.666666666664</v>
      </c>
      <c r="T1232">
        <v>1222</v>
      </c>
    </row>
    <row r="1233" spans="1:20">
      <c r="A1233" s="11">
        <v>45867.604166666664</v>
      </c>
      <c r="B1233" s="11">
        <v>45867.625</v>
      </c>
      <c r="C1233" s="10">
        <v>45867</v>
      </c>
      <c r="D1233" s="7">
        <v>633.56330000000003</v>
      </c>
      <c r="E1233" s="7">
        <v>1701756</v>
      </c>
      <c r="F1233" s="7">
        <v>1701756</v>
      </c>
      <c r="G1233" s="7">
        <v>30391507</v>
      </c>
      <c r="H1233" s="7">
        <v>636.25599999999997</v>
      </c>
      <c r="I1233" s="7">
        <v>635.17880000000002</v>
      </c>
      <c r="J1233" s="7">
        <v>14</v>
      </c>
      <c r="K1233" s="7">
        <v>2.9412183999999999E-3</v>
      </c>
      <c r="L1233" s="7">
        <v>638.12736782770003</v>
      </c>
      <c r="M1233" s="7">
        <v>633.31060045269999</v>
      </c>
      <c r="N1233" s="7">
        <v>634.55119290439995</v>
      </c>
      <c r="O1233" s="7">
        <v>638.12736782770003</v>
      </c>
      <c r="P1233" s="7">
        <v>633.31060045269999</v>
      </c>
      <c r="Q1233">
        <v>1</v>
      </c>
      <c r="R1233">
        <v>0</v>
      </c>
      <c r="S1233" s="11">
        <v>45867.666666666664</v>
      </c>
      <c r="T1233">
        <v>1221</v>
      </c>
    </row>
    <row r="1234" spans="1:20">
      <c r="A1234" s="11">
        <v>45867.625</v>
      </c>
      <c r="B1234" s="11">
        <v>45867.645833333336</v>
      </c>
      <c r="C1234" s="10">
        <v>45867</v>
      </c>
      <c r="D1234" s="7">
        <v>633.34900000000005</v>
      </c>
      <c r="E1234" s="7">
        <v>2660693</v>
      </c>
      <c r="F1234" s="7">
        <v>2660693</v>
      </c>
      <c r="G1234" s="7">
        <v>33052200</v>
      </c>
      <c r="H1234" s="7">
        <v>636.25599999999997</v>
      </c>
      <c r="I1234" s="7">
        <v>635.17880000000002</v>
      </c>
      <c r="J1234" s="7">
        <v>14</v>
      </c>
      <c r="K1234" s="7">
        <v>2.9605259000000002E-3</v>
      </c>
      <c r="L1234" s="7">
        <v>638.13965234279999</v>
      </c>
      <c r="M1234" s="7">
        <v>633.29833673559995</v>
      </c>
      <c r="N1234" s="7">
        <v>634.4544167066</v>
      </c>
      <c r="O1234" s="7">
        <v>638.13965234279999</v>
      </c>
      <c r="P1234" s="7">
        <v>633.29833673559995</v>
      </c>
      <c r="Q1234">
        <v>1</v>
      </c>
      <c r="R1234">
        <v>0</v>
      </c>
      <c r="S1234" s="11">
        <v>45867.666666666664</v>
      </c>
      <c r="T1234">
        <v>1220</v>
      </c>
    </row>
    <row r="1235" spans="1:20">
      <c r="A1235" s="11">
        <v>45867.645833333336</v>
      </c>
      <c r="B1235" s="11">
        <v>45867.666666666664</v>
      </c>
      <c r="C1235" s="10">
        <v>45867</v>
      </c>
      <c r="D1235" s="7">
        <v>633.50360000000001</v>
      </c>
      <c r="E1235" s="7">
        <v>8746247</v>
      </c>
      <c r="F1235" s="7">
        <v>8746247</v>
      </c>
      <c r="G1235" s="7">
        <v>41798447</v>
      </c>
      <c r="H1235" s="7">
        <v>636.25599999999997</v>
      </c>
      <c r="I1235" s="7">
        <v>635.17880000000002</v>
      </c>
      <c r="J1235" s="7">
        <v>14</v>
      </c>
      <c r="K1235" s="7">
        <v>2.9702469E-3</v>
      </c>
      <c r="L1235" s="7">
        <v>638.14583741570004</v>
      </c>
      <c r="M1235" s="7">
        <v>633.29216213430004</v>
      </c>
      <c r="N1235" s="7">
        <v>634.25546008590004</v>
      </c>
      <c r="O1235" s="7">
        <v>638.14583741570004</v>
      </c>
      <c r="P1235" s="7">
        <v>633.29216213430004</v>
      </c>
      <c r="Q1235">
        <v>1</v>
      </c>
      <c r="R1235">
        <v>1</v>
      </c>
      <c r="S1235" s="11">
        <v>45867.666666666664</v>
      </c>
      <c r="T1235">
        <v>1219</v>
      </c>
    </row>
    <row r="1236" spans="1:20">
      <c r="A1236" s="11">
        <v>45868.395833333336</v>
      </c>
      <c r="B1236" s="11">
        <v>45868.416666666664</v>
      </c>
      <c r="C1236" s="10">
        <v>45868</v>
      </c>
      <c r="D1236" s="7">
        <v>633.95230000000004</v>
      </c>
      <c r="E1236" s="7">
        <v>4178773</v>
      </c>
      <c r="F1236" s="7">
        <v>4178773</v>
      </c>
      <c r="G1236" s="7">
        <v>4178773</v>
      </c>
      <c r="H1236" s="7">
        <v>633.95230000000004</v>
      </c>
      <c r="I1236" s="7">
        <v>633.50350000000003</v>
      </c>
      <c r="J1236" s="7">
        <v>14</v>
      </c>
      <c r="K1236" s="7">
        <v>0</v>
      </c>
      <c r="L1236" s="7">
        <v>633.95230000000004</v>
      </c>
      <c r="M1236" s="7">
        <v>633.50350000000003</v>
      </c>
      <c r="N1236" s="7">
        <v>633.95230000000004</v>
      </c>
      <c r="O1236" s="7">
        <v>633.95230000000004</v>
      </c>
      <c r="P1236" s="7">
        <v>633.50350000000003</v>
      </c>
      <c r="Q1236">
        <v>1</v>
      </c>
      <c r="R1236">
        <v>0</v>
      </c>
      <c r="S1236" s="11">
        <v>45868.666666666664</v>
      </c>
      <c r="T1236">
        <v>1217</v>
      </c>
    </row>
    <row r="1237" spans="1:20">
      <c r="A1237" s="11">
        <v>45868.416666666664</v>
      </c>
      <c r="B1237" s="11">
        <v>45868.4375</v>
      </c>
      <c r="C1237" s="10">
        <v>45868</v>
      </c>
      <c r="D1237" s="7">
        <v>634.6105</v>
      </c>
      <c r="E1237" s="7">
        <v>2491831</v>
      </c>
      <c r="F1237" s="7">
        <v>2491831</v>
      </c>
      <c r="G1237" s="7">
        <v>6670604</v>
      </c>
      <c r="H1237" s="7">
        <v>633.95230000000004</v>
      </c>
      <c r="I1237" s="7">
        <v>633.50350000000003</v>
      </c>
      <c r="J1237" s="7">
        <v>14</v>
      </c>
      <c r="K1237" s="7">
        <v>7.8155100000000001E-4</v>
      </c>
      <c r="L1237" s="7">
        <v>634.44776607680001</v>
      </c>
      <c r="M1237" s="7">
        <v>633.00838468330005</v>
      </c>
      <c r="N1237" s="7">
        <v>634.19817326190002</v>
      </c>
      <c r="O1237" s="7">
        <v>634.44776607680001</v>
      </c>
      <c r="P1237" s="7">
        <v>633.00838468330005</v>
      </c>
      <c r="Q1237">
        <v>1</v>
      </c>
      <c r="R1237">
        <v>0</v>
      </c>
      <c r="S1237" s="11">
        <v>45868.666666666664</v>
      </c>
      <c r="T1237">
        <v>1216</v>
      </c>
    </row>
    <row r="1238" spans="1:20">
      <c r="A1238" s="11">
        <v>45868.4375</v>
      </c>
      <c r="B1238" s="11">
        <v>45868.458333333336</v>
      </c>
      <c r="C1238" s="10">
        <v>45868</v>
      </c>
      <c r="D1238" s="7">
        <v>634.5009</v>
      </c>
      <c r="E1238" s="7">
        <v>2089188</v>
      </c>
      <c r="F1238" s="7">
        <v>2089188</v>
      </c>
      <c r="G1238" s="7">
        <v>8759792</v>
      </c>
      <c r="H1238" s="7">
        <v>633.95230000000004</v>
      </c>
      <c r="I1238" s="7">
        <v>633.50350000000003</v>
      </c>
      <c r="J1238" s="7">
        <v>14</v>
      </c>
      <c r="K1238" s="7">
        <v>1.2935538000000001E-3</v>
      </c>
      <c r="L1238" s="7">
        <v>634.77235143810003</v>
      </c>
      <c r="M1238" s="7">
        <v>632.68402910889995</v>
      </c>
      <c r="N1238" s="7">
        <v>634.27037281510002</v>
      </c>
      <c r="O1238" s="7">
        <v>634.77235143810003</v>
      </c>
      <c r="P1238" s="7">
        <v>632.68402910889995</v>
      </c>
      <c r="Q1238">
        <v>1</v>
      </c>
      <c r="R1238">
        <v>0</v>
      </c>
      <c r="S1238" s="11">
        <v>45868.666666666664</v>
      </c>
      <c r="T1238">
        <v>1215</v>
      </c>
    </row>
    <row r="1239" spans="1:20">
      <c r="A1239" s="11">
        <v>45868.458333333336</v>
      </c>
      <c r="B1239" s="11">
        <v>45868.479166666664</v>
      </c>
      <c r="C1239" s="10">
        <v>45868</v>
      </c>
      <c r="D1239" s="7">
        <v>633.5634</v>
      </c>
      <c r="E1239" s="7">
        <v>2627765</v>
      </c>
      <c r="F1239" s="7">
        <v>2627765</v>
      </c>
      <c r="G1239" s="7">
        <v>11387557</v>
      </c>
      <c r="H1239" s="7">
        <v>633.95230000000004</v>
      </c>
      <c r="I1239" s="7">
        <v>633.50350000000003</v>
      </c>
      <c r="J1239" s="7">
        <v>14</v>
      </c>
      <c r="K1239" s="7">
        <v>1.5821358E-3</v>
      </c>
      <c r="L1239" s="7">
        <v>634.95529865740002</v>
      </c>
      <c r="M1239" s="7">
        <v>632.50121140509998</v>
      </c>
      <c r="N1239" s="7">
        <v>634.10723348509998</v>
      </c>
      <c r="O1239" s="7">
        <v>634.95529865740002</v>
      </c>
      <c r="P1239" s="7">
        <v>632.50121140509998</v>
      </c>
      <c r="Q1239">
        <v>1</v>
      </c>
      <c r="R1239">
        <v>0</v>
      </c>
      <c r="S1239" s="11">
        <v>45868.666666666664</v>
      </c>
      <c r="T1239">
        <v>1214</v>
      </c>
    </row>
    <row r="1240" spans="1:20">
      <c r="A1240" s="11">
        <v>45868.479166666664</v>
      </c>
      <c r="B1240" s="11">
        <v>45868.5</v>
      </c>
      <c r="C1240" s="10">
        <v>45868</v>
      </c>
      <c r="D1240" s="7">
        <v>634.41600000000005</v>
      </c>
      <c r="E1240" s="7">
        <v>1622974</v>
      </c>
      <c r="F1240" s="7">
        <v>1622974</v>
      </c>
      <c r="G1240" s="7">
        <v>13010531</v>
      </c>
      <c r="H1240" s="7">
        <v>633.95230000000004</v>
      </c>
      <c r="I1240" s="7">
        <v>633.50350000000003</v>
      </c>
      <c r="J1240" s="7">
        <v>14</v>
      </c>
      <c r="K1240" s="7">
        <v>1.6056601999999999E-3</v>
      </c>
      <c r="L1240" s="7">
        <v>634.97021197679999</v>
      </c>
      <c r="M1240" s="7">
        <v>632.48630864350002</v>
      </c>
      <c r="N1240" s="7">
        <v>634.14574997800003</v>
      </c>
      <c r="O1240" s="7">
        <v>634.97021197679999</v>
      </c>
      <c r="P1240" s="7">
        <v>632.48630864350002</v>
      </c>
      <c r="Q1240">
        <v>1</v>
      </c>
      <c r="R1240">
        <v>0</v>
      </c>
      <c r="S1240" s="11">
        <v>45868.666666666664</v>
      </c>
      <c r="T1240">
        <v>1213</v>
      </c>
    </row>
    <row r="1241" spans="1:20">
      <c r="A1241" s="11">
        <v>45868.5</v>
      </c>
      <c r="B1241" s="11">
        <v>45868.520833333336</v>
      </c>
      <c r="C1241" s="10">
        <v>45868</v>
      </c>
      <c r="D1241" s="7">
        <v>634.84990000000005</v>
      </c>
      <c r="E1241" s="7">
        <v>2122047</v>
      </c>
      <c r="F1241" s="7">
        <v>2122047</v>
      </c>
      <c r="G1241" s="7">
        <v>15132578</v>
      </c>
      <c r="H1241" s="7">
        <v>633.95230000000004</v>
      </c>
      <c r="I1241" s="7">
        <v>633.50350000000003</v>
      </c>
      <c r="J1241" s="7">
        <v>14</v>
      </c>
      <c r="K1241" s="7">
        <v>1.7981640999999999E-3</v>
      </c>
      <c r="L1241" s="7">
        <v>635.0922502848</v>
      </c>
      <c r="M1241" s="7">
        <v>632.36435673120002</v>
      </c>
      <c r="N1241" s="7">
        <v>634.24449319559994</v>
      </c>
      <c r="O1241" s="7">
        <v>635.0922502848</v>
      </c>
      <c r="P1241" s="7">
        <v>632.36435673120002</v>
      </c>
      <c r="Q1241">
        <v>1</v>
      </c>
      <c r="R1241">
        <v>0</v>
      </c>
      <c r="S1241" s="11">
        <v>45868.666666666664</v>
      </c>
      <c r="T1241">
        <v>1212</v>
      </c>
    </row>
    <row r="1242" spans="1:20">
      <c r="A1242" s="11">
        <v>45868.520833333336</v>
      </c>
      <c r="B1242" s="11">
        <v>45868.541666666664</v>
      </c>
      <c r="C1242" s="10">
        <v>45868</v>
      </c>
      <c r="D1242" s="7">
        <v>634.71519999999998</v>
      </c>
      <c r="E1242" s="7">
        <v>1383984</v>
      </c>
      <c r="F1242" s="7">
        <v>1383984</v>
      </c>
      <c r="G1242" s="7">
        <v>16516562</v>
      </c>
      <c r="H1242" s="7">
        <v>633.95230000000004</v>
      </c>
      <c r="I1242" s="7">
        <v>633.50350000000003</v>
      </c>
      <c r="J1242" s="7">
        <v>14</v>
      </c>
      <c r="K1242" s="7">
        <v>2.2342069000000002E-3</v>
      </c>
      <c r="L1242" s="7">
        <v>635.36868058979996</v>
      </c>
      <c r="M1242" s="7">
        <v>632.08812212220005</v>
      </c>
      <c r="N1242" s="7">
        <v>634.28393546489997</v>
      </c>
      <c r="O1242" s="7">
        <v>635.36868058979996</v>
      </c>
      <c r="P1242" s="7">
        <v>632.08812212220005</v>
      </c>
      <c r="Q1242">
        <v>1</v>
      </c>
      <c r="R1242">
        <v>0</v>
      </c>
      <c r="S1242" s="11">
        <v>45868.666666666664</v>
      </c>
      <c r="T1242">
        <v>1211</v>
      </c>
    </row>
    <row r="1243" spans="1:20">
      <c r="A1243" s="11">
        <v>45868.541666666664</v>
      </c>
      <c r="B1243" s="11">
        <v>45868.5625</v>
      </c>
      <c r="C1243" s="10">
        <v>45868</v>
      </c>
      <c r="D1243" s="7">
        <v>634.44100000000003</v>
      </c>
      <c r="E1243" s="7">
        <v>1075412</v>
      </c>
      <c r="F1243" s="7">
        <v>1075412</v>
      </c>
      <c r="G1243" s="7">
        <v>17591974</v>
      </c>
      <c r="H1243" s="7">
        <v>633.95230000000004</v>
      </c>
      <c r="I1243" s="7">
        <v>633.50350000000003</v>
      </c>
      <c r="J1243" s="7">
        <v>14</v>
      </c>
      <c r="K1243" s="7">
        <v>2.5421200000000001E-3</v>
      </c>
      <c r="L1243" s="7">
        <v>635.56388279379996</v>
      </c>
      <c r="M1243" s="7">
        <v>631.89305810960002</v>
      </c>
      <c r="N1243" s="7">
        <v>634.29353695049997</v>
      </c>
      <c r="O1243" s="7">
        <v>635.56388279379996</v>
      </c>
      <c r="P1243" s="7">
        <v>631.89305810960002</v>
      </c>
      <c r="Q1243">
        <v>1</v>
      </c>
      <c r="R1243">
        <v>0</v>
      </c>
      <c r="S1243" s="11">
        <v>45868.666666666664</v>
      </c>
      <c r="T1243">
        <v>1210</v>
      </c>
    </row>
    <row r="1244" spans="1:20">
      <c r="A1244" s="11">
        <v>45868.5625</v>
      </c>
      <c r="B1244" s="11">
        <v>45868.583333333336</v>
      </c>
      <c r="C1244" s="10">
        <v>45868</v>
      </c>
      <c r="D1244" s="7">
        <v>634.87980000000005</v>
      </c>
      <c r="E1244" s="7">
        <v>1665340</v>
      </c>
      <c r="F1244" s="7">
        <v>1665340</v>
      </c>
      <c r="G1244" s="7">
        <v>19257314</v>
      </c>
      <c r="H1244" s="7">
        <v>633.95230000000004</v>
      </c>
      <c r="I1244" s="7">
        <v>633.50350000000003</v>
      </c>
      <c r="J1244" s="7">
        <v>14</v>
      </c>
      <c r="K1244" s="7">
        <v>2.5732514000000001E-3</v>
      </c>
      <c r="L1244" s="7">
        <v>635.58361865109998</v>
      </c>
      <c r="M1244" s="7">
        <v>631.87333622409994</v>
      </c>
      <c r="N1244" s="7">
        <v>634.3442359892</v>
      </c>
      <c r="O1244" s="7">
        <v>635.58361865109998</v>
      </c>
      <c r="P1244" s="7">
        <v>631.87333622409994</v>
      </c>
      <c r="Q1244">
        <v>1</v>
      </c>
      <c r="R1244">
        <v>0</v>
      </c>
      <c r="S1244" s="11">
        <v>45868.666666666664</v>
      </c>
      <c r="T1244">
        <v>1209</v>
      </c>
    </row>
    <row r="1245" spans="1:20">
      <c r="A1245" s="11">
        <v>45868.583333333336</v>
      </c>
      <c r="B1245" s="11">
        <v>45868.604166666664</v>
      </c>
      <c r="C1245" s="10">
        <v>45868</v>
      </c>
      <c r="D1245" s="7">
        <v>635.03930000000003</v>
      </c>
      <c r="E1245" s="7">
        <v>2677921</v>
      </c>
      <c r="F1245" s="7">
        <v>2677921</v>
      </c>
      <c r="G1245" s="7">
        <v>21935235</v>
      </c>
      <c r="H1245" s="7">
        <v>633.95230000000004</v>
      </c>
      <c r="I1245" s="7">
        <v>633.50350000000003</v>
      </c>
      <c r="J1245" s="7">
        <v>14</v>
      </c>
      <c r="K1245" s="7">
        <v>2.8616850000000001E-3</v>
      </c>
      <c r="L1245" s="7">
        <v>635.76647181509998</v>
      </c>
      <c r="M1245" s="7">
        <v>631.69061250920004</v>
      </c>
      <c r="N1245" s="7">
        <v>634.42909154289998</v>
      </c>
      <c r="O1245" s="7">
        <v>635.76647181509998</v>
      </c>
      <c r="P1245" s="7">
        <v>631.69061250920004</v>
      </c>
      <c r="Q1245">
        <v>1</v>
      </c>
      <c r="R1245">
        <v>0</v>
      </c>
      <c r="S1245" s="11">
        <v>45868.666666666664</v>
      </c>
      <c r="T1245">
        <v>1208</v>
      </c>
    </row>
    <row r="1246" spans="1:20">
      <c r="A1246" s="11">
        <v>45868.604166666664</v>
      </c>
      <c r="B1246" s="11">
        <v>45868.625</v>
      </c>
      <c r="C1246" s="10">
        <v>45868</v>
      </c>
      <c r="D1246" s="7">
        <v>630.98050000000001</v>
      </c>
      <c r="E1246" s="7">
        <v>8182938</v>
      </c>
      <c r="F1246" s="7">
        <v>8182938</v>
      </c>
      <c r="G1246" s="7">
        <v>30118173</v>
      </c>
      <c r="H1246" s="7">
        <v>633.95230000000004</v>
      </c>
      <c r="I1246" s="7">
        <v>633.50350000000003</v>
      </c>
      <c r="J1246" s="7">
        <v>14</v>
      </c>
      <c r="K1246" s="7">
        <v>3.1485393000000002E-3</v>
      </c>
      <c r="L1246" s="7">
        <v>635.94832371769996</v>
      </c>
      <c r="M1246" s="7">
        <v>631.50888934679995</v>
      </c>
      <c r="N1246" s="7">
        <v>633.4921286407</v>
      </c>
      <c r="O1246" s="7">
        <v>635.94832371769996</v>
      </c>
      <c r="P1246" s="7">
        <v>631.50888934679995</v>
      </c>
      <c r="Q1246">
        <v>1</v>
      </c>
      <c r="R1246">
        <v>0</v>
      </c>
      <c r="S1246" s="11">
        <v>45868.666666666664</v>
      </c>
      <c r="T1246">
        <v>1207</v>
      </c>
    </row>
    <row r="1247" spans="1:20">
      <c r="A1247" s="11">
        <v>45868.625</v>
      </c>
      <c r="B1247" s="11">
        <v>45868.645833333336</v>
      </c>
      <c r="C1247" s="10">
        <v>45868</v>
      </c>
      <c r="D1247" s="7">
        <v>630.40219999999999</v>
      </c>
      <c r="E1247" s="7">
        <v>8774153</v>
      </c>
      <c r="F1247" s="7">
        <v>8774153</v>
      </c>
      <c r="G1247" s="7">
        <v>38892326</v>
      </c>
      <c r="H1247" s="7">
        <v>633.95230000000004</v>
      </c>
      <c r="I1247" s="7">
        <v>633.50350000000003</v>
      </c>
      <c r="J1247" s="7">
        <v>14</v>
      </c>
      <c r="K1247" s="7">
        <v>3.2125011E-3</v>
      </c>
      <c r="L1247" s="7">
        <v>635.98887248829999</v>
      </c>
      <c r="M1247" s="7">
        <v>631.4683692822</v>
      </c>
      <c r="N1247" s="7">
        <v>632.79503722339996</v>
      </c>
      <c r="O1247" s="7">
        <v>635.98887248829999</v>
      </c>
      <c r="P1247" s="7">
        <v>631.4683692822</v>
      </c>
      <c r="Q1247">
        <v>1</v>
      </c>
      <c r="R1247">
        <v>0</v>
      </c>
      <c r="S1247" s="11">
        <v>45868.666666666664</v>
      </c>
      <c r="T1247">
        <v>1206</v>
      </c>
    </row>
    <row r="1248" spans="1:20">
      <c r="A1248" s="11">
        <v>45868.645833333336</v>
      </c>
      <c r="B1248" s="11">
        <v>45868.666666666664</v>
      </c>
      <c r="C1248" s="10">
        <v>45868</v>
      </c>
      <c r="D1248" s="7">
        <v>632.70579999999995</v>
      </c>
      <c r="E1248" s="7">
        <v>11486680</v>
      </c>
      <c r="F1248" s="7">
        <v>11486680</v>
      </c>
      <c r="G1248" s="7">
        <v>50379006</v>
      </c>
      <c r="H1248" s="7">
        <v>633.95230000000004</v>
      </c>
      <c r="I1248" s="7">
        <v>633.50350000000003</v>
      </c>
      <c r="J1248" s="7">
        <v>14</v>
      </c>
      <c r="K1248" s="7">
        <v>3.2586458E-3</v>
      </c>
      <c r="L1248" s="7">
        <v>636.01812601159997</v>
      </c>
      <c r="M1248" s="7">
        <v>631.43913646860005</v>
      </c>
      <c r="N1248" s="7">
        <v>632.77469066419997</v>
      </c>
      <c r="O1248" s="7">
        <v>636.01812601159997</v>
      </c>
      <c r="P1248" s="7">
        <v>631.43913646860005</v>
      </c>
      <c r="Q1248">
        <v>1</v>
      </c>
      <c r="R1248">
        <v>1</v>
      </c>
      <c r="S1248" s="11">
        <v>45868.666666666664</v>
      </c>
      <c r="T1248">
        <v>1205</v>
      </c>
    </row>
    <row r="1249" spans="1:20">
      <c r="A1249" s="11">
        <v>45869.395833333336</v>
      </c>
      <c r="B1249" s="11">
        <v>45869.416666666664</v>
      </c>
      <c r="C1249" s="10">
        <v>45869</v>
      </c>
      <c r="D1249" s="7">
        <v>637.67700000000002</v>
      </c>
      <c r="E1249" s="7">
        <v>8756784</v>
      </c>
      <c r="F1249" s="7">
        <v>8756784</v>
      </c>
      <c r="G1249" s="7">
        <v>8756784</v>
      </c>
      <c r="H1249" s="7">
        <v>637.67700000000002</v>
      </c>
      <c r="I1249" s="7">
        <v>632.70569999999998</v>
      </c>
      <c r="J1249" s="7">
        <v>14</v>
      </c>
      <c r="K1249" s="7">
        <v>0</v>
      </c>
      <c r="L1249" s="7">
        <v>637.67700000000002</v>
      </c>
      <c r="M1249" s="7">
        <v>632.70569999999998</v>
      </c>
      <c r="N1249" s="7">
        <v>637.67700000000002</v>
      </c>
      <c r="O1249" s="7">
        <v>637.67700000000002</v>
      </c>
      <c r="P1249" s="7">
        <v>632.70569999999998</v>
      </c>
      <c r="Q1249">
        <v>1</v>
      </c>
      <c r="R1249">
        <v>0</v>
      </c>
      <c r="S1249" s="11">
        <v>45869.666666666664</v>
      </c>
      <c r="T1249">
        <v>1203</v>
      </c>
    </row>
    <row r="1250" spans="1:20">
      <c r="A1250" s="11">
        <v>45869.416666666664</v>
      </c>
      <c r="B1250" s="11">
        <v>45869.4375</v>
      </c>
      <c r="C1250" s="10">
        <v>45869</v>
      </c>
      <c r="D1250" s="7">
        <v>637.04380000000003</v>
      </c>
      <c r="E1250" s="7">
        <v>4470930</v>
      </c>
      <c r="F1250" s="7">
        <v>4470930</v>
      </c>
      <c r="G1250" s="7">
        <v>13227714</v>
      </c>
      <c r="H1250" s="7">
        <v>637.67700000000002</v>
      </c>
      <c r="I1250" s="7">
        <v>632.70569999999998</v>
      </c>
      <c r="J1250" s="7">
        <v>14</v>
      </c>
      <c r="K1250" s="7">
        <v>8.1102539999999997E-4</v>
      </c>
      <c r="L1250" s="7">
        <v>638.19417227129998</v>
      </c>
      <c r="M1250" s="7">
        <v>632.19255957949997</v>
      </c>
      <c r="N1250" s="7">
        <v>637.46298018710002</v>
      </c>
      <c r="O1250" s="7">
        <v>638.19417227129998</v>
      </c>
      <c r="P1250" s="7">
        <v>632.19255957949997</v>
      </c>
      <c r="Q1250">
        <v>1</v>
      </c>
      <c r="R1250">
        <v>0</v>
      </c>
      <c r="S1250" s="11">
        <v>45869.666666666664</v>
      </c>
      <c r="T1250">
        <v>1202</v>
      </c>
    </row>
    <row r="1251" spans="1:20">
      <c r="A1251" s="11">
        <v>45869.4375</v>
      </c>
      <c r="B1251" s="11">
        <v>45869.458333333336</v>
      </c>
      <c r="C1251" s="10">
        <v>45869</v>
      </c>
      <c r="D1251" s="7">
        <v>634.84990000000005</v>
      </c>
      <c r="E1251" s="7">
        <v>4449541</v>
      </c>
      <c r="F1251" s="7">
        <v>4449541</v>
      </c>
      <c r="G1251" s="7">
        <v>17677255</v>
      </c>
      <c r="H1251" s="7">
        <v>637.67700000000002</v>
      </c>
      <c r="I1251" s="7">
        <v>632.70569999999998</v>
      </c>
      <c r="J1251" s="7">
        <v>14</v>
      </c>
      <c r="K1251" s="7">
        <v>1.1829175999999999E-3</v>
      </c>
      <c r="L1251" s="7">
        <v>638.43131932979998</v>
      </c>
      <c r="M1251" s="7">
        <v>631.95726130829996</v>
      </c>
      <c r="N1251" s="7">
        <v>636.80524189970004</v>
      </c>
      <c r="O1251" s="7">
        <v>638.43131932979998</v>
      </c>
      <c r="P1251" s="7">
        <v>631.95726130829996</v>
      </c>
      <c r="Q1251">
        <v>1</v>
      </c>
      <c r="R1251">
        <v>0</v>
      </c>
      <c r="S1251" s="11">
        <v>45869.666666666664</v>
      </c>
      <c r="T1251">
        <v>1201</v>
      </c>
    </row>
    <row r="1252" spans="1:20">
      <c r="A1252" s="11">
        <v>45869.458333333336</v>
      </c>
      <c r="B1252" s="11">
        <v>45869.479166666664</v>
      </c>
      <c r="C1252" s="10">
        <v>45869</v>
      </c>
      <c r="D1252" s="7">
        <v>634.44100000000003</v>
      </c>
      <c r="E1252" s="7">
        <v>4846631</v>
      </c>
      <c r="F1252" s="7">
        <v>4846631</v>
      </c>
      <c r="G1252" s="7">
        <v>22523886</v>
      </c>
      <c r="H1252" s="7">
        <v>637.67700000000002</v>
      </c>
      <c r="I1252" s="7">
        <v>632.70569999999998</v>
      </c>
      <c r="J1252" s="7">
        <v>14</v>
      </c>
      <c r="K1252" s="7">
        <v>1.3795881E-3</v>
      </c>
      <c r="L1252" s="7">
        <v>638.55673158820002</v>
      </c>
      <c r="M1252" s="7">
        <v>631.83282675810005</v>
      </c>
      <c r="N1252" s="7">
        <v>636.29651049860001</v>
      </c>
      <c r="O1252" s="7">
        <v>638.55673158820002</v>
      </c>
      <c r="P1252" s="7">
        <v>631.83282675810005</v>
      </c>
      <c r="Q1252">
        <v>1</v>
      </c>
      <c r="R1252">
        <v>0</v>
      </c>
      <c r="S1252" s="11">
        <v>45869.666666666664</v>
      </c>
      <c r="T1252">
        <v>1200</v>
      </c>
    </row>
    <row r="1253" spans="1:20">
      <c r="A1253" s="11">
        <v>45869.479166666664</v>
      </c>
      <c r="B1253" s="11">
        <v>45869.5</v>
      </c>
      <c r="C1253" s="10">
        <v>45869</v>
      </c>
      <c r="D1253" s="7">
        <v>635.75729999999999</v>
      </c>
      <c r="E1253" s="7">
        <v>2932186</v>
      </c>
      <c r="F1253" s="7">
        <v>2932186</v>
      </c>
      <c r="G1253" s="7">
        <v>25456072</v>
      </c>
      <c r="H1253" s="7">
        <v>637.67700000000002</v>
      </c>
      <c r="I1253" s="7">
        <v>632.70569999999998</v>
      </c>
      <c r="J1253" s="7">
        <v>14</v>
      </c>
      <c r="K1253" s="7">
        <v>1.3909265E-3</v>
      </c>
      <c r="L1253" s="7">
        <v>638.5639618358</v>
      </c>
      <c r="M1253" s="7">
        <v>631.82565287709997</v>
      </c>
      <c r="N1253" s="7">
        <v>636.23440093689999</v>
      </c>
      <c r="O1253" s="7">
        <v>638.5639618358</v>
      </c>
      <c r="P1253" s="7">
        <v>631.82565287709997</v>
      </c>
      <c r="Q1253">
        <v>1</v>
      </c>
      <c r="R1253">
        <v>0</v>
      </c>
      <c r="S1253" s="11">
        <v>45869.666666666664</v>
      </c>
      <c r="T1253">
        <v>1199</v>
      </c>
    </row>
    <row r="1254" spans="1:20">
      <c r="A1254" s="11">
        <v>45869.5</v>
      </c>
      <c r="B1254" s="11">
        <v>45869.520833333336</v>
      </c>
      <c r="C1254" s="10">
        <v>45869</v>
      </c>
      <c r="D1254" s="7">
        <v>636.31590000000006</v>
      </c>
      <c r="E1254" s="7">
        <v>2217719</v>
      </c>
      <c r="F1254" s="7">
        <v>2217719</v>
      </c>
      <c r="G1254" s="7">
        <v>27673791</v>
      </c>
      <c r="H1254" s="7">
        <v>637.67700000000002</v>
      </c>
      <c r="I1254" s="7">
        <v>632.70569999999998</v>
      </c>
      <c r="J1254" s="7">
        <v>14</v>
      </c>
      <c r="K1254" s="7">
        <v>1.6460613E-3</v>
      </c>
      <c r="L1254" s="7">
        <v>638.72665540879996</v>
      </c>
      <c r="M1254" s="7">
        <v>631.66422765560003</v>
      </c>
      <c r="N1254" s="7">
        <v>636.24093209919999</v>
      </c>
      <c r="O1254" s="7">
        <v>638.72665540879996</v>
      </c>
      <c r="P1254" s="7">
        <v>631.66422765560003</v>
      </c>
      <c r="Q1254">
        <v>1</v>
      </c>
      <c r="R1254">
        <v>0</v>
      </c>
      <c r="S1254" s="11">
        <v>45869.666666666664</v>
      </c>
      <c r="T1254">
        <v>1198</v>
      </c>
    </row>
    <row r="1255" spans="1:20">
      <c r="A1255" s="11">
        <v>45869.520833333336</v>
      </c>
      <c r="B1255" s="11">
        <v>45869.541666666664</v>
      </c>
      <c r="C1255" s="10">
        <v>45869</v>
      </c>
      <c r="D1255" s="7">
        <v>636.00670000000002</v>
      </c>
      <c r="E1255" s="7">
        <v>2486230</v>
      </c>
      <c r="F1255" s="7">
        <v>2486230</v>
      </c>
      <c r="G1255" s="7">
        <v>30160021</v>
      </c>
      <c r="H1255" s="7">
        <v>637.67700000000002</v>
      </c>
      <c r="I1255" s="7">
        <v>632.70569999999998</v>
      </c>
      <c r="J1255" s="7">
        <v>14</v>
      </c>
      <c r="K1255" s="7">
        <v>2.0715118000000001E-3</v>
      </c>
      <c r="L1255" s="7">
        <v>638.99795542469997</v>
      </c>
      <c r="M1255" s="7">
        <v>631.39504268179996</v>
      </c>
      <c r="N1255" s="7">
        <v>636.2216232641</v>
      </c>
      <c r="O1255" s="7">
        <v>638.99795542469997</v>
      </c>
      <c r="P1255" s="7">
        <v>631.39504268179996</v>
      </c>
      <c r="Q1255">
        <v>1</v>
      </c>
      <c r="R1255">
        <v>0</v>
      </c>
      <c r="S1255" s="11">
        <v>45869.666666666664</v>
      </c>
      <c r="T1255">
        <v>1197</v>
      </c>
    </row>
    <row r="1256" spans="1:20">
      <c r="A1256" s="11">
        <v>45869.541666666664</v>
      </c>
      <c r="B1256" s="11">
        <v>45869.5625</v>
      </c>
      <c r="C1256" s="10">
        <v>45869</v>
      </c>
      <c r="D1256" s="7">
        <v>633.07479999999998</v>
      </c>
      <c r="E1256" s="7">
        <v>3627203</v>
      </c>
      <c r="F1256" s="7">
        <v>3627203</v>
      </c>
      <c r="G1256" s="7">
        <v>33787224</v>
      </c>
      <c r="H1256" s="7">
        <v>637.67700000000002</v>
      </c>
      <c r="I1256" s="7">
        <v>632.70569999999998</v>
      </c>
      <c r="J1256" s="7">
        <v>14</v>
      </c>
      <c r="K1256" s="7">
        <v>2.2843678000000001E-3</v>
      </c>
      <c r="L1256" s="7">
        <v>639.13368881320002</v>
      </c>
      <c r="M1256" s="7">
        <v>631.26036746449995</v>
      </c>
      <c r="N1256" s="7">
        <v>635.88379832819999</v>
      </c>
      <c r="O1256" s="7">
        <v>639.13368881320002</v>
      </c>
      <c r="P1256" s="7">
        <v>631.26036746449995</v>
      </c>
      <c r="Q1256">
        <v>1</v>
      </c>
      <c r="R1256">
        <v>0</v>
      </c>
      <c r="S1256" s="11">
        <v>45869.666666666664</v>
      </c>
      <c r="T1256">
        <v>1196</v>
      </c>
    </row>
    <row r="1257" spans="1:20">
      <c r="A1257" s="11">
        <v>45869.5625</v>
      </c>
      <c r="B1257" s="11">
        <v>45869.583333333336</v>
      </c>
      <c r="C1257" s="10">
        <v>45869</v>
      </c>
      <c r="D1257" s="7">
        <v>631.60879999999997</v>
      </c>
      <c r="E1257" s="7">
        <v>5580156</v>
      </c>
      <c r="F1257" s="7">
        <v>5580156</v>
      </c>
      <c r="G1257" s="7">
        <v>39367380</v>
      </c>
      <c r="H1257" s="7">
        <v>637.67700000000002</v>
      </c>
      <c r="I1257" s="7">
        <v>632.70569999999998</v>
      </c>
      <c r="J1257" s="7">
        <v>14</v>
      </c>
      <c r="K1257" s="7">
        <v>2.3081884999999998E-3</v>
      </c>
      <c r="L1257" s="7">
        <v>639.14887874570002</v>
      </c>
      <c r="M1257" s="7">
        <v>631.24529595199999</v>
      </c>
      <c r="N1257" s="7">
        <v>635.27783578829997</v>
      </c>
      <c r="O1257" s="7">
        <v>639.14887874570002</v>
      </c>
      <c r="P1257" s="7">
        <v>631.24529595199999</v>
      </c>
      <c r="Q1257">
        <v>1</v>
      </c>
      <c r="R1257">
        <v>0</v>
      </c>
      <c r="S1257" s="11">
        <v>45869.666666666664</v>
      </c>
      <c r="T1257">
        <v>1195</v>
      </c>
    </row>
    <row r="1258" spans="1:20">
      <c r="A1258" s="11">
        <v>45869.583333333336</v>
      </c>
      <c r="B1258" s="11">
        <v>45869.604166666664</v>
      </c>
      <c r="C1258" s="10">
        <v>45869</v>
      </c>
      <c r="D1258" s="7">
        <v>632.40660000000003</v>
      </c>
      <c r="E1258" s="7">
        <v>6070789</v>
      </c>
      <c r="F1258" s="7">
        <v>6070789</v>
      </c>
      <c r="G1258" s="7">
        <v>45438169</v>
      </c>
      <c r="H1258" s="7">
        <v>637.67700000000002</v>
      </c>
      <c r="I1258" s="7">
        <v>632.70569999999998</v>
      </c>
      <c r="J1258" s="7">
        <v>14</v>
      </c>
      <c r="K1258" s="7">
        <v>2.6117552E-3</v>
      </c>
      <c r="L1258" s="7">
        <v>639.34245622200001</v>
      </c>
      <c r="M1258" s="7">
        <v>631.05322759659998</v>
      </c>
      <c r="N1258" s="7">
        <v>634.89422291339997</v>
      </c>
      <c r="O1258" s="7">
        <v>639.34245622200001</v>
      </c>
      <c r="P1258" s="7">
        <v>631.05322759659998</v>
      </c>
      <c r="Q1258">
        <v>1</v>
      </c>
      <c r="R1258">
        <v>0</v>
      </c>
      <c r="S1258" s="11">
        <v>45869.666666666664</v>
      </c>
      <c r="T1258">
        <v>1194</v>
      </c>
    </row>
    <row r="1259" spans="1:20">
      <c r="A1259" s="11">
        <v>45869.604166666664</v>
      </c>
      <c r="B1259" s="11">
        <v>45869.625</v>
      </c>
      <c r="C1259" s="10">
        <v>45869</v>
      </c>
      <c r="D1259" s="7">
        <v>632.58619999999996</v>
      </c>
      <c r="E1259" s="7">
        <v>3785266</v>
      </c>
      <c r="F1259" s="7">
        <v>3785266</v>
      </c>
      <c r="G1259" s="7">
        <v>49223435</v>
      </c>
      <c r="H1259" s="7">
        <v>637.67700000000002</v>
      </c>
      <c r="I1259" s="7">
        <v>632.70569999999998</v>
      </c>
      <c r="J1259" s="7">
        <v>14</v>
      </c>
      <c r="K1259" s="7">
        <v>3.1522238999999999E-3</v>
      </c>
      <c r="L1259" s="7">
        <v>639.68710067059999</v>
      </c>
      <c r="M1259" s="7">
        <v>630.71126998</v>
      </c>
      <c r="N1259" s="7">
        <v>634.71673670869995</v>
      </c>
      <c r="O1259" s="7">
        <v>639.68710067059999</v>
      </c>
      <c r="P1259" s="7">
        <v>630.71126998</v>
      </c>
      <c r="Q1259">
        <v>1</v>
      </c>
      <c r="R1259">
        <v>0</v>
      </c>
      <c r="S1259" s="11">
        <v>45869.666666666664</v>
      </c>
      <c r="T1259">
        <v>1193</v>
      </c>
    </row>
    <row r="1260" spans="1:20">
      <c r="A1260" s="11">
        <v>45869.625</v>
      </c>
      <c r="B1260" s="11">
        <v>45869.645833333336</v>
      </c>
      <c r="C1260" s="10">
        <v>45869</v>
      </c>
      <c r="D1260" s="7">
        <v>631.17499999999995</v>
      </c>
      <c r="E1260" s="7">
        <v>4949005</v>
      </c>
      <c r="F1260" s="7">
        <v>4949005</v>
      </c>
      <c r="G1260" s="7">
        <v>54172440</v>
      </c>
      <c r="H1260" s="7">
        <v>637.67700000000002</v>
      </c>
      <c r="I1260" s="7">
        <v>632.70569999999998</v>
      </c>
      <c r="J1260" s="7">
        <v>14</v>
      </c>
      <c r="K1260" s="7">
        <v>3.284791E-3</v>
      </c>
      <c r="L1260" s="7">
        <v>639.77163566809998</v>
      </c>
      <c r="M1260" s="7">
        <v>630.62739401340002</v>
      </c>
      <c r="N1260" s="7">
        <v>634.39317600740003</v>
      </c>
      <c r="O1260" s="7">
        <v>639.77163566809998</v>
      </c>
      <c r="P1260" s="7">
        <v>630.62739401340002</v>
      </c>
      <c r="Q1260">
        <v>1</v>
      </c>
      <c r="R1260">
        <v>0</v>
      </c>
      <c r="S1260" s="11">
        <v>45869.666666666664</v>
      </c>
      <c r="T1260">
        <v>1192</v>
      </c>
    </row>
    <row r="1261" spans="1:20">
      <c r="A1261" s="11">
        <v>45869.645833333336</v>
      </c>
      <c r="B1261" s="11">
        <v>45869.666666666664</v>
      </c>
      <c r="C1261" s="10">
        <v>45869</v>
      </c>
      <c r="D1261" s="7">
        <v>630.33240000000001</v>
      </c>
      <c r="E1261" s="7">
        <v>17074478</v>
      </c>
      <c r="F1261" s="7">
        <v>17074478</v>
      </c>
      <c r="G1261" s="7">
        <v>71246918</v>
      </c>
      <c r="H1261" s="7">
        <v>637.67700000000002</v>
      </c>
      <c r="I1261" s="7">
        <v>632.70569999999998</v>
      </c>
      <c r="J1261" s="7">
        <v>14</v>
      </c>
      <c r="K1261" s="7">
        <v>3.1172086E-3</v>
      </c>
      <c r="L1261" s="7">
        <v>639.66477221039997</v>
      </c>
      <c r="M1261" s="7">
        <v>630.73342436860003</v>
      </c>
      <c r="N1261" s="7">
        <v>633.42000225410004</v>
      </c>
      <c r="O1261" s="7">
        <v>639.66477221039997</v>
      </c>
      <c r="P1261" s="7">
        <v>630.73342436860003</v>
      </c>
      <c r="Q1261">
        <v>1</v>
      </c>
      <c r="R1261">
        <v>1</v>
      </c>
      <c r="S1261" s="11">
        <v>45869.666666666664</v>
      </c>
      <c r="T1261">
        <v>1191</v>
      </c>
    </row>
    <row r="1262" spans="1:20">
      <c r="A1262" s="11">
        <v>45870.395833333336</v>
      </c>
      <c r="B1262" s="11">
        <v>45870.416666666664</v>
      </c>
      <c r="C1262" s="10">
        <v>45870</v>
      </c>
      <c r="D1262" s="7">
        <v>619.45249999999999</v>
      </c>
      <c r="E1262" s="7">
        <v>11889917</v>
      </c>
      <c r="F1262" s="7">
        <v>11889917</v>
      </c>
      <c r="G1262" s="7">
        <v>11889917</v>
      </c>
      <c r="H1262" s="7">
        <v>619.45249999999999</v>
      </c>
      <c r="I1262" s="7">
        <v>630.33230000000003</v>
      </c>
      <c r="J1262" s="7">
        <v>14</v>
      </c>
      <c r="K1262" s="7">
        <v>0</v>
      </c>
      <c r="L1262" s="7">
        <v>630.33230000000003</v>
      </c>
      <c r="M1262" s="7">
        <v>619.45249999999999</v>
      </c>
      <c r="N1262" s="7">
        <v>619.45249999999999</v>
      </c>
      <c r="O1262" s="7">
        <v>630.33230000000003</v>
      </c>
      <c r="P1262" s="7">
        <v>619.45249999999999</v>
      </c>
      <c r="Q1262">
        <v>1</v>
      </c>
      <c r="R1262">
        <v>0</v>
      </c>
      <c r="S1262" s="11">
        <v>45870.666666666664</v>
      </c>
      <c r="T1262">
        <v>1189</v>
      </c>
    </row>
    <row r="1263" spans="1:20">
      <c r="A1263" s="11">
        <v>45870.416666666664</v>
      </c>
      <c r="B1263" s="11">
        <v>45870.4375</v>
      </c>
      <c r="C1263" s="10">
        <v>45870</v>
      </c>
      <c r="D1263" s="7">
        <v>621.6268</v>
      </c>
      <c r="E1263" s="7">
        <v>9696065</v>
      </c>
      <c r="F1263" s="7">
        <v>9696065</v>
      </c>
      <c r="G1263" s="7">
        <v>21585982</v>
      </c>
      <c r="H1263" s="7">
        <v>619.45249999999999</v>
      </c>
      <c r="I1263" s="7">
        <v>630.33230000000003</v>
      </c>
      <c r="J1263" s="7">
        <v>14</v>
      </c>
      <c r="K1263" s="7">
        <v>7.8682049999999999E-4</v>
      </c>
      <c r="L1263" s="7">
        <v>630.82825836330005</v>
      </c>
      <c r="M1263" s="7">
        <v>618.96510208619998</v>
      </c>
      <c r="N1263" s="7">
        <v>620.42915948810003</v>
      </c>
      <c r="O1263" s="7">
        <v>630.82825836330005</v>
      </c>
      <c r="P1263" s="7">
        <v>618.96510208619998</v>
      </c>
      <c r="Q1263">
        <v>1</v>
      </c>
      <c r="R1263">
        <v>0</v>
      </c>
      <c r="S1263" s="11">
        <v>45870.666666666664</v>
      </c>
      <c r="T1263">
        <v>1188</v>
      </c>
    </row>
    <row r="1264" spans="1:20">
      <c r="A1264" s="11">
        <v>45870.4375</v>
      </c>
      <c r="B1264" s="11">
        <v>45870.458333333336</v>
      </c>
      <c r="C1264" s="10">
        <v>45870</v>
      </c>
      <c r="D1264" s="7">
        <v>620.25030000000004</v>
      </c>
      <c r="E1264" s="7">
        <v>7790382</v>
      </c>
      <c r="F1264" s="7">
        <v>7790382</v>
      </c>
      <c r="G1264" s="7">
        <v>29376364</v>
      </c>
      <c r="H1264" s="7">
        <v>619.45249999999999</v>
      </c>
      <c r="I1264" s="7">
        <v>630.33230000000003</v>
      </c>
      <c r="J1264" s="7">
        <v>14</v>
      </c>
      <c r="K1264" s="7">
        <v>1.4239526E-3</v>
      </c>
      <c r="L1264" s="7">
        <v>631.22986328870002</v>
      </c>
      <c r="M1264" s="7">
        <v>618.57042903030003</v>
      </c>
      <c r="N1264" s="7">
        <v>620.38172735060004</v>
      </c>
      <c r="O1264" s="7">
        <v>631.22986328870002</v>
      </c>
      <c r="P1264" s="7">
        <v>618.57042903030003</v>
      </c>
      <c r="Q1264">
        <v>1</v>
      </c>
      <c r="R1264">
        <v>0</v>
      </c>
      <c r="S1264" s="11">
        <v>45870.666666666664</v>
      </c>
      <c r="T1264">
        <v>1187</v>
      </c>
    </row>
    <row r="1265" spans="1:20">
      <c r="A1265" s="11">
        <v>45870.458333333336</v>
      </c>
      <c r="B1265" s="11">
        <v>45870.479166666664</v>
      </c>
      <c r="C1265" s="10">
        <v>45870</v>
      </c>
      <c r="D1265" s="7">
        <v>619.79160000000002</v>
      </c>
      <c r="E1265" s="7">
        <v>5683603</v>
      </c>
      <c r="F1265" s="7">
        <v>5683603</v>
      </c>
      <c r="G1265" s="7">
        <v>35059967</v>
      </c>
      <c r="H1265" s="7">
        <v>619.45249999999999</v>
      </c>
      <c r="I1265" s="7">
        <v>630.33230000000003</v>
      </c>
      <c r="J1265" s="7">
        <v>14</v>
      </c>
      <c r="K1265" s="7">
        <v>1.7237323000000001E-3</v>
      </c>
      <c r="L1265" s="7">
        <v>631.41882412680002</v>
      </c>
      <c r="M1265" s="7">
        <v>618.38472973559999</v>
      </c>
      <c r="N1265" s="7">
        <v>620.28606127139994</v>
      </c>
      <c r="O1265" s="7">
        <v>631.41882412680002</v>
      </c>
      <c r="P1265" s="7">
        <v>618.38472973559999</v>
      </c>
      <c r="Q1265">
        <v>1</v>
      </c>
      <c r="R1265">
        <v>0</v>
      </c>
      <c r="S1265" s="11">
        <v>45870.666666666664</v>
      </c>
      <c r="T1265">
        <v>1186</v>
      </c>
    </row>
    <row r="1266" spans="1:20">
      <c r="A1266" s="11">
        <v>45870.479166666664</v>
      </c>
      <c r="B1266" s="11">
        <v>45870.5</v>
      </c>
      <c r="C1266" s="10">
        <v>45870</v>
      </c>
      <c r="D1266" s="7">
        <v>622.20489999999995</v>
      </c>
      <c r="E1266" s="7">
        <v>5248138</v>
      </c>
      <c r="F1266" s="7">
        <v>5248138</v>
      </c>
      <c r="G1266" s="7">
        <v>40308105</v>
      </c>
      <c r="H1266" s="7">
        <v>619.45249999999999</v>
      </c>
      <c r="I1266" s="7">
        <v>630.33230000000003</v>
      </c>
      <c r="J1266" s="7">
        <v>14</v>
      </c>
      <c r="K1266" s="7">
        <v>1.5394921E-3</v>
      </c>
      <c r="L1266" s="7">
        <v>631.30269158149997</v>
      </c>
      <c r="M1266" s="7">
        <v>618.4988577844</v>
      </c>
      <c r="N1266" s="7">
        <v>620.53589515579995</v>
      </c>
      <c r="O1266" s="7">
        <v>631.30269158149997</v>
      </c>
      <c r="P1266" s="7">
        <v>618.4988577844</v>
      </c>
      <c r="Q1266">
        <v>1</v>
      </c>
      <c r="R1266">
        <v>0</v>
      </c>
      <c r="S1266" s="11">
        <v>45870.666666666664</v>
      </c>
      <c r="T1266">
        <v>1185</v>
      </c>
    </row>
    <row r="1267" spans="1:20">
      <c r="A1267" s="11">
        <v>45870.5</v>
      </c>
      <c r="B1267" s="11">
        <v>45870.520833333336</v>
      </c>
      <c r="C1267" s="10">
        <v>45870</v>
      </c>
      <c r="D1267" s="7">
        <v>622.50409999999999</v>
      </c>
      <c r="E1267" s="7">
        <v>5126592</v>
      </c>
      <c r="F1267" s="7">
        <v>5126592</v>
      </c>
      <c r="G1267" s="7">
        <v>45434697</v>
      </c>
      <c r="H1267" s="7">
        <v>619.45249999999999</v>
      </c>
      <c r="I1267" s="7">
        <v>630.33230000000003</v>
      </c>
      <c r="J1267" s="7">
        <v>14</v>
      </c>
      <c r="K1267" s="7">
        <v>1.7131606E-3</v>
      </c>
      <c r="L1267" s="7">
        <v>631.41216046</v>
      </c>
      <c r="M1267" s="7">
        <v>618.39127838469994</v>
      </c>
      <c r="N1267" s="7">
        <v>620.75797616160003</v>
      </c>
      <c r="O1267" s="7">
        <v>631.41216046</v>
      </c>
      <c r="P1267" s="7">
        <v>618.39127838469994</v>
      </c>
      <c r="Q1267">
        <v>1</v>
      </c>
      <c r="R1267">
        <v>0</v>
      </c>
      <c r="S1267" s="11">
        <v>45870.666666666664</v>
      </c>
      <c r="T1267">
        <v>1184</v>
      </c>
    </row>
    <row r="1268" spans="1:20">
      <c r="A1268" s="11">
        <v>45870.520833333336</v>
      </c>
      <c r="B1268" s="11">
        <v>45870.541666666664</v>
      </c>
      <c r="C1268" s="10">
        <v>45870</v>
      </c>
      <c r="D1268" s="7">
        <v>619.65200000000004</v>
      </c>
      <c r="E1268" s="7">
        <v>6967130</v>
      </c>
      <c r="F1268" s="7">
        <v>6967130</v>
      </c>
      <c r="G1268" s="7">
        <v>52401827</v>
      </c>
      <c r="H1268" s="7">
        <v>619.45249999999999</v>
      </c>
      <c r="I1268" s="7">
        <v>630.33230000000003</v>
      </c>
      <c r="J1268" s="7">
        <v>14</v>
      </c>
      <c r="K1268" s="7">
        <v>2.1256625000000001E-3</v>
      </c>
      <c r="L1268" s="7">
        <v>631.67217373419999</v>
      </c>
      <c r="M1268" s="7">
        <v>618.13575304870005</v>
      </c>
      <c r="N1268" s="7">
        <v>620.61093014940002</v>
      </c>
      <c r="O1268" s="7">
        <v>631.67217373419999</v>
      </c>
      <c r="P1268" s="7">
        <v>618.13575304870005</v>
      </c>
      <c r="Q1268">
        <v>1</v>
      </c>
      <c r="R1268">
        <v>0</v>
      </c>
      <c r="S1268" s="11">
        <v>45870.666666666664</v>
      </c>
      <c r="T1268">
        <v>1183</v>
      </c>
    </row>
    <row r="1269" spans="1:20">
      <c r="A1269" s="11">
        <v>45870.541666666664</v>
      </c>
      <c r="B1269" s="11">
        <v>45870.5625</v>
      </c>
      <c r="C1269" s="10">
        <v>45870</v>
      </c>
      <c r="D1269" s="7">
        <v>618.7944</v>
      </c>
      <c r="E1269" s="7">
        <v>6801765</v>
      </c>
      <c r="F1269" s="7">
        <v>6801765</v>
      </c>
      <c r="G1269" s="7">
        <v>59203592</v>
      </c>
      <c r="H1269" s="7">
        <v>619.45249999999999</v>
      </c>
      <c r="I1269" s="7">
        <v>630.33230000000003</v>
      </c>
      <c r="J1269" s="7">
        <v>14</v>
      </c>
      <c r="K1269" s="7">
        <v>2.6577596999999998E-3</v>
      </c>
      <c r="L1269" s="7">
        <v>632.00757178130004</v>
      </c>
      <c r="M1269" s="7">
        <v>617.80614411260001</v>
      </c>
      <c r="N1269" s="7">
        <v>620.40223316369998</v>
      </c>
      <c r="O1269" s="7">
        <v>632.00757178130004</v>
      </c>
      <c r="P1269" s="7">
        <v>617.80614411260001</v>
      </c>
      <c r="Q1269">
        <v>1</v>
      </c>
      <c r="R1269">
        <v>0</v>
      </c>
      <c r="S1269" s="11">
        <v>45870.666666666664</v>
      </c>
      <c r="T1269">
        <v>1182</v>
      </c>
    </row>
    <row r="1270" spans="1:20">
      <c r="A1270" s="11">
        <v>45870.5625</v>
      </c>
      <c r="B1270" s="11">
        <v>45870.583333333336</v>
      </c>
      <c r="C1270" s="10">
        <v>45870</v>
      </c>
      <c r="D1270" s="7">
        <v>618.95389999999998</v>
      </c>
      <c r="E1270" s="7">
        <v>5206051</v>
      </c>
      <c r="F1270" s="7">
        <v>5206051</v>
      </c>
      <c r="G1270" s="7">
        <v>64409643</v>
      </c>
      <c r="H1270" s="7">
        <v>619.45249999999999</v>
      </c>
      <c r="I1270" s="7">
        <v>630.33230000000003</v>
      </c>
      <c r="J1270" s="7">
        <v>14</v>
      </c>
      <c r="K1270" s="7">
        <v>2.8423444999999999E-3</v>
      </c>
      <c r="L1270" s="7">
        <v>632.12392152949997</v>
      </c>
      <c r="M1270" s="7">
        <v>617.69180260990004</v>
      </c>
      <c r="N1270" s="7">
        <v>620.28516845160004</v>
      </c>
      <c r="O1270" s="7">
        <v>632.12392152949997</v>
      </c>
      <c r="P1270" s="7">
        <v>617.69180260990004</v>
      </c>
      <c r="Q1270">
        <v>1</v>
      </c>
      <c r="R1270">
        <v>0</v>
      </c>
      <c r="S1270" s="11">
        <v>45870.666666666664</v>
      </c>
      <c r="T1270">
        <v>1181</v>
      </c>
    </row>
    <row r="1271" spans="1:20">
      <c r="A1271" s="11">
        <v>45870.583333333336</v>
      </c>
      <c r="B1271" s="11">
        <v>45870.604166666664</v>
      </c>
      <c r="C1271" s="10">
        <v>45870</v>
      </c>
      <c r="D1271" s="7">
        <v>619.92129999999997</v>
      </c>
      <c r="E1271" s="7">
        <v>5686985</v>
      </c>
      <c r="F1271" s="7">
        <v>5686985</v>
      </c>
      <c r="G1271" s="7">
        <v>70096628</v>
      </c>
      <c r="H1271" s="7">
        <v>619.45249999999999</v>
      </c>
      <c r="I1271" s="7">
        <v>630.33230000000003</v>
      </c>
      <c r="J1271" s="7">
        <v>14</v>
      </c>
      <c r="K1271" s="7">
        <v>3.0794761999999999E-3</v>
      </c>
      <c r="L1271" s="7">
        <v>632.27339331919995</v>
      </c>
      <c r="M1271" s="7">
        <v>617.54491076600004</v>
      </c>
      <c r="N1271" s="7">
        <v>620.25564756760002</v>
      </c>
      <c r="O1271" s="7">
        <v>632.27339331919995</v>
      </c>
      <c r="P1271" s="7">
        <v>617.54491076600004</v>
      </c>
      <c r="Q1271">
        <v>1</v>
      </c>
      <c r="R1271">
        <v>0</v>
      </c>
      <c r="S1271" s="11">
        <v>45870.666666666664</v>
      </c>
      <c r="T1271">
        <v>1180</v>
      </c>
    </row>
    <row r="1272" spans="1:20">
      <c r="A1272" s="11">
        <v>45870.604166666664</v>
      </c>
      <c r="B1272" s="11">
        <v>45870.625</v>
      </c>
      <c r="C1272" s="10">
        <v>45870</v>
      </c>
      <c r="D1272" s="7">
        <v>619.66200000000003</v>
      </c>
      <c r="E1272" s="7">
        <v>6810809</v>
      </c>
      <c r="F1272" s="7">
        <v>6810809</v>
      </c>
      <c r="G1272" s="7">
        <v>76907437</v>
      </c>
      <c r="H1272" s="7">
        <v>619.45249999999999</v>
      </c>
      <c r="I1272" s="7">
        <v>630.33230000000003</v>
      </c>
      <c r="J1272" s="7">
        <v>14</v>
      </c>
      <c r="K1272" s="7">
        <v>3.5918046999999999E-3</v>
      </c>
      <c r="L1272" s="7">
        <v>632.59633053810001</v>
      </c>
      <c r="M1272" s="7">
        <v>617.22754757899997</v>
      </c>
      <c r="N1272" s="7">
        <v>620.20307501599996</v>
      </c>
      <c r="O1272" s="7">
        <v>632.59633053810001</v>
      </c>
      <c r="P1272" s="7">
        <v>617.22754757899997</v>
      </c>
      <c r="Q1272">
        <v>1</v>
      </c>
      <c r="R1272">
        <v>0</v>
      </c>
      <c r="S1272" s="11">
        <v>45870.666666666664</v>
      </c>
      <c r="T1272">
        <v>1179</v>
      </c>
    </row>
    <row r="1273" spans="1:20">
      <c r="A1273" s="11">
        <v>45870.625</v>
      </c>
      <c r="B1273" s="11">
        <v>45870.645833333336</v>
      </c>
      <c r="C1273" s="10">
        <v>45870</v>
      </c>
      <c r="D1273" s="7">
        <v>620.06089999999995</v>
      </c>
      <c r="E1273" s="7">
        <v>7480405</v>
      </c>
      <c r="F1273" s="7">
        <v>7480405</v>
      </c>
      <c r="G1273" s="7">
        <v>84387842</v>
      </c>
      <c r="H1273" s="7">
        <v>619.45249999999999</v>
      </c>
      <c r="I1273" s="7">
        <v>630.33230000000003</v>
      </c>
      <c r="J1273" s="7">
        <v>14</v>
      </c>
      <c r="K1273" s="7">
        <v>3.8744231000000001E-3</v>
      </c>
      <c r="L1273" s="7">
        <v>632.77447402949997</v>
      </c>
      <c r="M1273" s="7">
        <v>617.05247891900001</v>
      </c>
      <c r="N1273" s="7">
        <v>620.19047217330001</v>
      </c>
      <c r="O1273" s="7">
        <v>632.77447402949997</v>
      </c>
      <c r="P1273" s="7">
        <v>617.05247891900001</v>
      </c>
      <c r="Q1273">
        <v>1</v>
      </c>
      <c r="R1273">
        <v>0</v>
      </c>
      <c r="S1273" s="11">
        <v>45870.666666666664</v>
      </c>
      <c r="T1273">
        <v>1178</v>
      </c>
    </row>
    <row r="1274" spans="1:20">
      <c r="A1274" s="11">
        <v>45870.645833333336</v>
      </c>
      <c r="B1274" s="11">
        <v>45870.666666666664</v>
      </c>
      <c r="C1274" s="10">
        <v>45870</v>
      </c>
      <c r="D1274" s="7">
        <v>620.00099999999998</v>
      </c>
      <c r="E1274" s="7">
        <v>16048035</v>
      </c>
      <c r="F1274" s="7">
        <v>16048035</v>
      </c>
      <c r="G1274" s="7">
        <v>100435877</v>
      </c>
      <c r="H1274" s="7">
        <v>619.45249999999999</v>
      </c>
      <c r="I1274" s="7">
        <v>630.33230000000003</v>
      </c>
      <c r="J1274" s="7">
        <v>14</v>
      </c>
      <c r="K1274" s="7">
        <v>3.8906202000000001E-3</v>
      </c>
      <c r="L1274" s="7">
        <v>632.78468358769999</v>
      </c>
      <c r="M1274" s="7">
        <v>617.04244558209996</v>
      </c>
      <c r="N1274" s="7">
        <v>620.16019757260005</v>
      </c>
      <c r="O1274" s="7">
        <v>632.78468358769999</v>
      </c>
      <c r="P1274" s="7">
        <v>617.04244558209996</v>
      </c>
      <c r="Q1274">
        <v>1</v>
      </c>
      <c r="R1274">
        <v>1</v>
      </c>
      <c r="S1274" s="11">
        <v>45870.666666666664</v>
      </c>
      <c r="T1274">
        <v>1177</v>
      </c>
    </row>
    <row r="1275" spans="1:20">
      <c r="A1275" s="11">
        <v>45873.395833333336</v>
      </c>
      <c r="B1275" s="11">
        <v>45873.416666666664</v>
      </c>
      <c r="C1275" s="10">
        <v>45873</v>
      </c>
      <c r="D1275" s="7">
        <v>627.40049999999997</v>
      </c>
      <c r="E1275" s="7">
        <v>8153121</v>
      </c>
      <c r="F1275" s="7">
        <v>8153121</v>
      </c>
      <c r="G1275" s="7">
        <v>8153121</v>
      </c>
      <c r="H1275" s="7">
        <v>627.40049999999997</v>
      </c>
      <c r="I1275" s="7">
        <v>620.0009</v>
      </c>
      <c r="J1275" s="7">
        <v>14</v>
      </c>
      <c r="K1275" s="7">
        <v>0</v>
      </c>
      <c r="L1275" s="7">
        <v>627.40049999999997</v>
      </c>
      <c r="M1275" s="7">
        <v>620.0009</v>
      </c>
      <c r="N1275" s="7">
        <v>627.40049999999997</v>
      </c>
      <c r="O1275" s="7">
        <v>627.40049999999997</v>
      </c>
      <c r="P1275" s="7">
        <v>620.0009</v>
      </c>
      <c r="Q1275">
        <v>1</v>
      </c>
      <c r="R1275">
        <v>0</v>
      </c>
      <c r="S1275" s="11">
        <v>45873.666666666664</v>
      </c>
      <c r="T1275">
        <v>1175</v>
      </c>
    </row>
    <row r="1276" spans="1:20">
      <c r="A1276" s="11">
        <v>45873.416666666664</v>
      </c>
      <c r="B1276" s="11">
        <v>45873.4375</v>
      </c>
      <c r="C1276" s="10">
        <v>45873</v>
      </c>
      <c r="D1276" s="7">
        <v>627.68970000000002</v>
      </c>
      <c r="E1276" s="7">
        <v>4167806</v>
      </c>
      <c r="F1276" s="7">
        <v>4167806</v>
      </c>
      <c r="G1276" s="7">
        <v>12320927</v>
      </c>
      <c r="H1276" s="7">
        <v>627.40049999999997</v>
      </c>
      <c r="I1276" s="7">
        <v>620.0009</v>
      </c>
      <c r="J1276" s="7">
        <v>14</v>
      </c>
      <c r="K1276" s="7">
        <v>1.0329478E-3</v>
      </c>
      <c r="L1276" s="7">
        <v>628.04857197440003</v>
      </c>
      <c r="M1276" s="7">
        <v>619.36047142619998</v>
      </c>
      <c r="N1276" s="7">
        <v>627.4983278254</v>
      </c>
      <c r="O1276" s="7">
        <v>628.04857197440003</v>
      </c>
      <c r="P1276" s="7">
        <v>619.36047142619998</v>
      </c>
      <c r="Q1276">
        <v>1</v>
      </c>
      <c r="R1276">
        <v>0</v>
      </c>
      <c r="S1276" s="11">
        <v>45873.666666666664</v>
      </c>
      <c r="T1276">
        <v>1174</v>
      </c>
    </row>
    <row r="1277" spans="1:20">
      <c r="A1277" s="11">
        <v>45873.4375</v>
      </c>
      <c r="B1277" s="11">
        <v>45873.458333333336</v>
      </c>
      <c r="C1277" s="10">
        <v>45873</v>
      </c>
      <c r="D1277" s="7">
        <v>627.41819999999996</v>
      </c>
      <c r="E1277" s="7">
        <v>4461681</v>
      </c>
      <c r="F1277" s="7">
        <v>4461681</v>
      </c>
      <c r="G1277" s="7">
        <v>16782608</v>
      </c>
      <c r="H1277" s="7">
        <v>627.40049999999997</v>
      </c>
      <c r="I1277" s="7">
        <v>620.0009</v>
      </c>
      <c r="J1277" s="7">
        <v>14</v>
      </c>
      <c r="K1277" s="7">
        <v>1.4333589999999999E-3</v>
      </c>
      <c r="L1277" s="7">
        <v>628.29979014440005</v>
      </c>
      <c r="M1277" s="7">
        <v>619.11221613869998</v>
      </c>
      <c r="N1277" s="7">
        <v>627.4770257253</v>
      </c>
      <c r="O1277" s="7">
        <v>628.29979014440005</v>
      </c>
      <c r="P1277" s="7">
        <v>619.11221613869998</v>
      </c>
      <c r="Q1277">
        <v>1</v>
      </c>
      <c r="R1277">
        <v>0</v>
      </c>
      <c r="S1277" s="11">
        <v>45873.666666666664</v>
      </c>
      <c r="T1277">
        <v>1173</v>
      </c>
    </row>
    <row r="1278" spans="1:20">
      <c r="A1278" s="11">
        <v>45873.458333333336</v>
      </c>
      <c r="B1278" s="11">
        <v>45873.479166666664</v>
      </c>
      <c r="C1278" s="10">
        <v>45873</v>
      </c>
      <c r="D1278" s="7">
        <v>627.24090000000001</v>
      </c>
      <c r="E1278" s="7">
        <v>3072662</v>
      </c>
      <c r="F1278" s="7">
        <v>3072662</v>
      </c>
      <c r="G1278" s="7">
        <v>19855270</v>
      </c>
      <c r="H1278" s="7">
        <v>627.40049999999997</v>
      </c>
      <c r="I1278" s="7">
        <v>620.0009</v>
      </c>
      <c r="J1278" s="7">
        <v>14</v>
      </c>
      <c r="K1278" s="7">
        <v>1.5976591E-3</v>
      </c>
      <c r="L1278" s="7">
        <v>628.40287213420004</v>
      </c>
      <c r="M1278" s="7">
        <v>619.01034990430003</v>
      </c>
      <c r="N1278" s="7">
        <v>627.44048456799999</v>
      </c>
      <c r="O1278" s="7">
        <v>628.40287213420004</v>
      </c>
      <c r="P1278" s="7">
        <v>619.01034990430003</v>
      </c>
      <c r="Q1278">
        <v>1</v>
      </c>
      <c r="R1278">
        <v>0</v>
      </c>
      <c r="S1278" s="11">
        <v>45873.666666666664</v>
      </c>
      <c r="T1278">
        <v>1172</v>
      </c>
    </row>
    <row r="1279" spans="1:20">
      <c r="A1279" s="11">
        <v>45873.479166666664</v>
      </c>
      <c r="B1279" s="11">
        <v>45873.5</v>
      </c>
      <c r="C1279" s="10">
        <v>45873</v>
      </c>
      <c r="D1279" s="7">
        <v>628.17830000000004</v>
      </c>
      <c r="E1279" s="7">
        <v>3099248</v>
      </c>
      <c r="F1279" s="7">
        <v>3099248</v>
      </c>
      <c r="G1279" s="7">
        <v>22954518</v>
      </c>
      <c r="H1279" s="7">
        <v>627.40049999999997</v>
      </c>
      <c r="I1279" s="7">
        <v>620.0009</v>
      </c>
      <c r="J1279" s="7">
        <v>14</v>
      </c>
      <c r="K1279" s="7">
        <v>1.7157807000000001E-3</v>
      </c>
      <c r="L1279" s="7">
        <v>628.47698163819996</v>
      </c>
      <c r="M1279" s="7">
        <v>618.93711445229997</v>
      </c>
      <c r="N1279" s="7">
        <v>627.54010212490005</v>
      </c>
      <c r="O1279" s="7">
        <v>628.47698163819996</v>
      </c>
      <c r="P1279" s="7">
        <v>618.93711445229997</v>
      </c>
      <c r="Q1279">
        <v>1</v>
      </c>
      <c r="R1279">
        <v>0</v>
      </c>
      <c r="S1279" s="11">
        <v>45873.666666666664</v>
      </c>
      <c r="T1279">
        <v>1171</v>
      </c>
    </row>
    <row r="1280" spans="1:20">
      <c r="A1280" s="11">
        <v>45873.5</v>
      </c>
      <c r="B1280" s="11">
        <v>45873.520833333336</v>
      </c>
      <c r="C1280" s="10">
        <v>45873</v>
      </c>
      <c r="D1280" s="7">
        <v>627.98900000000003</v>
      </c>
      <c r="E1280" s="7">
        <v>2411427</v>
      </c>
      <c r="F1280" s="7">
        <v>2411427</v>
      </c>
      <c r="G1280" s="7">
        <v>25365945</v>
      </c>
      <c r="H1280" s="7">
        <v>627.40049999999997</v>
      </c>
      <c r="I1280" s="7">
        <v>620.0009</v>
      </c>
      <c r="J1280" s="7">
        <v>14</v>
      </c>
      <c r="K1280" s="7">
        <v>1.9308395999999999E-3</v>
      </c>
      <c r="L1280" s="7">
        <v>628.61190974500005</v>
      </c>
      <c r="M1280" s="7">
        <v>618.80377769589995</v>
      </c>
      <c r="N1280" s="7">
        <v>627.58277683920005</v>
      </c>
      <c r="O1280" s="7">
        <v>628.61190974500005</v>
      </c>
      <c r="P1280" s="7">
        <v>618.80377769589995</v>
      </c>
      <c r="Q1280">
        <v>1</v>
      </c>
      <c r="R1280">
        <v>0</v>
      </c>
      <c r="S1280" s="11">
        <v>45873.666666666664</v>
      </c>
      <c r="T1280">
        <v>1170</v>
      </c>
    </row>
    <row r="1281" spans="1:20">
      <c r="A1281" s="11">
        <v>45873.520833333336</v>
      </c>
      <c r="B1281" s="11">
        <v>45873.541666666664</v>
      </c>
      <c r="C1281" s="10">
        <v>45873</v>
      </c>
      <c r="D1281" s="7">
        <v>628.42759999999998</v>
      </c>
      <c r="E1281" s="7">
        <v>1995392</v>
      </c>
      <c r="F1281" s="7">
        <v>1995392</v>
      </c>
      <c r="G1281" s="7">
        <v>27361337</v>
      </c>
      <c r="H1281" s="7">
        <v>627.40049999999997</v>
      </c>
      <c r="I1281" s="7">
        <v>620.0009</v>
      </c>
      <c r="J1281" s="7">
        <v>14</v>
      </c>
      <c r="K1281" s="7">
        <v>1.9674347999999999E-3</v>
      </c>
      <c r="L1281" s="7">
        <v>628.63486960210003</v>
      </c>
      <c r="M1281" s="7">
        <v>618.78108862869999</v>
      </c>
      <c r="N1281" s="7">
        <v>627.64438762149996</v>
      </c>
      <c r="O1281" s="7">
        <v>628.63486960210003</v>
      </c>
      <c r="P1281" s="7">
        <v>618.78108862869999</v>
      </c>
      <c r="Q1281">
        <v>1</v>
      </c>
      <c r="R1281">
        <v>0</v>
      </c>
      <c r="S1281" s="11">
        <v>45873.666666666664</v>
      </c>
      <c r="T1281">
        <v>1169</v>
      </c>
    </row>
    <row r="1282" spans="1:20">
      <c r="A1282" s="11">
        <v>45873.541666666664</v>
      </c>
      <c r="B1282" s="11">
        <v>45873.5625</v>
      </c>
      <c r="C1282" s="10">
        <v>45873</v>
      </c>
      <c r="D1282" s="7">
        <v>628.57230000000004</v>
      </c>
      <c r="E1282" s="7">
        <v>1964029</v>
      </c>
      <c r="F1282" s="7">
        <v>1964029</v>
      </c>
      <c r="G1282" s="7">
        <v>29325366</v>
      </c>
      <c r="H1282" s="7">
        <v>627.40049999999997</v>
      </c>
      <c r="I1282" s="7">
        <v>620.0009</v>
      </c>
      <c r="J1282" s="7">
        <v>14</v>
      </c>
      <c r="K1282" s="7">
        <v>2.5019402999999999E-3</v>
      </c>
      <c r="L1282" s="7">
        <v>628.97021858899996</v>
      </c>
      <c r="M1282" s="7">
        <v>618.44969476840004</v>
      </c>
      <c r="N1282" s="7">
        <v>627.70653336999999</v>
      </c>
      <c r="O1282" s="7">
        <v>628.97021858899996</v>
      </c>
      <c r="P1282" s="7">
        <v>618.44969476840004</v>
      </c>
      <c r="Q1282">
        <v>1</v>
      </c>
      <c r="R1282">
        <v>0</v>
      </c>
      <c r="S1282" s="11">
        <v>45873.666666666664</v>
      </c>
      <c r="T1282">
        <v>1168</v>
      </c>
    </row>
    <row r="1283" spans="1:20">
      <c r="A1283" s="11">
        <v>45873.5625</v>
      </c>
      <c r="B1283" s="11">
        <v>45873.583333333336</v>
      </c>
      <c r="C1283" s="10">
        <v>45873</v>
      </c>
      <c r="D1283" s="7">
        <v>628.01880000000006</v>
      </c>
      <c r="E1283" s="7">
        <v>2371838</v>
      </c>
      <c r="F1283" s="7">
        <v>2371838</v>
      </c>
      <c r="G1283" s="7">
        <v>31697204</v>
      </c>
      <c r="H1283" s="7">
        <v>627.40049999999997</v>
      </c>
      <c r="I1283" s="7">
        <v>620.0009</v>
      </c>
      <c r="J1283" s="7">
        <v>14</v>
      </c>
      <c r="K1283" s="7">
        <v>2.6750116999999999E-3</v>
      </c>
      <c r="L1283" s="7">
        <v>629.07880367070004</v>
      </c>
      <c r="M1283" s="7">
        <v>618.34239034580003</v>
      </c>
      <c r="N1283" s="7">
        <v>627.7298996536</v>
      </c>
      <c r="O1283" s="7">
        <v>629.07880367070004</v>
      </c>
      <c r="P1283" s="7">
        <v>618.34239034580003</v>
      </c>
      <c r="Q1283">
        <v>1</v>
      </c>
      <c r="R1283">
        <v>0</v>
      </c>
      <c r="S1283" s="11">
        <v>45873.666666666664</v>
      </c>
      <c r="T1283">
        <v>1167</v>
      </c>
    </row>
    <row r="1284" spans="1:20">
      <c r="A1284" s="11">
        <v>45873.583333333336</v>
      </c>
      <c r="B1284" s="11">
        <v>45873.604166666664</v>
      </c>
      <c r="C1284" s="10">
        <v>45873</v>
      </c>
      <c r="D1284" s="7">
        <v>628.25810000000001</v>
      </c>
      <c r="E1284" s="7">
        <v>2847847</v>
      </c>
      <c r="F1284" s="7">
        <v>2847847</v>
      </c>
      <c r="G1284" s="7">
        <v>34545051</v>
      </c>
      <c r="H1284" s="7">
        <v>627.40049999999997</v>
      </c>
      <c r="I1284" s="7">
        <v>620.0009</v>
      </c>
      <c r="J1284" s="7">
        <v>14</v>
      </c>
      <c r="K1284" s="7">
        <v>2.878893E-3</v>
      </c>
      <c r="L1284" s="7">
        <v>629.20671889460004</v>
      </c>
      <c r="M1284" s="7">
        <v>618.21598376190002</v>
      </c>
      <c r="N1284" s="7">
        <v>627.77344377149996</v>
      </c>
      <c r="O1284" s="7">
        <v>629.20671889460004</v>
      </c>
      <c r="P1284" s="7">
        <v>618.21598376190002</v>
      </c>
      <c r="Q1284">
        <v>1</v>
      </c>
      <c r="R1284">
        <v>0</v>
      </c>
      <c r="S1284" s="11">
        <v>45873.666666666664</v>
      </c>
      <c r="T1284">
        <v>1166</v>
      </c>
    </row>
    <row r="1285" spans="1:20">
      <c r="A1285" s="11">
        <v>45873.604166666664</v>
      </c>
      <c r="B1285" s="11">
        <v>45873.625</v>
      </c>
      <c r="C1285" s="10">
        <v>45873</v>
      </c>
      <c r="D1285" s="7">
        <v>628.15340000000003</v>
      </c>
      <c r="E1285" s="7">
        <v>2135481</v>
      </c>
      <c r="F1285" s="7">
        <v>2135481</v>
      </c>
      <c r="G1285" s="7">
        <v>36680532</v>
      </c>
      <c r="H1285" s="7">
        <v>627.40049999999997</v>
      </c>
      <c r="I1285" s="7">
        <v>620.0009</v>
      </c>
      <c r="J1285" s="7">
        <v>14</v>
      </c>
      <c r="K1285" s="7">
        <v>3.3578711000000002E-3</v>
      </c>
      <c r="L1285" s="7">
        <v>629.5072300137</v>
      </c>
      <c r="M1285" s="7">
        <v>617.9190168893</v>
      </c>
      <c r="N1285" s="7">
        <v>627.79556420599999</v>
      </c>
      <c r="O1285" s="7">
        <v>629.5072300137</v>
      </c>
      <c r="P1285" s="7">
        <v>617.9190168893</v>
      </c>
      <c r="Q1285">
        <v>1</v>
      </c>
      <c r="R1285">
        <v>0</v>
      </c>
      <c r="S1285" s="11">
        <v>45873.666666666664</v>
      </c>
      <c r="T1285">
        <v>1165</v>
      </c>
    </row>
    <row r="1286" spans="1:20">
      <c r="A1286" s="11">
        <v>45873.625</v>
      </c>
      <c r="B1286" s="11">
        <v>45873.645833333336</v>
      </c>
      <c r="C1286" s="10">
        <v>45873</v>
      </c>
      <c r="D1286" s="7">
        <v>628.56730000000005</v>
      </c>
      <c r="E1286" s="7">
        <v>4046777</v>
      </c>
      <c r="F1286" s="7">
        <v>4046777</v>
      </c>
      <c r="G1286" s="7">
        <v>40727309</v>
      </c>
      <c r="H1286" s="7">
        <v>627.40049999999997</v>
      </c>
      <c r="I1286" s="7">
        <v>620.0009</v>
      </c>
      <c r="J1286" s="7">
        <v>14</v>
      </c>
      <c r="K1286" s="7">
        <v>3.7174623E-3</v>
      </c>
      <c r="L1286" s="7">
        <v>629.73283770299997</v>
      </c>
      <c r="M1286" s="7">
        <v>617.69607003099998</v>
      </c>
      <c r="N1286" s="7">
        <v>627.87224598880005</v>
      </c>
      <c r="O1286" s="7">
        <v>629.73283770299997</v>
      </c>
      <c r="P1286" s="7">
        <v>617.69607003099998</v>
      </c>
      <c r="Q1286">
        <v>1</v>
      </c>
      <c r="R1286">
        <v>0</v>
      </c>
      <c r="S1286" s="11">
        <v>45873.666666666664</v>
      </c>
      <c r="T1286">
        <v>1164</v>
      </c>
    </row>
    <row r="1287" spans="1:20">
      <c r="A1287" s="11">
        <v>45873.645833333336</v>
      </c>
      <c r="B1287" s="11">
        <v>45873.666666666664</v>
      </c>
      <c r="C1287" s="10">
        <v>45873</v>
      </c>
      <c r="D1287" s="7">
        <v>629.42489999999998</v>
      </c>
      <c r="E1287" s="7">
        <v>9919356</v>
      </c>
      <c r="F1287" s="7">
        <v>9919356</v>
      </c>
      <c r="G1287" s="7">
        <v>50646665</v>
      </c>
      <c r="H1287" s="7">
        <v>627.40049999999997</v>
      </c>
      <c r="I1287" s="7">
        <v>620.0009</v>
      </c>
      <c r="J1287" s="7">
        <v>14</v>
      </c>
      <c r="K1287" s="7">
        <v>3.7129839999999999E-3</v>
      </c>
      <c r="L1287" s="7">
        <v>629.73002802049996</v>
      </c>
      <c r="M1287" s="7">
        <v>617.69884657590001</v>
      </c>
      <c r="N1287" s="7">
        <v>628.16462753830001</v>
      </c>
      <c r="O1287" s="7">
        <v>629.73002802049996</v>
      </c>
      <c r="P1287" s="7">
        <v>617.69884657590001</v>
      </c>
      <c r="Q1287">
        <v>1</v>
      </c>
      <c r="R1287">
        <v>1</v>
      </c>
      <c r="S1287" s="11">
        <v>45873.666666666664</v>
      </c>
      <c r="T1287">
        <v>1163</v>
      </c>
    </row>
    <row r="1288" spans="1:20">
      <c r="A1288" s="11">
        <v>45874.395833333336</v>
      </c>
      <c r="B1288" s="11">
        <v>45874.416666666664</v>
      </c>
      <c r="C1288" s="10">
        <v>45874</v>
      </c>
      <c r="D1288" s="7">
        <v>629.49469999999997</v>
      </c>
      <c r="E1288" s="7">
        <v>4789187</v>
      </c>
      <c r="F1288" s="7">
        <v>4789187</v>
      </c>
      <c r="G1288" s="7">
        <v>4789187</v>
      </c>
      <c r="H1288" s="7">
        <v>629.49469999999997</v>
      </c>
      <c r="I1288" s="7">
        <v>629.4248</v>
      </c>
      <c r="J1288" s="7">
        <v>14</v>
      </c>
      <c r="K1288" s="7">
        <v>0</v>
      </c>
      <c r="L1288" s="7">
        <v>629.49469999999997</v>
      </c>
      <c r="M1288" s="7">
        <v>629.4248</v>
      </c>
      <c r="N1288" s="7">
        <v>629.49469999999997</v>
      </c>
      <c r="O1288" s="7">
        <v>629.49469999999997</v>
      </c>
      <c r="P1288" s="7">
        <v>629.4248</v>
      </c>
      <c r="Q1288">
        <v>1</v>
      </c>
      <c r="R1288">
        <v>0</v>
      </c>
      <c r="S1288" s="11">
        <v>45874.666666666664</v>
      </c>
      <c r="T1288">
        <v>1161</v>
      </c>
    </row>
    <row r="1289" spans="1:20">
      <c r="A1289" s="11">
        <v>45874.416666666664</v>
      </c>
      <c r="B1289" s="11">
        <v>45874.4375</v>
      </c>
      <c r="C1289" s="10">
        <v>45874</v>
      </c>
      <c r="D1289" s="7">
        <v>628.10850000000005</v>
      </c>
      <c r="E1289" s="7">
        <v>4857039</v>
      </c>
      <c r="F1289" s="7">
        <v>4857039</v>
      </c>
      <c r="G1289" s="7">
        <v>9646226</v>
      </c>
      <c r="H1289" s="7">
        <v>629.49469999999997</v>
      </c>
      <c r="I1289" s="7">
        <v>629.4248</v>
      </c>
      <c r="J1289" s="7">
        <v>14</v>
      </c>
      <c r="K1289" s="7">
        <v>1.0316335000000001E-3</v>
      </c>
      <c r="L1289" s="7">
        <v>630.14410782050004</v>
      </c>
      <c r="M1289" s="7">
        <v>628.77546429059998</v>
      </c>
      <c r="N1289" s="7">
        <v>628.7967247025</v>
      </c>
      <c r="O1289" s="7">
        <v>630.14410782050004</v>
      </c>
      <c r="P1289" s="7">
        <v>628.77546429059998</v>
      </c>
      <c r="Q1289">
        <v>1</v>
      </c>
      <c r="R1289">
        <v>0</v>
      </c>
      <c r="S1289" s="11">
        <v>45874.666666666664</v>
      </c>
      <c r="T1289">
        <v>1160</v>
      </c>
    </row>
    <row r="1290" spans="1:20">
      <c r="A1290" s="11">
        <v>45874.4375</v>
      </c>
      <c r="B1290" s="11">
        <v>45874.458333333336</v>
      </c>
      <c r="C1290" s="10">
        <v>45874</v>
      </c>
      <c r="D1290" s="7">
        <v>626.14400000000001</v>
      </c>
      <c r="E1290" s="7">
        <v>6705442</v>
      </c>
      <c r="F1290" s="7">
        <v>6705442</v>
      </c>
      <c r="G1290" s="7">
        <v>16351668</v>
      </c>
      <c r="H1290" s="7">
        <v>629.49469999999997</v>
      </c>
      <c r="I1290" s="7">
        <v>629.4248</v>
      </c>
      <c r="J1290" s="7">
        <v>14</v>
      </c>
      <c r="K1290" s="7">
        <v>1.240161E-3</v>
      </c>
      <c r="L1290" s="7">
        <v>630.27537475370002</v>
      </c>
      <c r="M1290" s="7">
        <v>628.64421193349995</v>
      </c>
      <c r="N1290" s="7">
        <v>627.70890347019997</v>
      </c>
      <c r="O1290" s="7">
        <v>630.27537475370002</v>
      </c>
      <c r="P1290" s="7">
        <v>627.70890347019997</v>
      </c>
      <c r="Q1290">
        <v>1</v>
      </c>
      <c r="R1290">
        <v>0</v>
      </c>
      <c r="S1290" s="11">
        <v>45874.666666666664</v>
      </c>
      <c r="T1290">
        <v>1159</v>
      </c>
    </row>
    <row r="1291" spans="1:20">
      <c r="A1291" s="11">
        <v>45874.458333333336</v>
      </c>
      <c r="B1291" s="11">
        <v>45874.479166666664</v>
      </c>
      <c r="C1291" s="10">
        <v>45874</v>
      </c>
      <c r="D1291" s="7">
        <v>626.18880000000001</v>
      </c>
      <c r="E1291" s="7">
        <v>3713861</v>
      </c>
      <c r="F1291" s="7">
        <v>3713861</v>
      </c>
      <c r="G1291" s="7">
        <v>20065529</v>
      </c>
      <c r="H1291" s="7">
        <v>629.49469999999997</v>
      </c>
      <c r="I1291" s="7">
        <v>629.4248</v>
      </c>
      <c r="J1291" s="7">
        <v>14</v>
      </c>
      <c r="K1291" s="7">
        <v>1.5496174E-3</v>
      </c>
      <c r="L1291" s="7">
        <v>630.47017591689996</v>
      </c>
      <c r="M1291" s="7">
        <v>628.44943240129999</v>
      </c>
      <c r="N1291" s="7">
        <v>627.42755265239998</v>
      </c>
      <c r="O1291" s="7">
        <v>630.47017591689996</v>
      </c>
      <c r="P1291" s="7">
        <v>627.42755265239998</v>
      </c>
      <c r="Q1291">
        <v>1</v>
      </c>
      <c r="R1291">
        <v>0</v>
      </c>
      <c r="S1291" s="11">
        <v>45874.666666666664</v>
      </c>
      <c r="T1291">
        <v>1158</v>
      </c>
    </row>
    <row r="1292" spans="1:20">
      <c r="A1292" s="11">
        <v>45874.479166666664</v>
      </c>
      <c r="B1292" s="11">
        <v>45874.5</v>
      </c>
      <c r="C1292" s="10">
        <v>45874</v>
      </c>
      <c r="D1292" s="7">
        <v>626.31849999999997</v>
      </c>
      <c r="E1292" s="7">
        <v>2778972</v>
      </c>
      <c r="F1292" s="7">
        <v>2778972</v>
      </c>
      <c r="G1292" s="7">
        <v>22844501</v>
      </c>
      <c r="H1292" s="7">
        <v>629.49469999999997</v>
      </c>
      <c r="I1292" s="7">
        <v>629.4248</v>
      </c>
      <c r="J1292" s="7">
        <v>14</v>
      </c>
      <c r="K1292" s="7">
        <v>1.7084368000000001E-3</v>
      </c>
      <c r="L1292" s="7">
        <v>630.57015190669995</v>
      </c>
      <c r="M1292" s="7">
        <v>628.34946751300004</v>
      </c>
      <c r="N1292" s="7">
        <v>627.2926393852</v>
      </c>
      <c r="O1292" s="7">
        <v>630.57015190669995</v>
      </c>
      <c r="P1292" s="7">
        <v>627.2926393852</v>
      </c>
      <c r="Q1292">
        <v>1</v>
      </c>
      <c r="R1292">
        <v>0</v>
      </c>
      <c r="S1292" s="11">
        <v>45874.666666666664</v>
      </c>
      <c r="T1292">
        <v>1157</v>
      </c>
    </row>
    <row r="1293" spans="1:20">
      <c r="A1293" s="11">
        <v>45874.5</v>
      </c>
      <c r="B1293" s="11">
        <v>45874.520833333336</v>
      </c>
      <c r="C1293" s="10">
        <v>45874</v>
      </c>
      <c r="D1293" s="7">
        <v>627.28020000000004</v>
      </c>
      <c r="E1293" s="7">
        <v>2258266</v>
      </c>
      <c r="F1293" s="7">
        <v>2258266</v>
      </c>
      <c r="G1293" s="7">
        <v>25102767</v>
      </c>
      <c r="H1293" s="7">
        <v>629.49469999999997</v>
      </c>
      <c r="I1293" s="7">
        <v>629.4248</v>
      </c>
      <c r="J1293" s="7">
        <v>14</v>
      </c>
      <c r="K1293" s="7">
        <v>1.8334542000000001E-3</v>
      </c>
      <c r="L1293" s="7">
        <v>630.64884972719994</v>
      </c>
      <c r="M1293" s="7">
        <v>628.27077843120003</v>
      </c>
      <c r="N1293" s="7">
        <v>627.29152032759998</v>
      </c>
      <c r="O1293" s="7">
        <v>630.64884972719994</v>
      </c>
      <c r="P1293" s="7">
        <v>627.29152032759998</v>
      </c>
      <c r="Q1293">
        <v>1</v>
      </c>
      <c r="R1293">
        <v>0</v>
      </c>
      <c r="S1293" s="11">
        <v>45874.666666666664</v>
      </c>
      <c r="T1293">
        <v>1156</v>
      </c>
    </row>
    <row r="1294" spans="1:20">
      <c r="A1294" s="11">
        <v>45874.520833333336</v>
      </c>
      <c r="B1294" s="11">
        <v>45874.541666666664</v>
      </c>
      <c r="C1294" s="10">
        <v>45874</v>
      </c>
      <c r="D1294" s="7">
        <v>627.14120000000003</v>
      </c>
      <c r="E1294" s="7">
        <v>3082644</v>
      </c>
      <c r="F1294" s="7">
        <v>3082644</v>
      </c>
      <c r="G1294" s="7">
        <v>28185411</v>
      </c>
      <c r="H1294" s="7">
        <v>629.49469999999997</v>
      </c>
      <c r="I1294" s="7">
        <v>629.4248</v>
      </c>
      <c r="J1294" s="7">
        <v>14</v>
      </c>
      <c r="K1294" s="7">
        <v>1.7955497E-3</v>
      </c>
      <c r="L1294" s="7">
        <v>630.62498904940003</v>
      </c>
      <c r="M1294" s="7">
        <v>628.2946364595</v>
      </c>
      <c r="N1294" s="7">
        <v>627.2750797635</v>
      </c>
      <c r="O1294" s="7">
        <v>630.62498904940003</v>
      </c>
      <c r="P1294" s="7">
        <v>627.2750797635</v>
      </c>
      <c r="Q1294">
        <v>1</v>
      </c>
      <c r="R1294">
        <v>0</v>
      </c>
      <c r="S1294" s="11">
        <v>45874.666666666664</v>
      </c>
      <c r="T1294">
        <v>1155</v>
      </c>
    </row>
    <row r="1295" spans="1:20">
      <c r="A1295" s="11">
        <v>45874.541666666664</v>
      </c>
      <c r="B1295" s="11">
        <v>45874.5625</v>
      </c>
      <c r="C1295" s="10">
        <v>45874</v>
      </c>
      <c r="D1295" s="7">
        <v>627.96690000000001</v>
      </c>
      <c r="E1295" s="7">
        <v>1469645</v>
      </c>
      <c r="F1295" s="7">
        <v>1469645</v>
      </c>
      <c r="G1295" s="7">
        <v>29655056</v>
      </c>
      <c r="H1295" s="7">
        <v>629.49469999999997</v>
      </c>
      <c r="I1295" s="7">
        <v>629.4248</v>
      </c>
      <c r="J1295" s="7">
        <v>14</v>
      </c>
      <c r="K1295" s="7">
        <v>2.4241541E-3</v>
      </c>
      <c r="L1295" s="7">
        <v>631.02069218099996</v>
      </c>
      <c r="M1295" s="7">
        <v>627.89897726740003</v>
      </c>
      <c r="N1295" s="7">
        <v>627.30936498460005</v>
      </c>
      <c r="O1295" s="7">
        <v>631.02069218099996</v>
      </c>
      <c r="P1295" s="7">
        <v>627.30936498460005</v>
      </c>
      <c r="Q1295">
        <v>1</v>
      </c>
      <c r="R1295">
        <v>0</v>
      </c>
      <c r="S1295" s="11">
        <v>45874.666666666664</v>
      </c>
      <c r="T1295">
        <v>1154</v>
      </c>
    </row>
    <row r="1296" spans="1:20">
      <c r="A1296" s="11">
        <v>45874.5625</v>
      </c>
      <c r="B1296" s="11">
        <v>45874.583333333336</v>
      </c>
      <c r="C1296" s="10">
        <v>45874</v>
      </c>
      <c r="D1296" s="7">
        <v>628.38779999999997</v>
      </c>
      <c r="E1296" s="7">
        <v>1885997</v>
      </c>
      <c r="F1296" s="7">
        <v>1885997</v>
      </c>
      <c r="G1296" s="7">
        <v>31541053</v>
      </c>
      <c r="H1296" s="7">
        <v>629.49469999999997</v>
      </c>
      <c r="I1296" s="7">
        <v>629.4248</v>
      </c>
      <c r="J1296" s="7">
        <v>14</v>
      </c>
      <c r="K1296" s="7">
        <v>2.6198257999999999E-3</v>
      </c>
      <c r="L1296" s="7">
        <v>631.1438664561</v>
      </c>
      <c r="M1296" s="7">
        <v>627.77581666970002</v>
      </c>
      <c r="N1296" s="7">
        <v>627.3738499973</v>
      </c>
      <c r="O1296" s="7">
        <v>631.1438664561</v>
      </c>
      <c r="P1296" s="7">
        <v>627.3738499973</v>
      </c>
      <c r="Q1296">
        <v>1</v>
      </c>
      <c r="R1296">
        <v>0</v>
      </c>
      <c r="S1296" s="11">
        <v>45874.666666666664</v>
      </c>
      <c r="T1296">
        <v>1153</v>
      </c>
    </row>
    <row r="1297" spans="1:20">
      <c r="A1297" s="11">
        <v>45874.583333333336</v>
      </c>
      <c r="B1297" s="11">
        <v>45874.604166666664</v>
      </c>
      <c r="C1297" s="10">
        <v>45874</v>
      </c>
      <c r="D1297" s="7">
        <v>626.8021</v>
      </c>
      <c r="E1297" s="7">
        <v>3333195</v>
      </c>
      <c r="F1297" s="7">
        <v>3333195</v>
      </c>
      <c r="G1297" s="7">
        <v>34874248</v>
      </c>
      <c r="H1297" s="7">
        <v>629.49469999999997</v>
      </c>
      <c r="I1297" s="7">
        <v>629.4248</v>
      </c>
      <c r="J1297" s="7">
        <v>14</v>
      </c>
      <c r="K1297" s="7">
        <v>2.8520958000000001E-3</v>
      </c>
      <c r="L1297" s="7">
        <v>631.29007916969999</v>
      </c>
      <c r="M1297" s="7">
        <v>627.62962019179997</v>
      </c>
      <c r="N1297" s="7">
        <v>627.31920353639998</v>
      </c>
      <c r="O1297" s="7">
        <v>631.29007916969999</v>
      </c>
      <c r="P1297" s="7">
        <v>627.31920353639998</v>
      </c>
      <c r="Q1297">
        <v>1</v>
      </c>
      <c r="R1297">
        <v>0</v>
      </c>
      <c r="S1297" s="11">
        <v>45874.666666666664</v>
      </c>
      <c r="T1297">
        <v>1152</v>
      </c>
    </row>
    <row r="1298" spans="1:20">
      <c r="A1298" s="11">
        <v>45874.604166666664</v>
      </c>
      <c r="B1298" s="11">
        <v>45874.625</v>
      </c>
      <c r="C1298" s="10">
        <v>45874</v>
      </c>
      <c r="D1298" s="7">
        <v>626.70249999999999</v>
      </c>
      <c r="E1298" s="7">
        <v>2812173</v>
      </c>
      <c r="F1298" s="7">
        <v>2812173</v>
      </c>
      <c r="G1298" s="7">
        <v>37686421</v>
      </c>
      <c r="H1298" s="7">
        <v>629.49469999999997</v>
      </c>
      <c r="I1298" s="7">
        <v>629.4248</v>
      </c>
      <c r="J1298" s="7">
        <v>14</v>
      </c>
      <c r="K1298" s="7">
        <v>3.1387882000000001E-3</v>
      </c>
      <c r="L1298" s="7">
        <v>631.47055050649999</v>
      </c>
      <c r="M1298" s="7">
        <v>627.44916889479998</v>
      </c>
      <c r="N1298" s="7">
        <v>627.27318491779999</v>
      </c>
      <c r="O1298" s="7">
        <v>631.47055050649999</v>
      </c>
      <c r="P1298" s="7">
        <v>627.27318491779999</v>
      </c>
      <c r="Q1298">
        <v>1</v>
      </c>
      <c r="R1298">
        <v>0</v>
      </c>
      <c r="S1298" s="11">
        <v>45874.666666666664</v>
      </c>
      <c r="T1298">
        <v>1151</v>
      </c>
    </row>
    <row r="1299" spans="1:20">
      <c r="A1299" s="11">
        <v>45874.625</v>
      </c>
      <c r="B1299" s="11">
        <v>45874.645833333336</v>
      </c>
      <c r="C1299" s="10">
        <v>45874</v>
      </c>
      <c r="D1299" s="7">
        <v>627.24090000000001</v>
      </c>
      <c r="E1299" s="7">
        <v>2660503</v>
      </c>
      <c r="F1299" s="7">
        <v>2660503</v>
      </c>
      <c r="G1299" s="7">
        <v>40346924</v>
      </c>
      <c r="H1299" s="7">
        <v>629.49469999999997</v>
      </c>
      <c r="I1299" s="7">
        <v>629.4248</v>
      </c>
      <c r="J1299" s="7">
        <v>14</v>
      </c>
      <c r="K1299" s="7">
        <v>3.5808966999999999E-3</v>
      </c>
      <c r="L1299" s="7">
        <v>631.74885548359998</v>
      </c>
      <c r="M1299" s="7">
        <v>627.17089482109998</v>
      </c>
      <c r="N1299" s="7">
        <v>627.27105602879999</v>
      </c>
      <c r="O1299" s="7">
        <v>631.74885548359998</v>
      </c>
      <c r="P1299" s="7">
        <v>627.17089482109998</v>
      </c>
      <c r="Q1299">
        <v>1</v>
      </c>
      <c r="R1299">
        <v>0</v>
      </c>
      <c r="S1299" s="11">
        <v>45874.666666666664</v>
      </c>
      <c r="T1299">
        <v>1150</v>
      </c>
    </row>
    <row r="1300" spans="1:20">
      <c r="A1300" s="11">
        <v>45874.645833333336</v>
      </c>
      <c r="B1300" s="11">
        <v>45874.666666666664</v>
      </c>
      <c r="C1300" s="10">
        <v>45874</v>
      </c>
      <c r="D1300" s="7">
        <v>626.2337</v>
      </c>
      <c r="E1300" s="7">
        <v>7180459</v>
      </c>
      <c r="F1300" s="7">
        <v>7180459</v>
      </c>
      <c r="G1300" s="7">
        <v>47527383</v>
      </c>
      <c r="H1300" s="7">
        <v>629.49469999999997</v>
      </c>
      <c r="I1300" s="7">
        <v>629.4248</v>
      </c>
      <c r="J1300" s="7">
        <v>14</v>
      </c>
      <c r="K1300" s="7">
        <v>3.5370633000000001E-3</v>
      </c>
      <c r="L1300" s="7">
        <v>631.72126262749998</v>
      </c>
      <c r="M1300" s="7">
        <v>627.19848461319998</v>
      </c>
      <c r="N1300" s="7">
        <v>627.11433180029996</v>
      </c>
      <c r="O1300" s="7">
        <v>631.72126262749998</v>
      </c>
      <c r="P1300" s="7">
        <v>627.11433180029996</v>
      </c>
      <c r="Q1300">
        <v>1</v>
      </c>
      <c r="R1300">
        <v>1</v>
      </c>
      <c r="S1300" s="11">
        <v>45874.666666666664</v>
      </c>
      <c r="T1300">
        <v>1149</v>
      </c>
    </row>
    <row r="1301" spans="1:20">
      <c r="A1301" s="11">
        <v>45875.395833333336</v>
      </c>
      <c r="B1301" s="11">
        <v>45875.416666666664</v>
      </c>
      <c r="C1301" s="10">
        <v>45875</v>
      </c>
      <c r="D1301" s="7">
        <v>627.21109999999999</v>
      </c>
      <c r="E1301" s="7">
        <v>5392073</v>
      </c>
      <c r="F1301" s="7">
        <v>5392073</v>
      </c>
      <c r="G1301" s="7">
        <v>5392073</v>
      </c>
      <c r="H1301" s="7">
        <v>627.21109999999999</v>
      </c>
      <c r="I1301" s="7">
        <v>626.23360000000002</v>
      </c>
      <c r="J1301" s="7">
        <v>14</v>
      </c>
      <c r="K1301" s="7">
        <v>0</v>
      </c>
      <c r="L1301" s="7">
        <v>627.21109999999999</v>
      </c>
      <c r="M1301" s="7">
        <v>626.23360000000002</v>
      </c>
      <c r="N1301" s="7">
        <v>627.21109999999999</v>
      </c>
      <c r="O1301" s="7">
        <v>627.21109999999999</v>
      </c>
      <c r="P1301" s="7">
        <v>626.23360000000002</v>
      </c>
      <c r="Q1301">
        <v>1</v>
      </c>
      <c r="R1301">
        <v>0</v>
      </c>
      <c r="S1301" s="11">
        <v>45875.666666666664</v>
      </c>
      <c r="T1301">
        <v>1147</v>
      </c>
    </row>
    <row r="1302" spans="1:20">
      <c r="A1302" s="11">
        <v>45875.416666666664</v>
      </c>
      <c r="B1302" s="11">
        <v>45875.4375</v>
      </c>
      <c r="C1302" s="10">
        <v>45875</v>
      </c>
      <c r="D1302" s="7">
        <v>627.01660000000004</v>
      </c>
      <c r="E1302" s="7">
        <v>3975508</v>
      </c>
      <c r="F1302" s="7">
        <v>3975508</v>
      </c>
      <c r="G1302" s="7">
        <v>9367581</v>
      </c>
      <c r="H1302" s="7">
        <v>627.21109999999999</v>
      </c>
      <c r="I1302" s="7">
        <v>626.23360000000002</v>
      </c>
      <c r="J1302" s="7">
        <v>14</v>
      </c>
      <c r="K1302" s="7">
        <v>1.1382955000000001E-3</v>
      </c>
      <c r="L1302" s="7">
        <v>627.9250515507</v>
      </c>
      <c r="M1302" s="7">
        <v>625.5207611331</v>
      </c>
      <c r="N1302" s="7">
        <v>627.12855613880004</v>
      </c>
      <c r="O1302" s="7">
        <v>627.9250515507</v>
      </c>
      <c r="P1302" s="7">
        <v>625.5207611331</v>
      </c>
      <c r="Q1302">
        <v>1</v>
      </c>
      <c r="R1302">
        <v>0</v>
      </c>
      <c r="S1302" s="11">
        <v>45875.666666666664</v>
      </c>
      <c r="T1302">
        <v>1146</v>
      </c>
    </row>
    <row r="1303" spans="1:20">
      <c r="A1303" s="11">
        <v>45875.4375</v>
      </c>
      <c r="B1303" s="11">
        <v>45875.458333333336</v>
      </c>
      <c r="C1303" s="10">
        <v>45875</v>
      </c>
      <c r="D1303" s="7">
        <v>629.23540000000003</v>
      </c>
      <c r="E1303" s="7">
        <v>3338513</v>
      </c>
      <c r="F1303" s="7">
        <v>3338513</v>
      </c>
      <c r="G1303" s="7">
        <v>12706094</v>
      </c>
      <c r="H1303" s="7">
        <v>627.21109999999999</v>
      </c>
      <c r="I1303" s="7">
        <v>626.23360000000002</v>
      </c>
      <c r="J1303" s="7">
        <v>14</v>
      </c>
      <c r="K1303" s="7">
        <v>1.5996952E-3</v>
      </c>
      <c r="L1303" s="7">
        <v>628.21444655499999</v>
      </c>
      <c r="M1303" s="7">
        <v>625.23181714700002</v>
      </c>
      <c r="N1303" s="7">
        <v>627.68212717480003</v>
      </c>
      <c r="O1303" s="7">
        <v>628.21444655499999</v>
      </c>
      <c r="P1303" s="7">
        <v>625.23181714700002</v>
      </c>
      <c r="Q1303">
        <v>1</v>
      </c>
      <c r="R1303">
        <v>0</v>
      </c>
      <c r="S1303" s="11">
        <v>45875.666666666664</v>
      </c>
      <c r="T1303">
        <v>1145</v>
      </c>
    </row>
    <row r="1304" spans="1:20">
      <c r="A1304" s="11">
        <v>45875.458333333336</v>
      </c>
      <c r="B1304" s="11">
        <v>45875.479166666664</v>
      </c>
      <c r="C1304" s="10">
        <v>45875</v>
      </c>
      <c r="D1304" s="7">
        <v>630.16780000000006</v>
      </c>
      <c r="E1304" s="7">
        <v>3148082</v>
      </c>
      <c r="F1304" s="7">
        <v>3148082</v>
      </c>
      <c r="G1304" s="7">
        <v>15854176</v>
      </c>
      <c r="H1304" s="7">
        <v>627.21109999999999</v>
      </c>
      <c r="I1304" s="7">
        <v>626.23360000000002</v>
      </c>
      <c r="J1304" s="7">
        <v>14</v>
      </c>
      <c r="K1304" s="7">
        <v>1.8512391E-3</v>
      </c>
      <c r="L1304" s="7">
        <v>628.37221770719998</v>
      </c>
      <c r="M1304" s="7">
        <v>625.07429187909997</v>
      </c>
      <c r="N1304" s="7">
        <v>628.17569441410001</v>
      </c>
      <c r="O1304" s="7">
        <v>628.37221770719998</v>
      </c>
      <c r="P1304" s="7">
        <v>625.07429187909997</v>
      </c>
      <c r="Q1304">
        <v>1</v>
      </c>
      <c r="R1304">
        <v>0</v>
      </c>
      <c r="S1304" s="11">
        <v>45875.666666666664</v>
      </c>
      <c r="T1304">
        <v>1144</v>
      </c>
    </row>
    <row r="1305" spans="1:20">
      <c r="A1305" s="11">
        <v>45875.479166666664</v>
      </c>
      <c r="B1305" s="11">
        <v>45875.5</v>
      </c>
      <c r="C1305" s="10">
        <v>45875</v>
      </c>
      <c r="D1305" s="7">
        <v>630.9307</v>
      </c>
      <c r="E1305" s="7">
        <v>3563295</v>
      </c>
      <c r="F1305" s="7">
        <v>3563295</v>
      </c>
      <c r="G1305" s="7">
        <v>19417471</v>
      </c>
      <c r="H1305" s="7">
        <v>627.21109999999999</v>
      </c>
      <c r="I1305" s="7">
        <v>626.23360000000002</v>
      </c>
      <c r="J1305" s="7">
        <v>14</v>
      </c>
      <c r="K1305" s="7">
        <v>2.0562076999999998E-3</v>
      </c>
      <c r="L1305" s="7">
        <v>628.50077630220005</v>
      </c>
      <c r="M1305" s="7">
        <v>624.94593364089997</v>
      </c>
      <c r="N1305" s="7">
        <v>628.68126476509997</v>
      </c>
      <c r="O1305" s="7">
        <v>628.68126476509997</v>
      </c>
      <c r="P1305" s="7">
        <v>624.94593364089997</v>
      </c>
      <c r="Q1305">
        <v>1</v>
      </c>
      <c r="R1305">
        <v>0</v>
      </c>
      <c r="S1305" s="11">
        <v>45875.666666666664</v>
      </c>
      <c r="T1305">
        <v>1143</v>
      </c>
    </row>
    <row r="1306" spans="1:20">
      <c r="A1306" s="11">
        <v>45875.5</v>
      </c>
      <c r="B1306" s="11">
        <v>45875.520833333336</v>
      </c>
      <c r="C1306" s="10">
        <v>45875</v>
      </c>
      <c r="D1306" s="7">
        <v>630.64149999999995</v>
      </c>
      <c r="E1306" s="7">
        <v>1891124</v>
      </c>
      <c r="F1306" s="7">
        <v>1891124</v>
      </c>
      <c r="G1306" s="7">
        <v>21308595</v>
      </c>
      <c r="H1306" s="7">
        <v>627.21109999999999</v>
      </c>
      <c r="I1306" s="7">
        <v>626.23360000000002</v>
      </c>
      <c r="J1306" s="7">
        <v>14</v>
      </c>
      <c r="K1306" s="7">
        <v>2.0388010999999998E-3</v>
      </c>
      <c r="L1306" s="7">
        <v>628.48985868900002</v>
      </c>
      <c r="M1306" s="7">
        <v>624.95683423909998</v>
      </c>
      <c r="N1306" s="7">
        <v>628.85523437209997</v>
      </c>
      <c r="O1306" s="7">
        <v>628.85523437209997</v>
      </c>
      <c r="P1306" s="7">
        <v>624.95683423909998</v>
      </c>
      <c r="Q1306">
        <v>1</v>
      </c>
      <c r="R1306">
        <v>0</v>
      </c>
      <c r="S1306" s="11">
        <v>45875.666666666664</v>
      </c>
      <c r="T1306">
        <v>1142</v>
      </c>
    </row>
    <row r="1307" spans="1:20">
      <c r="A1307" s="11">
        <v>45875.520833333336</v>
      </c>
      <c r="B1307" s="11">
        <v>45875.541666666664</v>
      </c>
      <c r="C1307" s="10">
        <v>45875</v>
      </c>
      <c r="D1307" s="7">
        <v>630.49189999999999</v>
      </c>
      <c r="E1307" s="7">
        <v>1963747</v>
      </c>
      <c r="F1307" s="7">
        <v>1963747</v>
      </c>
      <c r="G1307" s="7">
        <v>23272342</v>
      </c>
      <c r="H1307" s="7">
        <v>627.21109999999999</v>
      </c>
      <c r="I1307" s="7">
        <v>626.23360000000002</v>
      </c>
      <c r="J1307" s="7">
        <v>14</v>
      </c>
      <c r="K1307" s="7">
        <v>1.9420311999999999E-3</v>
      </c>
      <c r="L1307" s="7">
        <v>628.42916354190004</v>
      </c>
      <c r="M1307" s="7">
        <v>625.01743479369998</v>
      </c>
      <c r="N1307" s="7">
        <v>628.99333810129997</v>
      </c>
      <c r="O1307" s="7">
        <v>628.99333810129997</v>
      </c>
      <c r="P1307" s="7">
        <v>625.01743479369998</v>
      </c>
      <c r="Q1307">
        <v>1</v>
      </c>
      <c r="R1307">
        <v>0</v>
      </c>
      <c r="S1307" s="11">
        <v>45875.666666666664</v>
      </c>
      <c r="T1307">
        <v>1141</v>
      </c>
    </row>
    <row r="1308" spans="1:20">
      <c r="A1308" s="11">
        <v>45875.541666666664</v>
      </c>
      <c r="B1308" s="11">
        <v>45875.5625</v>
      </c>
      <c r="C1308" s="10">
        <v>45875</v>
      </c>
      <c r="D1308" s="7">
        <v>630.54909999999995</v>
      </c>
      <c r="E1308" s="7">
        <v>1478956</v>
      </c>
      <c r="F1308" s="7">
        <v>1478956</v>
      </c>
      <c r="G1308" s="7">
        <v>24751298</v>
      </c>
      <c r="H1308" s="7">
        <v>627.21109999999999</v>
      </c>
      <c r="I1308" s="7">
        <v>626.23360000000002</v>
      </c>
      <c r="J1308" s="7">
        <v>14</v>
      </c>
      <c r="K1308" s="7">
        <v>2.4792350999999998E-3</v>
      </c>
      <c r="L1308" s="7">
        <v>628.7661037716</v>
      </c>
      <c r="M1308" s="7">
        <v>624.68101968070005</v>
      </c>
      <c r="N1308" s="7">
        <v>629.08629901970005</v>
      </c>
      <c r="O1308" s="7">
        <v>629.08629901970005</v>
      </c>
      <c r="P1308" s="7">
        <v>624.68101968070005</v>
      </c>
      <c r="Q1308">
        <v>1</v>
      </c>
      <c r="R1308">
        <v>0</v>
      </c>
      <c r="S1308" s="11">
        <v>45875.666666666664</v>
      </c>
      <c r="T1308">
        <v>1140</v>
      </c>
    </row>
    <row r="1309" spans="1:20">
      <c r="A1309" s="11">
        <v>45875.5625</v>
      </c>
      <c r="B1309" s="11">
        <v>45875.583333333336</v>
      </c>
      <c r="C1309" s="10">
        <v>45875</v>
      </c>
      <c r="D1309" s="7">
        <v>630.48689999999999</v>
      </c>
      <c r="E1309" s="7">
        <v>1645536</v>
      </c>
      <c r="F1309" s="7">
        <v>1645536</v>
      </c>
      <c r="G1309" s="7">
        <v>26396834</v>
      </c>
      <c r="H1309" s="7">
        <v>627.21109999999999</v>
      </c>
      <c r="I1309" s="7">
        <v>626.23360000000002</v>
      </c>
      <c r="J1309" s="7">
        <v>14</v>
      </c>
      <c r="K1309" s="7">
        <v>2.6237159999999999E-3</v>
      </c>
      <c r="L1309" s="7">
        <v>628.85672380610004</v>
      </c>
      <c r="M1309" s="7">
        <v>624.5905408763</v>
      </c>
      <c r="N1309" s="7">
        <v>629.17361022279999</v>
      </c>
      <c r="O1309" s="7">
        <v>629.17361022279999</v>
      </c>
      <c r="P1309" s="7">
        <v>624.5905408763</v>
      </c>
      <c r="Q1309">
        <v>1</v>
      </c>
      <c r="R1309">
        <v>0</v>
      </c>
      <c r="S1309" s="11">
        <v>45875.666666666664</v>
      </c>
      <c r="T1309">
        <v>1139</v>
      </c>
    </row>
    <row r="1310" spans="1:20">
      <c r="A1310" s="11">
        <v>45875.583333333336</v>
      </c>
      <c r="B1310" s="11">
        <v>45875.604166666664</v>
      </c>
      <c r="C1310" s="10">
        <v>45875</v>
      </c>
      <c r="D1310" s="7">
        <v>631.16499999999996</v>
      </c>
      <c r="E1310" s="7">
        <v>1888815</v>
      </c>
      <c r="F1310" s="7">
        <v>1888815</v>
      </c>
      <c r="G1310" s="7">
        <v>28285649</v>
      </c>
      <c r="H1310" s="7">
        <v>627.21109999999999</v>
      </c>
      <c r="I1310" s="7">
        <v>626.23360000000002</v>
      </c>
      <c r="J1310" s="7">
        <v>14</v>
      </c>
      <c r="K1310" s="7">
        <v>3.0049059999999999E-3</v>
      </c>
      <c r="L1310" s="7">
        <v>629.09581042189996</v>
      </c>
      <c r="M1310" s="7">
        <v>624.35182687370002</v>
      </c>
      <c r="N1310" s="7">
        <v>629.30658814679998</v>
      </c>
      <c r="O1310" s="7">
        <v>629.30658814679998</v>
      </c>
      <c r="P1310" s="7">
        <v>624.35182687370002</v>
      </c>
      <c r="Q1310">
        <v>1</v>
      </c>
      <c r="R1310">
        <v>0</v>
      </c>
      <c r="S1310" s="11">
        <v>45875.666666666664</v>
      </c>
      <c r="T1310">
        <v>1138</v>
      </c>
    </row>
    <row r="1311" spans="1:20">
      <c r="A1311" s="11">
        <v>45875.604166666664</v>
      </c>
      <c r="B1311" s="11">
        <v>45875.625</v>
      </c>
      <c r="C1311" s="10">
        <v>45875</v>
      </c>
      <c r="D1311" s="7">
        <v>630.84100000000001</v>
      </c>
      <c r="E1311" s="7">
        <v>1967411</v>
      </c>
      <c r="F1311" s="7">
        <v>1967411</v>
      </c>
      <c r="G1311" s="7">
        <v>30253060</v>
      </c>
      <c r="H1311" s="7">
        <v>627.21109999999999</v>
      </c>
      <c r="I1311" s="7">
        <v>626.23360000000002</v>
      </c>
      <c r="J1311" s="7">
        <v>14</v>
      </c>
      <c r="K1311" s="7">
        <v>3.1938105999999998E-3</v>
      </c>
      <c r="L1311" s="7">
        <v>629.21429347280002</v>
      </c>
      <c r="M1311" s="7">
        <v>624.23352847709998</v>
      </c>
      <c r="N1311" s="7">
        <v>629.40637371419996</v>
      </c>
      <c r="O1311" s="7">
        <v>629.40637371419996</v>
      </c>
      <c r="P1311" s="7">
        <v>624.23352847709998</v>
      </c>
      <c r="Q1311">
        <v>1</v>
      </c>
      <c r="R1311">
        <v>0</v>
      </c>
      <c r="S1311" s="11">
        <v>45875.666666666664</v>
      </c>
      <c r="T1311">
        <v>1137</v>
      </c>
    </row>
    <row r="1312" spans="1:20">
      <c r="A1312" s="11">
        <v>45875.625</v>
      </c>
      <c r="B1312" s="11">
        <v>45875.645833333336</v>
      </c>
      <c r="C1312" s="10">
        <v>45875</v>
      </c>
      <c r="D1312" s="7">
        <v>631.26980000000003</v>
      </c>
      <c r="E1312" s="7">
        <v>2346532</v>
      </c>
      <c r="F1312" s="7">
        <v>2346532</v>
      </c>
      <c r="G1312" s="7">
        <v>32599592</v>
      </c>
      <c r="H1312" s="7">
        <v>627.21109999999999</v>
      </c>
      <c r="I1312" s="7">
        <v>626.23360000000002</v>
      </c>
      <c r="J1312" s="7">
        <v>14</v>
      </c>
      <c r="K1312" s="7">
        <v>3.5977871999999999E-3</v>
      </c>
      <c r="L1312" s="7">
        <v>629.46767206369998</v>
      </c>
      <c r="M1312" s="7">
        <v>623.98054477330004</v>
      </c>
      <c r="N1312" s="7">
        <v>629.54050390240002</v>
      </c>
      <c r="O1312" s="7">
        <v>629.54050390240002</v>
      </c>
      <c r="P1312" s="7">
        <v>623.98054477330004</v>
      </c>
      <c r="Q1312">
        <v>1</v>
      </c>
      <c r="R1312">
        <v>0</v>
      </c>
      <c r="S1312" s="11">
        <v>45875.666666666664</v>
      </c>
      <c r="T1312">
        <v>1136</v>
      </c>
    </row>
    <row r="1313" spans="1:20">
      <c r="A1313" s="11">
        <v>45875.645833333336</v>
      </c>
      <c r="B1313" s="11">
        <v>45875.666666666664</v>
      </c>
      <c r="C1313" s="10">
        <v>45875</v>
      </c>
      <c r="D1313" s="7">
        <v>631.03049999999996</v>
      </c>
      <c r="E1313" s="7">
        <v>10156262</v>
      </c>
      <c r="F1313" s="7">
        <v>10156262</v>
      </c>
      <c r="G1313" s="7">
        <v>42755854</v>
      </c>
      <c r="H1313" s="7">
        <v>627.21109999999999</v>
      </c>
      <c r="I1313" s="7">
        <v>626.23360000000002</v>
      </c>
      <c r="J1313" s="7">
        <v>14</v>
      </c>
      <c r="K1313" s="7">
        <v>3.6579119000000001E-3</v>
      </c>
      <c r="L1313" s="7">
        <v>629.50538296349998</v>
      </c>
      <c r="M1313" s="7">
        <v>623.94289264539998</v>
      </c>
      <c r="N1313" s="7">
        <v>629.89443884529999</v>
      </c>
      <c r="O1313" s="7">
        <v>629.89443884529999</v>
      </c>
      <c r="P1313" s="7">
        <v>623.94289264539998</v>
      </c>
      <c r="Q1313">
        <v>1</v>
      </c>
      <c r="R1313">
        <v>1</v>
      </c>
      <c r="S1313" s="11">
        <v>45875.666666666664</v>
      </c>
      <c r="T1313">
        <v>1135</v>
      </c>
    </row>
    <row r="1314" spans="1:20">
      <c r="A1314" s="11">
        <v>45876.395833333336</v>
      </c>
      <c r="B1314" s="11">
        <v>45876.416666666664</v>
      </c>
      <c r="C1314" s="10">
        <v>45876</v>
      </c>
      <c r="D1314" s="7">
        <v>634.79999999999995</v>
      </c>
      <c r="E1314" s="7">
        <v>6229275</v>
      </c>
      <c r="F1314" s="7">
        <v>6229275</v>
      </c>
      <c r="G1314" s="7">
        <v>6229275</v>
      </c>
      <c r="H1314" s="7">
        <v>634.79999999999995</v>
      </c>
      <c r="I1314" s="7">
        <v>631.03030000000001</v>
      </c>
      <c r="J1314" s="7">
        <v>14</v>
      </c>
      <c r="K1314" s="7">
        <v>0</v>
      </c>
      <c r="L1314" s="7">
        <v>634.79999999999995</v>
      </c>
      <c r="M1314" s="7">
        <v>631.03030000000001</v>
      </c>
      <c r="N1314" s="7">
        <v>634.79999999999995</v>
      </c>
      <c r="O1314" s="7">
        <v>634.79999999999995</v>
      </c>
      <c r="P1314" s="7">
        <v>631.03030000000001</v>
      </c>
      <c r="Q1314">
        <v>1</v>
      </c>
      <c r="R1314">
        <v>0</v>
      </c>
      <c r="S1314" s="11">
        <v>45876.666666666664</v>
      </c>
      <c r="T1314">
        <v>1133</v>
      </c>
    </row>
    <row r="1315" spans="1:20">
      <c r="A1315" s="11">
        <v>45876.416666666664</v>
      </c>
      <c r="B1315" s="11">
        <v>45876.4375</v>
      </c>
      <c r="C1315" s="10">
        <v>45876</v>
      </c>
      <c r="D1315" s="7">
        <v>632.01769999999999</v>
      </c>
      <c r="E1315" s="7">
        <v>5784395</v>
      </c>
      <c r="F1315" s="7">
        <v>5784395</v>
      </c>
      <c r="G1315" s="7">
        <v>12013670</v>
      </c>
      <c r="H1315" s="7">
        <v>634.79999999999995</v>
      </c>
      <c r="I1315" s="7">
        <v>631.03030000000001</v>
      </c>
      <c r="J1315" s="7">
        <v>14</v>
      </c>
      <c r="K1315" s="7">
        <v>1.1146569E-3</v>
      </c>
      <c r="L1315" s="7">
        <v>635.50758421160003</v>
      </c>
      <c r="M1315" s="7">
        <v>630.32691771060001</v>
      </c>
      <c r="N1315" s="7">
        <v>633.46036588250001</v>
      </c>
      <c r="O1315" s="7">
        <v>635.50758421160003</v>
      </c>
      <c r="P1315" s="7">
        <v>630.32691771060001</v>
      </c>
      <c r="Q1315">
        <v>1</v>
      </c>
      <c r="R1315">
        <v>0</v>
      </c>
      <c r="S1315" s="11">
        <v>45876.666666666664</v>
      </c>
      <c r="T1315">
        <v>1132</v>
      </c>
    </row>
    <row r="1316" spans="1:20">
      <c r="A1316" s="11">
        <v>45876.4375</v>
      </c>
      <c r="B1316" s="11">
        <v>45876.458333333336</v>
      </c>
      <c r="C1316" s="10">
        <v>45876</v>
      </c>
      <c r="D1316" s="7">
        <v>631.00049999999999</v>
      </c>
      <c r="E1316" s="7">
        <v>4355565</v>
      </c>
      <c r="F1316" s="7">
        <v>4355565</v>
      </c>
      <c r="G1316" s="7">
        <v>16369235</v>
      </c>
      <c r="H1316" s="7">
        <v>634.79999999999995</v>
      </c>
      <c r="I1316" s="7">
        <v>631.03030000000001</v>
      </c>
      <c r="J1316" s="7">
        <v>14</v>
      </c>
      <c r="K1316" s="7">
        <v>1.8256733E-3</v>
      </c>
      <c r="L1316" s="7">
        <v>635.95893741650002</v>
      </c>
      <c r="M1316" s="7">
        <v>629.87824482409997</v>
      </c>
      <c r="N1316" s="7">
        <v>632.80583891510003</v>
      </c>
      <c r="O1316" s="7">
        <v>635.95893741650002</v>
      </c>
      <c r="P1316" s="7">
        <v>629.87824482409997</v>
      </c>
      <c r="Q1316">
        <v>1</v>
      </c>
      <c r="R1316">
        <v>0</v>
      </c>
      <c r="S1316" s="11">
        <v>45876.666666666664</v>
      </c>
      <c r="T1316">
        <v>1131</v>
      </c>
    </row>
    <row r="1317" spans="1:20">
      <c r="A1317" s="11">
        <v>45876.458333333336</v>
      </c>
      <c r="B1317" s="11">
        <v>45876.479166666664</v>
      </c>
      <c r="C1317" s="10">
        <v>45876</v>
      </c>
      <c r="D1317" s="7">
        <v>630.18280000000004</v>
      </c>
      <c r="E1317" s="7">
        <v>3596460</v>
      </c>
      <c r="F1317" s="7">
        <v>3596460</v>
      </c>
      <c r="G1317" s="7">
        <v>19965695</v>
      </c>
      <c r="H1317" s="7">
        <v>634.79999999999995</v>
      </c>
      <c r="I1317" s="7">
        <v>631.03030000000001</v>
      </c>
      <c r="J1317" s="7">
        <v>14</v>
      </c>
      <c r="K1317" s="7">
        <v>2.0977980000000001E-3</v>
      </c>
      <c r="L1317" s="7">
        <v>636.13168218450005</v>
      </c>
      <c r="M1317" s="7">
        <v>629.7065258847</v>
      </c>
      <c r="N1317" s="7">
        <v>632.33334574440005</v>
      </c>
      <c r="O1317" s="7">
        <v>636.13168218450005</v>
      </c>
      <c r="P1317" s="7">
        <v>629.7065258847</v>
      </c>
      <c r="Q1317">
        <v>1</v>
      </c>
      <c r="R1317">
        <v>0</v>
      </c>
      <c r="S1317" s="11">
        <v>45876.666666666664</v>
      </c>
      <c r="T1317">
        <v>1130</v>
      </c>
    </row>
    <row r="1318" spans="1:20">
      <c r="A1318" s="11">
        <v>45876.479166666664</v>
      </c>
      <c r="B1318" s="11">
        <v>45876.5</v>
      </c>
      <c r="C1318" s="10">
        <v>45876</v>
      </c>
      <c r="D1318" s="7">
        <v>630.09310000000005</v>
      </c>
      <c r="E1318" s="7">
        <v>3008707</v>
      </c>
      <c r="F1318" s="7">
        <v>3008707</v>
      </c>
      <c r="G1318" s="7">
        <v>22974402</v>
      </c>
      <c r="H1318" s="7">
        <v>634.79999999999995</v>
      </c>
      <c r="I1318" s="7">
        <v>631.03030000000001</v>
      </c>
      <c r="J1318" s="7">
        <v>14</v>
      </c>
      <c r="K1318" s="7">
        <v>2.3263034999999998E-3</v>
      </c>
      <c r="L1318" s="7">
        <v>636.27673745909999</v>
      </c>
      <c r="M1318" s="7">
        <v>629.56233200719998</v>
      </c>
      <c r="N1318" s="7">
        <v>632.0399651788</v>
      </c>
      <c r="O1318" s="7">
        <v>636.27673745909999</v>
      </c>
      <c r="P1318" s="7">
        <v>629.56233200719998</v>
      </c>
      <c r="Q1318">
        <v>1</v>
      </c>
      <c r="R1318">
        <v>0</v>
      </c>
      <c r="S1318" s="11">
        <v>45876.666666666664</v>
      </c>
      <c r="T1318">
        <v>1129</v>
      </c>
    </row>
    <row r="1319" spans="1:20">
      <c r="A1319" s="11">
        <v>45876.5</v>
      </c>
      <c r="B1319" s="11">
        <v>45876.520833333336</v>
      </c>
      <c r="C1319" s="10">
        <v>45876</v>
      </c>
      <c r="D1319" s="7">
        <v>630.46199999999999</v>
      </c>
      <c r="E1319" s="7">
        <v>2593360</v>
      </c>
      <c r="F1319" s="7">
        <v>2593360</v>
      </c>
      <c r="G1319" s="7">
        <v>25567762</v>
      </c>
      <c r="H1319" s="7">
        <v>634.79999999999995</v>
      </c>
      <c r="I1319" s="7">
        <v>631.03030000000001</v>
      </c>
      <c r="J1319" s="7">
        <v>14</v>
      </c>
      <c r="K1319" s="7">
        <v>2.3187523E-3</v>
      </c>
      <c r="L1319" s="7">
        <v>636.27194397569997</v>
      </c>
      <c r="M1319" s="7">
        <v>629.56709702499995</v>
      </c>
      <c r="N1319" s="7">
        <v>631.87991081910002</v>
      </c>
      <c r="O1319" s="7">
        <v>636.27194397569997</v>
      </c>
      <c r="P1319" s="7">
        <v>629.56709702499995</v>
      </c>
      <c r="Q1319">
        <v>1</v>
      </c>
      <c r="R1319">
        <v>0</v>
      </c>
      <c r="S1319" s="11">
        <v>45876.666666666664</v>
      </c>
      <c r="T1319">
        <v>1128</v>
      </c>
    </row>
    <row r="1320" spans="1:20">
      <c r="A1320" s="11">
        <v>45876.520833333336</v>
      </c>
      <c r="B1320" s="11">
        <v>45876.541666666664</v>
      </c>
      <c r="C1320" s="10">
        <v>45876</v>
      </c>
      <c r="D1320" s="7">
        <v>629.49469999999997</v>
      </c>
      <c r="E1320" s="7">
        <v>3863117</v>
      </c>
      <c r="F1320" s="7">
        <v>3863117</v>
      </c>
      <c r="G1320" s="7">
        <v>29430879</v>
      </c>
      <c r="H1320" s="7">
        <v>634.79999999999995</v>
      </c>
      <c r="I1320" s="7">
        <v>631.03030000000001</v>
      </c>
      <c r="J1320" s="7">
        <v>14</v>
      </c>
      <c r="K1320" s="7">
        <v>2.2072458999999999E-3</v>
      </c>
      <c r="L1320" s="7">
        <v>636.20115968289997</v>
      </c>
      <c r="M1320" s="7">
        <v>629.63746097190005</v>
      </c>
      <c r="N1320" s="7">
        <v>631.56682644049999</v>
      </c>
      <c r="O1320" s="7">
        <v>636.20115968289997</v>
      </c>
      <c r="P1320" s="7">
        <v>629.63746097190005</v>
      </c>
      <c r="Q1320">
        <v>1</v>
      </c>
      <c r="R1320">
        <v>0</v>
      </c>
      <c r="S1320" s="11">
        <v>45876.666666666664</v>
      </c>
      <c r="T1320">
        <v>1127</v>
      </c>
    </row>
    <row r="1321" spans="1:20">
      <c r="A1321" s="11">
        <v>45876.541666666664</v>
      </c>
      <c r="B1321" s="11">
        <v>45876.5625</v>
      </c>
      <c r="C1321" s="10">
        <v>45876</v>
      </c>
      <c r="D1321" s="7">
        <v>628.30799999999999</v>
      </c>
      <c r="E1321" s="7">
        <v>3146081</v>
      </c>
      <c r="F1321" s="7">
        <v>3146081</v>
      </c>
      <c r="G1321" s="7">
        <v>32576960</v>
      </c>
      <c r="H1321" s="7">
        <v>634.79999999999995</v>
      </c>
      <c r="I1321" s="7">
        <v>631.03030000000001</v>
      </c>
      <c r="J1321" s="7">
        <v>14</v>
      </c>
      <c r="K1321" s="7">
        <v>2.728121E-3</v>
      </c>
      <c r="L1321" s="7">
        <v>636.53181118880002</v>
      </c>
      <c r="M1321" s="7">
        <v>629.30877300880002</v>
      </c>
      <c r="N1321" s="7">
        <v>631.25210916950005</v>
      </c>
      <c r="O1321" s="7">
        <v>636.53181118880002</v>
      </c>
      <c r="P1321" s="7">
        <v>629.30877300880002</v>
      </c>
      <c r="Q1321">
        <v>1</v>
      </c>
      <c r="R1321">
        <v>0</v>
      </c>
      <c r="S1321" s="11">
        <v>45876.666666666664</v>
      </c>
      <c r="T1321">
        <v>1126</v>
      </c>
    </row>
    <row r="1322" spans="1:20">
      <c r="A1322" s="11">
        <v>45876.5625</v>
      </c>
      <c r="B1322" s="11">
        <v>45876.583333333336</v>
      </c>
      <c r="C1322" s="10">
        <v>45876</v>
      </c>
      <c r="D1322" s="7">
        <v>629.01340000000005</v>
      </c>
      <c r="E1322" s="7">
        <v>3181366</v>
      </c>
      <c r="F1322" s="7">
        <v>3181366</v>
      </c>
      <c r="G1322" s="7">
        <v>35758326</v>
      </c>
      <c r="H1322" s="7">
        <v>634.79999999999995</v>
      </c>
      <c r="I1322" s="7">
        <v>631.03030000000001</v>
      </c>
      <c r="J1322" s="7">
        <v>14</v>
      </c>
      <c r="K1322" s="7">
        <v>2.8186423999999998E-3</v>
      </c>
      <c r="L1322" s="7">
        <v>636.58927419719998</v>
      </c>
      <c r="M1322" s="7">
        <v>629.25165123910006</v>
      </c>
      <c r="N1322" s="7">
        <v>631.05293448680004</v>
      </c>
      <c r="O1322" s="7">
        <v>636.58927419719998</v>
      </c>
      <c r="P1322" s="7">
        <v>629.25165123910006</v>
      </c>
      <c r="Q1322">
        <v>1</v>
      </c>
      <c r="R1322">
        <v>0</v>
      </c>
      <c r="S1322" s="11">
        <v>45876.666666666664</v>
      </c>
      <c r="T1322">
        <v>1125</v>
      </c>
    </row>
    <row r="1323" spans="1:20">
      <c r="A1323" s="11">
        <v>45876.583333333336</v>
      </c>
      <c r="B1323" s="11">
        <v>45876.604166666664</v>
      </c>
      <c r="C1323" s="10">
        <v>45876</v>
      </c>
      <c r="D1323" s="7">
        <v>628.02880000000005</v>
      </c>
      <c r="E1323" s="7">
        <v>3282337</v>
      </c>
      <c r="F1323" s="7">
        <v>3282337</v>
      </c>
      <c r="G1323" s="7">
        <v>39040663</v>
      </c>
      <c r="H1323" s="7">
        <v>634.79999999999995</v>
      </c>
      <c r="I1323" s="7">
        <v>631.03030000000001</v>
      </c>
      <c r="J1323" s="7">
        <v>14</v>
      </c>
      <c r="K1323" s="7">
        <v>3.2303521000000002E-3</v>
      </c>
      <c r="L1323" s="7">
        <v>636.85062749389999</v>
      </c>
      <c r="M1323" s="7">
        <v>628.99184996429994</v>
      </c>
      <c r="N1323" s="7">
        <v>630.79868090210005</v>
      </c>
      <c r="O1323" s="7">
        <v>636.85062749389999</v>
      </c>
      <c r="P1323" s="7">
        <v>628.99184996429994</v>
      </c>
      <c r="Q1323">
        <v>1</v>
      </c>
      <c r="R1323">
        <v>0</v>
      </c>
      <c r="S1323" s="11">
        <v>45876.666666666664</v>
      </c>
      <c r="T1323">
        <v>1124</v>
      </c>
    </row>
    <row r="1324" spans="1:20">
      <c r="A1324" s="11">
        <v>45876.604166666664</v>
      </c>
      <c r="B1324" s="11">
        <v>45876.625</v>
      </c>
      <c r="C1324" s="10">
        <v>45876</v>
      </c>
      <c r="D1324" s="7">
        <v>628.78740000000005</v>
      </c>
      <c r="E1324" s="7">
        <v>2476419</v>
      </c>
      <c r="F1324" s="7">
        <v>2476419</v>
      </c>
      <c r="G1324" s="7">
        <v>41517082</v>
      </c>
      <c r="H1324" s="7">
        <v>634.79999999999995</v>
      </c>
      <c r="I1324" s="7">
        <v>631.03030000000001</v>
      </c>
      <c r="J1324" s="7">
        <v>14</v>
      </c>
      <c r="K1324" s="7">
        <v>3.3663822999999999E-3</v>
      </c>
      <c r="L1324" s="7">
        <v>636.93697950640001</v>
      </c>
      <c r="M1324" s="7">
        <v>628.90601074510005</v>
      </c>
      <c r="N1324" s="7">
        <v>630.67871162680001</v>
      </c>
      <c r="O1324" s="7">
        <v>636.93697950640001</v>
      </c>
      <c r="P1324" s="7">
        <v>628.90601074510005</v>
      </c>
      <c r="Q1324">
        <v>1</v>
      </c>
      <c r="R1324">
        <v>0</v>
      </c>
      <c r="S1324" s="11">
        <v>45876.666666666664</v>
      </c>
      <c r="T1324">
        <v>1123</v>
      </c>
    </row>
    <row r="1325" spans="1:20">
      <c r="A1325" s="11">
        <v>45876.625</v>
      </c>
      <c r="B1325" s="11">
        <v>45876.645833333336</v>
      </c>
      <c r="C1325" s="10">
        <v>45876</v>
      </c>
      <c r="D1325" s="7">
        <v>628.62710000000004</v>
      </c>
      <c r="E1325" s="7">
        <v>2695996</v>
      </c>
      <c r="F1325" s="7">
        <v>2695996</v>
      </c>
      <c r="G1325" s="7">
        <v>44213078</v>
      </c>
      <c r="H1325" s="7">
        <v>634.79999999999995</v>
      </c>
      <c r="I1325" s="7">
        <v>631.03030000000001</v>
      </c>
      <c r="J1325" s="7">
        <v>14</v>
      </c>
      <c r="K1325" s="7">
        <v>3.8203362999999998E-3</v>
      </c>
      <c r="L1325" s="7">
        <v>637.22514948080004</v>
      </c>
      <c r="M1325" s="7">
        <v>628.61955204089998</v>
      </c>
      <c r="N1325" s="7">
        <v>630.55360980190005</v>
      </c>
      <c r="O1325" s="7">
        <v>637.22514948080004</v>
      </c>
      <c r="P1325" s="7">
        <v>628.61955204089998</v>
      </c>
      <c r="Q1325">
        <v>1</v>
      </c>
      <c r="R1325">
        <v>0</v>
      </c>
      <c r="S1325" s="11">
        <v>45876.666666666664</v>
      </c>
      <c r="T1325">
        <v>1122</v>
      </c>
    </row>
    <row r="1326" spans="1:20">
      <c r="A1326" s="11">
        <v>45876.645833333336</v>
      </c>
      <c r="B1326" s="11">
        <v>45876.666666666664</v>
      </c>
      <c r="C1326" s="10">
        <v>45876</v>
      </c>
      <c r="D1326" s="7">
        <v>630.50189999999998</v>
      </c>
      <c r="E1326" s="7">
        <v>7712249</v>
      </c>
      <c r="F1326" s="7">
        <v>7712249</v>
      </c>
      <c r="G1326" s="7">
        <v>51925327</v>
      </c>
      <c r="H1326" s="7">
        <v>634.79999999999995</v>
      </c>
      <c r="I1326" s="7">
        <v>631.03030000000001</v>
      </c>
      <c r="J1326" s="7">
        <v>14</v>
      </c>
      <c r="K1326" s="7">
        <v>3.8452207000000001E-3</v>
      </c>
      <c r="L1326" s="7">
        <v>637.24094611839996</v>
      </c>
      <c r="M1326" s="7">
        <v>628.6038492102</v>
      </c>
      <c r="N1326" s="7">
        <v>630.54592956390002</v>
      </c>
      <c r="O1326" s="7">
        <v>637.24094611839996</v>
      </c>
      <c r="P1326" s="7">
        <v>628.6038492102</v>
      </c>
      <c r="Q1326">
        <v>1</v>
      </c>
      <c r="R1326">
        <v>1</v>
      </c>
      <c r="S1326" s="11">
        <v>45876.666666666664</v>
      </c>
      <c r="T1326">
        <v>1121</v>
      </c>
    </row>
    <row r="1327" spans="1:20">
      <c r="A1327" s="11">
        <v>45877.395833333336</v>
      </c>
      <c r="B1327" s="11">
        <v>45877.416666666664</v>
      </c>
      <c r="C1327" s="10">
        <v>45877</v>
      </c>
      <c r="D1327" s="7">
        <v>634.19169999999997</v>
      </c>
      <c r="E1327" s="7">
        <v>5559398</v>
      </c>
      <c r="F1327" s="7">
        <v>5559398</v>
      </c>
      <c r="G1327" s="7">
        <v>5559398</v>
      </c>
      <c r="H1327" s="7">
        <v>634.19169999999997</v>
      </c>
      <c r="I1327" s="7">
        <v>630.5018</v>
      </c>
      <c r="J1327" s="7">
        <v>14</v>
      </c>
      <c r="K1327" s="7">
        <v>0</v>
      </c>
      <c r="L1327" s="7">
        <v>634.19169999999997</v>
      </c>
      <c r="M1327" s="7">
        <v>630.5018</v>
      </c>
      <c r="N1327" s="7">
        <v>634.19169999999997</v>
      </c>
      <c r="O1327" s="7">
        <v>634.19169999999997</v>
      </c>
      <c r="P1327" s="7">
        <v>630.5018</v>
      </c>
      <c r="Q1327">
        <v>1</v>
      </c>
      <c r="R1327">
        <v>0</v>
      </c>
      <c r="S1327" s="11">
        <v>45877.666666666664</v>
      </c>
      <c r="T1327">
        <v>1119</v>
      </c>
    </row>
    <row r="1328" spans="1:20">
      <c r="A1328" s="11">
        <v>45877.416666666664</v>
      </c>
      <c r="B1328" s="11">
        <v>45877.4375</v>
      </c>
      <c r="C1328" s="10">
        <v>45877</v>
      </c>
      <c r="D1328" s="7">
        <v>634.68029999999999</v>
      </c>
      <c r="E1328" s="7">
        <v>4287697</v>
      </c>
      <c r="F1328" s="7">
        <v>4287697</v>
      </c>
      <c r="G1328" s="7">
        <v>9847095</v>
      </c>
      <c r="H1328" s="7">
        <v>634.19169999999997</v>
      </c>
      <c r="I1328" s="7">
        <v>630.5018</v>
      </c>
      <c r="J1328" s="7">
        <v>14</v>
      </c>
      <c r="K1328" s="7">
        <v>1.2165812000000001E-3</v>
      </c>
      <c r="L1328" s="7">
        <v>634.96324571390005</v>
      </c>
      <c r="M1328" s="7">
        <v>629.73474334920002</v>
      </c>
      <c r="N1328" s="7">
        <v>634.40444992820005</v>
      </c>
      <c r="O1328" s="7">
        <v>634.96324571390005</v>
      </c>
      <c r="P1328" s="7">
        <v>629.73474334920002</v>
      </c>
      <c r="Q1328">
        <v>1</v>
      </c>
      <c r="R1328">
        <v>0</v>
      </c>
      <c r="S1328" s="11">
        <v>45877.666666666664</v>
      </c>
      <c r="T1328">
        <v>1118</v>
      </c>
    </row>
    <row r="1329" spans="1:20">
      <c r="A1329" s="11">
        <v>45877.4375</v>
      </c>
      <c r="B1329" s="11">
        <v>45877.458333333336</v>
      </c>
      <c r="C1329" s="10">
        <v>45877</v>
      </c>
      <c r="D1329" s="7">
        <v>634.072</v>
      </c>
      <c r="E1329" s="7">
        <v>3200368</v>
      </c>
      <c r="F1329" s="7">
        <v>3200368</v>
      </c>
      <c r="G1329" s="7">
        <v>13047463</v>
      </c>
      <c r="H1329" s="7">
        <v>634.19169999999997</v>
      </c>
      <c r="I1329" s="7">
        <v>630.5018</v>
      </c>
      <c r="J1329" s="7">
        <v>14</v>
      </c>
      <c r="K1329" s="7">
        <v>2.0182183000000001E-3</v>
      </c>
      <c r="L1329" s="7">
        <v>635.47163728450005</v>
      </c>
      <c r="M1329" s="7">
        <v>629.22930973919995</v>
      </c>
      <c r="N1329" s="7">
        <v>634.32290441149996</v>
      </c>
      <c r="O1329" s="7">
        <v>635.47163728450005</v>
      </c>
      <c r="P1329" s="7">
        <v>629.22930973919995</v>
      </c>
      <c r="Q1329">
        <v>1</v>
      </c>
      <c r="R1329">
        <v>0</v>
      </c>
      <c r="S1329" s="11">
        <v>45877.666666666664</v>
      </c>
      <c r="T1329">
        <v>1117</v>
      </c>
    </row>
    <row r="1330" spans="1:20">
      <c r="A1330" s="11">
        <v>45877.458333333336</v>
      </c>
      <c r="B1330" s="11">
        <v>45877.479166666664</v>
      </c>
      <c r="C1330" s="10">
        <v>45877</v>
      </c>
      <c r="D1330" s="7">
        <v>634.23659999999995</v>
      </c>
      <c r="E1330" s="7">
        <v>2532821</v>
      </c>
      <c r="F1330" s="7">
        <v>2532821</v>
      </c>
      <c r="G1330" s="7">
        <v>15580284</v>
      </c>
      <c r="H1330" s="7">
        <v>634.19169999999997</v>
      </c>
      <c r="I1330" s="7">
        <v>630.5018</v>
      </c>
      <c r="J1330" s="7">
        <v>14</v>
      </c>
      <c r="K1330" s="7">
        <v>2.4345770999999999E-3</v>
      </c>
      <c r="L1330" s="7">
        <v>635.73568858759995</v>
      </c>
      <c r="M1330" s="7">
        <v>628.96679475849999</v>
      </c>
      <c r="N1330" s="7">
        <v>634.30887426770005</v>
      </c>
      <c r="O1330" s="7">
        <v>635.73568858759995</v>
      </c>
      <c r="P1330" s="7">
        <v>628.96679475849999</v>
      </c>
      <c r="Q1330">
        <v>1</v>
      </c>
      <c r="R1330">
        <v>0</v>
      </c>
      <c r="S1330" s="11">
        <v>45877.666666666664</v>
      </c>
      <c r="T1330">
        <v>1116</v>
      </c>
    </row>
    <row r="1331" spans="1:20">
      <c r="A1331" s="11">
        <v>45877.479166666664</v>
      </c>
      <c r="B1331" s="11">
        <v>45877.5</v>
      </c>
      <c r="C1331" s="10">
        <v>45877</v>
      </c>
      <c r="D1331" s="7">
        <v>634.57560000000001</v>
      </c>
      <c r="E1331" s="7">
        <v>2889168</v>
      </c>
      <c r="F1331" s="7">
        <v>2889168</v>
      </c>
      <c r="G1331" s="7">
        <v>18469452</v>
      </c>
      <c r="H1331" s="7">
        <v>634.19169999999997</v>
      </c>
      <c r="I1331" s="7">
        <v>630.5018</v>
      </c>
      <c r="J1331" s="7">
        <v>14</v>
      </c>
      <c r="K1331" s="7">
        <v>2.7265166000000002E-3</v>
      </c>
      <c r="L1331" s="7">
        <v>635.9208342247</v>
      </c>
      <c r="M1331" s="7">
        <v>628.78272634910002</v>
      </c>
      <c r="N1331" s="7">
        <v>634.350598053</v>
      </c>
      <c r="O1331" s="7">
        <v>635.9208342247</v>
      </c>
      <c r="P1331" s="7">
        <v>628.78272634910002</v>
      </c>
      <c r="Q1331">
        <v>1</v>
      </c>
      <c r="R1331">
        <v>0</v>
      </c>
      <c r="S1331" s="11">
        <v>45877.666666666664</v>
      </c>
      <c r="T1331">
        <v>1115</v>
      </c>
    </row>
    <row r="1332" spans="1:20">
      <c r="A1332" s="11">
        <v>45877.5</v>
      </c>
      <c r="B1332" s="11">
        <v>45877.520833333336</v>
      </c>
      <c r="C1332" s="10">
        <v>45877</v>
      </c>
      <c r="D1332" s="7">
        <v>635.13409999999999</v>
      </c>
      <c r="E1332" s="7">
        <v>2336081</v>
      </c>
      <c r="F1332" s="7">
        <v>2336081</v>
      </c>
      <c r="G1332" s="7">
        <v>20805533</v>
      </c>
      <c r="H1332" s="7">
        <v>634.19169999999997</v>
      </c>
      <c r="I1332" s="7">
        <v>630.5018</v>
      </c>
      <c r="J1332" s="7">
        <v>14</v>
      </c>
      <c r="K1332" s="7">
        <v>2.5446505E-3</v>
      </c>
      <c r="L1332" s="7">
        <v>635.80549619980002</v>
      </c>
      <c r="M1332" s="7">
        <v>628.89739330589998</v>
      </c>
      <c r="N1332" s="7">
        <v>634.43857099809998</v>
      </c>
      <c r="O1332" s="7">
        <v>635.80549619980002</v>
      </c>
      <c r="P1332" s="7">
        <v>628.89739330589998</v>
      </c>
      <c r="Q1332">
        <v>1</v>
      </c>
      <c r="R1332">
        <v>0</v>
      </c>
      <c r="S1332" s="11">
        <v>45877.666666666664</v>
      </c>
      <c r="T1332">
        <v>1114</v>
      </c>
    </row>
    <row r="1333" spans="1:20">
      <c r="A1333" s="11">
        <v>45877.520833333336</v>
      </c>
      <c r="B1333" s="11">
        <v>45877.541666666664</v>
      </c>
      <c r="C1333" s="10">
        <v>45877</v>
      </c>
      <c r="D1333" s="7">
        <v>634.79</v>
      </c>
      <c r="E1333" s="7">
        <v>1778302</v>
      </c>
      <c r="F1333" s="7">
        <v>1778302</v>
      </c>
      <c r="G1333" s="7">
        <v>22583835</v>
      </c>
      <c r="H1333" s="7">
        <v>634.19169999999997</v>
      </c>
      <c r="I1333" s="7">
        <v>630.5018</v>
      </c>
      <c r="J1333" s="7">
        <v>14</v>
      </c>
      <c r="K1333" s="7">
        <v>2.5124697000000001E-3</v>
      </c>
      <c r="L1333" s="7">
        <v>635.78508744869998</v>
      </c>
      <c r="M1333" s="7">
        <v>628.91768331339995</v>
      </c>
      <c r="N1333" s="7">
        <v>634.46624330869997</v>
      </c>
      <c r="O1333" s="7">
        <v>635.78508744869998</v>
      </c>
      <c r="P1333" s="7">
        <v>628.91768331339995</v>
      </c>
      <c r="Q1333">
        <v>1</v>
      </c>
      <c r="R1333">
        <v>0</v>
      </c>
      <c r="S1333" s="11">
        <v>45877.666666666664</v>
      </c>
      <c r="T1333">
        <v>1113</v>
      </c>
    </row>
    <row r="1334" spans="1:20">
      <c r="A1334" s="11">
        <v>45877.541666666664</v>
      </c>
      <c r="B1334" s="11">
        <v>45877.5625</v>
      </c>
      <c r="C1334" s="10">
        <v>45877</v>
      </c>
      <c r="D1334" s="7">
        <v>634.63099999999997</v>
      </c>
      <c r="E1334" s="7">
        <v>1798347</v>
      </c>
      <c r="F1334" s="7">
        <v>1798347</v>
      </c>
      <c r="G1334" s="7">
        <v>24382182</v>
      </c>
      <c r="H1334" s="7">
        <v>634.19169999999997</v>
      </c>
      <c r="I1334" s="7">
        <v>630.5018</v>
      </c>
      <c r="J1334" s="7">
        <v>14</v>
      </c>
      <c r="K1334" s="7">
        <v>3.1998051E-3</v>
      </c>
      <c r="L1334" s="7">
        <v>636.22098981060003</v>
      </c>
      <c r="M1334" s="7">
        <v>628.48431715009997</v>
      </c>
      <c r="N1334" s="7">
        <v>634.47839520310004</v>
      </c>
      <c r="O1334" s="7">
        <v>636.22098981060003</v>
      </c>
      <c r="P1334" s="7">
        <v>628.48431715009997</v>
      </c>
      <c r="Q1334">
        <v>1</v>
      </c>
      <c r="R1334">
        <v>0</v>
      </c>
      <c r="S1334" s="11">
        <v>45877.666666666664</v>
      </c>
      <c r="T1334">
        <v>1112</v>
      </c>
    </row>
    <row r="1335" spans="1:20">
      <c r="A1335" s="11">
        <v>45877.5625</v>
      </c>
      <c r="B1335" s="11">
        <v>45877.583333333336</v>
      </c>
      <c r="C1335" s="10">
        <v>45877</v>
      </c>
      <c r="D1335" s="7">
        <v>635.46690000000001</v>
      </c>
      <c r="E1335" s="7">
        <v>1537600</v>
      </c>
      <c r="F1335" s="7">
        <v>1537600</v>
      </c>
      <c r="G1335" s="7">
        <v>25919782</v>
      </c>
      <c r="H1335" s="7">
        <v>634.19169999999997</v>
      </c>
      <c r="I1335" s="7">
        <v>630.5018</v>
      </c>
      <c r="J1335" s="7">
        <v>14</v>
      </c>
      <c r="K1335" s="7">
        <v>3.2268332999999998E-3</v>
      </c>
      <c r="L1335" s="7">
        <v>636.23813086509995</v>
      </c>
      <c r="M1335" s="7">
        <v>628.46727582690005</v>
      </c>
      <c r="N1335" s="7">
        <v>634.53703477720001</v>
      </c>
      <c r="O1335" s="7">
        <v>636.23813086509995</v>
      </c>
      <c r="P1335" s="7">
        <v>628.46727582690005</v>
      </c>
      <c r="Q1335">
        <v>1</v>
      </c>
      <c r="R1335">
        <v>0</v>
      </c>
      <c r="S1335" s="11">
        <v>45877.666666666664</v>
      </c>
      <c r="T1335">
        <v>1111</v>
      </c>
    </row>
    <row r="1336" spans="1:20">
      <c r="A1336" s="11">
        <v>45877.583333333336</v>
      </c>
      <c r="B1336" s="11">
        <v>45877.604166666664</v>
      </c>
      <c r="C1336" s="10">
        <v>45877</v>
      </c>
      <c r="D1336" s="7">
        <v>635.45809999999994</v>
      </c>
      <c r="E1336" s="7">
        <v>2036265</v>
      </c>
      <c r="F1336" s="7">
        <v>2036265</v>
      </c>
      <c r="G1336" s="7">
        <v>27956047</v>
      </c>
      <c r="H1336" s="7">
        <v>634.19169999999997</v>
      </c>
      <c r="I1336" s="7">
        <v>630.5018</v>
      </c>
      <c r="J1336" s="7">
        <v>14</v>
      </c>
      <c r="K1336" s="7">
        <v>3.7493315E-3</v>
      </c>
      <c r="L1336" s="7">
        <v>636.56949489759995</v>
      </c>
      <c r="M1336" s="7">
        <v>628.13783976059995</v>
      </c>
      <c r="N1336" s="7">
        <v>634.60412340649998</v>
      </c>
      <c r="O1336" s="7">
        <v>636.56949489759995</v>
      </c>
      <c r="P1336" s="7">
        <v>628.13783976059995</v>
      </c>
      <c r="Q1336">
        <v>1</v>
      </c>
      <c r="R1336">
        <v>0</v>
      </c>
      <c r="S1336" s="11">
        <v>45877.666666666664</v>
      </c>
      <c r="T1336">
        <v>1110</v>
      </c>
    </row>
    <row r="1337" spans="1:20">
      <c r="A1337" s="11">
        <v>45877.604166666664</v>
      </c>
      <c r="B1337" s="11">
        <v>45877.625</v>
      </c>
      <c r="C1337" s="10">
        <v>45877</v>
      </c>
      <c r="D1337" s="7">
        <v>635.46310000000005</v>
      </c>
      <c r="E1337" s="7">
        <v>2238190</v>
      </c>
      <c r="F1337" s="7">
        <v>2238190</v>
      </c>
      <c r="G1337" s="7">
        <v>30194237</v>
      </c>
      <c r="H1337" s="7">
        <v>634.19169999999997</v>
      </c>
      <c r="I1337" s="7">
        <v>630.5018</v>
      </c>
      <c r="J1337" s="7">
        <v>14</v>
      </c>
      <c r="K1337" s="7">
        <v>3.8147668000000001E-3</v>
      </c>
      <c r="L1337" s="7">
        <v>636.61099344989998</v>
      </c>
      <c r="M1337" s="7">
        <v>628.09658265810003</v>
      </c>
      <c r="N1337" s="7">
        <v>634.66779624649996</v>
      </c>
      <c r="O1337" s="7">
        <v>636.61099344989998</v>
      </c>
      <c r="P1337" s="7">
        <v>628.09658265810003</v>
      </c>
      <c r="Q1337">
        <v>1</v>
      </c>
      <c r="R1337">
        <v>0</v>
      </c>
      <c r="S1337" s="11">
        <v>45877.666666666664</v>
      </c>
      <c r="T1337">
        <v>1109</v>
      </c>
    </row>
    <row r="1338" spans="1:20">
      <c r="A1338" s="11">
        <v>45877.625</v>
      </c>
      <c r="B1338" s="11">
        <v>45877.645833333336</v>
      </c>
      <c r="C1338" s="10">
        <v>45877</v>
      </c>
      <c r="D1338" s="7">
        <v>635.47310000000004</v>
      </c>
      <c r="E1338" s="7">
        <v>2858508</v>
      </c>
      <c r="F1338" s="7">
        <v>2858508</v>
      </c>
      <c r="G1338" s="7">
        <v>33052745</v>
      </c>
      <c r="H1338" s="7">
        <v>634.19169999999997</v>
      </c>
      <c r="I1338" s="7">
        <v>630.5018</v>
      </c>
      <c r="J1338" s="7">
        <v>14</v>
      </c>
      <c r="K1338" s="7">
        <v>4.3049139000000004E-3</v>
      </c>
      <c r="L1338" s="7">
        <v>636.92184065979995</v>
      </c>
      <c r="M1338" s="7">
        <v>627.78754404200004</v>
      </c>
      <c r="N1338" s="7">
        <v>634.7374415127</v>
      </c>
      <c r="O1338" s="7">
        <v>636.92184065979995</v>
      </c>
      <c r="P1338" s="7">
        <v>627.78754404200004</v>
      </c>
      <c r="Q1338">
        <v>1</v>
      </c>
      <c r="R1338">
        <v>0</v>
      </c>
      <c r="S1338" s="11">
        <v>45877.666666666664</v>
      </c>
      <c r="T1338">
        <v>1108</v>
      </c>
    </row>
    <row r="1339" spans="1:20">
      <c r="A1339" s="11">
        <v>45877.645833333336</v>
      </c>
      <c r="B1339" s="11">
        <v>45877.666666666664</v>
      </c>
      <c r="C1339" s="10">
        <v>45877</v>
      </c>
      <c r="D1339" s="7">
        <v>635.41830000000004</v>
      </c>
      <c r="E1339" s="7">
        <v>8932944</v>
      </c>
      <c r="F1339" s="7">
        <v>8932944</v>
      </c>
      <c r="G1339" s="7">
        <v>41985689</v>
      </c>
      <c r="H1339" s="7">
        <v>634.19169999999997</v>
      </c>
      <c r="I1339" s="7">
        <v>630.5018</v>
      </c>
      <c r="J1339" s="7">
        <v>14</v>
      </c>
      <c r="K1339" s="7">
        <v>4.1404140999999998E-3</v>
      </c>
      <c r="L1339" s="7">
        <v>636.817516254</v>
      </c>
      <c r="M1339" s="7">
        <v>627.89126145989997</v>
      </c>
      <c r="N1339" s="7">
        <v>634.87594050730002</v>
      </c>
      <c r="O1339" s="7">
        <v>636.817516254</v>
      </c>
      <c r="P1339" s="7">
        <v>627.89126145989997</v>
      </c>
      <c r="Q1339">
        <v>1</v>
      </c>
      <c r="R1339">
        <v>1</v>
      </c>
      <c r="S1339" s="11">
        <v>45877.666666666664</v>
      </c>
      <c r="T1339">
        <v>1107</v>
      </c>
    </row>
    <row r="1340" spans="1:20">
      <c r="A1340" s="11">
        <v>45880.395833333336</v>
      </c>
      <c r="B1340" s="11">
        <v>45880.416666666664</v>
      </c>
      <c r="C1340" s="10">
        <v>45880</v>
      </c>
      <c r="D1340" s="7">
        <v>635.93679999999995</v>
      </c>
      <c r="E1340" s="7">
        <v>4317425</v>
      </c>
      <c r="F1340" s="7">
        <v>4317425</v>
      </c>
      <c r="G1340" s="7">
        <v>4317425</v>
      </c>
      <c r="H1340" s="7">
        <v>635.93679999999995</v>
      </c>
      <c r="I1340" s="7">
        <v>635.41819999999996</v>
      </c>
      <c r="J1340" s="7">
        <v>14</v>
      </c>
      <c r="K1340" s="7">
        <v>0</v>
      </c>
      <c r="L1340" s="7">
        <v>635.93679999999995</v>
      </c>
      <c r="M1340" s="7">
        <v>635.41819999999996</v>
      </c>
      <c r="N1340" s="7">
        <v>635.93679999999995</v>
      </c>
      <c r="O1340" s="7">
        <v>635.93679999999995</v>
      </c>
      <c r="P1340" s="7">
        <v>635.41819999999996</v>
      </c>
      <c r="Q1340">
        <v>1</v>
      </c>
      <c r="R1340">
        <v>0</v>
      </c>
      <c r="S1340" s="11">
        <v>45880.666666666664</v>
      </c>
      <c r="T1340">
        <v>1105</v>
      </c>
    </row>
    <row r="1341" spans="1:20">
      <c r="A1341" s="11">
        <v>45880.416666666664</v>
      </c>
      <c r="B1341" s="11">
        <v>45880.4375</v>
      </c>
      <c r="C1341" s="10">
        <v>45880</v>
      </c>
      <c r="D1341" s="7">
        <v>635.48810000000003</v>
      </c>
      <c r="E1341" s="7">
        <v>2861676</v>
      </c>
      <c r="F1341" s="7">
        <v>2861676</v>
      </c>
      <c r="G1341" s="7">
        <v>7179101</v>
      </c>
      <c r="H1341" s="7">
        <v>635.93679999999995</v>
      </c>
      <c r="I1341" s="7">
        <v>635.41819999999996</v>
      </c>
      <c r="J1341" s="7">
        <v>14</v>
      </c>
      <c r="K1341" s="7">
        <v>1.2172656999999999E-3</v>
      </c>
      <c r="L1341" s="7">
        <v>636.71090405730001</v>
      </c>
      <c r="M1341" s="7">
        <v>634.64472721669995</v>
      </c>
      <c r="N1341" s="7">
        <v>635.75794278360001</v>
      </c>
      <c r="O1341" s="7">
        <v>636.71090405730001</v>
      </c>
      <c r="P1341" s="7">
        <v>634.64472721669995</v>
      </c>
      <c r="Q1341">
        <v>1</v>
      </c>
      <c r="R1341">
        <v>0</v>
      </c>
      <c r="S1341" s="11">
        <v>45880.666666666664</v>
      </c>
      <c r="T1341">
        <v>1104</v>
      </c>
    </row>
    <row r="1342" spans="1:20">
      <c r="A1342" s="11">
        <v>45880.4375</v>
      </c>
      <c r="B1342" s="11">
        <v>45880.458333333336</v>
      </c>
      <c r="C1342" s="10">
        <v>45880</v>
      </c>
      <c r="D1342" s="7">
        <v>634.99950000000001</v>
      </c>
      <c r="E1342" s="7">
        <v>2462056</v>
      </c>
      <c r="F1342" s="7">
        <v>2462056</v>
      </c>
      <c r="G1342" s="7">
        <v>9641157</v>
      </c>
      <c r="H1342" s="7">
        <v>635.93679999999995</v>
      </c>
      <c r="I1342" s="7">
        <v>635.41819999999996</v>
      </c>
      <c r="J1342" s="7">
        <v>14</v>
      </c>
      <c r="K1342" s="7">
        <v>2.0045268999999998E-3</v>
      </c>
      <c r="L1342" s="7">
        <v>637.21155243090004</v>
      </c>
      <c r="M1342" s="7">
        <v>634.14448711679995</v>
      </c>
      <c r="N1342" s="7">
        <v>635.56425974260003</v>
      </c>
      <c r="O1342" s="7">
        <v>637.21155243090004</v>
      </c>
      <c r="P1342" s="7">
        <v>634.14448711679995</v>
      </c>
      <c r="Q1342">
        <v>1</v>
      </c>
      <c r="R1342">
        <v>0</v>
      </c>
      <c r="S1342" s="11">
        <v>45880.666666666664</v>
      </c>
      <c r="T1342">
        <v>1103</v>
      </c>
    </row>
    <row r="1343" spans="1:20">
      <c r="A1343" s="11">
        <v>45880.458333333336</v>
      </c>
      <c r="B1343" s="11">
        <v>45880.479166666664</v>
      </c>
      <c r="C1343" s="10">
        <v>45880</v>
      </c>
      <c r="D1343" s="7">
        <v>635.30870000000004</v>
      </c>
      <c r="E1343" s="7">
        <v>1984889</v>
      </c>
      <c r="F1343" s="7">
        <v>1984889</v>
      </c>
      <c r="G1343" s="7">
        <v>11626046</v>
      </c>
      <c r="H1343" s="7">
        <v>635.93679999999995</v>
      </c>
      <c r="I1343" s="7">
        <v>635.41819999999996</v>
      </c>
      <c r="J1343" s="7">
        <v>14</v>
      </c>
      <c r="K1343" s="7">
        <v>2.3821085000000001E-3</v>
      </c>
      <c r="L1343" s="7">
        <v>637.4516704486</v>
      </c>
      <c r="M1343" s="7">
        <v>633.90456491290001</v>
      </c>
      <c r="N1343" s="7">
        <v>635.52062859559999</v>
      </c>
      <c r="O1343" s="7">
        <v>637.4516704486</v>
      </c>
      <c r="P1343" s="7">
        <v>633.90456491290001</v>
      </c>
      <c r="Q1343">
        <v>1</v>
      </c>
      <c r="R1343">
        <v>0</v>
      </c>
      <c r="S1343" s="11">
        <v>45880.666666666664</v>
      </c>
      <c r="T1343">
        <v>1102</v>
      </c>
    </row>
    <row r="1344" spans="1:20">
      <c r="A1344" s="11">
        <v>45880.479166666664</v>
      </c>
      <c r="B1344" s="11">
        <v>45880.5</v>
      </c>
      <c r="C1344" s="10">
        <v>45880</v>
      </c>
      <c r="D1344" s="7">
        <v>636.09640000000002</v>
      </c>
      <c r="E1344" s="7">
        <v>2038819</v>
      </c>
      <c r="F1344" s="7">
        <v>2038819</v>
      </c>
      <c r="G1344" s="7">
        <v>13664865</v>
      </c>
      <c r="H1344" s="7">
        <v>635.93679999999995</v>
      </c>
      <c r="I1344" s="7">
        <v>635.41819999999996</v>
      </c>
      <c r="J1344" s="7">
        <v>14</v>
      </c>
      <c r="K1344" s="7">
        <v>2.7267300000000001E-3</v>
      </c>
      <c r="L1344" s="7">
        <v>637.67082796</v>
      </c>
      <c r="M1344" s="7">
        <v>633.68558612219999</v>
      </c>
      <c r="N1344" s="7">
        <v>635.60653458000002</v>
      </c>
      <c r="O1344" s="7">
        <v>637.67082796</v>
      </c>
      <c r="P1344" s="7">
        <v>633.68558612219999</v>
      </c>
      <c r="Q1344">
        <v>1</v>
      </c>
      <c r="R1344">
        <v>0</v>
      </c>
      <c r="S1344" s="11">
        <v>45880.666666666664</v>
      </c>
      <c r="T1344">
        <v>1101</v>
      </c>
    </row>
    <row r="1345" spans="1:20">
      <c r="A1345" s="11">
        <v>45880.5</v>
      </c>
      <c r="B1345" s="11">
        <v>45880.520833333336</v>
      </c>
      <c r="C1345" s="10">
        <v>45880</v>
      </c>
      <c r="D1345" s="7">
        <v>636.78449999999998</v>
      </c>
      <c r="E1345" s="7">
        <v>2830835</v>
      </c>
      <c r="F1345" s="7">
        <v>2830835</v>
      </c>
      <c r="G1345" s="7">
        <v>16495700</v>
      </c>
      <c r="H1345" s="7">
        <v>635.93679999999995</v>
      </c>
      <c r="I1345" s="7">
        <v>635.41819999999996</v>
      </c>
      <c r="J1345" s="7">
        <v>14</v>
      </c>
      <c r="K1345" s="7">
        <v>2.6479534999999999E-3</v>
      </c>
      <c r="L1345" s="7">
        <v>637.62073107879996</v>
      </c>
      <c r="M1345" s="7">
        <v>633.73564214989995</v>
      </c>
      <c r="N1345" s="7">
        <v>635.80868579150001</v>
      </c>
      <c r="O1345" s="7">
        <v>637.62073107879996</v>
      </c>
      <c r="P1345" s="7">
        <v>633.73564214989995</v>
      </c>
      <c r="Q1345">
        <v>1</v>
      </c>
      <c r="R1345">
        <v>0</v>
      </c>
      <c r="S1345" s="11">
        <v>45880.666666666664</v>
      </c>
      <c r="T1345">
        <v>1100</v>
      </c>
    </row>
    <row r="1346" spans="1:20">
      <c r="A1346" s="11">
        <v>45880.520833333336</v>
      </c>
      <c r="B1346" s="11">
        <v>45880.541666666664</v>
      </c>
      <c r="C1346" s="10">
        <v>45880</v>
      </c>
      <c r="D1346" s="7">
        <v>635.55790000000002</v>
      </c>
      <c r="E1346" s="7">
        <v>2196088</v>
      </c>
      <c r="F1346" s="7">
        <v>2196088</v>
      </c>
      <c r="G1346" s="7">
        <v>18691788</v>
      </c>
      <c r="H1346" s="7">
        <v>635.93679999999995</v>
      </c>
      <c r="I1346" s="7">
        <v>635.41819999999996</v>
      </c>
      <c r="J1346" s="7">
        <v>14</v>
      </c>
      <c r="K1346" s="7">
        <v>2.5277693000000001E-3</v>
      </c>
      <c r="L1346" s="7">
        <v>637.54430154509998</v>
      </c>
      <c r="M1346" s="7">
        <v>633.81200935610002</v>
      </c>
      <c r="N1346" s="7">
        <v>635.77922110530005</v>
      </c>
      <c r="O1346" s="7">
        <v>637.54430154509998</v>
      </c>
      <c r="P1346" s="7">
        <v>633.81200935610002</v>
      </c>
      <c r="Q1346">
        <v>1</v>
      </c>
      <c r="R1346">
        <v>0</v>
      </c>
      <c r="S1346" s="11">
        <v>45880.666666666664</v>
      </c>
      <c r="T1346">
        <v>1099</v>
      </c>
    </row>
    <row r="1347" spans="1:20">
      <c r="A1347" s="11">
        <v>45880.541666666664</v>
      </c>
      <c r="B1347" s="11">
        <v>45880.5625</v>
      </c>
      <c r="C1347" s="10">
        <v>45880</v>
      </c>
      <c r="D1347" s="7">
        <v>635.41830000000004</v>
      </c>
      <c r="E1347" s="7">
        <v>1649618</v>
      </c>
      <c r="F1347" s="7">
        <v>1649618</v>
      </c>
      <c r="G1347" s="7">
        <v>20341406</v>
      </c>
      <c r="H1347" s="7">
        <v>635.93679999999995</v>
      </c>
      <c r="I1347" s="7">
        <v>635.41819999999996</v>
      </c>
      <c r="J1347" s="7">
        <v>14</v>
      </c>
      <c r="K1347" s="7">
        <v>3.1802091999999999E-3</v>
      </c>
      <c r="L1347" s="7">
        <v>637.95921204050001</v>
      </c>
      <c r="M1347" s="7">
        <v>633.39743721599996</v>
      </c>
      <c r="N1347" s="7">
        <v>635.74995164619997</v>
      </c>
      <c r="O1347" s="7">
        <v>637.95921204050001</v>
      </c>
      <c r="P1347" s="7">
        <v>633.39743721599996</v>
      </c>
      <c r="Q1347">
        <v>1</v>
      </c>
      <c r="R1347">
        <v>0</v>
      </c>
      <c r="S1347" s="11">
        <v>45880.666666666664</v>
      </c>
      <c r="T1347">
        <v>1098</v>
      </c>
    </row>
    <row r="1348" spans="1:20">
      <c r="A1348" s="11">
        <v>45880.5625</v>
      </c>
      <c r="B1348" s="11">
        <v>45880.583333333336</v>
      </c>
      <c r="C1348" s="10">
        <v>45880</v>
      </c>
      <c r="D1348" s="7">
        <v>635.08920000000001</v>
      </c>
      <c r="E1348" s="7">
        <v>2169086</v>
      </c>
      <c r="F1348" s="7">
        <v>2169086</v>
      </c>
      <c r="G1348" s="7">
        <v>22510492</v>
      </c>
      <c r="H1348" s="7">
        <v>635.93679999999995</v>
      </c>
      <c r="I1348" s="7">
        <v>635.41819999999996</v>
      </c>
      <c r="J1348" s="7">
        <v>14</v>
      </c>
      <c r="K1348" s="7">
        <v>3.3279895000000001E-3</v>
      </c>
      <c r="L1348" s="7">
        <v>638.05319101279997</v>
      </c>
      <c r="M1348" s="7">
        <v>633.30353488260005</v>
      </c>
      <c r="N1348" s="7">
        <v>635.68628235170002</v>
      </c>
      <c r="O1348" s="7">
        <v>638.05319101279997</v>
      </c>
      <c r="P1348" s="7">
        <v>633.30353488260005</v>
      </c>
      <c r="Q1348">
        <v>1</v>
      </c>
      <c r="R1348">
        <v>0</v>
      </c>
      <c r="S1348" s="11">
        <v>45880.666666666664</v>
      </c>
      <c r="T1348">
        <v>1097</v>
      </c>
    </row>
    <row r="1349" spans="1:20">
      <c r="A1349" s="11">
        <v>45880.583333333336</v>
      </c>
      <c r="B1349" s="11">
        <v>45880.604166666664</v>
      </c>
      <c r="C1349" s="10">
        <v>45880</v>
      </c>
      <c r="D1349" s="7">
        <v>634.74509999999998</v>
      </c>
      <c r="E1349" s="7">
        <v>3191582</v>
      </c>
      <c r="F1349" s="7">
        <v>3191582</v>
      </c>
      <c r="G1349" s="7">
        <v>25702074</v>
      </c>
      <c r="H1349" s="7">
        <v>635.93679999999995</v>
      </c>
      <c r="I1349" s="7">
        <v>635.41819999999996</v>
      </c>
      <c r="J1349" s="7">
        <v>14</v>
      </c>
      <c r="K1349" s="7">
        <v>3.8444208000000001E-3</v>
      </c>
      <c r="L1349" s="7">
        <v>638.38160867160002</v>
      </c>
      <c r="M1349" s="7">
        <v>632.97538504500005</v>
      </c>
      <c r="N1349" s="7">
        <v>635.56941004589999</v>
      </c>
      <c r="O1349" s="7">
        <v>638.38160867160002</v>
      </c>
      <c r="P1349" s="7">
        <v>632.97538504500005</v>
      </c>
      <c r="Q1349">
        <v>1</v>
      </c>
      <c r="R1349">
        <v>0</v>
      </c>
      <c r="S1349" s="11">
        <v>45880.666666666664</v>
      </c>
      <c r="T1349">
        <v>1096</v>
      </c>
    </row>
    <row r="1350" spans="1:20">
      <c r="A1350" s="11">
        <v>45880.604166666664</v>
      </c>
      <c r="B1350" s="11">
        <v>45880.625</v>
      </c>
      <c r="C1350" s="10">
        <v>45880</v>
      </c>
      <c r="D1350" s="7">
        <v>634.72019999999998</v>
      </c>
      <c r="E1350" s="7">
        <v>2494777</v>
      </c>
      <c r="F1350" s="7">
        <v>2494777</v>
      </c>
      <c r="G1350" s="7">
        <v>28196851</v>
      </c>
      <c r="H1350" s="7">
        <v>635.93679999999995</v>
      </c>
      <c r="I1350" s="7">
        <v>635.41819999999996</v>
      </c>
      <c r="J1350" s="7">
        <v>14</v>
      </c>
      <c r="K1350" s="7">
        <v>3.9137918000000001E-3</v>
      </c>
      <c r="L1350" s="7">
        <v>638.42572424239995</v>
      </c>
      <c r="M1350" s="7">
        <v>632.93130544999997</v>
      </c>
      <c r="N1350" s="7">
        <v>635.49427436170004</v>
      </c>
      <c r="O1350" s="7">
        <v>638.42572424239995</v>
      </c>
      <c r="P1350" s="7">
        <v>632.93130544999997</v>
      </c>
      <c r="Q1350">
        <v>1</v>
      </c>
      <c r="R1350">
        <v>0</v>
      </c>
      <c r="S1350" s="11">
        <v>45880.666666666664</v>
      </c>
      <c r="T1350">
        <v>1095</v>
      </c>
    </row>
    <row r="1351" spans="1:20">
      <c r="A1351" s="11">
        <v>45880.625</v>
      </c>
      <c r="B1351" s="11">
        <v>45880.645833333336</v>
      </c>
      <c r="C1351" s="10">
        <v>45880</v>
      </c>
      <c r="D1351" s="7">
        <v>634.52080000000001</v>
      </c>
      <c r="E1351" s="7">
        <v>1631757</v>
      </c>
      <c r="F1351" s="7">
        <v>1631757</v>
      </c>
      <c r="G1351" s="7">
        <v>29828608</v>
      </c>
      <c r="H1351" s="7">
        <v>635.93679999999995</v>
      </c>
      <c r="I1351" s="7">
        <v>635.41819999999996</v>
      </c>
      <c r="J1351" s="7">
        <v>14</v>
      </c>
      <c r="K1351" s="7">
        <v>4.2986324999999999E-3</v>
      </c>
      <c r="L1351" s="7">
        <v>638.67045858840004</v>
      </c>
      <c r="M1351" s="7">
        <v>632.68677068249997</v>
      </c>
      <c r="N1351" s="7">
        <v>635.44102100160001</v>
      </c>
      <c r="O1351" s="7">
        <v>638.67045858840004</v>
      </c>
      <c r="P1351" s="7">
        <v>632.68677068249997</v>
      </c>
      <c r="Q1351">
        <v>1</v>
      </c>
      <c r="R1351">
        <v>0</v>
      </c>
      <c r="S1351" s="11">
        <v>45880.666666666664</v>
      </c>
      <c r="T1351">
        <v>1094</v>
      </c>
    </row>
    <row r="1352" spans="1:20">
      <c r="A1352" s="11">
        <v>45880.645833333336</v>
      </c>
      <c r="B1352" s="11">
        <v>45880.666666666664</v>
      </c>
      <c r="C1352" s="10">
        <v>45880</v>
      </c>
      <c r="D1352" s="7">
        <v>634.1617</v>
      </c>
      <c r="E1352" s="7">
        <v>11052405</v>
      </c>
      <c r="F1352" s="7">
        <v>11052405</v>
      </c>
      <c r="G1352" s="7">
        <v>40881013</v>
      </c>
      <c r="H1352" s="7">
        <v>635.93679999999995</v>
      </c>
      <c r="I1352" s="7">
        <v>635.41819999999996</v>
      </c>
      <c r="J1352" s="7">
        <v>14</v>
      </c>
      <c r="K1352" s="7">
        <v>4.0509607E-3</v>
      </c>
      <c r="L1352" s="7">
        <v>638.51295498210004</v>
      </c>
      <c r="M1352" s="7">
        <v>632.84414584609999</v>
      </c>
      <c r="N1352" s="7">
        <v>635.09514958609998</v>
      </c>
      <c r="O1352" s="7">
        <v>638.51295498210004</v>
      </c>
      <c r="P1352" s="7">
        <v>632.84414584609999</v>
      </c>
      <c r="Q1352">
        <v>1</v>
      </c>
      <c r="R1352">
        <v>1</v>
      </c>
      <c r="S1352" s="11">
        <v>45880.666666666664</v>
      </c>
      <c r="T1352">
        <v>1093</v>
      </c>
    </row>
    <row r="1353" spans="1:20">
      <c r="A1353" s="11">
        <v>45881.395833333336</v>
      </c>
      <c r="B1353" s="11">
        <v>45881.416666666664</v>
      </c>
      <c r="C1353" s="10">
        <v>45881</v>
      </c>
      <c r="D1353" s="7">
        <v>635.40830000000005</v>
      </c>
      <c r="E1353" s="7">
        <v>8394587</v>
      </c>
      <c r="F1353" s="7">
        <v>8394587</v>
      </c>
      <c r="G1353" s="7">
        <v>8394587</v>
      </c>
      <c r="H1353" s="7">
        <v>635.40830000000005</v>
      </c>
      <c r="I1353" s="7">
        <v>634.1617</v>
      </c>
      <c r="J1353" s="7">
        <v>14</v>
      </c>
      <c r="K1353" s="7">
        <v>0</v>
      </c>
      <c r="L1353" s="7">
        <v>635.40830000000005</v>
      </c>
      <c r="M1353" s="7">
        <v>634.1617</v>
      </c>
      <c r="N1353" s="7">
        <v>635.40830000000005</v>
      </c>
      <c r="O1353" s="7">
        <v>635.40830000000005</v>
      </c>
      <c r="P1353" s="7">
        <v>634.1617</v>
      </c>
      <c r="Q1353">
        <v>1</v>
      </c>
      <c r="R1353">
        <v>0</v>
      </c>
      <c r="S1353" s="11">
        <v>45881.666666666664</v>
      </c>
      <c r="T1353">
        <v>1091</v>
      </c>
    </row>
    <row r="1354" spans="1:20">
      <c r="A1354" s="11">
        <v>45881.416666666664</v>
      </c>
      <c r="B1354" s="11">
        <v>45881.4375</v>
      </c>
      <c r="C1354" s="10">
        <v>45881</v>
      </c>
      <c r="D1354" s="7">
        <v>637.56230000000005</v>
      </c>
      <c r="E1354" s="7">
        <v>4240010</v>
      </c>
      <c r="F1354" s="7">
        <v>4240010</v>
      </c>
      <c r="G1354" s="7">
        <v>12634597</v>
      </c>
      <c r="H1354" s="7">
        <v>635.40830000000005</v>
      </c>
      <c r="I1354" s="7">
        <v>634.1617</v>
      </c>
      <c r="J1354" s="7">
        <v>14</v>
      </c>
      <c r="K1354" s="7">
        <v>1.2346143000000001E-3</v>
      </c>
      <c r="L1354" s="7">
        <v>636.19278418809995</v>
      </c>
      <c r="M1354" s="7">
        <v>633.3787548821</v>
      </c>
      <c r="N1354" s="7">
        <v>636.13115499410003</v>
      </c>
      <c r="O1354" s="7">
        <v>636.19278418809995</v>
      </c>
      <c r="P1354" s="7">
        <v>633.3787548821</v>
      </c>
      <c r="Q1354">
        <v>1</v>
      </c>
      <c r="R1354">
        <v>0</v>
      </c>
      <c r="S1354" s="11">
        <v>45881.666666666664</v>
      </c>
      <c r="T1354">
        <v>1090</v>
      </c>
    </row>
    <row r="1355" spans="1:20">
      <c r="A1355" s="11">
        <v>45881.4375</v>
      </c>
      <c r="B1355" s="11">
        <v>45881.458333333336</v>
      </c>
      <c r="C1355" s="10">
        <v>45881</v>
      </c>
      <c r="D1355" s="7">
        <v>638.11009999999999</v>
      </c>
      <c r="E1355" s="7">
        <v>3194372</v>
      </c>
      <c r="F1355" s="7">
        <v>3194372</v>
      </c>
      <c r="G1355" s="7">
        <v>15828969</v>
      </c>
      <c r="H1355" s="7">
        <v>635.40830000000005</v>
      </c>
      <c r="I1355" s="7">
        <v>634.1617</v>
      </c>
      <c r="J1355" s="7">
        <v>14</v>
      </c>
      <c r="K1355" s="7">
        <v>1.9736070000000001E-3</v>
      </c>
      <c r="L1355" s="7">
        <v>636.66234628100005</v>
      </c>
      <c r="M1355" s="7">
        <v>632.91011401749995</v>
      </c>
      <c r="N1355" s="7">
        <v>636.53051685499997</v>
      </c>
      <c r="O1355" s="7">
        <v>636.66234628100005</v>
      </c>
      <c r="P1355" s="7">
        <v>632.91011401749995</v>
      </c>
      <c r="Q1355">
        <v>1</v>
      </c>
      <c r="R1355">
        <v>0</v>
      </c>
      <c r="S1355" s="11">
        <v>45881.666666666664</v>
      </c>
      <c r="T1355">
        <v>1089</v>
      </c>
    </row>
    <row r="1356" spans="1:20">
      <c r="A1356" s="11">
        <v>45881.458333333336</v>
      </c>
      <c r="B1356" s="11">
        <v>45881.479166666664</v>
      </c>
      <c r="C1356" s="10">
        <v>45881</v>
      </c>
      <c r="D1356" s="7">
        <v>638.75900000000001</v>
      </c>
      <c r="E1356" s="7">
        <v>3719051</v>
      </c>
      <c r="F1356" s="7">
        <v>3719051</v>
      </c>
      <c r="G1356" s="7">
        <v>19548020</v>
      </c>
      <c r="H1356" s="7">
        <v>635.40830000000005</v>
      </c>
      <c r="I1356" s="7">
        <v>634.1617</v>
      </c>
      <c r="J1356" s="7">
        <v>14</v>
      </c>
      <c r="K1356" s="7">
        <v>2.3523542000000001E-3</v>
      </c>
      <c r="L1356" s="7">
        <v>636.9030053793</v>
      </c>
      <c r="M1356" s="7">
        <v>632.66992706539997</v>
      </c>
      <c r="N1356" s="7">
        <v>636.9544903556</v>
      </c>
      <c r="O1356" s="7">
        <v>636.9544903556</v>
      </c>
      <c r="P1356" s="7">
        <v>632.66992706539997</v>
      </c>
      <c r="Q1356">
        <v>1</v>
      </c>
      <c r="R1356">
        <v>0</v>
      </c>
      <c r="S1356" s="11">
        <v>45881.666666666664</v>
      </c>
      <c r="T1356">
        <v>1088</v>
      </c>
    </row>
    <row r="1357" spans="1:20">
      <c r="A1357" s="11">
        <v>45881.479166666664</v>
      </c>
      <c r="B1357" s="11">
        <v>45881.5</v>
      </c>
      <c r="C1357" s="10">
        <v>45881</v>
      </c>
      <c r="D1357" s="7">
        <v>639.41719999999998</v>
      </c>
      <c r="E1357" s="7">
        <v>2603331</v>
      </c>
      <c r="F1357" s="7">
        <v>2603331</v>
      </c>
      <c r="G1357" s="7">
        <v>22151351</v>
      </c>
      <c r="H1357" s="7">
        <v>635.40830000000005</v>
      </c>
      <c r="I1357" s="7">
        <v>634.1617</v>
      </c>
      <c r="J1357" s="7">
        <v>14</v>
      </c>
      <c r="K1357" s="7">
        <v>2.6398054E-3</v>
      </c>
      <c r="L1357" s="7">
        <v>637.08565425430004</v>
      </c>
      <c r="M1357" s="7">
        <v>632.48763652709999</v>
      </c>
      <c r="N1357" s="7">
        <v>637.243919581</v>
      </c>
      <c r="O1357" s="7">
        <v>637.243919581</v>
      </c>
      <c r="P1357" s="7">
        <v>632.48763652709999</v>
      </c>
      <c r="Q1357">
        <v>1</v>
      </c>
      <c r="R1357">
        <v>0</v>
      </c>
      <c r="S1357" s="11">
        <v>45881.666666666664</v>
      </c>
      <c r="T1357">
        <v>1087</v>
      </c>
    </row>
    <row r="1358" spans="1:20">
      <c r="A1358" s="11">
        <v>45881.5</v>
      </c>
      <c r="B1358" s="11">
        <v>45881.520833333336</v>
      </c>
      <c r="C1358" s="10">
        <v>45881</v>
      </c>
      <c r="D1358" s="7">
        <v>639.60670000000005</v>
      </c>
      <c r="E1358" s="7">
        <v>1775052</v>
      </c>
      <c r="F1358" s="7">
        <v>1775052</v>
      </c>
      <c r="G1358" s="7">
        <v>23926403</v>
      </c>
      <c r="H1358" s="7">
        <v>635.40830000000005</v>
      </c>
      <c r="I1358" s="7">
        <v>634.1617</v>
      </c>
      <c r="J1358" s="7">
        <v>14</v>
      </c>
      <c r="K1358" s="7">
        <v>2.6964387E-3</v>
      </c>
      <c r="L1358" s="7">
        <v>637.12163953499999</v>
      </c>
      <c r="M1358" s="7">
        <v>632.45172184549995</v>
      </c>
      <c r="N1358" s="7">
        <v>637.41920953609997</v>
      </c>
      <c r="O1358" s="7">
        <v>637.41920953609997</v>
      </c>
      <c r="P1358" s="7">
        <v>632.45172184549995</v>
      </c>
      <c r="Q1358">
        <v>1</v>
      </c>
      <c r="R1358">
        <v>0</v>
      </c>
      <c r="S1358" s="11">
        <v>45881.666666666664</v>
      </c>
      <c r="T1358">
        <v>1086</v>
      </c>
    </row>
    <row r="1359" spans="1:20">
      <c r="A1359" s="11">
        <v>45881.520833333336</v>
      </c>
      <c r="B1359" s="11">
        <v>45881.541666666664</v>
      </c>
      <c r="C1359" s="10">
        <v>45881</v>
      </c>
      <c r="D1359" s="7">
        <v>639.93079999999998</v>
      </c>
      <c r="E1359" s="7">
        <v>1957173</v>
      </c>
      <c r="F1359" s="7">
        <v>1957173</v>
      </c>
      <c r="G1359" s="7">
        <v>25883576</v>
      </c>
      <c r="H1359" s="7">
        <v>635.40830000000005</v>
      </c>
      <c r="I1359" s="7">
        <v>634.1617</v>
      </c>
      <c r="J1359" s="7">
        <v>14</v>
      </c>
      <c r="K1359" s="7">
        <v>2.4472375999999999E-3</v>
      </c>
      <c r="L1359" s="7">
        <v>636.96329509669999</v>
      </c>
      <c r="M1359" s="7">
        <v>632.60975562980002</v>
      </c>
      <c r="N1359" s="7">
        <v>637.60912212949995</v>
      </c>
      <c r="O1359" s="7">
        <v>637.60912212949995</v>
      </c>
      <c r="P1359" s="7">
        <v>632.60975562980002</v>
      </c>
      <c r="Q1359">
        <v>1</v>
      </c>
      <c r="R1359">
        <v>0</v>
      </c>
      <c r="S1359" s="11">
        <v>45881.666666666664</v>
      </c>
      <c r="T1359">
        <v>1085</v>
      </c>
    </row>
    <row r="1360" spans="1:20">
      <c r="A1360" s="11">
        <v>45881.541666666664</v>
      </c>
      <c r="B1360" s="11">
        <v>45881.5625</v>
      </c>
      <c r="C1360" s="10">
        <v>45881</v>
      </c>
      <c r="D1360" s="7">
        <v>639.76620000000003</v>
      </c>
      <c r="E1360" s="7">
        <v>1555664</v>
      </c>
      <c r="F1360" s="7">
        <v>1555664</v>
      </c>
      <c r="G1360" s="7">
        <v>27439240</v>
      </c>
      <c r="H1360" s="7">
        <v>635.40830000000005</v>
      </c>
      <c r="I1360" s="7">
        <v>634.1617</v>
      </c>
      <c r="J1360" s="7">
        <v>14</v>
      </c>
      <c r="K1360" s="7">
        <v>2.9740513999999998E-3</v>
      </c>
      <c r="L1360" s="7">
        <v>637.29803696459999</v>
      </c>
      <c r="M1360" s="7">
        <v>632.27567048790002</v>
      </c>
      <c r="N1360" s="7">
        <v>637.73141736749994</v>
      </c>
      <c r="O1360" s="7">
        <v>637.73141736749994</v>
      </c>
      <c r="P1360" s="7">
        <v>632.27567048790002</v>
      </c>
      <c r="Q1360">
        <v>1</v>
      </c>
      <c r="R1360">
        <v>0</v>
      </c>
      <c r="S1360" s="11">
        <v>45881.666666666664</v>
      </c>
      <c r="T1360">
        <v>1084</v>
      </c>
    </row>
    <row r="1361" spans="1:20">
      <c r="A1361" s="11">
        <v>45881.5625</v>
      </c>
      <c r="B1361" s="11">
        <v>45881.583333333336</v>
      </c>
      <c r="C1361" s="10">
        <v>45881</v>
      </c>
      <c r="D1361" s="7">
        <v>640.3098</v>
      </c>
      <c r="E1361" s="7">
        <v>1617648</v>
      </c>
      <c r="F1361" s="7">
        <v>1617648</v>
      </c>
      <c r="G1361" s="7">
        <v>29056888</v>
      </c>
      <c r="H1361" s="7">
        <v>635.40830000000005</v>
      </c>
      <c r="I1361" s="7">
        <v>634.1617</v>
      </c>
      <c r="J1361" s="7">
        <v>14</v>
      </c>
      <c r="K1361" s="7">
        <v>3.2442655999999999E-3</v>
      </c>
      <c r="L1361" s="7">
        <v>637.46973329759999</v>
      </c>
      <c r="M1361" s="7">
        <v>632.10431100389997</v>
      </c>
      <c r="N1361" s="7">
        <v>637.87496045820001</v>
      </c>
      <c r="O1361" s="7">
        <v>637.87496045820001</v>
      </c>
      <c r="P1361" s="7">
        <v>632.10431100389997</v>
      </c>
      <c r="Q1361">
        <v>1</v>
      </c>
      <c r="R1361">
        <v>0</v>
      </c>
      <c r="S1361" s="11">
        <v>45881.666666666664</v>
      </c>
      <c r="T1361">
        <v>1083</v>
      </c>
    </row>
    <row r="1362" spans="1:20">
      <c r="A1362" s="11">
        <v>45881.583333333336</v>
      </c>
      <c r="B1362" s="11">
        <v>45881.604166666664</v>
      </c>
      <c r="C1362" s="10">
        <v>45881</v>
      </c>
      <c r="D1362" s="7">
        <v>640.47220000000004</v>
      </c>
      <c r="E1362" s="7">
        <v>2154413</v>
      </c>
      <c r="F1362" s="7">
        <v>2154413</v>
      </c>
      <c r="G1362" s="7">
        <v>31211301</v>
      </c>
      <c r="H1362" s="7">
        <v>635.40830000000005</v>
      </c>
      <c r="I1362" s="7">
        <v>634.1617</v>
      </c>
      <c r="J1362" s="7">
        <v>14</v>
      </c>
      <c r="K1362" s="7">
        <v>3.7936438E-3</v>
      </c>
      <c r="L1362" s="7">
        <v>637.8188127395</v>
      </c>
      <c r="M1362" s="7">
        <v>631.75591641680001</v>
      </c>
      <c r="N1362" s="7">
        <v>638.05423932370002</v>
      </c>
      <c r="O1362" s="7">
        <v>638.05423932370002</v>
      </c>
      <c r="P1362" s="7">
        <v>631.75591641680001</v>
      </c>
      <c r="Q1362">
        <v>1</v>
      </c>
      <c r="R1362">
        <v>0</v>
      </c>
      <c r="S1362" s="11">
        <v>45881.666666666664</v>
      </c>
      <c r="T1362">
        <v>1082</v>
      </c>
    </row>
    <row r="1363" spans="1:20">
      <c r="A1363" s="11">
        <v>45881.604166666664</v>
      </c>
      <c r="B1363" s="11">
        <v>45881.625</v>
      </c>
      <c r="C1363" s="10">
        <v>45881</v>
      </c>
      <c r="D1363" s="7">
        <v>640.23490000000004</v>
      </c>
      <c r="E1363" s="7">
        <v>1992029</v>
      </c>
      <c r="F1363" s="7">
        <v>1992029</v>
      </c>
      <c r="G1363" s="7">
        <v>33203330</v>
      </c>
      <c r="H1363" s="7">
        <v>635.40830000000005</v>
      </c>
      <c r="I1363" s="7">
        <v>634.1617</v>
      </c>
      <c r="J1363" s="7">
        <v>14</v>
      </c>
      <c r="K1363" s="7">
        <v>3.7586865E-3</v>
      </c>
      <c r="L1363" s="7">
        <v>637.79660057180001</v>
      </c>
      <c r="M1363" s="7">
        <v>631.77808500679998</v>
      </c>
      <c r="N1363" s="7">
        <v>638.18506774679997</v>
      </c>
      <c r="O1363" s="7">
        <v>638.18506774679997</v>
      </c>
      <c r="P1363" s="7">
        <v>631.77808500679998</v>
      </c>
      <c r="Q1363">
        <v>1</v>
      </c>
      <c r="R1363">
        <v>0</v>
      </c>
      <c r="S1363" s="11">
        <v>45881.666666666664</v>
      </c>
      <c r="T1363">
        <v>1081</v>
      </c>
    </row>
    <row r="1364" spans="1:20">
      <c r="A1364" s="11">
        <v>45881.625</v>
      </c>
      <c r="B1364" s="11">
        <v>45881.645833333336</v>
      </c>
      <c r="C1364" s="10">
        <v>45881</v>
      </c>
      <c r="D1364" s="7">
        <v>640.54909999999995</v>
      </c>
      <c r="E1364" s="7">
        <v>2314568</v>
      </c>
      <c r="F1364" s="7">
        <v>2314568</v>
      </c>
      <c r="G1364" s="7">
        <v>35517898</v>
      </c>
      <c r="H1364" s="7">
        <v>635.40830000000005</v>
      </c>
      <c r="I1364" s="7">
        <v>634.1617</v>
      </c>
      <c r="J1364" s="7">
        <v>14</v>
      </c>
      <c r="K1364" s="7">
        <v>4.1813057000000004E-3</v>
      </c>
      <c r="L1364" s="7">
        <v>638.06513636650004</v>
      </c>
      <c r="M1364" s="7">
        <v>631.51007604929998</v>
      </c>
      <c r="N1364" s="7">
        <v>638.33912284890005</v>
      </c>
      <c r="O1364" s="7">
        <v>638.33912284890005</v>
      </c>
      <c r="P1364" s="7">
        <v>631.51007604929998</v>
      </c>
      <c r="Q1364">
        <v>1</v>
      </c>
      <c r="R1364">
        <v>0</v>
      </c>
      <c r="S1364" s="11">
        <v>45881.666666666664</v>
      </c>
      <c r="T1364">
        <v>1080</v>
      </c>
    </row>
    <row r="1365" spans="1:20">
      <c r="A1365" s="11">
        <v>45881.645833333336</v>
      </c>
      <c r="B1365" s="11">
        <v>45881.666666666664</v>
      </c>
      <c r="C1365" s="10">
        <v>45881</v>
      </c>
      <c r="D1365" s="7">
        <v>640.91300000000001</v>
      </c>
      <c r="E1365" s="7">
        <v>9252704</v>
      </c>
      <c r="F1365" s="7">
        <v>9252704</v>
      </c>
      <c r="G1365" s="7">
        <v>44770602</v>
      </c>
      <c r="H1365" s="7">
        <v>635.40830000000005</v>
      </c>
      <c r="I1365" s="7">
        <v>634.1617</v>
      </c>
      <c r="J1365" s="7">
        <v>14</v>
      </c>
      <c r="K1365" s="7">
        <v>4.0121486999999999E-3</v>
      </c>
      <c r="L1365" s="7">
        <v>637.95765260630003</v>
      </c>
      <c r="M1365" s="7">
        <v>631.61734893829998</v>
      </c>
      <c r="N1365" s="7">
        <v>638.87106395199999</v>
      </c>
      <c r="O1365" s="7">
        <v>638.87106395199999</v>
      </c>
      <c r="P1365" s="7">
        <v>631.61734893829998</v>
      </c>
      <c r="Q1365">
        <v>1</v>
      </c>
      <c r="R1365">
        <v>1</v>
      </c>
      <c r="S1365" s="11">
        <v>45881.666666666664</v>
      </c>
      <c r="T1365">
        <v>1079</v>
      </c>
    </row>
    <row r="1366" spans="1:20">
      <c r="A1366" s="11">
        <v>45882.395833333336</v>
      </c>
      <c r="B1366" s="11">
        <v>45882.416666666664</v>
      </c>
      <c r="C1366" s="10">
        <v>45882</v>
      </c>
      <c r="D1366" s="7">
        <v>643.80510000000004</v>
      </c>
      <c r="E1366" s="7">
        <v>5838094</v>
      </c>
      <c r="F1366" s="7">
        <v>5838094</v>
      </c>
      <c r="G1366" s="7">
        <v>5838094</v>
      </c>
      <c r="H1366" s="7">
        <v>643.80510000000004</v>
      </c>
      <c r="I1366" s="7">
        <v>640.91300000000001</v>
      </c>
      <c r="J1366" s="7">
        <v>14</v>
      </c>
      <c r="K1366" s="7">
        <v>0</v>
      </c>
      <c r="L1366" s="7">
        <v>643.80510000000004</v>
      </c>
      <c r="M1366" s="7">
        <v>640.91300000000001</v>
      </c>
      <c r="N1366" s="7">
        <v>643.80510000000004</v>
      </c>
      <c r="O1366" s="7">
        <v>643.80510000000004</v>
      </c>
      <c r="P1366" s="7">
        <v>640.91300000000001</v>
      </c>
      <c r="Q1366">
        <v>1</v>
      </c>
      <c r="R1366">
        <v>0</v>
      </c>
      <c r="S1366" s="11">
        <v>45882.666666666664</v>
      </c>
      <c r="T1366">
        <v>1077</v>
      </c>
    </row>
    <row r="1367" spans="1:20">
      <c r="A1367" s="11">
        <v>45882.416666666664</v>
      </c>
      <c r="B1367" s="11">
        <v>45882.4375</v>
      </c>
      <c r="C1367" s="10">
        <v>45882</v>
      </c>
      <c r="D1367" s="7">
        <v>642.46310000000005</v>
      </c>
      <c r="E1367" s="7">
        <v>4327748</v>
      </c>
      <c r="F1367" s="7">
        <v>4327748</v>
      </c>
      <c r="G1367" s="7">
        <v>10165842</v>
      </c>
      <c r="H1367" s="7">
        <v>643.80510000000004</v>
      </c>
      <c r="I1367" s="7">
        <v>640.91300000000001</v>
      </c>
      <c r="J1367" s="7">
        <v>14</v>
      </c>
      <c r="K1367" s="7">
        <v>1.3883172999999999E-3</v>
      </c>
      <c r="L1367" s="7">
        <v>644.69890575559998</v>
      </c>
      <c r="M1367" s="7">
        <v>640.02320939679998</v>
      </c>
      <c r="N1367" s="7">
        <v>643.23379092239998</v>
      </c>
      <c r="O1367" s="7">
        <v>644.69890575559998</v>
      </c>
      <c r="P1367" s="7">
        <v>640.02320939679998</v>
      </c>
      <c r="Q1367">
        <v>1</v>
      </c>
      <c r="R1367">
        <v>0</v>
      </c>
      <c r="S1367" s="11">
        <v>45882.666666666664</v>
      </c>
      <c r="T1367">
        <v>1076</v>
      </c>
    </row>
    <row r="1368" spans="1:20">
      <c r="A1368" s="11">
        <v>45882.4375</v>
      </c>
      <c r="B1368" s="11">
        <v>45882.458333333336</v>
      </c>
      <c r="C1368" s="10">
        <v>45882</v>
      </c>
      <c r="D1368" s="7">
        <v>642.03</v>
      </c>
      <c r="E1368" s="7">
        <v>3386641</v>
      </c>
      <c r="F1368" s="7">
        <v>3386641</v>
      </c>
      <c r="G1368" s="7">
        <v>13552483</v>
      </c>
      <c r="H1368" s="7">
        <v>643.80510000000004</v>
      </c>
      <c r="I1368" s="7">
        <v>640.91300000000001</v>
      </c>
      <c r="J1368" s="7">
        <v>14</v>
      </c>
      <c r="K1368" s="7">
        <v>2.1900271999999998E-3</v>
      </c>
      <c r="L1368" s="7">
        <v>645.21505067839996</v>
      </c>
      <c r="M1368" s="7">
        <v>639.50938309929995</v>
      </c>
      <c r="N1368" s="7">
        <v>642.93297462969997</v>
      </c>
      <c r="O1368" s="7">
        <v>645.21505067839996</v>
      </c>
      <c r="P1368" s="7">
        <v>639.50938309929995</v>
      </c>
      <c r="Q1368">
        <v>1</v>
      </c>
      <c r="R1368">
        <v>0</v>
      </c>
      <c r="S1368" s="11">
        <v>45882.666666666664</v>
      </c>
      <c r="T1368">
        <v>1075</v>
      </c>
    </row>
    <row r="1369" spans="1:20">
      <c r="A1369" s="11">
        <v>45882.458333333336</v>
      </c>
      <c r="B1369" s="11">
        <v>45882.479166666664</v>
      </c>
      <c r="C1369" s="10">
        <v>45882</v>
      </c>
      <c r="D1369" s="7">
        <v>641.91030000000001</v>
      </c>
      <c r="E1369" s="7">
        <v>3423774</v>
      </c>
      <c r="F1369" s="7">
        <v>3423774</v>
      </c>
      <c r="G1369" s="7">
        <v>16976257</v>
      </c>
      <c r="H1369" s="7">
        <v>643.80510000000004</v>
      </c>
      <c r="I1369" s="7">
        <v>640.91300000000001</v>
      </c>
      <c r="J1369" s="7">
        <v>14</v>
      </c>
      <c r="K1369" s="7">
        <v>2.6269840000000002E-3</v>
      </c>
      <c r="L1369" s="7">
        <v>645.49636572450004</v>
      </c>
      <c r="M1369" s="7">
        <v>639.22933177610003</v>
      </c>
      <c r="N1369" s="7">
        <v>642.72672146050002</v>
      </c>
      <c r="O1369" s="7">
        <v>645.49636572450004</v>
      </c>
      <c r="P1369" s="7">
        <v>639.22933177610003</v>
      </c>
      <c r="Q1369">
        <v>1</v>
      </c>
      <c r="R1369">
        <v>0</v>
      </c>
      <c r="S1369" s="11">
        <v>45882.666666666664</v>
      </c>
      <c r="T1369">
        <v>1074</v>
      </c>
    </row>
    <row r="1370" spans="1:20">
      <c r="A1370" s="11">
        <v>45882.479166666664</v>
      </c>
      <c r="B1370" s="11">
        <v>45882.5</v>
      </c>
      <c r="C1370" s="10">
        <v>45882</v>
      </c>
      <c r="D1370" s="7">
        <v>641.67100000000005</v>
      </c>
      <c r="E1370" s="7">
        <v>2242277</v>
      </c>
      <c r="F1370" s="7">
        <v>2242277</v>
      </c>
      <c r="G1370" s="7">
        <v>19218534</v>
      </c>
      <c r="H1370" s="7">
        <v>643.80510000000004</v>
      </c>
      <c r="I1370" s="7">
        <v>640.91300000000001</v>
      </c>
      <c r="J1370" s="7">
        <v>14</v>
      </c>
      <c r="K1370" s="7">
        <v>2.8625597E-3</v>
      </c>
      <c r="L1370" s="7">
        <v>645.6480305609</v>
      </c>
      <c r="M1370" s="7">
        <v>639.07834824810004</v>
      </c>
      <c r="N1370" s="7">
        <v>642.60354765600005</v>
      </c>
      <c r="O1370" s="7">
        <v>645.6480305609</v>
      </c>
      <c r="P1370" s="7">
        <v>639.07834824810004</v>
      </c>
      <c r="Q1370">
        <v>1</v>
      </c>
      <c r="R1370">
        <v>0</v>
      </c>
      <c r="S1370" s="11">
        <v>45882.666666666664</v>
      </c>
      <c r="T1370">
        <v>1073</v>
      </c>
    </row>
    <row r="1371" spans="1:20">
      <c r="A1371" s="11">
        <v>45882.5</v>
      </c>
      <c r="B1371" s="11">
        <v>45882.520833333336</v>
      </c>
      <c r="C1371" s="10">
        <v>45882</v>
      </c>
      <c r="D1371" s="7">
        <v>641.48140000000001</v>
      </c>
      <c r="E1371" s="7">
        <v>1430669</v>
      </c>
      <c r="F1371" s="7">
        <v>1430669</v>
      </c>
      <c r="G1371" s="7">
        <v>20649203</v>
      </c>
      <c r="H1371" s="7">
        <v>643.80510000000004</v>
      </c>
      <c r="I1371" s="7">
        <v>640.91300000000001</v>
      </c>
      <c r="J1371" s="7">
        <v>14</v>
      </c>
      <c r="K1371" s="7">
        <v>2.9745145999999999E-3</v>
      </c>
      <c r="L1371" s="7">
        <v>645.72010764410004</v>
      </c>
      <c r="M1371" s="7">
        <v>639.00659494939998</v>
      </c>
      <c r="N1371" s="7">
        <v>642.52580025509997</v>
      </c>
      <c r="O1371" s="7">
        <v>645.72010764410004</v>
      </c>
      <c r="P1371" s="7">
        <v>639.00659494939998</v>
      </c>
      <c r="Q1371">
        <v>1</v>
      </c>
      <c r="R1371">
        <v>0</v>
      </c>
      <c r="S1371" s="11">
        <v>45882.666666666664</v>
      </c>
      <c r="T1371">
        <v>1072</v>
      </c>
    </row>
    <row r="1372" spans="1:20">
      <c r="A1372" s="11">
        <v>45882.520833333336</v>
      </c>
      <c r="B1372" s="11">
        <v>45882.541666666664</v>
      </c>
      <c r="C1372" s="10">
        <v>45882</v>
      </c>
      <c r="D1372" s="7">
        <v>641.2296</v>
      </c>
      <c r="E1372" s="7">
        <v>1750568</v>
      </c>
      <c r="F1372" s="7">
        <v>1750568</v>
      </c>
      <c r="G1372" s="7">
        <v>22399771</v>
      </c>
      <c r="H1372" s="7">
        <v>643.80510000000004</v>
      </c>
      <c r="I1372" s="7">
        <v>640.91300000000001</v>
      </c>
      <c r="J1372" s="7">
        <v>14</v>
      </c>
      <c r="K1372" s="7">
        <v>2.7412579999999999E-3</v>
      </c>
      <c r="L1372" s="7">
        <v>645.56993585379996</v>
      </c>
      <c r="M1372" s="7">
        <v>639.15609213829998</v>
      </c>
      <c r="N1372" s="7">
        <v>642.42450070660004</v>
      </c>
      <c r="O1372" s="7">
        <v>645.56993585379996</v>
      </c>
      <c r="P1372" s="7">
        <v>639.15609213829998</v>
      </c>
      <c r="Q1372">
        <v>1</v>
      </c>
      <c r="R1372">
        <v>0</v>
      </c>
      <c r="S1372" s="11">
        <v>45882.666666666664</v>
      </c>
      <c r="T1372">
        <v>1071</v>
      </c>
    </row>
    <row r="1373" spans="1:20">
      <c r="A1373" s="11">
        <v>45882.541666666664</v>
      </c>
      <c r="B1373" s="11">
        <v>45882.5625</v>
      </c>
      <c r="C1373" s="10">
        <v>45882</v>
      </c>
      <c r="D1373" s="7">
        <v>641.87900000000002</v>
      </c>
      <c r="E1373" s="7">
        <v>1970752</v>
      </c>
      <c r="F1373" s="7">
        <v>1970752</v>
      </c>
      <c r="G1373" s="7">
        <v>24370523</v>
      </c>
      <c r="H1373" s="7">
        <v>643.80510000000004</v>
      </c>
      <c r="I1373" s="7">
        <v>640.91300000000001</v>
      </c>
      <c r="J1373" s="7">
        <v>14</v>
      </c>
      <c r="K1373" s="7">
        <v>3.2196084999999998E-3</v>
      </c>
      <c r="L1373" s="7">
        <v>645.87790035139994</v>
      </c>
      <c r="M1373" s="7">
        <v>638.84951107819995</v>
      </c>
      <c r="N1373" s="7">
        <v>642.38038812809998</v>
      </c>
      <c r="O1373" s="7">
        <v>645.87790035139994</v>
      </c>
      <c r="P1373" s="7">
        <v>638.84951107819995</v>
      </c>
      <c r="Q1373">
        <v>1</v>
      </c>
      <c r="R1373">
        <v>0</v>
      </c>
      <c r="S1373" s="11">
        <v>45882.666666666664</v>
      </c>
      <c r="T1373">
        <v>1070</v>
      </c>
    </row>
    <row r="1374" spans="1:20">
      <c r="A1374" s="11">
        <v>45882.5625</v>
      </c>
      <c r="B1374" s="11">
        <v>45882.583333333336</v>
      </c>
      <c r="C1374" s="10">
        <v>45882</v>
      </c>
      <c r="D1374" s="7">
        <v>641.74570000000006</v>
      </c>
      <c r="E1374" s="7">
        <v>1694987</v>
      </c>
      <c r="F1374" s="7">
        <v>1694987</v>
      </c>
      <c r="G1374" s="7">
        <v>26065510</v>
      </c>
      <c r="H1374" s="7">
        <v>643.80510000000004</v>
      </c>
      <c r="I1374" s="7">
        <v>640.91300000000001</v>
      </c>
      <c r="J1374" s="7">
        <v>14</v>
      </c>
      <c r="K1374" s="7">
        <v>3.5010390000000001E-3</v>
      </c>
      <c r="L1374" s="7">
        <v>646.05908679389995</v>
      </c>
      <c r="M1374" s="7">
        <v>638.6691385611</v>
      </c>
      <c r="N1374" s="7">
        <v>642.33911565250003</v>
      </c>
      <c r="O1374" s="7">
        <v>646.05908679389995</v>
      </c>
      <c r="P1374" s="7">
        <v>638.6691385611</v>
      </c>
      <c r="Q1374">
        <v>1</v>
      </c>
      <c r="R1374">
        <v>0</v>
      </c>
      <c r="S1374" s="11">
        <v>45882.666666666664</v>
      </c>
      <c r="T1374">
        <v>1069</v>
      </c>
    </row>
    <row r="1375" spans="1:20">
      <c r="A1375" s="11">
        <v>45882.583333333336</v>
      </c>
      <c r="B1375" s="11">
        <v>45882.604166666664</v>
      </c>
      <c r="C1375" s="10">
        <v>45882</v>
      </c>
      <c r="D1375" s="7">
        <v>642.12469999999996</v>
      </c>
      <c r="E1375" s="7">
        <v>1863986</v>
      </c>
      <c r="F1375" s="7">
        <v>1863986</v>
      </c>
      <c r="G1375" s="7">
        <v>27929496</v>
      </c>
      <c r="H1375" s="7">
        <v>643.80510000000004</v>
      </c>
      <c r="I1375" s="7">
        <v>640.91300000000001</v>
      </c>
      <c r="J1375" s="7">
        <v>14</v>
      </c>
      <c r="K1375" s="7">
        <v>3.990436E-3</v>
      </c>
      <c r="L1375" s="7">
        <v>646.37416307959995</v>
      </c>
      <c r="M1375" s="7">
        <v>638.35547766050001</v>
      </c>
      <c r="N1375" s="7">
        <v>642.32480577110005</v>
      </c>
      <c r="O1375" s="7">
        <v>646.37416307959995</v>
      </c>
      <c r="P1375" s="7">
        <v>638.35547766050001</v>
      </c>
      <c r="Q1375">
        <v>1</v>
      </c>
      <c r="R1375">
        <v>0</v>
      </c>
      <c r="S1375" s="11">
        <v>45882.666666666664</v>
      </c>
      <c r="T1375">
        <v>1068</v>
      </c>
    </row>
    <row r="1376" spans="1:20">
      <c r="A1376" s="11">
        <v>45882.604166666664</v>
      </c>
      <c r="B1376" s="11">
        <v>45882.625</v>
      </c>
      <c r="C1376" s="10">
        <v>45882</v>
      </c>
      <c r="D1376" s="7">
        <v>642.21140000000003</v>
      </c>
      <c r="E1376" s="7">
        <v>2258650</v>
      </c>
      <c r="F1376" s="7">
        <v>2258650</v>
      </c>
      <c r="G1376" s="7">
        <v>30188146</v>
      </c>
      <c r="H1376" s="7">
        <v>643.80510000000004</v>
      </c>
      <c r="I1376" s="7">
        <v>640.91300000000001</v>
      </c>
      <c r="J1376" s="7">
        <v>14</v>
      </c>
      <c r="K1376" s="7">
        <v>3.9248234999999998E-3</v>
      </c>
      <c r="L1376" s="7">
        <v>646.33192136340006</v>
      </c>
      <c r="M1376" s="7">
        <v>638.39752961859995</v>
      </c>
      <c r="N1376" s="7">
        <v>642.31632085310002</v>
      </c>
      <c r="O1376" s="7">
        <v>646.33192136340006</v>
      </c>
      <c r="P1376" s="7">
        <v>638.39752961859995</v>
      </c>
      <c r="Q1376">
        <v>1</v>
      </c>
      <c r="R1376">
        <v>0</v>
      </c>
      <c r="S1376" s="11">
        <v>45882.666666666664</v>
      </c>
      <c r="T1376">
        <v>1067</v>
      </c>
    </row>
    <row r="1377" spans="1:20">
      <c r="A1377" s="11">
        <v>45882.625</v>
      </c>
      <c r="B1377" s="11">
        <v>45882.645833333336</v>
      </c>
      <c r="C1377" s="10">
        <v>45882</v>
      </c>
      <c r="D1377" s="7">
        <v>642.5385</v>
      </c>
      <c r="E1377" s="7">
        <v>2619840</v>
      </c>
      <c r="F1377" s="7">
        <v>2619840</v>
      </c>
      <c r="G1377" s="7">
        <v>32807986</v>
      </c>
      <c r="H1377" s="7">
        <v>643.80510000000004</v>
      </c>
      <c r="I1377" s="7">
        <v>640.91300000000001</v>
      </c>
      <c r="J1377" s="7">
        <v>14</v>
      </c>
      <c r="K1377" s="7">
        <v>4.3759638000000003E-3</v>
      </c>
      <c r="L1377" s="7">
        <v>646.6223678353</v>
      </c>
      <c r="M1377" s="7">
        <v>638.1083878897</v>
      </c>
      <c r="N1377" s="7">
        <v>642.33406268629994</v>
      </c>
      <c r="O1377" s="7">
        <v>646.6223678353</v>
      </c>
      <c r="P1377" s="7">
        <v>638.1083878897</v>
      </c>
      <c r="Q1377">
        <v>1</v>
      </c>
      <c r="R1377">
        <v>0</v>
      </c>
      <c r="S1377" s="11">
        <v>45882.666666666664</v>
      </c>
      <c r="T1377">
        <v>1066</v>
      </c>
    </row>
    <row r="1378" spans="1:20">
      <c r="A1378" s="11">
        <v>45882.645833333336</v>
      </c>
      <c r="B1378" s="11">
        <v>45882.666666666664</v>
      </c>
      <c r="C1378" s="10">
        <v>45882</v>
      </c>
      <c r="D1378" s="7">
        <v>643.10699999999997</v>
      </c>
      <c r="E1378" s="7">
        <v>7505989</v>
      </c>
      <c r="F1378" s="7">
        <v>7505989</v>
      </c>
      <c r="G1378" s="7">
        <v>40313975</v>
      </c>
      <c r="H1378" s="7">
        <v>643.80510000000004</v>
      </c>
      <c r="I1378" s="7">
        <v>640.91300000000001</v>
      </c>
      <c r="J1378" s="7">
        <v>14</v>
      </c>
      <c r="K1378" s="7">
        <v>4.1490677999999996E-3</v>
      </c>
      <c r="L1378" s="7">
        <v>646.47629103630004</v>
      </c>
      <c r="M1378" s="7">
        <v>638.25380848279997</v>
      </c>
      <c r="N1378" s="7">
        <v>642.47797454249996</v>
      </c>
      <c r="O1378" s="7">
        <v>646.47629103630004</v>
      </c>
      <c r="P1378" s="7">
        <v>638.25380848279997</v>
      </c>
      <c r="Q1378">
        <v>1</v>
      </c>
      <c r="R1378">
        <v>1</v>
      </c>
      <c r="S1378" s="11">
        <v>45882.666666666664</v>
      </c>
      <c r="T1378">
        <v>1065</v>
      </c>
    </row>
    <row r="1379" spans="1:20">
      <c r="A1379" s="11">
        <v>45883.395833333336</v>
      </c>
      <c r="B1379" s="11">
        <v>45883.416666666664</v>
      </c>
      <c r="C1379" s="10">
        <v>45883</v>
      </c>
      <c r="D1379" s="7">
        <v>642.28719999999998</v>
      </c>
      <c r="E1379" s="7">
        <v>5798363</v>
      </c>
      <c r="F1379" s="7">
        <v>5798363</v>
      </c>
      <c r="G1379" s="7">
        <v>5798363</v>
      </c>
      <c r="H1379" s="7">
        <v>642.28719999999998</v>
      </c>
      <c r="I1379" s="7">
        <v>643.1069</v>
      </c>
      <c r="J1379" s="7">
        <v>14</v>
      </c>
      <c r="K1379" s="7">
        <v>0</v>
      </c>
      <c r="L1379" s="7">
        <v>643.1069</v>
      </c>
      <c r="M1379" s="7">
        <v>642.28719999999998</v>
      </c>
      <c r="N1379" s="7">
        <v>642.28719999999998</v>
      </c>
      <c r="O1379" s="7">
        <v>643.1069</v>
      </c>
      <c r="P1379" s="7">
        <v>642.28719999999998</v>
      </c>
      <c r="Q1379">
        <v>1</v>
      </c>
      <c r="R1379">
        <v>0</v>
      </c>
      <c r="S1379" s="11">
        <v>45883.666666666664</v>
      </c>
      <c r="T1379">
        <v>1063</v>
      </c>
    </row>
    <row r="1380" spans="1:20">
      <c r="A1380" s="11">
        <v>45883.416666666664</v>
      </c>
      <c r="B1380" s="11">
        <v>45883.4375</v>
      </c>
      <c r="C1380" s="10">
        <v>45883</v>
      </c>
      <c r="D1380" s="7">
        <v>642.45870000000002</v>
      </c>
      <c r="E1380" s="7">
        <v>2701448</v>
      </c>
      <c r="F1380" s="7">
        <v>2701448</v>
      </c>
      <c r="G1380" s="7">
        <v>8499811</v>
      </c>
      <c r="H1380" s="7">
        <v>642.28719999999998</v>
      </c>
      <c r="I1380" s="7">
        <v>643.1069</v>
      </c>
      <c r="J1380" s="7">
        <v>14</v>
      </c>
      <c r="K1380" s="7">
        <v>1.5023491000000001E-3</v>
      </c>
      <c r="L1380" s="7">
        <v>644.07307106400003</v>
      </c>
      <c r="M1380" s="7">
        <v>641.3222604115</v>
      </c>
      <c r="N1380" s="7">
        <v>642.34170689810003</v>
      </c>
      <c r="O1380" s="7">
        <v>644.07307106400003</v>
      </c>
      <c r="P1380" s="7">
        <v>641.3222604115</v>
      </c>
      <c r="Q1380">
        <v>1</v>
      </c>
      <c r="R1380">
        <v>0</v>
      </c>
      <c r="S1380" s="11">
        <v>45883.666666666664</v>
      </c>
      <c r="T1380">
        <v>1062</v>
      </c>
    </row>
    <row r="1381" spans="1:20">
      <c r="A1381" s="11">
        <v>45883.4375</v>
      </c>
      <c r="B1381" s="11">
        <v>45883.458333333336</v>
      </c>
      <c r="C1381" s="10">
        <v>45883</v>
      </c>
      <c r="D1381" s="7">
        <v>642.95730000000003</v>
      </c>
      <c r="E1381" s="7">
        <v>2977255</v>
      </c>
      <c r="F1381" s="7">
        <v>2977255</v>
      </c>
      <c r="G1381" s="7">
        <v>11477066</v>
      </c>
      <c r="H1381" s="7">
        <v>642.28719999999998</v>
      </c>
      <c r="I1381" s="7">
        <v>643.1069</v>
      </c>
      <c r="J1381" s="7">
        <v>14</v>
      </c>
      <c r="K1381" s="7">
        <v>2.3398061999999999E-3</v>
      </c>
      <c r="L1381" s="7">
        <v>644.6116455399</v>
      </c>
      <c r="M1381" s="7">
        <v>640.78437239929997</v>
      </c>
      <c r="N1381" s="7">
        <v>642.5013973312</v>
      </c>
      <c r="O1381" s="7">
        <v>644.6116455399</v>
      </c>
      <c r="P1381" s="7">
        <v>640.78437239929997</v>
      </c>
      <c r="Q1381">
        <v>1</v>
      </c>
      <c r="R1381">
        <v>0</v>
      </c>
      <c r="S1381" s="11">
        <v>45883.666666666664</v>
      </c>
      <c r="T1381">
        <v>1061</v>
      </c>
    </row>
    <row r="1382" spans="1:20">
      <c r="A1382" s="11">
        <v>45883.458333333336</v>
      </c>
      <c r="B1382" s="11">
        <v>45883.479166666664</v>
      </c>
      <c r="C1382" s="10">
        <v>45883</v>
      </c>
      <c r="D1382" s="7">
        <v>641.53129999999999</v>
      </c>
      <c r="E1382" s="7">
        <v>2856286</v>
      </c>
      <c r="F1382" s="7">
        <v>2856286</v>
      </c>
      <c r="G1382" s="7">
        <v>14333352</v>
      </c>
      <c r="H1382" s="7">
        <v>642.28719999999998</v>
      </c>
      <c r="I1382" s="7">
        <v>643.1069</v>
      </c>
      <c r="J1382" s="7">
        <v>14</v>
      </c>
      <c r="K1382" s="7">
        <v>2.7894119000000002E-3</v>
      </c>
      <c r="L1382" s="7">
        <v>644.90079007079999</v>
      </c>
      <c r="M1382" s="7">
        <v>640.49559641020005</v>
      </c>
      <c r="N1382" s="7">
        <v>642.30808069279999</v>
      </c>
      <c r="O1382" s="7">
        <v>644.90079007079999</v>
      </c>
      <c r="P1382" s="7">
        <v>640.49559641020005</v>
      </c>
      <c r="Q1382">
        <v>1</v>
      </c>
      <c r="R1382">
        <v>0</v>
      </c>
      <c r="S1382" s="11">
        <v>45883.666666666664</v>
      </c>
      <c r="T1382">
        <v>1060</v>
      </c>
    </row>
    <row r="1383" spans="1:20">
      <c r="A1383" s="11">
        <v>45883.479166666664</v>
      </c>
      <c r="B1383" s="11">
        <v>45883.5</v>
      </c>
      <c r="C1383" s="10">
        <v>45883</v>
      </c>
      <c r="D1383" s="7">
        <v>642.26930000000004</v>
      </c>
      <c r="E1383" s="7">
        <v>2542524</v>
      </c>
      <c r="F1383" s="7">
        <v>2542524</v>
      </c>
      <c r="G1383" s="7">
        <v>16875876</v>
      </c>
      <c r="H1383" s="7">
        <v>642.28719999999998</v>
      </c>
      <c r="I1383" s="7">
        <v>643.1069</v>
      </c>
      <c r="J1383" s="7">
        <v>14</v>
      </c>
      <c r="K1383" s="7">
        <v>3.0542779000000001E-3</v>
      </c>
      <c r="L1383" s="7">
        <v>645.07112719060001</v>
      </c>
      <c r="M1383" s="7">
        <v>640.32547640099995</v>
      </c>
      <c r="N1383" s="7">
        <v>642.30223798320003</v>
      </c>
      <c r="O1383" s="7">
        <v>645.07112719060001</v>
      </c>
      <c r="P1383" s="7">
        <v>640.32547640099995</v>
      </c>
      <c r="Q1383">
        <v>1</v>
      </c>
      <c r="R1383">
        <v>0</v>
      </c>
      <c r="S1383" s="11">
        <v>45883.666666666664</v>
      </c>
      <c r="T1383">
        <v>1059</v>
      </c>
    </row>
    <row r="1384" spans="1:20">
      <c r="A1384" s="11">
        <v>45883.5</v>
      </c>
      <c r="B1384" s="11">
        <v>45883.520833333336</v>
      </c>
      <c r="C1384" s="10">
        <v>45883</v>
      </c>
      <c r="D1384" s="7">
        <v>641.33180000000004</v>
      </c>
      <c r="E1384" s="7">
        <v>2042446</v>
      </c>
      <c r="F1384" s="7">
        <v>2042446</v>
      </c>
      <c r="G1384" s="7">
        <v>18918322</v>
      </c>
      <c r="H1384" s="7">
        <v>642.28719999999998</v>
      </c>
      <c r="I1384" s="7">
        <v>643.1069</v>
      </c>
      <c r="J1384" s="7">
        <v>14</v>
      </c>
      <c r="K1384" s="7">
        <v>3.1693365999999998E-3</v>
      </c>
      <c r="L1384" s="7">
        <v>645.14512224760006</v>
      </c>
      <c r="M1384" s="7">
        <v>640.25157565760003</v>
      </c>
      <c r="N1384" s="7">
        <v>642.19746826970004</v>
      </c>
      <c r="O1384" s="7">
        <v>645.14512224760006</v>
      </c>
      <c r="P1384" s="7">
        <v>640.25157565760003</v>
      </c>
      <c r="Q1384">
        <v>1</v>
      </c>
      <c r="R1384">
        <v>0</v>
      </c>
      <c r="S1384" s="11">
        <v>45883.666666666664</v>
      </c>
      <c r="T1384">
        <v>1058</v>
      </c>
    </row>
    <row r="1385" spans="1:20">
      <c r="A1385" s="11">
        <v>45883.520833333336</v>
      </c>
      <c r="B1385" s="11">
        <v>45883.541666666664</v>
      </c>
      <c r="C1385" s="10">
        <v>45883</v>
      </c>
      <c r="D1385" s="7">
        <v>642.39890000000003</v>
      </c>
      <c r="E1385" s="7">
        <v>1514323</v>
      </c>
      <c r="F1385" s="7">
        <v>1514323</v>
      </c>
      <c r="G1385" s="7">
        <v>20432645</v>
      </c>
      <c r="H1385" s="7">
        <v>642.28719999999998</v>
      </c>
      <c r="I1385" s="7">
        <v>643.1069</v>
      </c>
      <c r="J1385" s="7">
        <v>14</v>
      </c>
      <c r="K1385" s="7">
        <v>3.0016957999999998E-3</v>
      </c>
      <c r="L1385" s="7">
        <v>645.03731129339997</v>
      </c>
      <c r="M1385" s="7">
        <v>640.35924919659999</v>
      </c>
      <c r="N1385" s="7">
        <v>642.21239696350005</v>
      </c>
      <c r="O1385" s="7">
        <v>645.03731129339997</v>
      </c>
      <c r="P1385" s="7">
        <v>640.35924919659999</v>
      </c>
      <c r="Q1385">
        <v>1</v>
      </c>
      <c r="R1385">
        <v>0</v>
      </c>
      <c r="S1385" s="11">
        <v>45883.666666666664</v>
      </c>
      <c r="T1385">
        <v>1057</v>
      </c>
    </row>
    <row r="1386" spans="1:20">
      <c r="A1386" s="11">
        <v>45883.541666666664</v>
      </c>
      <c r="B1386" s="11">
        <v>45883.5625</v>
      </c>
      <c r="C1386" s="10">
        <v>45883</v>
      </c>
      <c r="D1386" s="7">
        <v>643.22659999999996</v>
      </c>
      <c r="E1386" s="7">
        <v>1680762</v>
      </c>
      <c r="F1386" s="7">
        <v>1680762</v>
      </c>
      <c r="G1386" s="7">
        <v>22113407</v>
      </c>
      <c r="H1386" s="7">
        <v>642.28719999999998</v>
      </c>
      <c r="I1386" s="7">
        <v>643.1069</v>
      </c>
      <c r="J1386" s="7">
        <v>14</v>
      </c>
      <c r="K1386" s="7">
        <v>3.4051887999999998E-3</v>
      </c>
      <c r="L1386" s="7">
        <v>645.29680043789995</v>
      </c>
      <c r="M1386" s="7">
        <v>640.10009079539998</v>
      </c>
      <c r="N1386" s="7">
        <v>642.28948295589998</v>
      </c>
      <c r="O1386" s="7">
        <v>645.29680043789995</v>
      </c>
      <c r="P1386" s="7">
        <v>640.10009079539998</v>
      </c>
      <c r="Q1386">
        <v>1</v>
      </c>
      <c r="R1386">
        <v>0</v>
      </c>
      <c r="S1386" s="11">
        <v>45883.666666666664</v>
      </c>
      <c r="T1386">
        <v>1056</v>
      </c>
    </row>
    <row r="1387" spans="1:20">
      <c r="A1387" s="11">
        <v>45883.5625</v>
      </c>
      <c r="B1387" s="11">
        <v>45883.583333333336</v>
      </c>
      <c r="C1387" s="10">
        <v>45883</v>
      </c>
      <c r="D1387" s="7">
        <v>642.89750000000004</v>
      </c>
      <c r="E1387" s="7">
        <v>1602717</v>
      </c>
      <c r="F1387" s="7">
        <v>1602717</v>
      </c>
      <c r="G1387" s="7">
        <v>23716124</v>
      </c>
      <c r="H1387" s="7">
        <v>642.28719999999998</v>
      </c>
      <c r="I1387" s="7">
        <v>643.1069</v>
      </c>
      <c r="J1387" s="7">
        <v>14</v>
      </c>
      <c r="K1387" s="7">
        <v>3.7132165999999999E-3</v>
      </c>
      <c r="L1387" s="7">
        <v>645.4948952208</v>
      </c>
      <c r="M1387" s="7">
        <v>639.90224850280003</v>
      </c>
      <c r="N1387" s="7">
        <v>642.33057226940002</v>
      </c>
      <c r="O1387" s="7">
        <v>645.4948952208</v>
      </c>
      <c r="P1387" s="7">
        <v>639.90224850280003</v>
      </c>
      <c r="Q1387">
        <v>1</v>
      </c>
      <c r="R1387">
        <v>0</v>
      </c>
      <c r="S1387" s="11">
        <v>45883.666666666664</v>
      </c>
      <c r="T1387">
        <v>1055</v>
      </c>
    </row>
    <row r="1388" spans="1:20">
      <c r="A1388" s="11">
        <v>45883.583333333336</v>
      </c>
      <c r="B1388" s="11">
        <v>45883.604166666664</v>
      </c>
      <c r="C1388" s="10">
        <v>45883</v>
      </c>
      <c r="D1388" s="7">
        <v>642.26930000000004</v>
      </c>
      <c r="E1388" s="7">
        <v>2391158</v>
      </c>
      <c r="F1388" s="7">
        <v>2391158</v>
      </c>
      <c r="G1388" s="7">
        <v>26107282</v>
      </c>
      <c r="H1388" s="7">
        <v>642.28719999999998</v>
      </c>
      <c r="I1388" s="7">
        <v>643.1069</v>
      </c>
      <c r="J1388" s="7">
        <v>14</v>
      </c>
      <c r="K1388" s="7">
        <v>4.1015137999999996E-3</v>
      </c>
      <c r="L1388" s="7">
        <v>645.744611824</v>
      </c>
      <c r="M1388" s="7">
        <v>639.65285018689997</v>
      </c>
      <c r="N1388" s="7">
        <v>642.32496036090004</v>
      </c>
      <c r="O1388" s="7">
        <v>645.744611824</v>
      </c>
      <c r="P1388" s="7">
        <v>639.65285018689997</v>
      </c>
      <c r="Q1388">
        <v>1</v>
      </c>
      <c r="R1388">
        <v>0</v>
      </c>
      <c r="S1388" s="11">
        <v>45883.666666666664</v>
      </c>
      <c r="T1388">
        <v>1054</v>
      </c>
    </row>
    <row r="1389" spans="1:20">
      <c r="A1389" s="11">
        <v>45883.604166666664</v>
      </c>
      <c r="B1389" s="11">
        <v>45883.625</v>
      </c>
      <c r="C1389" s="10">
        <v>45883</v>
      </c>
      <c r="D1389" s="7">
        <v>642.79790000000003</v>
      </c>
      <c r="E1389" s="7">
        <v>2312992</v>
      </c>
      <c r="F1389" s="7">
        <v>2312992</v>
      </c>
      <c r="G1389" s="7">
        <v>28420274</v>
      </c>
      <c r="H1389" s="7">
        <v>642.28719999999998</v>
      </c>
      <c r="I1389" s="7">
        <v>643.1069</v>
      </c>
      <c r="J1389" s="7">
        <v>14</v>
      </c>
      <c r="K1389" s="7">
        <v>4.0926408000000001E-3</v>
      </c>
      <c r="L1389" s="7">
        <v>645.73890553900003</v>
      </c>
      <c r="M1389" s="7">
        <v>639.65854919859999</v>
      </c>
      <c r="N1389" s="7">
        <v>642.3634506866</v>
      </c>
      <c r="O1389" s="7">
        <v>645.73890553900003</v>
      </c>
      <c r="P1389" s="7">
        <v>639.65854919859999</v>
      </c>
      <c r="Q1389">
        <v>1</v>
      </c>
      <c r="R1389">
        <v>0</v>
      </c>
      <c r="S1389" s="11">
        <v>45883.666666666664</v>
      </c>
      <c r="T1389">
        <v>1053</v>
      </c>
    </row>
    <row r="1390" spans="1:20">
      <c r="A1390" s="11">
        <v>45883.625</v>
      </c>
      <c r="B1390" s="11">
        <v>45883.645833333336</v>
      </c>
      <c r="C1390" s="10">
        <v>45883</v>
      </c>
      <c r="D1390" s="7">
        <v>643.22659999999996</v>
      </c>
      <c r="E1390" s="7">
        <v>3079370</v>
      </c>
      <c r="F1390" s="7">
        <v>3079370</v>
      </c>
      <c r="G1390" s="7">
        <v>31499644</v>
      </c>
      <c r="H1390" s="7">
        <v>642.28719999999998</v>
      </c>
      <c r="I1390" s="7">
        <v>643.1069</v>
      </c>
      <c r="J1390" s="7">
        <v>14</v>
      </c>
      <c r="K1390" s="7">
        <v>4.4782468000000002E-3</v>
      </c>
      <c r="L1390" s="7">
        <v>645.98689144080004</v>
      </c>
      <c r="M1390" s="7">
        <v>639.41087937819998</v>
      </c>
      <c r="N1390" s="7">
        <v>642.44783119900001</v>
      </c>
      <c r="O1390" s="7">
        <v>645.98689144080004</v>
      </c>
      <c r="P1390" s="7">
        <v>639.41087937819998</v>
      </c>
      <c r="Q1390">
        <v>1</v>
      </c>
      <c r="R1390">
        <v>0</v>
      </c>
      <c r="S1390" s="11">
        <v>45883.666666666664</v>
      </c>
      <c r="T1390">
        <v>1052</v>
      </c>
    </row>
    <row r="1391" spans="1:20">
      <c r="A1391" s="11">
        <v>45883.645833333336</v>
      </c>
      <c r="B1391" s="11">
        <v>45883.666666666664</v>
      </c>
      <c r="C1391" s="10">
        <v>45883</v>
      </c>
      <c r="D1391" s="7">
        <v>643.16679999999997</v>
      </c>
      <c r="E1391" s="7">
        <v>7106497</v>
      </c>
      <c r="F1391" s="7">
        <v>7106497</v>
      </c>
      <c r="G1391" s="7">
        <v>38606141</v>
      </c>
      <c r="H1391" s="7">
        <v>642.28719999999998</v>
      </c>
      <c r="I1391" s="7">
        <v>643.1069</v>
      </c>
      <c r="J1391" s="7">
        <v>14</v>
      </c>
      <c r="K1391" s="7">
        <v>4.1489175999999996E-3</v>
      </c>
      <c r="L1391" s="7">
        <v>645.77509751390005</v>
      </c>
      <c r="M1391" s="7">
        <v>639.6224033538</v>
      </c>
      <c r="N1391" s="7">
        <v>642.57833594579995</v>
      </c>
      <c r="O1391" s="7">
        <v>645.77509751390005</v>
      </c>
      <c r="P1391" s="7">
        <v>639.6224033538</v>
      </c>
      <c r="Q1391">
        <v>1</v>
      </c>
      <c r="R1391">
        <v>1</v>
      </c>
      <c r="S1391" s="11">
        <v>45883.666666666664</v>
      </c>
      <c r="T1391">
        <v>1051</v>
      </c>
    </row>
    <row r="1392" spans="1:20">
      <c r="A1392" s="11">
        <v>45884.395833333336</v>
      </c>
      <c r="B1392" s="11">
        <v>45884.416666666664</v>
      </c>
      <c r="C1392" s="10">
        <v>45884</v>
      </c>
      <c r="D1392" s="7">
        <v>641.63620000000003</v>
      </c>
      <c r="E1392" s="7">
        <v>5169500</v>
      </c>
      <c r="F1392" s="7">
        <v>5169500</v>
      </c>
      <c r="G1392" s="7">
        <v>5169500</v>
      </c>
      <c r="H1392" s="7">
        <v>641.63620000000003</v>
      </c>
      <c r="I1392" s="7">
        <v>643.16669999999999</v>
      </c>
      <c r="J1392" s="7">
        <v>14</v>
      </c>
      <c r="K1392" s="7">
        <v>0</v>
      </c>
      <c r="L1392" s="7">
        <v>643.16669999999999</v>
      </c>
      <c r="M1392" s="7">
        <v>641.63620000000003</v>
      </c>
      <c r="N1392" s="7">
        <v>641.63620000000003</v>
      </c>
      <c r="O1392" s="7">
        <v>643.16669999999999</v>
      </c>
      <c r="P1392" s="7">
        <v>641.63620000000003</v>
      </c>
      <c r="Q1392">
        <v>1</v>
      </c>
      <c r="R1392">
        <v>0</v>
      </c>
      <c r="S1392" s="11">
        <v>45884.666666666664</v>
      </c>
      <c r="T1392">
        <v>1049</v>
      </c>
    </row>
    <row r="1393" spans="1:20">
      <c r="A1393" s="11">
        <v>45884.416666666664</v>
      </c>
      <c r="B1393" s="11">
        <v>45884.4375</v>
      </c>
      <c r="C1393" s="10">
        <v>45884</v>
      </c>
      <c r="D1393" s="7">
        <v>642.38890000000004</v>
      </c>
      <c r="E1393" s="7">
        <v>3353255</v>
      </c>
      <c r="F1393" s="7">
        <v>3353255</v>
      </c>
      <c r="G1393" s="7">
        <v>8522755</v>
      </c>
      <c r="H1393" s="7">
        <v>641.63620000000003</v>
      </c>
      <c r="I1393" s="7">
        <v>643.16669999999999</v>
      </c>
      <c r="J1393" s="7">
        <v>14</v>
      </c>
      <c r="K1393" s="7">
        <v>1.4983648999999999E-3</v>
      </c>
      <c r="L1393" s="7">
        <v>644.13039842449996</v>
      </c>
      <c r="M1393" s="7">
        <v>640.67479482299996</v>
      </c>
      <c r="N1393" s="7">
        <v>641.9323477877</v>
      </c>
      <c r="O1393" s="7">
        <v>644.13039842449996</v>
      </c>
      <c r="P1393" s="7">
        <v>640.67479482299996</v>
      </c>
      <c r="Q1393">
        <v>1</v>
      </c>
      <c r="R1393">
        <v>0</v>
      </c>
      <c r="S1393" s="11">
        <v>45884.666666666664</v>
      </c>
      <c r="T1393">
        <v>1048</v>
      </c>
    </row>
    <row r="1394" spans="1:20">
      <c r="A1394" s="11">
        <v>45884.4375</v>
      </c>
      <c r="B1394" s="11">
        <v>45884.458333333336</v>
      </c>
      <c r="C1394" s="10">
        <v>45884</v>
      </c>
      <c r="D1394" s="7">
        <v>641.75070000000005</v>
      </c>
      <c r="E1394" s="7">
        <v>2236771</v>
      </c>
      <c r="F1394" s="7">
        <v>2236771</v>
      </c>
      <c r="G1394" s="7">
        <v>10759526</v>
      </c>
      <c r="H1394" s="7">
        <v>641.63620000000003</v>
      </c>
      <c r="I1394" s="7">
        <v>643.16669999999999</v>
      </c>
      <c r="J1394" s="7">
        <v>14</v>
      </c>
      <c r="K1394" s="7">
        <v>2.3547301999999998E-3</v>
      </c>
      <c r="L1394" s="7">
        <v>644.6811840222</v>
      </c>
      <c r="M1394" s="7">
        <v>640.12531989230001</v>
      </c>
      <c r="N1394" s="7">
        <v>641.89458548259995</v>
      </c>
      <c r="O1394" s="7">
        <v>644.6811840222</v>
      </c>
      <c r="P1394" s="7">
        <v>640.12531989230001</v>
      </c>
      <c r="Q1394">
        <v>1</v>
      </c>
      <c r="R1394">
        <v>0</v>
      </c>
      <c r="S1394" s="11">
        <v>45884.666666666664</v>
      </c>
      <c r="T1394">
        <v>1047</v>
      </c>
    </row>
    <row r="1395" spans="1:20">
      <c r="A1395" s="11">
        <v>45884.458333333336</v>
      </c>
      <c r="B1395" s="11">
        <v>45884.479166666664</v>
      </c>
      <c r="C1395" s="10">
        <v>45884</v>
      </c>
      <c r="D1395" s="7">
        <v>641.71079999999995</v>
      </c>
      <c r="E1395" s="7">
        <v>2146008</v>
      </c>
      <c r="F1395" s="7">
        <v>2146008</v>
      </c>
      <c r="G1395" s="7">
        <v>12905534</v>
      </c>
      <c r="H1395" s="7">
        <v>641.63620000000003</v>
      </c>
      <c r="I1395" s="7">
        <v>643.16669999999999</v>
      </c>
      <c r="J1395" s="7">
        <v>14</v>
      </c>
      <c r="K1395" s="7">
        <v>2.7953195999999999E-3</v>
      </c>
      <c r="L1395" s="7">
        <v>644.96455648489996</v>
      </c>
      <c r="M1395" s="7">
        <v>639.84262175169999</v>
      </c>
      <c r="N1395" s="7">
        <v>641.86402455300004</v>
      </c>
      <c r="O1395" s="7">
        <v>644.96455648489996</v>
      </c>
      <c r="P1395" s="7">
        <v>639.84262175169999</v>
      </c>
      <c r="Q1395">
        <v>1</v>
      </c>
      <c r="R1395">
        <v>0</v>
      </c>
      <c r="S1395" s="11">
        <v>45884.666666666664</v>
      </c>
      <c r="T1395">
        <v>1046</v>
      </c>
    </row>
    <row r="1396" spans="1:20">
      <c r="A1396" s="11">
        <v>45884.479166666664</v>
      </c>
      <c r="B1396" s="11">
        <v>45884.5</v>
      </c>
      <c r="C1396" s="10">
        <v>45884</v>
      </c>
      <c r="D1396" s="7">
        <v>641.59109999999998</v>
      </c>
      <c r="E1396" s="7">
        <v>3058646</v>
      </c>
      <c r="F1396" s="7">
        <v>3058646</v>
      </c>
      <c r="G1396" s="7">
        <v>15964180</v>
      </c>
      <c r="H1396" s="7">
        <v>641.63620000000003</v>
      </c>
      <c r="I1396" s="7">
        <v>643.16669999999999</v>
      </c>
      <c r="J1396" s="7">
        <v>14</v>
      </c>
      <c r="K1396" s="7">
        <v>2.9848663000000002E-3</v>
      </c>
      <c r="L1396" s="7">
        <v>645.08646660500006</v>
      </c>
      <c r="M1396" s="7">
        <v>639.72100173290005</v>
      </c>
      <c r="N1396" s="7">
        <v>641.81173376250001</v>
      </c>
      <c r="O1396" s="7">
        <v>645.08646660500006</v>
      </c>
      <c r="P1396" s="7">
        <v>639.72100173290005</v>
      </c>
      <c r="Q1396">
        <v>1</v>
      </c>
      <c r="R1396">
        <v>0</v>
      </c>
      <c r="S1396" s="11">
        <v>45884.666666666664</v>
      </c>
      <c r="T1396">
        <v>1045</v>
      </c>
    </row>
    <row r="1397" spans="1:20">
      <c r="A1397" s="11">
        <v>45884.5</v>
      </c>
      <c r="B1397" s="11">
        <v>45884.520833333336</v>
      </c>
      <c r="C1397" s="10">
        <v>45884</v>
      </c>
      <c r="D1397" s="7">
        <v>641.55129999999997</v>
      </c>
      <c r="E1397" s="7">
        <v>2148069</v>
      </c>
      <c r="F1397" s="7">
        <v>2148069</v>
      </c>
      <c r="G1397" s="7">
        <v>18112249</v>
      </c>
      <c r="H1397" s="7">
        <v>641.63620000000003</v>
      </c>
      <c r="I1397" s="7">
        <v>643.16669999999999</v>
      </c>
      <c r="J1397" s="7">
        <v>14</v>
      </c>
      <c r="K1397" s="7">
        <v>3.1097251999999999E-3</v>
      </c>
      <c r="L1397" s="7">
        <v>645.16677171619995</v>
      </c>
      <c r="M1397" s="7">
        <v>639.64088771820002</v>
      </c>
      <c r="N1397" s="7">
        <v>641.78084694710003</v>
      </c>
      <c r="O1397" s="7">
        <v>645.16677171619995</v>
      </c>
      <c r="P1397" s="7">
        <v>639.64088771820002</v>
      </c>
      <c r="Q1397">
        <v>1</v>
      </c>
      <c r="R1397">
        <v>0</v>
      </c>
      <c r="S1397" s="11">
        <v>45884.666666666664</v>
      </c>
      <c r="T1397">
        <v>1044</v>
      </c>
    </row>
    <row r="1398" spans="1:20">
      <c r="A1398" s="11">
        <v>45884.520833333336</v>
      </c>
      <c r="B1398" s="11">
        <v>45884.541666666664</v>
      </c>
      <c r="C1398" s="10">
        <v>45884</v>
      </c>
      <c r="D1398" s="7">
        <v>642.27919999999995</v>
      </c>
      <c r="E1398" s="7">
        <v>1818708</v>
      </c>
      <c r="F1398" s="7">
        <v>1818708</v>
      </c>
      <c r="G1398" s="7">
        <v>19930957</v>
      </c>
      <c r="H1398" s="7">
        <v>641.63620000000003</v>
      </c>
      <c r="I1398" s="7">
        <v>643.16669999999999</v>
      </c>
      <c r="J1398" s="7">
        <v>14</v>
      </c>
      <c r="K1398" s="7">
        <v>2.8392708999999999E-3</v>
      </c>
      <c r="L1398" s="7">
        <v>644.99282450910005</v>
      </c>
      <c r="M1398" s="7">
        <v>639.81442099499998</v>
      </c>
      <c r="N1398" s="7">
        <v>641.82632186750004</v>
      </c>
      <c r="O1398" s="7">
        <v>644.99282450910005</v>
      </c>
      <c r="P1398" s="7">
        <v>639.81442099499998</v>
      </c>
      <c r="Q1398">
        <v>1</v>
      </c>
      <c r="R1398">
        <v>0</v>
      </c>
      <c r="S1398" s="11">
        <v>45884.666666666664</v>
      </c>
      <c r="T1398">
        <v>1043</v>
      </c>
    </row>
    <row r="1399" spans="1:20">
      <c r="A1399" s="11">
        <v>45884.541666666664</v>
      </c>
      <c r="B1399" s="11">
        <v>45884.5625</v>
      </c>
      <c r="C1399" s="10">
        <v>45884</v>
      </c>
      <c r="D1399" s="7">
        <v>642.38390000000004</v>
      </c>
      <c r="E1399" s="7">
        <v>1857701</v>
      </c>
      <c r="F1399" s="7">
        <v>1857701</v>
      </c>
      <c r="G1399" s="7">
        <v>21788658</v>
      </c>
      <c r="H1399" s="7">
        <v>641.63620000000003</v>
      </c>
      <c r="I1399" s="7">
        <v>643.16669999999999</v>
      </c>
      <c r="J1399" s="7">
        <v>14</v>
      </c>
      <c r="K1399" s="7">
        <v>3.3123305999999998E-3</v>
      </c>
      <c r="L1399" s="7">
        <v>645.29708073819995</v>
      </c>
      <c r="M1399" s="7">
        <v>639.51088878380006</v>
      </c>
      <c r="N1399" s="7">
        <v>641.87386097959995</v>
      </c>
      <c r="O1399" s="7">
        <v>645.29708073819995</v>
      </c>
      <c r="P1399" s="7">
        <v>639.51088878380006</v>
      </c>
      <c r="Q1399">
        <v>1</v>
      </c>
      <c r="R1399">
        <v>0</v>
      </c>
      <c r="S1399" s="11">
        <v>45884.666666666664</v>
      </c>
      <c r="T1399">
        <v>1042</v>
      </c>
    </row>
    <row r="1400" spans="1:20">
      <c r="A1400" s="11">
        <v>45884.5625</v>
      </c>
      <c r="B1400" s="11">
        <v>45884.583333333336</v>
      </c>
      <c r="C1400" s="10">
        <v>45884</v>
      </c>
      <c r="D1400" s="7">
        <v>642.93740000000003</v>
      </c>
      <c r="E1400" s="7">
        <v>2006720</v>
      </c>
      <c r="F1400" s="7">
        <v>2006720</v>
      </c>
      <c r="G1400" s="7">
        <v>23795378</v>
      </c>
      <c r="H1400" s="7">
        <v>641.63620000000003</v>
      </c>
      <c r="I1400" s="7">
        <v>643.16669999999999</v>
      </c>
      <c r="J1400" s="7">
        <v>14</v>
      </c>
      <c r="K1400" s="7">
        <v>3.5736346000000002E-3</v>
      </c>
      <c r="L1400" s="7">
        <v>645.46514279020005</v>
      </c>
      <c r="M1400" s="7">
        <v>639.34322665759998</v>
      </c>
      <c r="N1400" s="7">
        <v>641.96355171799996</v>
      </c>
      <c r="O1400" s="7">
        <v>645.46514279020005</v>
      </c>
      <c r="P1400" s="7">
        <v>639.34322665759998</v>
      </c>
      <c r="Q1400">
        <v>1</v>
      </c>
      <c r="R1400">
        <v>0</v>
      </c>
      <c r="S1400" s="11">
        <v>45884.666666666664</v>
      </c>
      <c r="T1400">
        <v>1041</v>
      </c>
    </row>
    <row r="1401" spans="1:20">
      <c r="A1401" s="11">
        <v>45884.583333333336</v>
      </c>
      <c r="B1401" s="11">
        <v>45884.604166666664</v>
      </c>
      <c r="C1401" s="10">
        <v>45884</v>
      </c>
      <c r="D1401" s="7">
        <v>642.73800000000006</v>
      </c>
      <c r="E1401" s="7">
        <v>2697391</v>
      </c>
      <c r="F1401" s="7">
        <v>2697391</v>
      </c>
      <c r="G1401" s="7">
        <v>26492769</v>
      </c>
      <c r="H1401" s="7">
        <v>641.63620000000003</v>
      </c>
      <c r="I1401" s="7">
        <v>643.16669999999999</v>
      </c>
      <c r="J1401" s="7">
        <v>14</v>
      </c>
      <c r="K1401" s="7">
        <v>3.8729946E-3</v>
      </c>
      <c r="L1401" s="7">
        <v>645.6576811315</v>
      </c>
      <c r="M1401" s="7">
        <v>639.15114648669999</v>
      </c>
      <c r="N1401" s="7">
        <v>642.04240303869994</v>
      </c>
      <c r="O1401" s="7">
        <v>645.6576811315</v>
      </c>
      <c r="P1401" s="7">
        <v>639.15114648669999</v>
      </c>
      <c r="Q1401">
        <v>1</v>
      </c>
      <c r="R1401">
        <v>0</v>
      </c>
      <c r="S1401" s="11">
        <v>45884.666666666664</v>
      </c>
      <c r="T1401">
        <v>1040</v>
      </c>
    </row>
    <row r="1402" spans="1:20">
      <c r="A1402" s="11">
        <v>45884.604166666664</v>
      </c>
      <c r="B1402" s="11">
        <v>45884.625</v>
      </c>
      <c r="C1402" s="10">
        <v>45884</v>
      </c>
      <c r="D1402" s="7">
        <v>642.47370000000001</v>
      </c>
      <c r="E1402" s="7">
        <v>2136084</v>
      </c>
      <c r="F1402" s="7">
        <v>2136084</v>
      </c>
      <c r="G1402" s="7">
        <v>28628853</v>
      </c>
      <c r="H1402" s="7">
        <v>641.63620000000003</v>
      </c>
      <c r="I1402" s="7">
        <v>643.16669999999999</v>
      </c>
      <c r="J1402" s="7">
        <v>14</v>
      </c>
      <c r="K1402" s="7">
        <v>3.93692E-3</v>
      </c>
      <c r="L1402" s="7">
        <v>645.69879586080003</v>
      </c>
      <c r="M1402" s="7">
        <v>639.11012959530001</v>
      </c>
      <c r="N1402" s="7">
        <v>642.07458338970002</v>
      </c>
      <c r="O1402" s="7">
        <v>645.69879586080003</v>
      </c>
      <c r="P1402" s="7">
        <v>639.11012959530001</v>
      </c>
      <c r="Q1402">
        <v>1</v>
      </c>
      <c r="R1402">
        <v>0</v>
      </c>
      <c r="S1402" s="11">
        <v>45884.666666666664</v>
      </c>
      <c r="T1402">
        <v>1039</v>
      </c>
    </row>
    <row r="1403" spans="1:20">
      <c r="A1403" s="11">
        <v>45884.625</v>
      </c>
      <c r="B1403" s="11">
        <v>45884.645833333336</v>
      </c>
      <c r="C1403" s="10">
        <v>45884</v>
      </c>
      <c r="D1403" s="7">
        <v>642.02</v>
      </c>
      <c r="E1403" s="7">
        <v>3193951</v>
      </c>
      <c r="F1403" s="7">
        <v>3193951</v>
      </c>
      <c r="G1403" s="7">
        <v>31822804</v>
      </c>
      <c r="H1403" s="7">
        <v>641.63620000000003</v>
      </c>
      <c r="I1403" s="7">
        <v>643.16669999999999</v>
      </c>
      <c r="J1403" s="7">
        <v>14</v>
      </c>
      <c r="K1403" s="7">
        <v>4.3533347999999998E-3</v>
      </c>
      <c r="L1403" s="7">
        <v>645.96661998340005</v>
      </c>
      <c r="M1403" s="7">
        <v>638.84294279560004</v>
      </c>
      <c r="N1403" s="7">
        <v>642.06910503300003</v>
      </c>
      <c r="O1403" s="7">
        <v>645.96661998340005</v>
      </c>
      <c r="P1403" s="7">
        <v>638.84294279560004</v>
      </c>
      <c r="Q1403">
        <v>1</v>
      </c>
      <c r="R1403">
        <v>0</v>
      </c>
      <c r="S1403" s="11">
        <v>45884.666666666664</v>
      </c>
      <c r="T1403">
        <v>1038</v>
      </c>
    </row>
    <row r="1404" spans="1:20">
      <c r="A1404" s="11">
        <v>45884.645833333336</v>
      </c>
      <c r="B1404" s="11">
        <v>45884.666666666664</v>
      </c>
      <c r="C1404" s="10">
        <v>45884</v>
      </c>
      <c r="D1404" s="7">
        <v>641.66089999999997</v>
      </c>
      <c r="E1404" s="7">
        <v>7301487</v>
      </c>
      <c r="F1404" s="7">
        <v>7301487</v>
      </c>
      <c r="G1404" s="7">
        <v>39124291</v>
      </c>
      <c r="H1404" s="7">
        <v>641.63620000000003</v>
      </c>
      <c r="I1404" s="7">
        <v>643.16669999999999</v>
      </c>
      <c r="J1404" s="7">
        <v>14</v>
      </c>
      <c r="K1404" s="7">
        <v>4.0432304999999998E-3</v>
      </c>
      <c r="L1404" s="7">
        <v>645.76717120659998</v>
      </c>
      <c r="M1404" s="7">
        <v>639.04191695769998</v>
      </c>
      <c r="N1404" s="7">
        <v>641.99292464309997</v>
      </c>
      <c r="O1404" s="7">
        <v>645.76717120659998</v>
      </c>
      <c r="P1404" s="7">
        <v>639.04191695769998</v>
      </c>
      <c r="Q1404">
        <v>1</v>
      </c>
      <c r="R1404">
        <v>1</v>
      </c>
      <c r="S1404" s="11">
        <v>45884.666666666664</v>
      </c>
      <c r="T1404">
        <v>1037</v>
      </c>
    </row>
    <row r="1405" spans="1:20">
      <c r="A1405" s="11">
        <v>45887.395833333336</v>
      </c>
      <c r="B1405" s="11">
        <v>45887.416666666664</v>
      </c>
      <c r="C1405" s="10">
        <v>45887</v>
      </c>
      <c r="D1405" s="7">
        <v>640.96289999999999</v>
      </c>
      <c r="E1405" s="7">
        <v>4485629</v>
      </c>
      <c r="F1405" s="7">
        <v>4485629</v>
      </c>
      <c r="G1405" s="7">
        <v>4485629</v>
      </c>
      <c r="H1405" s="7">
        <v>640.96289999999999</v>
      </c>
      <c r="I1405" s="7">
        <v>641.66089999999997</v>
      </c>
      <c r="J1405" s="7">
        <v>14</v>
      </c>
      <c r="K1405" s="7">
        <v>0</v>
      </c>
      <c r="L1405" s="7">
        <v>641.66089999999997</v>
      </c>
      <c r="M1405" s="7">
        <v>640.96289999999999</v>
      </c>
      <c r="N1405" s="7">
        <v>640.96289999999999</v>
      </c>
      <c r="O1405" s="7">
        <v>641.66089999999997</v>
      </c>
      <c r="P1405" s="7">
        <v>640.96289999999999</v>
      </c>
      <c r="Q1405">
        <v>1</v>
      </c>
      <c r="R1405">
        <v>0</v>
      </c>
      <c r="S1405" s="11">
        <v>45887.666666666664</v>
      </c>
      <c r="T1405">
        <v>1035</v>
      </c>
    </row>
    <row r="1406" spans="1:20">
      <c r="A1406" s="11">
        <v>45887.416666666664</v>
      </c>
      <c r="B1406" s="11">
        <v>45887.4375</v>
      </c>
      <c r="C1406" s="10">
        <v>45887</v>
      </c>
      <c r="D1406" s="7">
        <v>641.14239999999995</v>
      </c>
      <c r="E1406" s="7">
        <v>2724771</v>
      </c>
      <c r="F1406" s="7">
        <v>2724771</v>
      </c>
      <c r="G1406" s="7">
        <v>7210400</v>
      </c>
      <c r="H1406" s="7">
        <v>640.96289999999999</v>
      </c>
      <c r="I1406" s="7">
        <v>641.66089999999997</v>
      </c>
      <c r="J1406" s="7">
        <v>14</v>
      </c>
      <c r="K1406" s="7">
        <v>1.5507965000000001E-3</v>
      </c>
      <c r="L1406" s="7">
        <v>642.65598549979995</v>
      </c>
      <c r="M1406" s="7">
        <v>639.96889695619996</v>
      </c>
      <c r="N1406" s="7">
        <v>641.03073207509999</v>
      </c>
      <c r="O1406" s="7">
        <v>642.65598549979995</v>
      </c>
      <c r="P1406" s="7">
        <v>639.96889695619996</v>
      </c>
      <c r="Q1406">
        <v>1</v>
      </c>
      <c r="R1406">
        <v>0</v>
      </c>
      <c r="S1406" s="11">
        <v>45887.666666666664</v>
      </c>
      <c r="T1406">
        <v>1034</v>
      </c>
    </row>
    <row r="1407" spans="1:20">
      <c r="A1407" s="11">
        <v>45887.4375</v>
      </c>
      <c r="B1407" s="11">
        <v>45887.458333333336</v>
      </c>
      <c r="C1407" s="10">
        <v>45887</v>
      </c>
      <c r="D1407" s="7">
        <v>641.44150000000002</v>
      </c>
      <c r="E1407" s="7">
        <v>2333708</v>
      </c>
      <c r="F1407" s="7">
        <v>2333708</v>
      </c>
      <c r="G1407" s="7">
        <v>9544108</v>
      </c>
      <c r="H1407" s="7">
        <v>640.96289999999999</v>
      </c>
      <c r="I1407" s="7">
        <v>641.66089999999997</v>
      </c>
      <c r="J1407" s="7">
        <v>14</v>
      </c>
      <c r="K1407" s="7">
        <v>2.3652293E-3</v>
      </c>
      <c r="L1407" s="7">
        <v>643.17857516070001</v>
      </c>
      <c r="M1407" s="7">
        <v>639.44687576930005</v>
      </c>
      <c r="N1407" s="7">
        <v>641.13117230410001</v>
      </c>
      <c r="O1407" s="7">
        <v>643.17857516070001</v>
      </c>
      <c r="P1407" s="7">
        <v>639.44687576930005</v>
      </c>
      <c r="Q1407">
        <v>1</v>
      </c>
      <c r="R1407">
        <v>0</v>
      </c>
      <c r="S1407" s="11">
        <v>45887.666666666664</v>
      </c>
      <c r="T1407">
        <v>1033</v>
      </c>
    </row>
    <row r="1408" spans="1:20">
      <c r="A1408" s="11">
        <v>45887.458333333336</v>
      </c>
      <c r="B1408" s="11">
        <v>45887.479166666664</v>
      </c>
      <c r="C1408" s="10">
        <v>45887</v>
      </c>
      <c r="D1408" s="7">
        <v>640.97289999999998</v>
      </c>
      <c r="E1408" s="7">
        <v>1684640</v>
      </c>
      <c r="F1408" s="7">
        <v>1684640</v>
      </c>
      <c r="G1408" s="7">
        <v>11228748</v>
      </c>
      <c r="H1408" s="7">
        <v>640.96289999999999</v>
      </c>
      <c r="I1408" s="7">
        <v>641.66089999999997</v>
      </c>
      <c r="J1408" s="7">
        <v>14</v>
      </c>
      <c r="K1408" s="7">
        <v>2.7610382E-3</v>
      </c>
      <c r="L1408" s="7">
        <v>643.43255026129998</v>
      </c>
      <c r="M1408" s="7">
        <v>639.19317694330005</v>
      </c>
      <c r="N1408" s="7">
        <v>641.10742683800004</v>
      </c>
      <c r="O1408" s="7">
        <v>643.43255026129998</v>
      </c>
      <c r="P1408" s="7">
        <v>639.19317694330005</v>
      </c>
      <c r="Q1408">
        <v>1</v>
      </c>
      <c r="R1408">
        <v>0</v>
      </c>
      <c r="S1408" s="11">
        <v>45887.666666666664</v>
      </c>
      <c r="T1408">
        <v>1032</v>
      </c>
    </row>
    <row r="1409" spans="1:20">
      <c r="A1409" s="11">
        <v>45887.479166666664</v>
      </c>
      <c r="B1409" s="11">
        <v>45887.5</v>
      </c>
      <c r="C1409" s="10">
        <v>45887</v>
      </c>
      <c r="D1409" s="7">
        <v>640.9479</v>
      </c>
      <c r="E1409" s="7">
        <v>1216647</v>
      </c>
      <c r="F1409" s="7">
        <v>1216647</v>
      </c>
      <c r="G1409" s="7">
        <v>12445395</v>
      </c>
      <c r="H1409" s="7">
        <v>640.96289999999999</v>
      </c>
      <c r="I1409" s="7">
        <v>641.66089999999997</v>
      </c>
      <c r="J1409" s="7">
        <v>14</v>
      </c>
      <c r="K1409" s="7">
        <v>2.9820327000000002E-3</v>
      </c>
      <c r="L1409" s="7">
        <v>643.57435377290005</v>
      </c>
      <c r="M1409" s="7">
        <v>639.05152768590006</v>
      </c>
      <c r="N1409" s="7">
        <v>641.09183168419997</v>
      </c>
      <c r="O1409" s="7">
        <v>643.57435377290005</v>
      </c>
      <c r="P1409" s="7">
        <v>639.05152768590006</v>
      </c>
      <c r="Q1409">
        <v>1</v>
      </c>
      <c r="R1409">
        <v>0</v>
      </c>
      <c r="S1409" s="11">
        <v>45887.666666666664</v>
      </c>
      <c r="T1409">
        <v>1031</v>
      </c>
    </row>
    <row r="1410" spans="1:20">
      <c r="A1410" s="11">
        <v>45887.5</v>
      </c>
      <c r="B1410" s="11">
        <v>45887.520833333336</v>
      </c>
      <c r="C1410" s="10">
        <v>45887</v>
      </c>
      <c r="D1410" s="7">
        <v>641.34529999999995</v>
      </c>
      <c r="E1410" s="7">
        <v>1192231</v>
      </c>
      <c r="F1410" s="7">
        <v>1192231</v>
      </c>
      <c r="G1410" s="7">
        <v>13637626</v>
      </c>
      <c r="H1410" s="7">
        <v>640.96289999999999</v>
      </c>
      <c r="I1410" s="7">
        <v>641.66089999999997</v>
      </c>
      <c r="J1410" s="7">
        <v>14</v>
      </c>
      <c r="K1410" s="7">
        <v>3.1135694999999998E-3</v>
      </c>
      <c r="L1410" s="7">
        <v>643.65875583330001</v>
      </c>
      <c r="M1410" s="7">
        <v>638.96721743830005</v>
      </c>
      <c r="N1410" s="7">
        <v>641.11399043710003</v>
      </c>
      <c r="O1410" s="7">
        <v>643.65875583330001</v>
      </c>
      <c r="P1410" s="7">
        <v>638.96721743830005</v>
      </c>
      <c r="Q1410">
        <v>1</v>
      </c>
      <c r="R1410">
        <v>0</v>
      </c>
      <c r="S1410" s="11">
        <v>45887.666666666664</v>
      </c>
      <c r="T1410">
        <v>1030</v>
      </c>
    </row>
    <row r="1411" spans="1:20">
      <c r="A1411" s="11">
        <v>45887.520833333336</v>
      </c>
      <c r="B1411" s="11">
        <v>45887.541666666664</v>
      </c>
      <c r="C1411" s="10">
        <v>45887</v>
      </c>
      <c r="D1411" s="7">
        <v>640.71360000000004</v>
      </c>
      <c r="E1411" s="7">
        <v>1383506</v>
      </c>
      <c r="F1411" s="7">
        <v>1383506</v>
      </c>
      <c r="G1411" s="7">
        <v>15021132</v>
      </c>
      <c r="H1411" s="7">
        <v>640.96289999999999</v>
      </c>
      <c r="I1411" s="7">
        <v>641.66089999999997</v>
      </c>
      <c r="J1411" s="7">
        <v>14</v>
      </c>
      <c r="K1411" s="7">
        <v>2.8475341000000001E-3</v>
      </c>
      <c r="L1411" s="7">
        <v>643.48805126139996</v>
      </c>
      <c r="M1411" s="7">
        <v>639.13773631740003</v>
      </c>
      <c r="N1411" s="7">
        <v>641.07711288530004</v>
      </c>
      <c r="O1411" s="7">
        <v>643.48805126139996</v>
      </c>
      <c r="P1411" s="7">
        <v>639.13773631740003</v>
      </c>
      <c r="Q1411">
        <v>1</v>
      </c>
      <c r="R1411">
        <v>0</v>
      </c>
      <c r="S1411" s="11">
        <v>45887.666666666664</v>
      </c>
      <c r="T1411">
        <v>1029</v>
      </c>
    </row>
    <row r="1412" spans="1:20">
      <c r="A1412" s="11">
        <v>45887.541666666664</v>
      </c>
      <c r="B1412" s="11">
        <v>45887.5625</v>
      </c>
      <c r="C1412" s="10">
        <v>45887</v>
      </c>
      <c r="D1412" s="7">
        <v>641.38670000000002</v>
      </c>
      <c r="E1412" s="7">
        <v>1166616</v>
      </c>
      <c r="F1412" s="7">
        <v>1166616</v>
      </c>
      <c r="G1412" s="7">
        <v>16187748</v>
      </c>
      <c r="H1412" s="7">
        <v>640.96289999999999</v>
      </c>
      <c r="I1412" s="7">
        <v>641.66089999999997</v>
      </c>
      <c r="J1412" s="7">
        <v>14</v>
      </c>
      <c r="K1412" s="7">
        <v>3.2678195000000001E-3</v>
      </c>
      <c r="L1412" s="7">
        <v>643.75773201599998</v>
      </c>
      <c r="M1412" s="7">
        <v>638.86834892210004</v>
      </c>
      <c r="N1412" s="7">
        <v>641.09942415939997</v>
      </c>
      <c r="O1412" s="7">
        <v>643.75773201599998</v>
      </c>
      <c r="P1412" s="7">
        <v>638.86834892210004</v>
      </c>
      <c r="Q1412">
        <v>1</v>
      </c>
      <c r="R1412">
        <v>0</v>
      </c>
      <c r="S1412" s="11">
        <v>45887.666666666664</v>
      </c>
      <c r="T1412">
        <v>1028</v>
      </c>
    </row>
    <row r="1413" spans="1:20">
      <c r="A1413" s="11">
        <v>45887.5625</v>
      </c>
      <c r="B1413" s="11">
        <v>45887.583333333336</v>
      </c>
      <c r="C1413" s="10">
        <v>45887</v>
      </c>
      <c r="D1413" s="7">
        <v>641.01279999999997</v>
      </c>
      <c r="E1413" s="7">
        <v>1846572</v>
      </c>
      <c r="F1413" s="7">
        <v>1846572</v>
      </c>
      <c r="G1413" s="7">
        <v>18034320</v>
      </c>
      <c r="H1413" s="7">
        <v>640.96289999999999</v>
      </c>
      <c r="I1413" s="7">
        <v>641.66089999999997</v>
      </c>
      <c r="J1413" s="7">
        <v>14</v>
      </c>
      <c r="K1413" s="7">
        <v>3.5660879000000002E-3</v>
      </c>
      <c r="L1413" s="7">
        <v>643.9491191459</v>
      </c>
      <c r="M1413" s="7">
        <v>638.67716998349999</v>
      </c>
      <c r="N1413" s="7">
        <v>641.09055452929999</v>
      </c>
      <c r="O1413" s="7">
        <v>643.9491191459</v>
      </c>
      <c r="P1413" s="7">
        <v>638.67716998349999</v>
      </c>
      <c r="Q1413">
        <v>1</v>
      </c>
      <c r="R1413">
        <v>0</v>
      </c>
      <c r="S1413" s="11">
        <v>45887.666666666664</v>
      </c>
      <c r="T1413">
        <v>1027</v>
      </c>
    </row>
    <row r="1414" spans="1:20">
      <c r="A1414" s="11">
        <v>45887.583333333336</v>
      </c>
      <c r="B1414" s="11">
        <v>45887.604166666664</v>
      </c>
      <c r="C1414" s="10">
        <v>45887</v>
      </c>
      <c r="D1414" s="7">
        <v>640.97289999999998</v>
      </c>
      <c r="E1414" s="7">
        <v>1452772</v>
      </c>
      <c r="F1414" s="7">
        <v>1452772</v>
      </c>
      <c r="G1414" s="7">
        <v>19487092</v>
      </c>
      <c r="H1414" s="7">
        <v>640.96289999999999</v>
      </c>
      <c r="I1414" s="7">
        <v>641.66089999999997</v>
      </c>
      <c r="J1414" s="7">
        <v>14</v>
      </c>
      <c r="K1414" s="7">
        <v>3.8419016999999998E-3</v>
      </c>
      <c r="L1414" s="7">
        <v>644.12609810849995</v>
      </c>
      <c r="M1414" s="7">
        <v>638.5003835389</v>
      </c>
      <c r="N1414" s="7">
        <v>641.08178332800003</v>
      </c>
      <c r="O1414" s="7">
        <v>644.12609810849995</v>
      </c>
      <c r="P1414" s="7">
        <v>638.5003835389</v>
      </c>
      <c r="Q1414">
        <v>1</v>
      </c>
      <c r="R1414">
        <v>0</v>
      </c>
      <c r="S1414" s="11">
        <v>45887.666666666664</v>
      </c>
      <c r="T1414">
        <v>1026</v>
      </c>
    </row>
    <row r="1415" spans="1:20">
      <c r="A1415" s="11">
        <v>45887.604166666664</v>
      </c>
      <c r="B1415" s="11">
        <v>45887.625</v>
      </c>
      <c r="C1415" s="10">
        <v>45887</v>
      </c>
      <c r="D1415" s="7">
        <v>641.62609999999995</v>
      </c>
      <c r="E1415" s="7">
        <v>2039652</v>
      </c>
      <c r="F1415" s="7">
        <v>2039652</v>
      </c>
      <c r="G1415" s="7">
        <v>21526744</v>
      </c>
      <c r="H1415" s="7">
        <v>640.96289999999999</v>
      </c>
      <c r="I1415" s="7">
        <v>641.66089999999997</v>
      </c>
      <c r="J1415" s="7">
        <v>14</v>
      </c>
      <c r="K1415" s="7">
        <v>3.8732697000000002E-3</v>
      </c>
      <c r="L1415" s="7">
        <v>644.14622569749997</v>
      </c>
      <c r="M1415" s="7">
        <v>638.48027784470003</v>
      </c>
      <c r="N1415" s="7">
        <v>641.13335715580001</v>
      </c>
      <c r="O1415" s="7">
        <v>644.14622569749997</v>
      </c>
      <c r="P1415" s="7">
        <v>638.48027784470003</v>
      </c>
      <c r="Q1415">
        <v>1</v>
      </c>
      <c r="R1415">
        <v>0</v>
      </c>
      <c r="S1415" s="11">
        <v>45887.666666666664</v>
      </c>
      <c r="T1415">
        <v>1025</v>
      </c>
    </row>
    <row r="1416" spans="1:20">
      <c r="A1416" s="11">
        <v>45887.625</v>
      </c>
      <c r="B1416" s="11">
        <v>45887.645833333336</v>
      </c>
      <c r="C1416" s="10">
        <v>45887</v>
      </c>
      <c r="D1416" s="7">
        <v>641.4615</v>
      </c>
      <c r="E1416" s="7">
        <v>1893647</v>
      </c>
      <c r="F1416" s="7">
        <v>1893647</v>
      </c>
      <c r="G1416" s="7">
        <v>23420391</v>
      </c>
      <c r="H1416" s="7">
        <v>640.96289999999999</v>
      </c>
      <c r="I1416" s="7">
        <v>641.66089999999997</v>
      </c>
      <c r="J1416" s="7">
        <v>14</v>
      </c>
      <c r="K1416" s="7">
        <v>4.2391774000000004E-3</v>
      </c>
      <c r="L1416" s="7">
        <v>644.38101439219997</v>
      </c>
      <c r="M1416" s="7">
        <v>638.24574455360005</v>
      </c>
      <c r="N1416" s="7">
        <v>641.15988902339996</v>
      </c>
      <c r="O1416" s="7">
        <v>644.38101439219997</v>
      </c>
      <c r="P1416" s="7">
        <v>638.24574455360005</v>
      </c>
      <c r="Q1416">
        <v>1</v>
      </c>
      <c r="R1416">
        <v>0</v>
      </c>
      <c r="S1416" s="11">
        <v>45887.666666666664</v>
      </c>
      <c r="T1416">
        <v>1024</v>
      </c>
    </row>
    <row r="1417" spans="1:20">
      <c r="A1417" s="11">
        <v>45887.645833333336</v>
      </c>
      <c r="B1417" s="11">
        <v>45887.666666666664</v>
      </c>
      <c r="C1417" s="10">
        <v>45887</v>
      </c>
      <c r="D1417" s="7">
        <v>641.52139999999997</v>
      </c>
      <c r="E1417" s="7">
        <v>5692897</v>
      </c>
      <c r="F1417" s="7">
        <v>5692897</v>
      </c>
      <c r="G1417" s="7">
        <v>29113288</v>
      </c>
      <c r="H1417" s="7">
        <v>640.96289999999999</v>
      </c>
      <c r="I1417" s="7">
        <v>641.66089999999997</v>
      </c>
      <c r="J1417" s="7">
        <v>14</v>
      </c>
      <c r="K1417" s="7">
        <v>3.9888316999999998E-3</v>
      </c>
      <c r="L1417" s="7">
        <v>644.2203773274</v>
      </c>
      <c r="M1417" s="7">
        <v>638.40620687709998</v>
      </c>
      <c r="N1417" s="7">
        <v>641.23057993110001</v>
      </c>
      <c r="O1417" s="7">
        <v>644.2203773274</v>
      </c>
      <c r="P1417" s="7">
        <v>638.40620687709998</v>
      </c>
      <c r="Q1417">
        <v>1</v>
      </c>
      <c r="R1417">
        <v>1</v>
      </c>
      <c r="S1417" s="11">
        <v>45887.666666666664</v>
      </c>
      <c r="T1417">
        <v>1023</v>
      </c>
    </row>
    <row r="1418" spans="1:20">
      <c r="A1418" s="11">
        <v>45888.395833333336</v>
      </c>
      <c r="B1418" s="11">
        <v>45888.416666666664</v>
      </c>
      <c r="C1418" s="10">
        <v>45888</v>
      </c>
      <c r="D1418" s="7">
        <v>641.10249999999996</v>
      </c>
      <c r="E1418" s="7">
        <v>5737858</v>
      </c>
      <c r="F1418" s="7">
        <v>5737858</v>
      </c>
      <c r="G1418" s="7">
        <v>5737858</v>
      </c>
      <c r="H1418" s="7">
        <v>641.10249999999996</v>
      </c>
      <c r="I1418" s="7">
        <v>641.5213</v>
      </c>
      <c r="J1418" s="7">
        <v>14</v>
      </c>
      <c r="K1418" s="7">
        <v>0</v>
      </c>
      <c r="L1418" s="7">
        <v>641.5213</v>
      </c>
      <c r="M1418" s="7">
        <v>641.10249999999996</v>
      </c>
      <c r="N1418" s="7">
        <v>641.10249999999996</v>
      </c>
      <c r="O1418" s="7">
        <v>641.5213</v>
      </c>
      <c r="P1418" s="7">
        <v>641.10249999999996</v>
      </c>
      <c r="Q1418">
        <v>1</v>
      </c>
      <c r="R1418">
        <v>0</v>
      </c>
      <c r="S1418" s="11">
        <v>45888.666666666664</v>
      </c>
      <c r="T1418">
        <v>1021</v>
      </c>
    </row>
    <row r="1419" spans="1:20">
      <c r="A1419" s="11">
        <v>45888.416666666664</v>
      </c>
      <c r="B1419" s="11">
        <v>45888.4375</v>
      </c>
      <c r="C1419" s="10">
        <v>45888</v>
      </c>
      <c r="D1419" s="7">
        <v>641.27200000000005</v>
      </c>
      <c r="E1419" s="7">
        <v>3756868</v>
      </c>
      <c r="F1419" s="7">
        <v>3756868</v>
      </c>
      <c r="G1419" s="7">
        <v>9494726</v>
      </c>
      <c r="H1419" s="7">
        <v>641.10249999999996</v>
      </c>
      <c r="I1419" s="7">
        <v>641.5213</v>
      </c>
      <c r="J1419" s="7">
        <v>14</v>
      </c>
      <c r="K1419" s="7">
        <v>1.5405673E-3</v>
      </c>
      <c r="L1419" s="7">
        <v>642.50960670879999</v>
      </c>
      <c r="M1419" s="7">
        <v>640.11483848080002</v>
      </c>
      <c r="N1419" s="7">
        <v>641.16956766750002</v>
      </c>
      <c r="O1419" s="7">
        <v>642.50960670879999</v>
      </c>
      <c r="P1419" s="7">
        <v>640.11483848080002</v>
      </c>
      <c r="Q1419">
        <v>1</v>
      </c>
      <c r="R1419">
        <v>0</v>
      </c>
      <c r="S1419" s="11">
        <v>45888.666666666664</v>
      </c>
      <c r="T1419">
        <v>1020</v>
      </c>
    </row>
    <row r="1420" spans="1:20">
      <c r="A1420" s="11">
        <v>45888.4375</v>
      </c>
      <c r="B1420" s="11">
        <v>45888.458333333336</v>
      </c>
      <c r="C1420" s="10">
        <v>45888</v>
      </c>
      <c r="D1420" s="7">
        <v>639.48199999999997</v>
      </c>
      <c r="E1420" s="7">
        <v>5009553</v>
      </c>
      <c r="F1420" s="7">
        <v>5009553</v>
      </c>
      <c r="G1420" s="7">
        <v>14504279</v>
      </c>
      <c r="H1420" s="7">
        <v>641.10249999999996</v>
      </c>
      <c r="I1420" s="7">
        <v>641.5213</v>
      </c>
      <c r="J1420" s="7">
        <v>14</v>
      </c>
      <c r="K1420" s="7">
        <v>2.2707801000000001E-3</v>
      </c>
      <c r="L1420" s="7">
        <v>642.97805377170005</v>
      </c>
      <c r="M1420" s="7">
        <v>639.64669723099996</v>
      </c>
      <c r="N1420" s="7">
        <v>640.58670796989998</v>
      </c>
      <c r="O1420" s="7">
        <v>642.97805377170005</v>
      </c>
      <c r="P1420" s="7">
        <v>639.64669723099996</v>
      </c>
      <c r="Q1420">
        <v>1</v>
      </c>
      <c r="R1420">
        <v>0</v>
      </c>
      <c r="S1420" s="11">
        <v>45888.666666666664</v>
      </c>
      <c r="T1420">
        <v>1019</v>
      </c>
    </row>
    <row r="1421" spans="1:20">
      <c r="A1421" s="11">
        <v>45888.458333333336</v>
      </c>
      <c r="B1421" s="11">
        <v>45888.479166666664</v>
      </c>
      <c r="C1421" s="10">
        <v>45888</v>
      </c>
      <c r="D1421" s="7">
        <v>639.79610000000002</v>
      </c>
      <c r="E1421" s="7">
        <v>3453486</v>
      </c>
      <c r="F1421" s="7">
        <v>3453486</v>
      </c>
      <c r="G1421" s="7">
        <v>17957765</v>
      </c>
      <c r="H1421" s="7">
        <v>641.10249999999996</v>
      </c>
      <c r="I1421" s="7">
        <v>641.5213</v>
      </c>
      <c r="J1421" s="7">
        <v>14</v>
      </c>
      <c r="K1421" s="7">
        <v>2.4509122E-3</v>
      </c>
      <c r="L1421" s="7">
        <v>643.09361238290001</v>
      </c>
      <c r="M1421" s="7">
        <v>639.53121405909997</v>
      </c>
      <c r="N1421" s="7">
        <v>640.43466490909998</v>
      </c>
      <c r="O1421" s="7">
        <v>643.09361238290001</v>
      </c>
      <c r="P1421" s="7">
        <v>639.53121405909997</v>
      </c>
      <c r="Q1421">
        <v>1</v>
      </c>
      <c r="R1421">
        <v>0</v>
      </c>
      <c r="S1421" s="11">
        <v>45888.666666666664</v>
      </c>
      <c r="T1421">
        <v>1018</v>
      </c>
    </row>
    <row r="1422" spans="1:20">
      <c r="A1422" s="11">
        <v>45888.479166666664</v>
      </c>
      <c r="B1422" s="11">
        <v>45888.5</v>
      </c>
      <c r="C1422" s="10">
        <v>45888</v>
      </c>
      <c r="D1422" s="7">
        <v>638.95839999999998</v>
      </c>
      <c r="E1422" s="7">
        <v>2399548</v>
      </c>
      <c r="F1422" s="7">
        <v>2399548</v>
      </c>
      <c r="G1422" s="7">
        <v>20357313</v>
      </c>
      <c r="H1422" s="7">
        <v>641.10249999999996</v>
      </c>
      <c r="I1422" s="7">
        <v>641.5213</v>
      </c>
      <c r="J1422" s="7">
        <v>14</v>
      </c>
      <c r="K1422" s="7">
        <v>2.7441106999999999E-3</v>
      </c>
      <c r="L1422" s="7">
        <v>643.28170545390003</v>
      </c>
      <c r="M1422" s="7">
        <v>639.34324377969995</v>
      </c>
      <c r="N1422" s="7">
        <v>640.26065527879996</v>
      </c>
      <c r="O1422" s="7">
        <v>643.28170545390003</v>
      </c>
      <c r="P1422" s="7">
        <v>639.34324377969995</v>
      </c>
      <c r="Q1422">
        <v>1</v>
      </c>
      <c r="R1422">
        <v>0</v>
      </c>
      <c r="S1422" s="11">
        <v>45888.666666666664</v>
      </c>
      <c r="T1422">
        <v>1017</v>
      </c>
    </row>
    <row r="1423" spans="1:20">
      <c r="A1423" s="11">
        <v>45888.5</v>
      </c>
      <c r="B1423" s="11">
        <v>45888.520833333336</v>
      </c>
      <c r="C1423" s="10">
        <v>45888</v>
      </c>
      <c r="D1423" s="7">
        <v>638.55460000000005</v>
      </c>
      <c r="E1423" s="7">
        <v>2280344</v>
      </c>
      <c r="F1423" s="7">
        <v>2280344</v>
      </c>
      <c r="G1423" s="7">
        <v>22637657</v>
      </c>
      <c r="H1423" s="7">
        <v>641.10249999999996</v>
      </c>
      <c r="I1423" s="7">
        <v>641.5213</v>
      </c>
      <c r="J1423" s="7">
        <v>14</v>
      </c>
      <c r="K1423" s="7">
        <v>2.8919709000000001E-3</v>
      </c>
      <c r="L1423" s="7">
        <v>643.37656095670002</v>
      </c>
      <c r="M1423" s="7">
        <v>639.24845020069995</v>
      </c>
      <c r="N1423" s="7">
        <v>640.08880035050004</v>
      </c>
      <c r="O1423" s="7">
        <v>643.37656095670002</v>
      </c>
      <c r="P1423" s="7">
        <v>639.24845020069995</v>
      </c>
      <c r="Q1423">
        <v>1</v>
      </c>
      <c r="R1423">
        <v>0</v>
      </c>
      <c r="S1423" s="11">
        <v>45888.666666666664</v>
      </c>
      <c r="T1423">
        <v>1016</v>
      </c>
    </row>
    <row r="1424" spans="1:20">
      <c r="A1424" s="11">
        <v>45888.520833333336</v>
      </c>
      <c r="B1424" s="11">
        <v>45888.541666666664</v>
      </c>
      <c r="C1424" s="10">
        <v>45888</v>
      </c>
      <c r="D1424" s="7">
        <v>637.94129999999996</v>
      </c>
      <c r="E1424" s="7">
        <v>2995417</v>
      </c>
      <c r="F1424" s="7">
        <v>2995417</v>
      </c>
      <c r="G1424" s="7">
        <v>25633074</v>
      </c>
      <c r="H1424" s="7">
        <v>641.10249999999996</v>
      </c>
      <c r="I1424" s="7">
        <v>641.5213</v>
      </c>
      <c r="J1424" s="7">
        <v>14</v>
      </c>
      <c r="K1424" s="7">
        <v>2.6664939000000001E-3</v>
      </c>
      <c r="L1424" s="7">
        <v>643.2319126054</v>
      </c>
      <c r="M1424" s="7">
        <v>639.39300412219995</v>
      </c>
      <c r="N1424" s="7">
        <v>639.83784882370003</v>
      </c>
      <c r="O1424" s="7">
        <v>643.2319126054</v>
      </c>
      <c r="P1424" s="7">
        <v>639.39300412219995</v>
      </c>
      <c r="Q1424">
        <v>1</v>
      </c>
      <c r="R1424">
        <v>0</v>
      </c>
      <c r="S1424" s="11">
        <v>45888.666666666664</v>
      </c>
      <c r="T1424">
        <v>1015</v>
      </c>
    </row>
    <row r="1425" spans="1:20">
      <c r="A1425" s="11">
        <v>45888.541666666664</v>
      </c>
      <c r="B1425" s="11">
        <v>45888.5625</v>
      </c>
      <c r="C1425" s="10">
        <v>45888</v>
      </c>
      <c r="D1425" s="7">
        <v>637.91139999999996</v>
      </c>
      <c r="E1425" s="7">
        <v>2894677</v>
      </c>
      <c r="F1425" s="7">
        <v>2894677</v>
      </c>
      <c r="G1425" s="7">
        <v>28527751</v>
      </c>
      <c r="H1425" s="7">
        <v>641.10249999999996</v>
      </c>
      <c r="I1425" s="7">
        <v>641.5213</v>
      </c>
      <c r="J1425" s="7">
        <v>14</v>
      </c>
      <c r="K1425" s="7">
        <v>3.1100873999999998E-3</v>
      </c>
      <c r="L1425" s="7">
        <v>643.51648730939996</v>
      </c>
      <c r="M1425" s="7">
        <v>639.10861519519995</v>
      </c>
      <c r="N1425" s="7">
        <v>639.64237435040002</v>
      </c>
      <c r="O1425" s="7">
        <v>643.51648730939996</v>
      </c>
      <c r="P1425" s="7">
        <v>639.10861519519995</v>
      </c>
      <c r="Q1425">
        <v>1</v>
      </c>
      <c r="R1425">
        <v>0</v>
      </c>
      <c r="S1425" s="11">
        <v>45888.666666666664</v>
      </c>
      <c r="T1425">
        <v>1014</v>
      </c>
    </row>
    <row r="1426" spans="1:20">
      <c r="A1426" s="11">
        <v>45888.5625</v>
      </c>
      <c r="B1426" s="11">
        <v>45888.583333333336</v>
      </c>
      <c r="C1426" s="10">
        <v>45888</v>
      </c>
      <c r="D1426" s="7">
        <v>638.07090000000005</v>
      </c>
      <c r="E1426" s="7">
        <v>1872200</v>
      </c>
      <c r="F1426" s="7">
        <v>1872200</v>
      </c>
      <c r="G1426" s="7">
        <v>30399951</v>
      </c>
      <c r="H1426" s="7">
        <v>641.10249999999996</v>
      </c>
      <c r="I1426" s="7">
        <v>641.5213</v>
      </c>
      <c r="J1426" s="7">
        <v>14</v>
      </c>
      <c r="K1426" s="7">
        <v>3.2984770000000002E-3</v>
      </c>
      <c r="L1426" s="7">
        <v>643.63734323699998</v>
      </c>
      <c r="M1426" s="7">
        <v>638.98783816519995</v>
      </c>
      <c r="N1426" s="7">
        <v>639.54559411939999</v>
      </c>
      <c r="O1426" s="7">
        <v>643.63734323699998</v>
      </c>
      <c r="P1426" s="7">
        <v>638.98783816519995</v>
      </c>
      <c r="Q1426">
        <v>1</v>
      </c>
      <c r="R1426">
        <v>0</v>
      </c>
      <c r="S1426" s="11">
        <v>45888.666666666664</v>
      </c>
      <c r="T1426">
        <v>1013</v>
      </c>
    </row>
    <row r="1427" spans="1:20">
      <c r="A1427" s="11">
        <v>45888.583333333336</v>
      </c>
      <c r="B1427" s="11">
        <v>45888.604166666664</v>
      </c>
      <c r="C1427" s="10">
        <v>45888</v>
      </c>
      <c r="D1427" s="7">
        <v>637.303</v>
      </c>
      <c r="E1427" s="7">
        <v>2316145</v>
      </c>
      <c r="F1427" s="7">
        <v>2316145</v>
      </c>
      <c r="G1427" s="7">
        <v>32716096</v>
      </c>
      <c r="H1427" s="7">
        <v>641.10249999999996</v>
      </c>
      <c r="I1427" s="7">
        <v>641.5213</v>
      </c>
      <c r="J1427" s="7">
        <v>14</v>
      </c>
      <c r="K1427" s="7">
        <v>3.5401730000000002E-3</v>
      </c>
      <c r="L1427" s="7">
        <v>643.79239641319998</v>
      </c>
      <c r="M1427" s="7">
        <v>638.83288621129998</v>
      </c>
      <c r="N1427" s="7">
        <v>639.38682905300004</v>
      </c>
      <c r="O1427" s="7">
        <v>643.79239641319998</v>
      </c>
      <c r="P1427" s="7">
        <v>638.83288621129998</v>
      </c>
      <c r="Q1427">
        <v>1</v>
      </c>
      <c r="R1427">
        <v>0</v>
      </c>
      <c r="S1427" s="11">
        <v>45888.666666666664</v>
      </c>
      <c r="T1427">
        <v>1012</v>
      </c>
    </row>
    <row r="1428" spans="1:20">
      <c r="A1428" s="11">
        <v>45888.604166666664</v>
      </c>
      <c r="B1428" s="11">
        <v>45888.625</v>
      </c>
      <c r="C1428" s="10">
        <v>45888</v>
      </c>
      <c r="D1428" s="7">
        <v>637.26319999999998</v>
      </c>
      <c r="E1428" s="7">
        <v>2237062</v>
      </c>
      <c r="F1428" s="7">
        <v>2237062</v>
      </c>
      <c r="G1428" s="7">
        <v>34953158</v>
      </c>
      <c r="H1428" s="7">
        <v>641.10249999999996</v>
      </c>
      <c r="I1428" s="7">
        <v>641.5213</v>
      </c>
      <c r="J1428" s="7">
        <v>14</v>
      </c>
      <c r="K1428" s="7">
        <v>3.6448833999999999E-3</v>
      </c>
      <c r="L1428" s="7">
        <v>643.85957030960003</v>
      </c>
      <c r="M1428" s="7">
        <v>638.76575616749994</v>
      </c>
      <c r="N1428" s="7">
        <v>639.25091315500003</v>
      </c>
      <c r="O1428" s="7">
        <v>643.85957030960003</v>
      </c>
      <c r="P1428" s="7">
        <v>638.76575616749994</v>
      </c>
      <c r="Q1428">
        <v>1</v>
      </c>
      <c r="R1428">
        <v>0</v>
      </c>
      <c r="S1428" s="11">
        <v>45888.666666666664</v>
      </c>
      <c r="T1428">
        <v>1011</v>
      </c>
    </row>
    <row r="1429" spans="1:20">
      <c r="A1429" s="11">
        <v>45888.625</v>
      </c>
      <c r="B1429" s="11">
        <v>45888.645833333336</v>
      </c>
      <c r="C1429" s="10">
        <v>45888</v>
      </c>
      <c r="D1429" s="7">
        <v>637.44269999999995</v>
      </c>
      <c r="E1429" s="7">
        <v>3713105</v>
      </c>
      <c r="F1429" s="7">
        <v>3713105</v>
      </c>
      <c r="G1429" s="7">
        <v>38666263</v>
      </c>
      <c r="H1429" s="7">
        <v>641.10249999999996</v>
      </c>
      <c r="I1429" s="7">
        <v>641.5213</v>
      </c>
      <c r="J1429" s="7">
        <v>14</v>
      </c>
      <c r="K1429" s="7">
        <v>3.9683899999999996E-3</v>
      </c>
      <c r="L1429" s="7">
        <v>644.06710672190002</v>
      </c>
      <c r="M1429" s="7">
        <v>638.55835523990004</v>
      </c>
      <c r="N1429" s="7">
        <v>639.07727120499999</v>
      </c>
      <c r="O1429" s="7">
        <v>644.06710672190002</v>
      </c>
      <c r="P1429" s="7">
        <v>638.55835523990004</v>
      </c>
      <c r="Q1429">
        <v>1</v>
      </c>
      <c r="R1429">
        <v>0</v>
      </c>
      <c r="S1429" s="11">
        <v>45888.666666666664</v>
      </c>
      <c r="T1429">
        <v>1010</v>
      </c>
    </row>
    <row r="1430" spans="1:20">
      <c r="A1430" s="11">
        <v>45888.645833333336</v>
      </c>
      <c r="B1430" s="11">
        <v>45888.666666666664</v>
      </c>
      <c r="C1430" s="10">
        <v>45888</v>
      </c>
      <c r="D1430" s="7">
        <v>638.04100000000005</v>
      </c>
      <c r="E1430" s="7">
        <v>9412757</v>
      </c>
      <c r="F1430" s="7">
        <v>9412757</v>
      </c>
      <c r="G1430" s="7">
        <v>48079020</v>
      </c>
      <c r="H1430" s="7">
        <v>641.10249999999996</v>
      </c>
      <c r="I1430" s="7">
        <v>641.5213</v>
      </c>
      <c r="J1430" s="7">
        <v>14</v>
      </c>
      <c r="K1430" s="7">
        <v>3.7420754999999998E-3</v>
      </c>
      <c r="L1430" s="7">
        <v>643.92192114579996</v>
      </c>
      <c r="M1430" s="7">
        <v>638.70344603540002</v>
      </c>
      <c r="N1430" s="7">
        <v>638.87439333769998</v>
      </c>
      <c r="O1430" s="7">
        <v>643.92192114579996</v>
      </c>
      <c r="P1430" s="7">
        <v>638.70344603540002</v>
      </c>
      <c r="Q1430">
        <v>1</v>
      </c>
      <c r="R1430">
        <v>1</v>
      </c>
      <c r="S1430" s="11">
        <v>45888.666666666664</v>
      </c>
      <c r="T1430">
        <v>1009</v>
      </c>
    </row>
    <row r="1431" spans="1:20">
      <c r="A1431" s="11">
        <v>45889.395833333336</v>
      </c>
      <c r="B1431" s="11">
        <v>45889.416666666664</v>
      </c>
      <c r="C1431" s="10">
        <v>45889</v>
      </c>
      <c r="D1431" s="7">
        <v>633.55349999999999</v>
      </c>
      <c r="E1431" s="7">
        <v>10806572</v>
      </c>
      <c r="F1431" s="7">
        <v>10806572</v>
      </c>
      <c r="G1431" s="7">
        <v>10806572</v>
      </c>
      <c r="H1431" s="7">
        <v>633.55349999999999</v>
      </c>
      <c r="I1431" s="7">
        <v>638.04100000000005</v>
      </c>
      <c r="J1431" s="7">
        <v>14</v>
      </c>
      <c r="K1431" s="7">
        <v>0</v>
      </c>
      <c r="L1431" s="7">
        <v>638.04100000000005</v>
      </c>
      <c r="M1431" s="7">
        <v>633.55349999999999</v>
      </c>
      <c r="N1431" s="7">
        <v>633.55349999999999</v>
      </c>
      <c r="O1431" s="7">
        <v>638.04100000000005</v>
      </c>
      <c r="P1431" s="7">
        <v>633.55349999999999</v>
      </c>
      <c r="Q1431">
        <v>1</v>
      </c>
      <c r="R1431">
        <v>0</v>
      </c>
      <c r="S1431" s="11">
        <v>45889.666666666664</v>
      </c>
      <c r="T1431">
        <v>1007</v>
      </c>
    </row>
    <row r="1432" spans="1:20">
      <c r="A1432" s="11">
        <v>45889.416666666664</v>
      </c>
      <c r="B1432" s="11">
        <v>45889.4375</v>
      </c>
      <c r="C1432" s="10">
        <v>45889</v>
      </c>
      <c r="D1432" s="7">
        <v>632.18730000000005</v>
      </c>
      <c r="E1432" s="7">
        <v>7629039</v>
      </c>
      <c r="F1432" s="7">
        <v>7629039</v>
      </c>
      <c r="G1432" s="7">
        <v>18435611</v>
      </c>
      <c r="H1432" s="7">
        <v>633.55349999999999</v>
      </c>
      <c r="I1432" s="7">
        <v>638.04100000000005</v>
      </c>
      <c r="J1432" s="7">
        <v>14</v>
      </c>
      <c r="K1432" s="7">
        <v>1.4852915000000001E-3</v>
      </c>
      <c r="L1432" s="7">
        <v>638.98867689320002</v>
      </c>
      <c r="M1432" s="7">
        <v>632.61248835260005</v>
      </c>
      <c r="N1432" s="7">
        <v>632.98813804470001</v>
      </c>
      <c r="O1432" s="7">
        <v>638.98867689320002</v>
      </c>
      <c r="P1432" s="7">
        <v>632.61248835260005</v>
      </c>
      <c r="Q1432">
        <v>1</v>
      </c>
      <c r="R1432">
        <v>0</v>
      </c>
      <c r="S1432" s="11">
        <v>45889.666666666664</v>
      </c>
      <c r="T1432">
        <v>1006</v>
      </c>
    </row>
    <row r="1433" spans="1:20">
      <c r="A1433" s="11">
        <v>45889.4375</v>
      </c>
      <c r="B1433" s="11">
        <v>45889.458333333336</v>
      </c>
      <c r="C1433" s="10">
        <v>45889</v>
      </c>
      <c r="D1433" s="7">
        <v>631.42930000000001</v>
      </c>
      <c r="E1433" s="7">
        <v>4243728</v>
      </c>
      <c r="F1433" s="7">
        <v>4243728</v>
      </c>
      <c r="G1433" s="7">
        <v>22679339</v>
      </c>
      <c r="H1433" s="7">
        <v>633.55349999999999</v>
      </c>
      <c r="I1433" s="7">
        <v>638.04100000000005</v>
      </c>
      <c r="J1433" s="7">
        <v>14</v>
      </c>
      <c r="K1433" s="7">
        <v>2.3895166000000002E-3</v>
      </c>
      <c r="L1433" s="7">
        <v>639.56560958310001</v>
      </c>
      <c r="M1433" s="7">
        <v>632.03961337279998</v>
      </c>
      <c r="N1433" s="7">
        <v>632.69645032589995</v>
      </c>
      <c r="O1433" s="7">
        <v>639.56560958310001</v>
      </c>
      <c r="P1433" s="7">
        <v>632.03961337279998</v>
      </c>
      <c r="Q1433">
        <v>1</v>
      </c>
      <c r="R1433">
        <v>0</v>
      </c>
      <c r="S1433" s="11">
        <v>45889.666666666664</v>
      </c>
      <c r="T1433">
        <v>1005</v>
      </c>
    </row>
    <row r="1434" spans="1:20">
      <c r="A1434" s="11">
        <v>45889.458333333336</v>
      </c>
      <c r="B1434" s="11">
        <v>45889.479166666664</v>
      </c>
      <c r="C1434" s="10">
        <v>45889</v>
      </c>
      <c r="D1434" s="7">
        <v>634.5806</v>
      </c>
      <c r="E1434" s="7">
        <v>4601057</v>
      </c>
      <c r="F1434" s="7">
        <v>4601057</v>
      </c>
      <c r="G1434" s="7">
        <v>27280396</v>
      </c>
      <c r="H1434" s="7">
        <v>633.55349999999999</v>
      </c>
      <c r="I1434" s="7">
        <v>638.04100000000005</v>
      </c>
      <c r="J1434" s="7">
        <v>14</v>
      </c>
      <c r="K1434" s="7">
        <v>2.5526469999999999E-3</v>
      </c>
      <c r="L1434" s="7">
        <v>639.66969341849995</v>
      </c>
      <c r="M1434" s="7">
        <v>631.93626158480004</v>
      </c>
      <c r="N1434" s="7">
        <v>633.01422723960002</v>
      </c>
      <c r="O1434" s="7">
        <v>639.66969341849995</v>
      </c>
      <c r="P1434" s="7">
        <v>631.93626158480004</v>
      </c>
      <c r="Q1434">
        <v>1</v>
      </c>
      <c r="R1434">
        <v>0</v>
      </c>
      <c r="S1434" s="11">
        <v>45889.666666666664</v>
      </c>
      <c r="T1434">
        <v>1004</v>
      </c>
    </row>
    <row r="1435" spans="1:20">
      <c r="A1435" s="11">
        <v>45889.479166666664</v>
      </c>
      <c r="B1435" s="11">
        <v>45889.5</v>
      </c>
      <c r="C1435" s="10">
        <v>45889</v>
      </c>
      <c r="D1435" s="7">
        <v>633.42380000000003</v>
      </c>
      <c r="E1435" s="7">
        <v>3323580</v>
      </c>
      <c r="F1435" s="7">
        <v>3323580</v>
      </c>
      <c r="G1435" s="7">
        <v>30603976</v>
      </c>
      <c r="H1435" s="7">
        <v>633.55349999999999</v>
      </c>
      <c r="I1435" s="7">
        <v>638.04100000000005</v>
      </c>
      <c r="J1435" s="7">
        <v>14</v>
      </c>
      <c r="K1435" s="7">
        <v>2.9307500999999998E-3</v>
      </c>
      <c r="L1435" s="7">
        <v>639.91093873140005</v>
      </c>
      <c r="M1435" s="7">
        <v>631.69671300970003</v>
      </c>
      <c r="N1435" s="7">
        <v>633.05870668360001</v>
      </c>
      <c r="O1435" s="7">
        <v>639.91093873140005</v>
      </c>
      <c r="P1435" s="7">
        <v>631.69671300970003</v>
      </c>
      <c r="Q1435">
        <v>1</v>
      </c>
      <c r="R1435">
        <v>0</v>
      </c>
      <c r="S1435" s="11">
        <v>45889.666666666664</v>
      </c>
      <c r="T1435">
        <v>1003</v>
      </c>
    </row>
    <row r="1436" spans="1:20">
      <c r="A1436" s="11">
        <v>45889.5</v>
      </c>
      <c r="B1436" s="11">
        <v>45889.520833333336</v>
      </c>
      <c r="C1436" s="10">
        <v>45889</v>
      </c>
      <c r="D1436" s="7">
        <v>635.66759999999999</v>
      </c>
      <c r="E1436" s="7">
        <v>3208795</v>
      </c>
      <c r="F1436" s="7">
        <v>3208795</v>
      </c>
      <c r="G1436" s="7">
        <v>33812771</v>
      </c>
      <c r="H1436" s="7">
        <v>633.55349999999999</v>
      </c>
      <c r="I1436" s="7">
        <v>638.04100000000005</v>
      </c>
      <c r="J1436" s="7">
        <v>14</v>
      </c>
      <c r="K1436" s="7">
        <v>3.0747115000000001E-3</v>
      </c>
      <c r="L1436" s="7">
        <v>640.00279201130002</v>
      </c>
      <c r="M1436" s="7">
        <v>631.6055057566</v>
      </c>
      <c r="N1436" s="7">
        <v>633.30628780699999</v>
      </c>
      <c r="O1436" s="7">
        <v>640.00279201130002</v>
      </c>
      <c r="P1436" s="7">
        <v>631.6055057566</v>
      </c>
      <c r="Q1436">
        <v>1</v>
      </c>
      <c r="R1436">
        <v>0</v>
      </c>
      <c r="S1436" s="11">
        <v>45889.666666666664</v>
      </c>
      <c r="T1436">
        <v>1002</v>
      </c>
    </row>
    <row r="1437" spans="1:20">
      <c r="A1437" s="11">
        <v>45889.520833333336</v>
      </c>
      <c r="B1437" s="11">
        <v>45889.541666666664</v>
      </c>
      <c r="C1437" s="10">
        <v>45889</v>
      </c>
      <c r="D1437" s="7">
        <v>634.46090000000004</v>
      </c>
      <c r="E1437" s="7">
        <v>2317887</v>
      </c>
      <c r="F1437" s="7">
        <v>2317887</v>
      </c>
      <c r="G1437" s="7">
        <v>36130658</v>
      </c>
      <c r="H1437" s="7">
        <v>633.55349999999999</v>
      </c>
      <c r="I1437" s="7">
        <v>638.04100000000005</v>
      </c>
      <c r="J1437" s="7">
        <v>14</v>
      </c>
      <c r="K1437" s="7">
        <v>2.9327423E-3</v>
      </c>
      <c r="L1437" s="7">
        <v>639.91220981790002</v>
      </c>
      <c r="M1437" s="7">
        <v>631.69545086300002</v>
      </c>
      <c r="N1437" s="7">
        <v>633.38035954379995</v>
      </c>
      <c r="O1437" s="7">
        <v>639.91220981790002</v>
      </c>
      <c r="P1437" s="7">
        <v>631.69545086300002</v>
      </c>
      <c r="Q1437">
        <v>1</v>
      </c>
      <c r="R1437">
        <v>0</v>
      </c>
      <c r="S1437" s="11">
        <v>45889.666666666664</v>
      </c>
      <c r="T1437">
        <v>1001</v>
      </c>
    </row>
    <row r="1438" spans="1:20">
      <c r="A1438" s="11">
        <v>45889.541666666664</v>
      </c>
      <c r="B1438" s="11">
        <v>45889.5625</v>
      </c>
      <c r="C1438" s="10">
        <v>45889</v>
      </c>
      <c r="D1438" s="7">
        <v>634.80999999999995</v>
      </c>
      <c r="E1438" s="7">
        <v>1694415</v>
      </c>
      <c r="F1438" s="7">
        <v>1694415</v>
      </c>
      <c r="G1438" s="7">
        <v>37825073</v>
      </c>
      <c r="H1438" s="7">
        <v>633.55349999999999</v>
      </c>
      <c r="I1438" s="7">
        <v>638.04100000000005</v>
      </c>
      <c r="J1438" s="7">
        <v>14</v>
      </c>
      <c r="K1438" s="7">
        <v>3.4105618000000002E-3</v>
      </c>
      <c r="L1438" s="7">
        <v>640.21707823190002</v>
      </c>
      <c r="M1438" s="7">
        <v>631.39272666399995</v>
      </c>
      <c r="N1438" s="7">
        <v>633.44440183220001</v>
      </c>
      <c r="O1438" s="7">
        <v>640.21707823190002</v>
      </c>
      <c r="P1438" s="7">
        <v>631.39272666399995</v>
      </c>
      <c r="Q1438">
        <v>1</v>
      </c>
      <c r="R1438">
        <v>0</v>
      </c>
      <c r="S1438" s="11">
        <v>45889.666666666664</v>
      </c>
      <c r="T1438">
        <v>1000</v>
      </c>
    </row>
    <row r="1439" spans="1:20">
      <c r="A1439" s="11">
        <v>45889.5625</v>
      </c>
      <c r="B1439" s="11">
        <v>45889.583333333336</v>
      </c>
      <c r="C1439" s="10">
        <v>45889</v>
      </c>
      <c r="D1439" s="7">
        <v>635.41830000000004</v>
      </c>
      <c r="E1439" s="7">
        <v>1776844</v>
      </c>
      <c r="F1439" s="7">
        <v>1776844</v>
      </c>
      <c r="G1439" s="7">
        <v>39601917</v>
      </c>
      <c r="H1439" s="7">
        <v>633.55349999999999</v>
      </c>
      <c r="I1439" s="7">
        <v>638.04100000000005</v>
      </c>
      <c r="J1439" s="7">
        <v>14</v>
      </c>
      <c r="K1439" s="7">
        <v>3.5317401999999999E-3</v>
      </c>
      <c r="L1439" s="7">
        <v>640.29439505109997</v>
      </c>
      <c r="M1439" s="7">
        <v>631.31595363309998</v>
      </c>
      <c r="N1439" s="7">
        <v>633.53296595689994</v>
      </c>
      <c r="O1439" s="7">
        <v>640.29439505109997</v>
      </c>
      <c r="P1439" s="7">
        <v>631.31595363309998</v>
      </c>
      <c r="Q1439">
        <v>1</v>
      </c>
      <c r="R1439">
        <v>0</v>
      </c>
      <c r="S1439" s="11">
        <v>45889.666666666664</v>
      </c>
      <c r="T1439">
        <v>999</v>
      </c>
    </row>
    <row r="1440" spans="1:20">
      <c r="A1440" s="11">
        <v>45889.583333333336</v>
      </c>
      <c r="B1440" s="11">
        <v>45889.604166666664</v>
      </c>
      <c r="C1440" s="10">
        <v>45889</v>
      </c>
      <c r="D1440" s="7">
        <v>634.06200000000001</v>
      </c>
      <c r="E1440" s="7">
        <v>3728960</v>
      </c>
      <c r="F1440" s="7">
        <v>3728960</v>
      </c>
      <c r="G1440" s="7">
        <v>43330877</v>
      </c>
      <c r="H1440" s="7">
        <v>633.55349999999999</v>
      </c>
      <c r="I1440" s="7">
        <v>638.04100000000005</v>
      </c>
      <c r="J1440" s="7">
        <v>14</v>
      </c>
      <c r="K1440" s="7">
        <v>3.8410209E-3</v>
      </c>
      <c r="L1440" s="7">
        <v>640.49172878770003</v>
      </c>
      <c r="M1440" s="7">
        <v>631.12000779339996</v>
      </c>
      <c r="N1440" s="7">
        <v>633.57849346349997</v>
      </c>
      <c r="O1440" s="7">
        <v>640.49172878770003</v>
      </c>
      <c r="P1440" s="7">
        <v>631.12000779339996</v>
      </c>
      <c r="Q1440">
        <v>1</v>
      </c>
      <c r="R1440">
        <v>0</v>
      </c>
      <c r="S1440" s="11">
        <v>45889.666666666664</v>
      </c>
      <c r="T1440">
        <v>998</v>
      </c>
    </row>
    <row r="1441" spans="1:20">
      <c r="A1441" s="11">
        <v>45889.604166666664</v>
      </c>
      <c r="B1441" s="11">
        <v>45889.625</v>
      </c>
      <c r="C1441" s="10">
        <v>45889</v>
      </c>
      <c r="D1441" s="7">
        <v>634.96950000000004</v>
      </c>
      <c r="E1441" s="7">
        <v>2824430</v>
      </c>
      <c r="F1441" s="7">
        <v>2824430</v>
      </c>
      <c r="G1441" s="7">
        <v>46155307</v>
      </c>
      <c r="H1441" s="7">
        <v>633.55349999999999</v>
      </c>
      <c r="I1441" s="7">
        <v>638.04100000000005</v>
      </c>
      <c r="J1441" s="7">
        <v>14</v>
      </c>
      <c r="K1441" s="7">
        <v>3.7378016E-3</v>
      </c>
      <c r="L1441" s="7">
        <v>640.42587067869999</v>
      </c>
      <c r="M1441" s="7">
        <v>631.18540270610004</v>
      </c>
      <c r="N1441" s="7">
        <v>633.66361478210001</v>
      </c>
      <c r="O1441" s="7">
        <v>640.42587067869999</v>
      </c>
      <c r="P1441" s="7">
        <v>631.18540270610004</v>
      </c>
      <c r="Q1441">
        <v>1</v>
      </c>
      <c r="R1441">
        <v>0</v>
      </c>
      <c r="S1441" s="11">
        <v>45889.666666666664</v>
      </c>
      <c r="T1441">
        <v>997</v>
      </c>
    </row>
    <row r="1442" spans="1:20">
      <c r="A1442" s="11">
        <v>45889.625</v>
      </c>
      <c r="B1442" s="11">
        <v>45889.645833333336</v>
      </c>
      <c r="C1442" s="10">
        <v>45889</v>
      </c>
      <c r="D1442" s="7">
        <v>636.50519999999995</v>
      </c>
      <c r="E1442" s="7">
        <v>3868900</v>
      </c>
      <c r="F1442" s="7">
        <v>3868900</v>
      </c>
      <c r="G1442" s="7">
        <v>50024207</v>
      </c>
      <c r="H1442" s="7">
        <v>633.55349999999999</v>
      </c>
      <c r="I1442" s="7">
        <v>638.04100000000005</v>
      </c>
      <c r="J1442" s="7">
        <v>14</v>
      </c>
      <c r="K1442" s="7">
        <v>3.9761511000000003E-3</v>
      </c>
      <c r="L1442" s="7">
        <v>640.57794743429997</v>
      </c>
      <c r="M1442" s="7">
        <v>631.03439554390002</v>
      </c>
      <c r="N1442" s="7">
        <v>633.88338456370002</v>
      </c>
      <c r="O1442" s="7">
        <v>640.57794743429997</v>
      </c>
      <c r="P1442" s="7">
        <v>631.03439554390002</v>
      </c>
      <c r="Q1442">
        <v>1</v>
      </c>
      <c r="R1442">
        <v>0</v>
      </c>
      <c r="S1442" s="11">
        <v>45889.666666666664</v>
      </c>
      <c r="T1442">
        <v>996</v>
      </c>
    </row>
    <row r="1443" spans="1:20">
      <c r="A1443" s="11">
        <v>45889.645833333336</v>
      </c>
      <c r="B1443" s="11">
        <v>45889.666666666664</v>
      </c>
      <c r="C1443" s="10">
        <v>45889</v>
      </c>
      <c r="D1443" s="7">
        <v>636.34569999999997</v>
      </c>
      <c r="E1443" s="7">
        <v>8528843</v>
      </c>
      <c r="F1443" s="7">
        <v>8528843</v>
      </c>
      <c r="G1443" s="7">
        <v>58553050</v>
      </c>
      <c r="H1443" s="7">
        <v>633.55349999999999</v>
      </c>
      <c r="I1443" s="7">
        <v>638.04100000000005</v>
      </c>
      <c r="J1443" s="7">
        <v>14</v>
      </c>
      <c r="K1443" s="7">
        <v>3.9427276999999998E-3</v>
      </c>
      <c r="L1443" s="7">
        <v>640.55662194770002</v>
      </c>
      <c r="M1443" s="7">
        <v>631.05557104299999</v>
      </c>
      <c r="N1443" s="7">
        <v>634.24204567139998</v>
      </c>
      <c r="O1443" s="7">
        <v>640.55662194770002</v>
      </c>
      <c r="P1443" s="7">
        <v>631.05557104299999</v>
      </c>
      <c r="Q1443">
        <v>1</v>
      </c>
      <c r="R1443">
        <v>1</v>
      </c>
      <c r="S1443" s="11">
        <v>45889.666666666664</v>
      </c>
      <c r="T1443">
        <v>995</v>
      </c>
    </row>
    <row r="1444" spans="1:20">
      <c r="A1444" s="11">
        <v>45890.395833333336</v>
      </c>
      <c r="B1444" s="11">
        <v>45890.416666666664</v>
      </c>
      <c r="C1444" s="10">
        <v>45890</v>
      </c>
      <c r="D1444" s="7">
        <v>633.30409999999995</v>
      </c>
      <c r="E1444" s="7">
        <v>5786775</v>
      </c>
      <c r="F1444" s="7">
        <v>5786775</v>
      </c>
      <c r="G1444" s="7">
        <v>5786775</v>
      </c>
      <c r="H1444" s="7">
        <v>633.30409999999995</v>
      </c>
      <c r="I1444" s="7">
        <v>636.34559999999999</v>
      </c>
      <c r="J1444" s="7">
        <v>14</v>
      </c>
      <c r="K1444" s="7">
        <v>0</v>
      </c>
      <c r="L1444" s="7">
        <v>636.34559999999999</v>
      </c>
      <c r="M1444" s="7">
        <v>633.30409999999995</v>
      </c>
      <c r="N1444" s="7">
        <v>633.30409999999995</v>
      </c>
      <c r="O1444" s="7">
        <v>636.34559999999999</v>
      </c>
      <c r="P1444" s="7">
        <v>633.30409999999995</v>
      </c>
      <c r="Q1444">
        <v>1</v>
      </c>
      <c r="R1444">
        <v>0</v>
      </c>
      <c r="S1444" s="11">
        <v>45890.666666666664</v>
      </c>
      <c r="T1444">
        <v>993</v>
      </c>
    </row>
    <row r="1445" spans="1:20">
      <c r="A1445" s="11">
        <v>45890.416666666664</v>
      </c>
      <c r="B1445" s="11">
        <v>45890.4375</v>
      </c>
      <c r="C1445" s="10">
        <v>45890</v>
      </c>
      <c r="D1445" s="7">
        <v>636.06650000000002</v>
      </c>
      <c r="E1445" s="7">
        <v>3081287</v>
      </c>
      <c r="F1445" s="7">
        <v>3081287</v>
      </c>
      <c r="G1445" s="7">
        <v>8868062</v>
      </c>
      <c r="H1445" s="7">
        <v>633.30409999999995</v>
      </c>
      <c r="I1445" s="7">
        <v>636.34559999999999</v>
      </c>
      <c r="J1445" s="7">
        <v>14</v>
      </c>
      <c r="K1445" s="7">
        <v>1.5683935999999999E-3</v>
      </c>
      <c r="L1445" s="7">
        <v>637.34364036989996</v>
      </c>
      <c r="M1445" s="7">
        <v>632.31082989920003</v>
      </c>
      <c r="N1445" s="7">
        <v>634.26392044429997</v>
      </c>
      <c r="O1445" s="7">
        <v>637.34364036989996</v>
      </c>
      <c r="P1445" s="7">
        <v>632.31082989920003</v>
      </c>
      <c r="Q1445">
        <v>1</v>
      </c>
      <c r="R1445">
        <v>0</v>
      </c>
      <c r="S1445" s="11">
        <v>45890.666666666664</v>
      </c>
      <c r="T1445">
        <v>992</v>
      </c>
    </row>
    <row r="1446" spans="1:20">
      <c r="A1446" s="11">
        <v>45890.4375</v>
      </c>
      <c r="B1446" s="11">
        <v>45890.458333333336</v>
      </c>
      <c r="C1446" s="10">
        <v>45890</v>
      </c>
      <c r="D1446" s="7">
        <v>635.44820000000004</v>
      </c>
      <c r="E1446" s="7">
        <v>1844874</v>
      </c>
      <c r="F1446" s="7">
        <v>1844874</v>
      </c>
      <c r="G1446" s="7">
        <v>10712936</v>
      </c>
      <c r="H1446" s="7">
        <v>633.30409999999995</v>
      </c>
      <c r="I1446" s="7">
        <v>636.34559999999999</v>
      </c>
      <c r="J1446" s="7">
        <v>14</v>
      </c>
      <c r="K1446" s="7">
        <v>2.3123307999999999E-3</v>
      </c>
      <c r="L1446" s="7">
        <v>637.81704154839997</v>
      </c>
      <c r="M1446" s="7">
        <v>631.83969140579995</v>
      </c>
      <c r="N1446" s="7">
        <v>634.46786514819996</v>
      </c>
      <c r="O1446" s="7">
        <v>637.81704154839997</v>
      </c>
      <c r="P1446" s="7">
        <v>631.83969140579995</v>
      </c>
      <c r="Q1446">
        <v>1</v>
      </c>
      <c r="R1446">
        <v>0</v>
      </c>
      <c r="S1446" s="11">
        <v>45890.666666666664</v>
      </c>
      <c r="T1446">
        <v>991</v>
      </c>
    </row>
    <row r="1447" spans="1:20">
      <c r="A1447" s="11">
        <v>45890.458333333336</v>
      </c>
      <c r="B1447" s="11">
        <v>45890.479166666664</v>
      </c>
      <c r="C1447" s="10">
        <v>45890</v>
      </c>
      <c r="D1447" s="7">
        <v>634.92960000000005</v>
      </c>
      <c r="E1447" s="7">
        <v>2357104</v>
      </c>
      <c r="F1447" s="7">
        <v>2357104</v>
      </c>
      <c r="G1447" s="7">
        <v>13070040</v>
      </c>
      <c r="H1447" s="7">
        <v>633.30409999999995</v>
      </c>
      <c r="I1447" s="7">
        <v>636.34559999999999</v>
      </c>
      <c r="J1447" s="7">
        <v>14</v>
      </c>
      <c r="K1447" s="7">
        <v>2.3059687000000001E-3</v>
      </c>
      <c r="L1447" s="7">
        <v>637.81299301030003</v>
      </c>
      <c r="M1447" s="7">
        <v>631.84372059340001</v>
      </c>
      <c r="N1447" s="7">
        <v>634.55113628330002</v>
      </c>
      <c r="O1447" s="7">
        <v>637.81299301030003</v>
      </c>
      <c r="P1447" s="7">
        <v>631.84372059340001</v>
      </c>
      <c r="Q1447">
        <v>1</v>
      </c>
      <c r="R1447">
        <v>0</v>
      </c>
      <c r="S1447" s="11">
        <v>45890.666666666664</v>
      </c>
      <c r="T1447">
        <v>990</v>
      </c>
    </row>
    <row r="1448" spans="1:20">
      <c r="A1448" s="11">
        <v>45890.479166666664</v>
      </c>
      <c r="B1448" s="11">
        <v>45890.5</v>
      </c>
      <c r="C1448" s="10">
        <v>45890</v>
      </c>
      <c r="D1448" s="7">
        <v>633.86260000000004</v>
      </c>
      <c r="E1448" s="7">
        <v>1872232</v>
      </c>
      <c r="F1448" s="7">
        <v>1872232</v>
      </c>
      <c r="G1448" s="7">
        <v>14942272</v>
      </c>
      <c r="H1448" s="7">
        <v>633.30409999999995</v>
      </c>
      <c r="I1448" s="7">
        <v>636.34559999999999</v>
      </c>
      <c r="J1448" s="7">
        <v>14</v>
      </c>
      <c r="K1448" s="7">
        <v>2.7303401E-3</v>
      </c>
      <c r="L1448" s="7">
        <v>638.08303991749995</v>
      </c>
      <c r="M1448" s="7">
        <v>631.57496441190005</v>
      </c>
      <c r="N1448" s="7">
        <v>634.46486428510002</v>
      </c>
      <c r="O1448" s="7">
        <v>638.08303991749995</v>
      </c>
      <c r="P1448" s="7">
        <v>631.57496441190005</v>
      </c>
      <c r="Q1448">
        <v>1</v>
      </c>
      <c r="R1448">
        <v>0</v>
      </c>
      <c r="S1448" s="11">
        <v>45890.666666666664</v>
      </c>
      <c r="T1448">
        <v>989</v>
      </c>
    </row>
    <row r="1449" spans="1:20">
      <c r="A1449" s="11">
        <v>45890.5</v>
      </c>
      <c r="B1449" s="11">
        <v>45890.520833333336</v>
      </c>
      <c r="C1449" s="10">
        <v>45890</v>
      </c>
      <c r="D1449" s="7">
        <v>633.46370000000002</v>
      </c>
      <c r="E1449" s="7">
        <v>2168078</v>
      </c>
      <c r="F1449" s="7">
        <v>2168078</v>
      </c>
      <c r="G1449" s="7">
        <v>17110350</v>
      </c>
      <c r="H1449" s="7">
        <v>633.30409999999995</v>
      </c>
      <c r="I1449" s="7">
        <v>636.34559999999999</v>
      </c>
      <c r="J1449" s="7">
        <v>14</v>
      </c>
      <c r="K1449" s="7">
        <v>3.1605991000000001E-3</v>
      </c>
      <c r="L1449" s="7">
        <v>638.35683334299995</v>
      </c>
      <c r="M1449" s="7">
        <v>631.30247961919997</v>
      </c>
      <c r="N1449" s="7">
        <v>634.33800526350001</v>
      </c>
      <c r="O1449" s="7">
        <v>638.35683334299995</v>
      </c>
      <c r="P1449" s="7">
        <v>631.30247961919997</v>
      </c>
      <c r="Q1449">
        <v>1</v>
      </c>
      <c r="R1449">
        <v>0</v>
      </c>
      <c r="S1449" s="11">
        <v>45890.666666666664</v>
      </c>
      <c r="T1449">
        <v>988</v>
      </c>
    </row>
    <row r="1450" spans="1:20">
      <c r="A1450" s="11">
        <v>45890.520833333336</v>
      </c>
      <c r="B1450" s="11">
        <v>45890.541666666664</v>
      </c>
      <c r="C1450" s="10">
        <v>45890</v>
      </c>
      <c r="D1450" s="7">
        <v>633.12459999999999</v>
      </c>
      <c r="E1450" s="7">
        <v>1554284</v>
      </c>
      <c r="F1450" s="7">
        <v>1554284</v>
      </c>
      <c r="G1450" s="7">
        <v>18664634</v>
      </c>
      <c r="H1450" s="7">
        <v>633.30409999999995</v>
      </c>
      <c r="I1450" s="7">
        <v>636.34559999999999</v>
      </c>
      <c r="J1450" s="7">
        <v>14</v>
      </c>
      <c r="K1450" s="7">
        <v>2.8479486000000001E-3</v>
      </c>
      <c r="L1450" s="7">
        <v>638.15787952940002</v>
      </c>
      <c r="M1450" s="7">
        <v>631.50048250609996</v>
      </c>
      <c r="N1450" s="7">
        <v>634.23695981109995</v>
      </c>
      <c r="O1450" s="7">
        <v>638.15787952940002</v>
      </c>
      <c r="P1450" s="7">
        <v>631.50048250609996</v>
      </c>
      <c r="Q1450">
        <v>1</v>
      </c>
      <c r="R1450">
        <v>0</v>
      </c>
      <c r="S1450" s="11">
        <v>45890.666666666664</v>
      </c>
      <c r="T1450">
        <v>987</v>
      </c>
    </row>
    <row r="1451" spans="1:20">
      <c r="A1451" s="11">
        <v>45890.541666666664</v>
      </c>
      <c r="B1451" s="11">
        <v>45890.5625</v>
      </c>
      <c r="C1451" s="10">
        <v>45890</v>
      </c>
      <c r="D1451" s="7">
        <v>632.64099999999996</v>
      </c>
      <c r="E1451" s="7">
        <v>2019751</v>
      </c>
      <c r="F1451" s="7">
        <v>2019751</v>
      </c>
      <c r="G1451" s="7">
        <v>20684385</v>
      </c>
      <c r="H1451" s="7">
        <v>633.30409999999995</v>
      </c>
      <c r="I1451" s="7">
        <v>636.34559999999999</v>
      </c>
      <c r="J1451" s="7">
        <v>14</v>
      </c>
      <c r="K1451" s="7">
        <v>3.0367135000000001E-3</v>
      </c>
      <c r="L1451" s="7">
        <v>638.27799927590002</v>
      </c>
      <c r="M1451" s="7">
        <v>631.38093688820004</v>
      </c>
      <c r="N1451" s="7">
        <v>634.081120446</v>
      </c>
      <c r="O1451" s="7">
        <v>638.27799927590002</v>
      </c>
      <c r="P1451" s="7">
        <v>631.38093688820004</v>
      </c>
      <c r="Q1451">
        <v>1</v>
      </c>
      <c r="R1451">
        <v>0</v>
      </c>
      <c r="S1451" s="11">
        <v>45890.666666666664</v>
      </c>
      <c r="T1451">
        <v>986</v>
      </c>
    </row>
    <row r="1452" spans="1:20">
      <c r="A1452" s="11">
        <v>45890.5625</v>
      </c>
      <c r="B1452" s="11">
        <v>45890.583333333336</v>
      </c>
      <c r="C1452" s="10">
        <v>45890</v>
      </c>
      <c r="D1452" s="7">
        <v>634.11189999999999</v>
      </c>
      <c r="E1452" s="7">
        <v>2118794</v>
      </c>
      <c r="F1452" s="7">
        <v>2118794</v>
      </c>
      <c r="G1452" s="7">
        <v>22803179</v>
      </c>
      <c r="H1452" s="7">
        <v>633.30409999999995</v>
      </c>
      <c r="I1452" s="7">
        <v>636.34559999999999</v>
      </c>
      <c r="J1452" s="7">
        <v>14</v>
      </c>
      <c r="K1452" s="7">
        <v>3.0622612999999998E-3</v>
      </c>
      <c r="L1452" s="7">
        <v>638.29425648159997</v>
      </c>
      <c r="M1452" s="7">
        <v>631.36475738599995</v>
      </c>
      <c r="N1452" s="7">
        <v>634.08398037769996</v>
      </c>
      <c r="O1452" s="7">
        <v>638.29425648159997</v>
      </c>
      <c r="P1452" s="7">
        <v>631.36475738599995</v>
      </c>
      <c r="Q1452">
        <v>1</v>
      </c>
      <c r="R1452">
        <v>0</v>
      </c>
      <c r="S1452" s="11">
        <v>45890.666666666664</v>
      </c>
      <c r="T1452">
        <v>985</v>
      </c>
    </row>
    <row r="1453" spans="1:20">
      <c r="A1453" s="11">
        <v>45890.583333333336</v>
      </c>
      <c r="B1453" s="11">
        <v>45890.604166666664</v>
      </c>
      <c r="C1453" s="10">
        <v>45890</v>
      </c>
      <c r="D1453" s="7">
        <v>633.76480000000004</v>
      </c>
      <c r="E1453" s="7">
        <v>1498465</v>
      </c>
      <c r="F1453" s="7">
        <v>1498465</v>
      </c>
      <c r="G1453" s="7">
        <v>24301644</v>
      </c>
      <c r="H1453" s="7">
        <v>633.30409999999995</v>
      </c>
      <c r="I1453" s="7">
        <v>636.34559999999999</v>
      </c>
      <c r="J1453" s="7">
        <v>14</v>
      </c>
      <c r="K1453" s="7">
        <v>3.3079935000000001E-3</v>
      </c>
      <c r="L1453" s="7">
        <v>638.45062707830004</v>
      </c>
      <c r="M1453" s="7">
        <v>631.20913418379996</v>
      </c>
      <c r="N1453" s="7">
        <v>634.06429937899998</v>
      </c>
      <c r="O1453" s="7">
        <v>638.45062707830004</v>
      </c>
      <c r="P1453" s="7">
        <v>631.20913418379996</v>
      </c>
      <c r="Q1453">
        <v>1</v>
      </c>
      <c r="R1453">
        <v>0</v>
      </c>
      <c r="S1453" s="11">
        <v>45890.666666666664</v>
      </c>
      <c r="T1453">
        <v>984</v>
      </c>
    </row>
    <row r="1454" spans="1:20">
      <c r="A1454" s="11">
        <v>45890.604166666664</v>
      </c>
      <c r="B1454" s="11">
        <v>45890.625</v>
      </c>
      <c r="C1454" s="10">
        <v>45890</v>
      </c>
      <c r="D1454" s="7">
        <v>634.28639999999996</v>
      </c>
      <c r="E1454" s="7">
        <v>1981015</v>
      </c>
      <c r="F1454" s="7">
        <v>1981015</v>
      </c>
      <c r="G1454" s="7">
        <v>26282659</v>
      </c>
      <c r="H1454" s="7">
        <v>633.30409999999995</v>
      </c>
      <c r="I1454" s="7">
        <v>636.34559999999999</v>
      </c>
      <c r="J1454" s="7">
        <v>14</v>
      </c>
      <c r="K1454" s="7">
        <v>3.3272059000000001E-3</v>
      </c>
      <c r="L1454" s="7">
        <v>638.4628528536</v>
      </c>
      <c r="M1454" s="7">
        <v>631.19696684320002</v>
      </c>
      <c r="N1454" s="7">
        <v>634.0810398717</v>
      </c>
      <c r="O1454" s="7">
        <v>638.4628528536</v>
      </c>
      <c r="P1454" s="7">
        <v>631.19696684320002</v>
      </c>
      <c r="Q1454">
        <v>1</v>
      </c>
      <c r="R1454">
        <v>0</v>
      </c>
      <c r="S1454" s="11">
        <v>45890.666666666664</v>
      </c>
      <c r="T1454">
        <v>983</v>
      </c>
    </row>
    <row r="1455" spans="1:20">
      <c r="A1455" s="11">
        <v>45890.625</v>
      </c>
      <c r="B1455" s="11">
        <v>45890.645833333336</v>
      </c>
      <c r="C1455" s="10">
        <v>45890</v>
      </c>
      <c r="D1455" s="7">
        <v>634.1617</v>
      </c>
      <c r="E1455" s="7">
        <v>1941567</v>
      </c>
      <c r="F1455" s="7">
        <v>1941567</v>
      </c>
      <c r="G1455" s="7">
        <v>28224226</v>
      </c>
      <c r="H1455" s="7">
        <v>633.30409999999995</v>
      </c>
      <c r="I1455" s="7">
        <v>636.34559999999999</v>
      </c>
      <c r="J1455" s="7">
        <v>14</v>
      </c>
      <c r="K1455" s="7">
        <v>3.5806206999999999E-3</v>
      </c>
      <c r="L1455" s="7">
        <v>638.62411224959999</v>
      </c>
      <c r="M1455" s="7">
        <v>631.03647820840001</v>
      </c>
      <c r="N1455" s="7">
        <v>634.08658854620001</v>
      </c>
      <c r="O1455" s="7">
        <v>638.62411224959999</v>
      </c>
      <c r="P1455" s="7">
        <v>631.03647820840001</v>
      </c>
      <c r="Q1455">
        <v>1</v>
      </c>
      <c r="R1455">
        <v>0</v>
      </c>
      <c r="S1455" s="11">
        <v>45890.666666666664</v>
      </c>
      <c r="T1455">
        <v>982</v>
      </c>
    </row>
    <row r="1456" spans="1:20">
      <c r="A1456" s="11">
        <v>45890.645833333336</v>
      </c>
      <c r="B1456" s="11">
        <v>45890.666666666664</v>
      </c>
      <c r="C1456" s="10">
        <v>45890</v>
      </c>
      <c r="D1456" s="7">
        <v>633.79280000000006</v>
      </c>
      <c r="E1456" s="7">
        <v>7141123</v>
      </c>
      <c r="F1456" s="7">
        <v>7141123</v>
      </c>
      <c r="G1456" s="7">
        <v>35365349</v>
      </c>
      <c r="H1456" s="7">
        <v>633.30409999999995</v>
      </c>
      <c r="I1456" s="7">
        <v>636.34559999999999</v>
      </c>
      <c r="J1456" s="7">
        <v>14</v>
      </c>
      <c r="K1456" s="7">
        <v>3.4348321000000001E-3</v>
      </c>
      <c r="L1456" s="7">
        <v>638.53134031000002</v>
      </c>
      <c r="M1456" s="7">
        <v>631.1288067319</v>
      </c>
      <c r="N1456" s="7">
        <v>634.02726550249997</v>
      </c>
      <c r="O1456" s="7">
        <v>638.53134031000002</v>
      </c>
      <c r="P1456" s="7">
        <v>631.1288067319</v>
      </c>
      <c r="Q1456">
        <v>1</v>
      </c>
      <c r="R1456">
        <v>1</v>
      </c>
      <c r="S1456" s="11">
        <v>45890.666666666664</v>
      </c>
      <c r="T1456">
        <v>981</v>
      </c>
    </row>
    <row r="1457" spans="1:20">
      <c r="A1457" s="11">
        <v>45891.395833333336</v>
      </c>
      <c r="B1457" s="11">
        <v>45891.416666666664</v>
      </c>
      <c r="C1457" s="10">
        <v>45891</v>
      </c>
      <c r="D1457" s="7">
        <v>637.14350000000002</v>
      </c>
      <c r="E1457" s="7">
        <v>5471096</v>
      </c>
      <c r="F1457" s="7">
        <v>5471096</v>
      </c>
      <c r="G1457" s="7">
        <v>5471096</v>
      </c>
      <c r="H1457" s="7">
        <v>637.14350000000002</v>
      </c>
      <c r="I1457" s="7">
        <v>633.79269999999997</v>
      </c>
      <c r="J1457" s="7">
        <v>14</v>
      </c>
      <c r="K1457" s="7">
        <v>0</v>
      </c>
      <c r="L1457" s="7">
        <v>637.14350000000002</v>
      </c>
      <c r="M1457" s="7">
        <v>633.79269999999997</v>
      </c>
      <c r="N1457" s="7">
        <v>637.14350000000002</v>
      </c>
      <c r="O1457" s="7">
        <v>637.14350000000002</v>
      </c>
      <c r="P1457" s="7">
        <v>633.79269999999997</v>
      </c>
      <c r="Q1457">
        <v>1</v>
      </c>
      <c r="R1457">
        <v>0</v>
      </c>
      <c r="S1457" s="11">
        <v>45891.666666666664</v>
      </c>
      <c r="T1457">
        <v>979</v>
      </c>
    </row>
    <row r="1458" spans="1:20">
      <c r="A1458" s="11">
        <v>45891.416666666664</v>
      </c>
      <c r="B1458" s="11">
        <v>45891.4375</v>
      </c>
      <c r="C1458" s="10">
        <v>45891</v>
      </c>
      <c r="D1458" s="7">
        <v>642.4683</v>
      </c>
      <c r="E1458" s="7">
        <v>14188096</v>
      </c>
      <c r="F1458" s="7">
        <v>14188096</v>
      </c>
      <c r="G1458" s="7">
        <v>19659192</v>
      </c>
      <c r="H1458" s="7">
        <v>637.14350000000002</v>
      </c>
      <c r="I1458" s="7">
        <v>633.79269999999997</v>
      </c>
      <c r="J1458" s="7">
        <v>14</v>
      </c>
      <c r="K1458" s="7">
        <v>1.6292400999999999E-3</v>
      </c>
      <c r="L1458" s="7">
        <v>638.18155971919998</v>
      </c>
      <c r="M1458" s="7">
        <v>632.76009953840003</v>
      </c>
      <c r="N1458" s="7">
        <v>640.98642363490001</v>
      </c>
      <c r="O1458" s="7">
        <v>640.98642363490001</v>
      </c>
      <c r="P1458" s="7">
        <v>632.76009953840003</v>
      </c>
      <c r="Q1458">
        <v>1</v>
      </c>
      <c r="R1458">
        <v>0</v>
      </c>
      <c r="S1458" s="11">
        <v>45891.666666666664</v>
      </c>
      <c r="T1458">
        <v>978</v>
      </c>
    </row>
    <row r="1459" spans="1:20">
      <c r="A1459" s="11">
        <v>45891.4375</v>
      </c>
      <c r="B1459" s="11">
        <v>45891.458333333336</v>
      </c>
      <c r="C1459" s="10">
        <v>45891</v>
      </c>
      <c r="D1459" s="7">
        <v>643.90470000000005</v>
      </c>
      <c r="E1459" s="7">
        <v>4992432</v>
      </c>
      <c r="F1459" s="7">
        <v>4992432</v>
      </c>
      <c r="G1459" s="7">
        <v>24651624</v>
      </c>
      <c r="H1459" s="7">
        <v>637.14350000000002</v>
      </c>
      <c r="I1459" s="7">
        <v>633.79269999999997</v>
      </c>
      <c r="J1459" s="7">
        <v>14</v>
      </c>
      <c r="K1459" s="7">
        <v>2.4621640999999998E-3</v>
      </c>
      <c r="L1459" s="7">
        <v>638.71225185310004</v>
      </c>
      <c r="M1459" s="7">
        <v>632.23219836639998</v>
      </c>
      <c r="N1459" s="7">
        <v>641.57743120140003</v>
      </c>
      <c r="O1459" s="7">
        <v>641.57743120140003</v>
      </c>
      <c r="P1459" s="7">
        <v>632.23219836639998</v>
      </c>
      <c r="Q1459">
        <v>1</v>
      </c>
      <c r="R1459">
        <v>0</v>
      </c>
      <c r="S1459" s="11">
        <v>45891.666666666664</v>
      </c>
      <c r="T1459">
        <v>977</v>
      </c>
    </row>
    <row r="1460" spans="1:20">
      <c r="A1460" s="11">
        <v>45891.458333333336</v>
      </c>
      <c r="B1460" s="11">
        <v>45891.479166666664</v>
      </c>
      <c r="C1460" s="10">
        <v>45891</v>
      </c>
      <c r="D1460" s="7">
        <v>644.19389999999999</v>
      </c>
      <c r="E1460" s="7">
        <v>4448115</v>
      </c>
      <c r="F1460" s="7">
        <v>4448115</v>
      </c>
      <c r="G1460" s="7">
        <v>29099739</v>
      </c>
      <c r="H1460" s="7">
        <v>637.14350000000002</v>
      </c>
      <c r="I1460" s="7">
        <v>633.79269999999997</v>
      </c>
      <c r="J1460" s="7">
        <v>14</v>
      </c>
      <c r="K1460" s="7">
        <v>2.4502028000000001E-3</v>
      </c>
      <c r="L1460" s="7">
        <v>638.70463081339994</v>
      </c>
      <c r="M1460" s="7">
        <v>632.23977932620005</v>
      </c>
      <c r="N1460" s="7">
        <v>641.97737822880003</v>
      </c>
      <c r="O1460" s="7">
        <v>641.97737822880003</v>
      </c>
      <c r="P1460" s="7">
        <v>632.23977932620005</v>
      </c>
      <c r="Q1460">
        <v>1</v>
      </c>
      <c r="R1460">
        <v>0</v>
      </c>
      <c r="S1460" s="11">
        <v>45891.666666666664</v>
      </c>
      <c r="T1460">
        <v>976</v>
      </c>
    </row>
    <row r="1461" spans="1:20">
      <c r="A1461" s="11">
        <v>45891.479166666664</v>
      </c>
      <c r="B1461" s="11">
        <v>45891.5</v>
      </c>
      <c r="C1461" s="10">
        <v>45891</v>
      </c>
      <c r="D1461" s="7">
        <v>643.65440000000001</v>
      </c>
      <c r="E1461" s="7">
        <v>3161064</v>
      </c>
      <c r="F1461" s="7">
        <v>3161064</v>
      </c>
      <c r="G1461" s="7">
        <v>32260803</v>
      </c>
      <c r="H1461" s="7">
        <v>637.14350000000002</v>
      </c>
      <c r="I1461" s="7">
        <v>633.79269999999997</v>
      </c>
      <c r="J1461" s="7">
        <v>14</v>
      </c>
      <c r="K1461" s="7">
        <v>2.4759547000000001E-3</v>
      </c>
      <c r="L1461" s="7">
        <v>638.72103844590004</v>
      </c>
      <c r="M1461" s="7">
        <v>632.22345798310005</v>
      </c>
      <c r="N1461" s="7">
        <v>642.1417006465</v>
      </c>
      <c r="O1461" s="7">
        <v>642.1417006465</v>
      </c>
      <c r="P1461" s="7">
        <v>632.22345798310005</v>
      </c>
      <c r="Q1461">
        <v>1</v>
      </c>
      <c r="R1461">
        <v>0</v>
      </c>
      <c r="S1461" s="11">
        <v>45891.666666666664</v>
      </c>
      <c r="T1461">
        <v>975</v>
      </c>
    </row>
    <row r="1462" spans="1:20">
      <c r="A1462" s="11">
        <v>45891.5</v>
      </c>
      <c r="B1462" s="11">
        <v>45891.520833333336</v>
      </c>
      <c r="C1462" s="10">
        <v>45891</v>
      </c>
      <c r="D1462" s="7">
        <v>643.0172</v>
      </c>
      <c r="E1462" s="7">
        <v>2719927</v>
      </c>
      <c r="F1462" s="7">
        <v>2719927</v>
      </c>
      <c r="G1462" s="7">
        <v>34980730</v>
      </c>
      <c r="H1462" s="7">
        <v>637.14350000000002</v>
      </c>
      <c r="I1462" s="7">
        <v>633.79269999999997</v>
      </c>
      <c r="J1462" s="7">
        <v>14</v>
      </c>
      <c r="K1462" s="7">
        <v>2.8267224E-3</v>
      </c>
      <c r="L1462" s="7">
        <v>638.94452780309996</v>
      </c>
      <c r="M1462" s="7">
        <v>632.00114397829998</v>
      </c>
      <c r="N1462" s="7">
        <v>642.20977510729995</v>
      </c>
      <c r="O1462" s="7">
        <v>642.20977510729995</v>
      </c>
      <c r="P1462" s="7">
        <v>632.00114397829998</v>
      </c>
      <c r="Q1462">
        <v>1</v>
      </c>
      <c r="R1462">
        <v>0</v>
      </c>
      <c r="S1462" s="11">
        <v>45891.666666666664</v>
      </c>
      <c r="T1462">
        <v>974</v>
      </c>
    </row>
    <row r="1463" spans="1:20">
      <c r="A1463" s="11">
        <v>45891.520833333336</v>
      </c>
      <c r="B1463" s="11">
        <v>45891.541666666664</v>
      </c>
      <c r="C1463" s="10">
        <v>45891</v>
      </c>
      <c r="D1463" s="7">
        <v>642.9973</v>
      </c>
      <c r="E1463" s="7">
        <v>1631693</v>
      </c>
      <c r="F1463" s="7">
        <v>1631693</v>
      </c>
      <c r="G1463" s="7">
        <v>36612423</v>
      </c>
      <c r="H1463" s="7">
        <v>637.14350000000002</v>
      </c>
      <c r="I1463" s="7">
        <v>633.79269999999997</v>
      </c>
      <c r="J1463" s="7">
        <v>14</v>
      </c>
      <c r="K1463" s="7">
        <v>2.8451896999999999E-3</v>
      </c>
      <c r="L1463" s="7">
        <v>638.9562940989</v>
      </c>
      <c r="M1463" s="7">
        <v>631.98943956259996</v>
      </c>
      <c r="N1463" s="7">
        <v>642.24487245260002</v>
      </c>
      <c r="O1463" s="7">
        <v>642.24487245260002</v>
      </c>
      <c r="P1463" s="7">
        <v>631.98943956259996</v>
      </c>
      <c r="Q1463">
        <v>1</v>
      </c>
      <c r="R1463">
        <v>0</v>
      </c>
      <c r="S1463" s="11">
        <v>45891.666666666664</v>
      </c>
      <c r="T1463">
        <v>973</v>
      </c>
    </row>
    <row r="1464" spans="1:20">
      <c r="A1464" s="11">
        <v>45891.541666666664</v>
      </c>
      <c r="B1464" s="11">
        <v>45891.5625</v>
      </c>
      <c r="C1464" s="10">
        <v>45891</v>
      </c>
      <c r="D1464" s="7">
        <v>644.37339999999995</v>
      </c>
      <c r="E1464" s="7">
        <v>2475370</v>
      </c>
      <c r="F1464" s="7">
        <v>2475370</v>
      </c>
      <c r="G1464" s="7">
        <v>39087793</v>
      </c>
      <c r="H1464" s="7">
        <v>637.14350000000002</v>
      </c>
      <c r="I1464" s="7">
        <v>633.79269999999997</v>
      </c>
      <c r="J1464" s="7">
        <v>14</v>
      </c>
      <c r="K1464" s="7">
        <v>3.0356176999999998E-3</v>
      </c>
      <c r="L1464" s="7">
        <v>639.07762407680002</v>
      </c>
      <c r="M1464" s="7">
        <v>631.86874767100005</v>
      </c>
      <c r="N1464" s="7">
        <v>642.37966883870001</v>
      </c>
      <c r="O1464" s="7">
        <v>642.37966883870001</v>
      </c>
      <c r="P1464" s="7">
        <v>631.86874767100005</v>
      </c>
      <c r="Q1464">
        <v>1</v>
      </c>
      <c r="R1464">
        <v>0</v>
      </c>
      <c r="S1464" s="11">
        <v>45891.666666666664</v>
      </c>
      <c r="T1464">
        <v>972</v>
      </c>
    </row>
    <row r="1465" spans="1:20">
      <c r="A1465" s="11">
        <v>45891.5625</v>
      </c>
      <c r="B1465" s="11">
        <v>45891.583333333336</v>
      </c>
      <c r="C1465" s="10">
        <v>45891</v>
      </c>
      <c r="D1465" s="7">
        <v>644.01440000000002</v>
      </c>
      <c r="E1465" s="7">
        <v>1782770</v>
      </c>
      <c r="F1465" s="7">
        <v>1782770</v>
      </c>
      <c r="G1465" s="7">
        <v>40870563</v>
      </c>
      <c r="H1465" s="7">
        <v>637.14350000000002</v>
      </c>
      <c r="I1465" s="7">
        <v>633.79269999999997</v>
      </c>
      <c r="J1465" s="7">
        <v>14</v>
      </c>
      <c r="K1465" s="7">
        <v>3.0958776000000001E-3</v>
      </c>
      <c r="L1465" s="7">
        <v>639.11601826820004</v>
      </c>
      <c r="M1465" s="7">
        <v>631.83055539830002</v>
      </c>
      <c r="N1465" s="7">
        <v>642.45097565360004</v>
      </c>
      <c r="O1465" s="7">
        <v>642.45097565360004</v>
      </c>
      <c r="P1465" s="7">
        <v>631.83055539830002</v>
      </c>
      <c r="Q1465">
        <v>1</v>
      </c>
      <c r="R1465">
        <v>0</v>
      </c>
      <c r="S1465" s="11">
        <v>45891.666666666664</v>
      </c>
      <c r="T1465">
        <v>971</v>
      </c>
    </row>
    <row r="1466" spans="1:20">
      <c r="A1466" s="11">
        <v>45891.583333333336</v>
      </c>
      <c r="B1466" s="11">
        <v>45891.604166666664</v>
      </c>
      <c r="C1466" s="10">
        <v>45891</v>
      </c>
      <c r="D1466" s="7">
        <v>643.6454</v>
      </c>
      <c r="E1466" s="7">
        <v>2379579</v>
      </c>
      <c r="F1466" s="7">
        <v>2379579</v>
      </c>
      <c r="G1466" s="7">
        <v>43250142</v>
      </c>
      <c r="H1466" s="7">
        <v>637.14350000000002</v>
      </c>
      <c r="I1466" s="7">
        <v>633.79269999999997</v>
      </c>
      <c r="J1466" s="7">
        <v>14</v>
      </c>
      <c r="K1466" s="7">
        <v>3.3058975000000001E-3</v>
      </c>
      <c r="L1466" s="7">
        <v>639.24983113259998</v>
      </c>
      <c r="M1466" s="7">
        <v>631.69744626889997</v>
      </c>
      <c r="N1466" s="7">
        <v>642.51669167119996</v>
      </c>
      <c r="O1466" s="7">
        <v>642.51669167119996</v>
      </c>
      <c r="P1466" s="7">
        <v>631.69744626889997</v>
      </c>
      <c r="Q1466">
        <v>1</v>
      </c>
      <c r="R1466">
        <v>0</v>
      </c>
      <c r="S1466" s="11">
        <v>45891.666666666664</v>
      </c>
      <c r="T1466">
        <v>970</v>
      </c>
    </row>
    <row r="1467" spans="1:20">
      <c r="A1467" s="11">
        <v>45891.604166666664</v>
      </c>
      <c r="B1467" s="11">
        <v>45891.625</v>
      </c>
      <c r="C1467" s="10">
        <v>45891</v>
      </c>
      <c r="D1467" s="7">
        <v>643.68529999999998</v>
      </c>
      <c r="E1467" s="7">
        <v>2605034</v>
      </c>
      <c r="F1467" s="7">
        <v>2605034</v>
      </c>
      <c r="G1467" s="7">
        <v>45855176</v>
      </c>
      <c r="H1467" s="7">
        <v>637.14350000000002</v>
      </c>
      <c r="I1467" s="7">
        <v>633.79269999999997</v>
      </c>
      <c r="J1467" s="7">
        <v>14</v>
      </c>
      <c r="K1467" s="7">
        <v>3.4138394999999998E-3</v>
      </c>
      <c r="L1467" s="7">
        <v>639.31860563520002</v>
      </c>
      <c r="M1467" s="7">
        <v>631.62903345819996</v>
      </c>
      <c r="N1467" s="7">
        <v>642.58308034729998</v>
      </c>
      <c r="O1467" s="7">
        <v>642.58308034729998</v>
      </c>
      <c r="P1467" s="7">
        <v>631.62903345819996</v>
      </c>
      <c r="Q1467">
        <v>1</v>
      </c>
      <c r="R1467">
        <v>0</v>
      </c>
      <c r="S1467" s="11">
        <v>45891.666666666664</v>
      </c>
      <c r="T1467">
        <v>969</v>
      </c>
    </row>
    <row r="1468" spans="1:20">
      <c r="A1468" s="11">
        <v>45891.625</v>
      </c>
      <c r="B1468" s="11">
        <v>45891.645833333336</v>
      </c>
      <c r="C1468" s="10">
        <v>45891</v>
      </c>
      <c r="D1468" s="7">
        <v>643.29639999999995</v>
      </c>
      <c r="E1468" s="7">
        <v>3178877</v>
      </c>
      <c r="F1468" s="7">
        <v>3178877</v>
      </c>
      <c r="G1468" s="7">
        <v>49034053</v>
      </c>
      <c r="H1468" s="7">
        <v>637.14350000000002</v>
      </c>
      <c r="I1468" s="7">
        <v>633.79269999999997</v>
      </c>
      <c r="J1468" s="7">
        <v>14</v>
      </c>
      <c r="K1468" s="7">
        <v>3.6071928999999998E-3</v>
      </c>
      <c r="L1468" s="7">
        <v>639.44179950130001</v>
      </c>
      <c r="M1468" s="7">
        <v>631.5064874807</v>
      </c>
      <c r="N1468" s="7">
        <v>642.62932485090005</v>
      </c>
      <c r="O1468" s="7">
        <v>642.62932485090005</v>
      </c>
      <c r="P1468" s="7">
        <v>631.5064874807</v>
      </c>
      <c r="Q1468">
        <v>1</v>
      </c>
      <c r="R1468">
        <v>0</v>
      </c>
      <c r="S1468" s="11">
        <v>45891.666666666664</v>
      </c>
      <c r="T1468">
        <v>968</v>
      </c>
    </row>
    <row r="1469" spans="1:20">
      <c r="A1469" s="11">
        <v>45891.645833333336</v>
      </c>
      <c r="B1469" s="11">
        <v>45891.666666666664</v>
      </c>
      <c r="C1469" s="10">
        <v>45891</v>
      </c>
      <c r="D1469" s="7">
        <v>643.5258</v>
      </c>
      <c r="E1469" s="7">
        <v>12826651</v>
      </c>
      <c r="F1469" s="7">
        <v>12826651</v>
      </c>
      <c r="G1469" s="7">
        <v>61860704</v>
      </c>
      <c r="H1469" s="7">
        <v>637.14350000000002</v>
      </c>
      <c r="I1469" s="7">
        <v>633.79269999999997</v>
      </c>
      <c r="J1469" s="7">
        <v>14</v>
      </c>
      <c r="K1469" s="7">
        <v>3.4267041000000001E-3</v>
      </c>
      <c r="L1469" s="7">
        <v>639.3268022538</v>
      </c>
      <c r="M1469" s="7">
        <v>631.62087994629997</v>
      </c>
      <c r="N1469" s="7">
        <v>642.81313309459995</v>
      </c>
      <c r="O1469" s="7">
        <v>642.81313309459995</v>
      </c>
      <c r="P1469" s="7">
        <v>631.62087994629997</v>
      </c>
      <c r="Q1469">
        <v>1</v>
      </c>
      <c r="R1469">
        <v>1</v>
      </c>
      <c r="S1469" s="11">
        <v>45891.666666666664</v>
      </c>
      <c r="T1469">
        <v>967</v>
      </c>
    </row>
    <row r="1470" spans="1:20">
      <c r="A1470" s="11">
        <v>45894.395833333336</v>
      </c>
      <c r="B1470" s="11">
        <v>45894.416666666664</v>
      </c>
      <c r="C1470" s="10">
        <v>45894</v>
      </c>
      <c r="D1470" s="7">
        <v>642.55849999999998</v>
      </c>
      <c r="E1470" s="7">
        <v>5469920</v>
      </c>
      <c r="F1470" s="7">
        <v>5469920</v>
      </c>
      <c r="G1470" s="7">
        <v>5469920</v>
      </c>
      <c r="H1470" s="7">
        <v>642.55849999999998</v>
      </c>
      <c r="I1470" s="7">
        <v>643.52570000000003</v>
      </c>
      <c r="J1470" s="7">
        <v>14</v>
      </c>
      <c r="K1470" s="7">
        <v>0</v>
      </c>
      <c r="L1470" s="7">
        <v>643.52570000000003</v>
      </c>
      <c r="M1470" s="7">
        <v>642.55849999999998</v>
      </c>
      <c r="N1470" s="7">
        <v>642.55849999999998</v>
      </c>
      <c r="O1470" s="7">
        <v>643.52570000000003</v>
      </c>
      <c r="P1470" s="7">
        <v>642.55849999999998</v>
      </c>
      <c r="Q1470">
        <v>1</v>
      </c>
      <c r="R1470">
        <v>0</v>
      </c>
      <c r="S1470" s="11">
        <v>45894.666666666664</v>
      </c>
      <c r="T1470">
        <v>965</v>
      </c>
    </row>
    <row r="1471" spans="1:20">
      <c r="A1471" s="11">
        <v>45894.416666666664</v>
      </c>
      <c r="B1471" s="11">
        <v>45894.4375</v>
      </c>
      <c r="C1471" s="10">
        <v>45894</v>
      </c>
      <c r="D1471" s="7">
        <v>642.34910000000002</v>
      </c>
      <c r="E1471" s="7">
        <v>3415496</v>
      </c>
      <c r="F1471" s="7">
        <v>3415496</v>
      </c>
      <c r="G1471" s="7">
        <v>8885416</v>
      </c>
      <c r="H1471" s="7">
        <v>642.55849999999998</v>
      </c>
      <c r="I1471" s="7">
        <v>643.52570000000003</v>
      </c>
      <c r="J1471" s="7">
        <v>14</v>
      </c>
      <c r="K1471" s="7">
        <v>2.1932651999999999E-3</v>
      </c>
      <c r="L1471" s="7">
        <v>644.93712250249996</v>
      </c>
      <c r="M1471" s="7">
        <v>641.14919882360005</v>
      </c>
      <c r="N1471" s="7">
        <v>642.47800800480002</v>
      </c>
      <c r="O1471" s="7">
        <v>644.93712250249996</v>
      </c>
      <c r="P1471" s="7">
        <v>641.14919882360005</v>
      </c>
      <c r="Q1471">
        <v>1</v>
      </c>
      <c r="R1471">
        <v>0</v>
      </c>
      <c r="S1471" s="11">
        <v>45894.666666666664</v>
      </c>
      <c r="T1471">
        <v>964</v>
      </c>
    </row>
    <row r="1472" spans="1:20">
      <c r="A1472" s="11">
        <v>45894.4375</v>
      </c>
      <c r="B1472" s="11">
        <v>45894.458333333336</v>
      </c>
      <c r="C1472" s="10">
        <v>45894</v>
      </c>
      <c r="D1472" s="7">
        <v>642.59839999999997</v>
      </c>
      <c r="E1472" s="7">
        <v>2119322</v>
      </c>
      <c r="F1472" s="7">
        <v>2119322</v>
      </c>
      <c r="G1472" s="7">
        <v>11004738</v>
      </c>
      <c r="H1472" s="7">
        <v>642.55849999999998</v>
      </c>
      <c r="I1472" s="7">
        <v>643.52570000000003</v>
      </c>
      <c r="J1472" s="7">
        <v>14</v>
      </c>
      <c r="K1472" s="7">
        <v>3.2181303000000001E-3</v>
      </c>
      <c r="L1472" s="7">
        <v>645.59664954230004</v>
      </c>
      <c r="M1472" s="7">
        <v>640.49066303330005</v>
      </c>
      <c r="N1472" s="7">
        <v>642.50119341849995</v>
      </c>
      <c r="O1472" s="7">
        <v>645.59664954230004</v>
      </c>
      <c r="P1472" s="7">
        <v>640.49066303330005</v>
      </c>
      <c r="Q1472">
        <v>1</v>
      </c>
      <c r="R1472">
        <v>0</v>
      </c>
      <c r="S1472" s="11">
        <v>45894.666666666664</v>
      </c>
      <c r="T1472">
        <v>963</v>
      </c>
    </row>
    <row r="1473" spans="1:20">
      <c r="A1473" s="11">
        <v>45894.458333333336</v>
      </c>
      <c r="B1473" s="11">
        <v>45894.479166666664</v>
      </c>
      <c r="C1473" s="10">
        <v>45894</v>
      </c>
      <c r="D1473" s="7">
        <v>643.12689999999998</v>
      </c>
      <c r="E1473" s="7">
        <v>2024484</v>
      </c>
      <c r="F1473" s="7">
        <v>2024484</v>
      </c>
      <c r="G1473" s="7">
        <v>13029222</v>
      </c>
      <c r="H1473" s="7">
        <v>642.55849999999998</v>
      </c>
      <c r="I1473" s="7">
        <v>643.52570000000003</v>
      </c>
      <c r="J1473" s="7">
        <v>14</v>
      </c>
      <c r="K1473" s="7">
        <v>3.2224354000000002E-3</v>
      </c>
      <c r="L1473" s="7">
        <v>645.59942000839999</v>
      </c>
      <c r="M1473" s="7">
        <v>640.48789673110002</v>
      </c>
      <c r="N1473" s="7">
        <v>642.59841587460005</v>
      </c>
      <c r="O1473" s="7">
        <v>645.59942000839999</v>
      </c>
      <c r="P1473" s="7">
        <v>640.48789673110002</v>
      </c>
      <c r="Q1473">
        <v>1</v>
      </c>
      <c r="R1473">
        <v>0</v>
      </c>
      <c r="S1473" s="11">
        <v>45894.666666666664</v>
      </c>
      <c r="T1473">
        <v>962</v>
      </c>
    </row>
    <row r="1474" spans="1:20">
      <c r="A1474" s="11">
        <v>45894.479166666664</v>
      </c>
      <c r="B1474" s="11">
        <v>45894.5</v>
      </c>
      <c r="C1474" s="10">
        <v>45894</v>
      </c>
      <c r="D1474" s="7">
        <v>643.17679999999996</v>
      </c>
      <c r="E1474" s="7">
        <v>1692739</v>
      </c>
      <c r="F1474" s="7">
        <v>1692739</v>
      </c>
      <c r="G1474" s="7">
        <v>14721961</v>
      </c>
      <c r="H1474" s="7">
        <v>642.55849999999998</v>
      </c>
      <c r="I1474" s="7">
        <v>643.52570000000003</v>
      </c>
      <c r="J1474" s="7">
        <v>14</v>
      </c>
      <c r="K1474" s="7">
        <v>3.1173241999999999E-3</v>
      </c>
      <c r="L1474" s="7">
        <v>645.53177821960003</v>
      </c>
      <c r="M1474" s="7">
        <v>640.55543685630005</v>
      </c>
      <c r="N1474" s="7">
        <v>642.66491879260002</v>
      </c>
      <c r="O1474" s="7">
        <v>645.53177821960003</v>
      </c>
      <c r="P1474" s="7">
        <v>640.55543685630005</v>
      </c>
      <c r="Q1474">
        <v>1</v>
      </c>
      <c r="R1474">
        <v>0</v>
      </c>
      <c r="S1474" s="11">
        <v>45894.666666666664</v>
      </c>
      <c r="T1474">
        <v>961</v>
      </c>
    </row>
    <row r="1475" spans="1:20">
      <c r="A1475" s="11">
        <v>45894.5</v>
      </c>
      <c r="B1475" s="11">
        <v>45894.520833333336</v>
      </c>
      <c r="C1475" s="10">
        <v>45894</v>
      </c>
      <c r="D1475" s="7">
        <v>643.12689999999998</v>
      </c>
      <c r="E1475" s="7">
        <v>1453685</v>
      </c>
      <c r="F1475" s="7">
        <v>1453685</v>
      </c>
      <c r="G1475" s="7">
        <v>16175646</v>
      </c>
      <c r="H1475" s="7">
        <v>642.55849999999998</v>
      </c>
      <c r="I1475" s="7">
        <v>643.52570000000003</v>
      </c>
      <c r="J1475" s="7">
        <v>14</v>
      </c>
      <c r="K1475" s="7">
        <v>3.4182085E-3</v>
      </c>
      <c r="L1475" s="7">
        <v>645.72540499980005</v>
      </c>
      <c r="M1475" s="7">
        <v>640.36210109139995</v>
      </c>
      <c r="N1475" s="7">
        <v>642.70643646379995</v>
      </c>
      <c r="O1475" s="7">
        <v>645.72540499980005</v>
      </c>
      <c r="P1475" s="7">
        <v>640.36210109139995</v>
      </c>
      <c r="Q1475">
        <v>1</v>
      </c>
      <c r="R1475">
        <v>0</v>
      </c>
      <c r="S1475" s="11">
        <v>45894.666666666664</v>
      </c>
      <c r="T1475">
        <v>960</v>
      </c>
    </row>
    <row r="1476" spans="1:20">
      <c r="A1476" s="11">
        <v>45894.520833333336</v>
      </c>
      <c r="B1476" s="11">
        <v>45894.541666666664</v>
      </c>
      <c r="C1476" s="10">
        <v>45894</v>
      </c>
      <c r="D1476" s="7">
        <v>643.20169999999996</v>
      </c>
      <c r="E1476" s="7">
        <v>1302930</v>
      </c>
      <c r="F1476" s="7">
        <v>1302930</v>
      </c>
      <c r="G1476" s="7">
        <v>17478576</v>
      </c>
      <c r="H1476" s="7">
        <v>642.55849999999998</v>
      </c>
      <c r="I1476" s="7">
        <v>643.52570000000003</v>
      </c>
      <c r="J1476" s="7">
        <v>14</v>
      </c>
      <c r="K1476" s="7">
        <v>3.3845109000000002E-3</v>
      </c>
      <c r="L1476" s="7">
        <v>645.70371972450005</v>
      </c>
      <c r="M1476" s="7">
        <v>640.38375377440002</v>
      </c>
      <c r="N1476" s="7">
        <v>642.74335558799999</v>
      </c>
      <c r="O1476" s="7">
        <v>645.70371972450005</v>
      </c>
      <c r="P1476" s="7">
        <v>640.38375377440002</v>
      </c>
      <c r="Q1476">
        <v>1</v>
      </c>
      <c r="R1476">
        <v>0</v>
      </c>
      <c r="S1476" s="11">
        <v>45894.666666666664</v>
      </c>
      <c r="T1476">
        <v>959</v>
      </c>
    </row>
    <row r="1477" spans="1:20">
      <c r="A1477" s="11">
        <v>45894.541666666664</v>
      </c>
      <c r="B1477" s="11">
        <v>45894.5625</v>
      </c>
      <c r="C1477" s="10">
        <v>45894</v>
      </c>
      <c r="D1477" s="7">
        <v>642.86760000000004</v>
      </c>
      <c r="E1477" s="7">
        <v>1479055</v>
      </c>
      <c r="F1477" s="7">
        <v>1479055</v>
      </c>
      <c r="G1477" s="7">
        <v>18957631</v>
      </c>
      <c r="H1477" s="7">
        <v>642.55849999999998</v>
      </c>
      <c r="I1477" s="7">
        <v>643.52570000000003</v>
      </c>
      <c r="J1477" s="7">
        <v>14</v>
      </c>
      <c r="K1477" s="7">
        <v>3.7127362E-3</v>
      </c>
      <c r="L1477" s="7">
        <v>645.91494113980002</v>
      </c>
      <c r="M1477" s="7">
        <v>640.1728498187</v>
      </c>
      <c r="N1477" s="7">
        <v>642.75304901009997</v>
      </c>
      <c r="O1477" s="7">
        <v>645.91494113980002</v>
      </c>
      <c r="P1477" s="7">
        <v>640.1728498187</v>
      </c>
      <c r="Q1477">
        <v>1</v>
      </c>
      <c r="R1477">
        <v>0</v>
      </c>
      <c r="S1477" s="11">
        <v>45894.666666666664</v>
      </c>
      <c r="T1477">
        <v>958</v>
      </c>
    </row>
    <row r="1478" spans="1:20">
      <c r="A1478" s="11">
        <v>45894.5625</v>
      </c>
      <c r="B1478" s="11">
        <v>45894.583333333336</v>
      </c>
      <c r="C1478" s="10">
        <v>45894</v>
      </c>
      <c r="D1478" s="7">
        <v>642.71310000000005</v>
      </c>
      <c r="E1478" s="7">
        <v>1697157</v>
      </c>
      <c r="F1478" s="7">
        <v>1697157</v>
      </c>
      <c r="G1478" s="7">
        <v>20654788</v>
      </c>
      <c r="H1478" s="7">
        <v>642.55849999999998</v>
      </c>
      <c r="I1478" s="7">
        <v>643.52570000000003</v>
      </c>
      <c r="J1478" s="7">
        <v>14</v>
      </c>
      <c r="K1478" s="7">
        <v>3.7957645999999999E-3</v>
      </c>
      <c r="L1478" s="7">
        <v>645.96837204849999</v>
      </c>
      <c r="M1478" s="7">
        <v>640.11949921500002</v>
      </c>
      <c r="N1478" s="7">
        <v>642.74976649070004</v>
      </c>
      <c r="O1478" s="7">
        <v>645.96837204849999</v>
      </c>
      <c r="P1478" s="7">
        <v>640.11949921500002</v>
      </c>
      <c r="Q1478">
        <v>1</v>
      </c>
      <c r="R1478">
        <v>0</v>
      </c>
      <c r="S1478" s="11">
        <v>45894.666666666664</v>
      </c>
      <c r="T1478">
        <v>957</v>
      </c>
    </row>
    <row r="1479" spans="1:20">
      <c r="A1479" s="11">
        <v>45894.583333333336</v>
      </c>
      <c r="B1479" s="11">
        <v>45894.604166666664</v>
      </c>
      <c r="C1479" s="10">
        <v>45894</v>
      </c>
      <c r="D1479" s="7">
        <v>642.41890000000001</v>
      </c>
      <c r="E1479" s="7">
        <v>1840350</v>
      </c>
      <c r="F1479" s="7">
        <v>1840350</v>
      </c>
      <c r="G1479" s="7">
        <v>22495138</v>
      </c>
      <c r="H1479" s="7">
        <v>642.55849999999998</v>
      </c>
      <c r="I1479" s="7">
        <v>643.52570000000003</v>
      </c>
      <c r="J1479" s="7">
        <v>14</v>
      </c>
      <c r="K1479" s="7">
        <v>3.9371728999999999E-3</v>
      </c>
      <c r="L1479" s="7">
        <v>646.05937197169999</v>
      </c>
      <c r="M1479" s="7">
        <v>640.02863606200003</v>
      </c>
      <c r="N1479" s="7">
        <v>642.72269796839998</v>
      </c>
      <c r="O1479" s="7">
        <v>646.05937197169999</v>
      </c>
      <c r="P1479" s="7">
        <v>640.02863606200003</v>
      </c>
      <c r="Q1479">
        <v>1</v>
      </c>
      <c r="R1479">
        <v>0</v>
      </c>
      <c r="S1479" s="11">
        <v>45894.666666666664</v>
      </c>
      <c r="T1479">
        <v>956</v>
      </c>
    </row>
    <row r="1480" spans="1:20">
      <c r="A1480" s="11">
        <v>45894.604166666664</v>
      </c>
      <c r="B1480" s="11">
        <v>45894.625</v>
      </c>
      <c r="C1480" s="10">
        <v>45894</v>
      </c>
      <c r="D1480" s="7">
        <v>642.17960000000005</v>
      </c>
      <c r="E1480" s="7">
        <v>1567654</v>
      </c>
      <c r="F1480" s="7">
        <v>1567654</v>
      </c>
      <c r="G1480" s="7">
        <v>24062792</v>
      </c>
      <c r="H1480" s="7">
        <v>642.55849999999998</v>
      </c>
      <c r="I1480" s="7">
        <v>643.52570000000003</v>
      </c>
      <c r="J1480" s="7">
        <v>14</v>
      </c>
      <c r="K1480" s="7">
        <v>4.0615078999999997E-3</v>
      </c>
      <c r="L1480" s="7">
        <v>646.13938471220001</v>
      </c>
      <c r="M1480" s="7">
        <v>639.94874357820004</v>
      </c>
      <c r="N1480" s="7">
        <v>642.6873159685</v>
      </c>
      <c r="O1480" s="7">
        <v>646.13938471220001</v>
      </c>
      <c r="P1480" s="7">
        <v>639.94874357820004</v>
      </c>
      <c r="Q1480">
        <v>1</v>
      </c>
      <c r="R1480">
        <v>0</v>
      </c>
      <c r="S1480" s="11">
        <v>45894.666666666664</v>
      </c>
      <c r="T1480">
        <v>955</v>
      </c>
    </row>
    <row r="1481" spans="1:20">
      <c r="A1481" s="11">
        <v>45894.625</v>
      </c>
      <c r="B1481" s="11">
        <v>45894.645833333336</v>
      </c>
      <c r="C1481" s="10">
        <v>45894</v>
      </c>
      <c r="D1481" s="7">
        <v>641.91030000000001</v>
      </c>
      <c r="E1481" s="7">
        <v>2429032</v>
      </c>
      <c r="F1481" s="7">
        <v>2429032</v>
      </c>
      <c r="G1481" s="7">
        <v>26491824</v>
      </c>
      <c r="H1481" s="7">
        <v>642.55849999999998</v>
      </c>
      <c r="I1481" s="7">
        <v>643.52570000000003</v>
      </c>
      <c r="J1481" s="7">
        <v>14</v>
      </c>
      <c r="K1481" s="7">
        <v>4.1641407999999996E-3</v>
      </c>
      <c r="L1481" s="7">
        <v>646.2054316366</v>
      </c>
      <c r="M1481" s="7">
        <v>639.88279592039999</v>
      </c>
      <c r="N1481" s="7">
        <v>642.61607147239999</v>
      </c>
      <c r="O1481" s="7">
        <v>646.2054316366</v>
      </c>
      <c r="P1481" s="7">
        <v>639.88279592039999</v>
      </c>
      <c r="Q1481">
        <v>1</v>
      </c>
      <c r="R1481">
        <v>0</v>
      </c>
      <c r="S1481" s="11">
        <v>45894.666666666664</v>
      </c>
      <c r="T1481">
        <v>954</v>
      </c>
    </row>
    <row r="1482" spans="1:20">
      <c r="A1482" s="11">
        <v>45894.645833333336</v>
      </c>
      <c r="B1482" s="11">
        <v>45894.666666666664</v>
      </c>
      <c r="C1482" s="10">
        <v>45894</v>
      </c>
      <c r="D1482" s="7">
        <v>640.69359999999995</v>
      </c>
      <c r="E1482" s="7">
        <v>7723502</v>
      </c>
      <c r="F1482" s="7">
        <v>7723502</v>
      </c>
      <c r="G1482" s="7">
        <v>34215326</v>
      </c>
      <c r="H1482" s="7">
        <v>642.55849999999998</v>
      </c>
      <c r="I1482" s="7">
        <v>643.52570000000003</v>
      </c>
      <c r="J1482" s="7">
        <v>14</v>
      </c>
      <c r="K1482" s="7">
        <v>3.9117331000000002E-3</v>
      </c>
      <c r="L1482" s="7">
        <v>646.0430007722</v>
      </c>
      <c r="M1482" s="7">
        <v>640.044982656</v>
      </c>
      <c r="N1482" s="7">
        <v>642.18210769070004</v>
      </c>
      <c r="O1482" s="7">
        <v>646.0430007722</v>
      </c>
      <c r="P1482" s="7">
        <v>640.044982656</v>
      </c>
      <c r="Q1482">
        <v>1</v>
      </c>
      <c r="R1482">
        <v>1</v>
      </c>
      <c r="S1482" s="11">
        <v>45894.666666666664</v>
      </c>
      <c r="T1482">
        <v>953</v>
      </c>
    </row>
    <row r="1483" spans="1:20">
      <c r="A1483" s="11">
        <v>45895.395833333336</v>
      </c>
      <c r="B1483" s="11">
        <v>45895.416666666664</v>
      </c>
      <c r="C1483" s="10">
        <v>45895</v>
      </c>
      <c r="D1483" s="7">
        <v>640.71360000000004</v>
      </c>
      <c r="E1483" s="7">
        <v>4369256</v>
      </c>
      <c r="F1483" s="7">
        <v>4369256</v>
      </c>
      <c r="G1483" s="7">
        <v>4369256</v>
      </c>
      <c r="H1483" s="7">
        <v>640.71360000000004</v>
      </c>
      <c r="I1483" s="7">
        <v>640.69349999999997</v>
      </c>
      <c r="J1483" s="7">
        <v>14</v>
      </c>
      <c r="K1483" s="7">
        <v>0</v>
      </c>
      <c r="L1483" s="7">
        <v>640.71360000000004</v>
      </c>
      <c r="M1483" s="7">
        <v>640.69349999999997</v>
      </c>
      <c r="N1483" s="7">
        <v>640.71360000000004</v>
      </c>
      <c r="O1483" s="7">
        <v>640.71360000000004</v>
      </c>
      <c r="P1483" s="7">
        <v>640.69349999999997</v>
      </c>
      <c r="Q1483">
        <v>1</v>
      </c>
      <c r="R1483">
        <v>0</v>
      </c>
      <c r="S1483" s="11">
        <v>45895.666666666664</v>
      </c>
      <c r="T1483">
        <v>951</v>
      </c>
    </row>
    <row r="1484" spans="1:20">
      <c r="A1484" s="11">
        <v>45895.416666666664</v>
      </c>
      <c r="B1484" s="11">
        <v>45895.4375</v>
      </c>
      <c r="C1484" s="10">
        <v>45895</v>
      </c>
      <c r="D1484" s="7">
        <v>641.29129999999998</v>
      </c>
      <c r="E1484" s="7">
        <v>2966848</v>
      </c>
      <c r="F1484" s="7">
        <v>2966848</v>
      </c>
      <c r="G1484" s="7">
        <v>7336104</v>
      </c>
      <c r="H1484" s="7">
        <v>640.71360000000004</v>
      </c>
      <c r="I1484" s="7">
        <v>640.69349999999997</v>
      </c>
      <c r="J1484" s="7">
        <v>14</v>
      </c>
      <c r="K1484" s="7">
        <v>2.0592509999999998E-3</v>
      </c>
      <c r="L1484" s="7">
        <v>642.03299009429998</v>
      </c>
      <c r="M1484" s="7">
        <v>639.37415129670001</v>
      </c>
      <c r="N1484" s="7">
        <v>640.94723192360004</v>
      </c>
      <c r="O1484" s="7">
        <v>642.03299009429998</v>
      </c>
      <c r="P1484" s="7">
        <v>639.37415129670001</v>
      </c>
      <c r="Q1484">
        <v>1</v>
      </c>
      <c r="R1484">
        <v>0</v>
      </c>
      <c r="S1484" s="11">
        <v>45895.666666666664</v>
      </c>
      <c r="T1484">
        <v>950</v>
      </c>
    </row>
    <row r="1485" spans="1:20">
      <c r="A1485" s="11">
        <v>45895.4375</v>
      </c>
      <c r="B1485" s="11">
        <v>45895.458333333336</v>
      </c>
      <c r="C1485" s="10">
        <v>45895</v>
      </c>
      <c r="D1485" s="7">
        <v>640.90309999999999</v>
      </c>
      <c r="E1485" s="7">
        <v>1922580</v>
      </c>
      <c r="F1485" s="7">
        <v>1922580</v>
      </c>
      <c r="G1485" s="7">
        <v>9258684</v>
      </c>
      <c r="H1485" s="7">
        <v>640.71360000000004</v>
      </c>
      <c r="I1485" s="7">
        <v>640.69349999999997</v>
      </c>
      <c r="J1485" s="7">
        <v>14</v>
      </c>
      <c r="K1485" s="7">
        <v>2.8423628E-3</v>
      </c>
      <c r="L1485" s="7">
        <v>642.5347404826</v>
      </c>
      <c r="M1485" s="7">
        <v>638.87241664889996</v>
      </c>
      <c r="N1485" s="7">
        <v>640.93806786170001</v>
      </c>
      <c r="O1485" s="7">
        <v>642.5347404826</v>
      </c>
      <c r="P1485" s="7">
        <v>638.87241664889996</v>
      </c>
      <c r="Q1485">
        <v>1</v>
      </c>
      <c r="R1485">
        <v>0</v>
      </c>
      <c r="S1485" s="11">
        <v>45895.666666666664</v>
      </c>
      <c r="T1485">
        <v>949</v>
      </c>
    </row>
    <row r="1486" spans="1:20">
      <c r="A1486" s="11">
        <v>45895.458333333336</v>
      </c>
      <c r="B1486" s="11">
        <v>45895.479166666664</v>
      </c>
      <c r="C1486" s="10">
        <v>45895</v>
      </c>
      <c r="D1486" s="7">
        <v>640.65369999999996</v>
      </c>
      <c r="E1486" s="7">
        <v>1647790</v>
      </c>
      <c r="F1486" s="7">
        <v>1647790</v>
      </c>
      <c r="G1486" s="7">
        <v>10906474</v>
      </c>
      <c r="H1486" s="7">
        <v>640.71360000000004</v>
      </c>
      <c r="I1486" s="7">
        <v>640.69349999999997</v>
      </c>
      <c r="J1486" s="7">
        <v>14</v>
      </c>
      <c r="K1486" s="7">
        <v>2.9105009000000002E-3</v>
      </c>
      <c r="L1486" s="7">
        <v>642.57839748590004</v>
      </c>
      <c r="M1486" s="7">
        <v>638.82876101520003</v>
      </c>
      <c r="N1486" s="7">
        <v>640.89510452460001</v>
      </c>
      <c r="O1486" s="7">
        <v>642.57839748590004</v>
      </c>
      <c r="P1486" s="7">
        <v>638.82876101520003</v>
      </c>
      <c r="Q1486">
        <v>1</v>
      </c>
      <c r="R1486">
        <v>0</v>
      </c>
      <c r="S1486" s="11">
        <v>45895.666666666664</v>
      </c>
      <c r="T1486">
        <v>948</v>
      </c>
    </row>
    <row r="1487" spans="1:20">
      <c r="A1487" s="11">
        <v>45895.479166666664</v>
      </c>
      <c r="B1487" s="11">
        <v>45895.5</v>
      </c>
      <c r="C1487" s="10">
        <v>45895</v>
      </c>
      <c r="D1487" s="7">
        <v>641.00279999999998</v>
      </c>
      <c r="E1487" s="7">
        <v>1041363</v>
      </c>
      <c r="F1487" s="7">
        <v>1041363</v>
      </c>
      <c r="G1487" s="7">
        <v>11947837</v>
      </c>
      <c r="H1487" s="7">
        <v>640.71360000000004</v>
      </c>
      <c r="I1487" s="7">
        <v>640.69349999999997</v>
      </c>
      <c r="J1487" s="7">
        <v>14</v>
      </c>
      <c r="K1487" s="7">
        <v>2.8256536999999998E-3</v>
      </c>
      <c r="L1487" s="7">
        <v>642.52403472690003</v>
      </c>
      <c r="M1487" s="7">
        <v>638.8831220687</v>
      </c>
      <c r="N1487" s="7">
        <v>640.90449116779996</v>
      </c>
      <c r="O1487" s="7">
        <v>642.52403472690003</v>
      </c>
      <c r="P1487" s="7">
        <v>638.8831220687</v>
      </c>
      <c r="Q1487">
        <v>1</v>
      </c>
      <c r="R1487">
        <v>0</v>
      </c>
      <c r="S1487" s="11">
        <v>45895.666666666664</v>
      </c>
      <c r="T1487">
        <v>947</v>
      </c>
    </row>
    <row r="1488" spans="1:20">
      <c r="A1488" s="11">
        <v>45895.5</v>
      </c>
      <c r="B1488" s="11">
        <v>45895.520833333336</v>
      </c>
      <c r="C1488" s="10">
        <v>45895</v>
      </c>
      <c r="D1488" s="7">
        <v>641.55129999999997</v>
      </c>
      <c r="E1488" s="7">
        <v>1647352</v>
      </c>
      <c r="F1488" s="7">
        <v>1647352</v>
      </c>
      <c r="G1488" s="7">
        <v>13595189</v>
      </c>
      <c r="H1488" s="7">
        <v>640.71360000000004</v>
      </c>
      <c r="I1488" s="7">
        <v>640.69349999999997</v>
      </c>
      <c r="J1488" s="7">
        <v>14</v>
      </c>
      <c r="K1488" s="7">
        <v>3.2301146999999999E-3</v>
      </c>
      <c r="L1488" s="7">
        <v>642.78317844460003</v>
      </c>
      <c r="M1488" s="7">
        <v>638.62398648069995</v>
      </c>
      <c r="N1488" s="7">
        <v>640.98286608590001</v>
      </c>
      <c r="O1488" s="7">
        <v>642.78317844460003</v>
      </c>
      <c r="P1488" s="7">
        <v>638.62398648069995</v>
      </c>
      <c r="Q1488">
        <v>1</v>
      </c>
      <c r="R1488">
        <v>0</v>
      </c>
      <c r="S1488" s="11">
        <v>45895.666666666664</v>
      </c>
      <c r="T1488">
        <v>946</v>
      </c>
    </row>
    <row r="1489" spans="1:20">
      <c r="A1489" s="11">
        <v>45895.520833333336</v>
      </c>
      <c r="B1489" s="11">
        <v>45895.541666666664</v>
      </c>
      <c r="C1489" s="10">
        <v>45895</v>
      </c>
      <c r="D1489" s="7">
        <v>641.50239999999997</v>
      </c>
      <c r="E1489" s="7">
        <v>1044420</v>
      </c>
      <c r="F1489" s="7">
        <v>1044420</v>
      </c>
      <c r="G1489" s="7">
        <v>14639609</v>
      </c>
      <c r="H1489" s="7">
        <v>640.71360000000004</v>
      </c>
      <c r="I1489" s="7">
        <v>640.69349999999997</v>
      </c>
      <c r="J1489" s="7">
        <v>14</v>
      </c>
      <c r="K1489" s="7">
        <v>3.1889598000000002E-3</v>
      </c>
      <c r="L1489" s="7">
        <v>642.75680992800005</v>
      </c>
      <c r="M1489" s="7">
        <v>638.65035417009994</v>
      </c>
      <c r="N1489" s="7">
        <v>641.01993071039999</v>
      </c>
      <c r="O1489" s="7">
        <v>642.75680992800005</v>
      </c>
      <c r="P1489" s="7">
        <v>638.65035417009994</v>
      </c>
      <c r="Q1489">
        <v>1</v>
      </c>
      <c r="R1489">
        <v>0</v>
      </c>
      <c r="S1489" s="11">
        <v>45895.666666666664</v>
      </c>
      <c r="T1489">
        <v>945</v>
      </c>
    </row>
    <row r="1490" spans="1:20">
      <c r="A1490" s="11">
        <v>45895.541666666664</v>
      </c>
      <c r="B1490" s="11">
        <v>45895.5625</v>
      </c>
      <c r="C1490" s="10">
        <v>45895</v>
      </c>
      <c r="D1490" s="7">
        <v>641.75070000000005</v>
      </c>
      <c r="E1490" s="7">
        <v>1139855</v>
      </c>
      <c r="F1490" s="7">
        <v>1139855</v>
      </c>
      <c r="G1490" s="7">
        <v>15779464</v>
      </c>
      <c r="H1490" s="7">
        <v>640.71360000000004</v>
      </c>
      <c r="I1490" s="7">
        <v>640.69349999999997</v>
      </c>
      <c r="J1490" s="7">
        <v>14</v>
      </c>
      <c r="K1490" s="7">
        <v>3.5737376000000002E-3</v>
      </c>
      <c r="L1490" s="7">
        <v>643.00334226560005</v>
      </c>
      <c r="M1490" s="7">
        <v>638.40382956650001</v>
      </c>
      <c r="N1490" s="7">
        <v>641.07271900720002</v>
      </c>
      <c r="O1490" s="7">
        <v>643.00334226560005</v>
      </c>
      <c r="P1490" s="7">
        <v>638.40382956650001</v>
      </c>
      <c r="Q1490">
        <v>1</v>
      </c>
      <c r="R1490">
        <v>0</v>
      </c>
      <c r="S1490" s="11">
        <v>45895.666666666664</v>
      </c>
      <c r="T1490">
        <v>944</v>
      </c>
    </row>
    <row r="1491" spans="1:20">
      <c r="A1491" s="11">
        <v>45895.5625</v>
      </c>
      <c r="B1491" s="11">
        <v>45895.583333333336</v>
      </c>
      <c r="C1491" s="10">
        <v>45895</v>
      </c>
      <c r="D1491" s="7">
        <v>641.08749999999998</v>
      </c>
      <c r="E1491" s="7">
        <v>1494131</v>
      </c>
      <c r="F1491" s="7">
        <v>1494131</v>
      </c>
      <c r="G1491" s="7">
        <v>17273595</v>
      </c>
      <c r="H1491" s="7">
        <v>640.71360000000004</v>
      </c>
      <c r="I1491" s="7">
        <v>640.69349999999997</v>
      </c>
      <c r="J1491" s="7">
        <v>14</v>
      </c>
      <c r="K1491" s="7">
        <v>3.6873507000000001E-3</v>
      </c>
      <c r="L1491" s="7">
        <v>643.076135755</v>
      </c>
      <c r="M1491" s="7">
        <v>638.33103836079999</v>
      </c>
      <c r="N1491" s="7">
        <v>641.07399753310006</v>
      </c>
      <c r="O1491" s="7">
        <v>643.076135755</v>
      </c>
      <c r="P1491" s="7">
        <v>638.33103836079999</v>
      </c>
      <c r="Q1491">
        <v>1</v>
      </c>
      <c r="R1491">
        <v>0</v>
      </c>
      <c r="S1491" s="11">
        <v>45895.666666666664</v>
      </c>
      <c r="T1491">
        <v>943</v>
      </c>
    </row>
    <row r="1492" spans="1:20">
      <c r="A1492" s="11">
        <v>45895.583333333336</v>
      </c>
      <c r="B1492" s="11">
        <v>45895.604166666664</v>
      </c>
      <c r="C1492" s="10">
        <v>45895</v>
      </c>
      <c r="D1492" s="7">
        <v>641.74080000000004</v>
      </c>
      <c r="E1492" s="7">
        <v>1497557</v>
      </c>
      <c r="F1492" s="7">
        <v>1497557</v>
      </c>
      <c r="G1492" s="7">
        <v>18771152</v>
      </c>
      <c r="H1492" s="7">
        <v>640.71360000000004</v>
      </c>
      <c r="I1492" s="7">
        <v>640.69349999999997</v>
      </c>
      <c r="J1492" s="7">
        <v>14</v>
      </c>
      <c r="K1492" s="7">
        <v>3.6471628000000001E-3</v>
      </c>
      <c r="L1492" s="7">
        <v>643.05038678139999</v>
      </c>
      <c r="M1492" s="7">
        <v>638.35678652659999</v>
      </c>
      <c r="N1492" s="7">
        <v>641.12719483830006</v>
      </c>
      <c r="O1492" s="7">
        <v>643.05038678139999</v>
      </c>
      <c r="P1492" s="7">
        <v>638.35678652659999</v>
      </c>
      <c r="Q1492">
        <v>1</v>
      </c>
      <c r="R1492">
        <v>0</v>
      </c>
      <c r="S1492" s="11">
        <v>45895.666666666664</v>
      </c>
      <c r="T1492">
        <v>942</v>
      </c>
    </row>
    <row r="1493" spans="1:20">
      <c r="A1493" s="11">
        <v>45895.604166666664</v>
      </c>
      <c r="B1493" s="11">
        <v>45895.625</v>
      </c>
      <c r="C1493" s="10">
        <v>45895</v>
      </c>
      <c r="D1493" s="7">
        <v>642.08979999999997</v>
      </c>
      <c r="E1493" s="7">
        <v>1850150</v>
      </c>
      <c r="F1493" s="7">
        <v>1850150</v>
      </c>
      <c r="G1493" s="7">
        <v>20621302</v>
      </c>
      <c r="H1493" s="7">
        <v>640.71360000000004</v>
      </c>
      <c r="I1493" s="7">
        <v>640.69349999999997</v>
      </c>
      <c r="J1493" s="7">
        <v>14</v>
      </c>
      <c r="K1493" s="7">
        <v>3.7867973999999999E-3</v>
      </c>
      <c r="L1493" s="7">
        <v>643.13985258299999</v>
      </c>
      <c r="M1493" s="7">
        <v>638.26732353160003</v>
      </c>
      <c r="N1493" s="7">
        <v>641.21356009010003</v>
      </c>
      <c r="O1493" s="7">
        <v>643.13985258299999</v>
      </c>
      <c r="P1493" s="7">
        <v>638.26732353160003</v>
      </c>
      <c r="Q1493">
        <v>1</v>
      </c>
      <c r="R1493">
        <v>0</v>
      </c>
      <c r="S1493" s="11">
        <v>45895.666666666664</v>
      </c>
      <c r="T1493">
        <v>941</v>
      </c>
    </row>
    <row r="1494" spans="1:20">
      <c r="A1494" s="11">
        <v>45895.625</v>
      </c>
      <c r="B1494" s="11">
        <v>45895.645833333336</v>
      </c>
      <c r="C1494" s="10">
        <v>45895</v>
      </c>
      <c r="D1494" s="7">
        <v>642.75789999999995</v>
      </c>
      <c r="E1494" s="7">
        <v>2673379</v>
      </c>
      <c r="F1494" s="7">
        <v>2673379</v>
      </c>
      <c r="G1494" s="7">
        <v>23294681</v>
      </c>
      <c r="H1494" s="7">
        <v>640.71360000000004</v>
      </c>
      <c r="I1494" s="7">
        <v>640.69349999999997</v>
      </c>
      <c r="J1494" s="7">
        <v>14</v>
      </c>
      <c r="K1494" s="7">
        <v>3.9804584999999998E-3</v>
      </c>
      <c r="L1494" s="7">
        <v>643.26393390730004</v>
      </c>
      <c r="M1494" s="7">
        <v>638.14324609990001</v>
      </c>
      <c r="N1494" s="7">
        <v>641.39079393520001</v>
      </c>
      <c r="O1494" s="7">
        <v>643.26393390730004</v>
      </c>
      <c r="P1494" s="7">
        <v>638.14324609990001</v>
      </c>
      <c r="Q1494">
        <v>1</v>
      </c>
      <c r="R1494">
        <v>0</v>
      </c>
      <c r="S1494" s="11">
        <v>45895.666666666664</v>
      </c>
      <c r="T1494">
        <v>940</v>
      </c>
    </row>
    <row r="1495" spans="1:20">
      <c r="A1495" s="11">
        <v>45895.645833333336</v>
      </c>
      <c r="B1495" s="11">
        <v>45895.666666666664</v>
      </c>
      <c r="C1495" s="10">
        <v>45895</v>
      </c>
      <c r="D1495" s="7">
        <v>643.37620000000004</v>
      </c>
      <c r="E1495" s="7">
        <v>9398213</v>
      </c>
      <c r="F1495" s="7">
        <v>9398213</v>
      </c>
      <c r="G1495" s="7">
        <v>32692894</v>
      </c>
      <c r="H1495" s="7">
        <v>640.71360000000004</v>
      </c>
      <c r="I1495" s="7">
        <v>640.69349999999997</v>
      </c>
      <c r="J1495" s="7">
        <v>14</v>
      </c>
      <c r="K1495" s="7">
        <v>3.7490157999999999E-3</v>
      </c>
      <c r="L1495" s="7">
        <v>643.11564542780002</v>
      </c>
      <c r="M1495" s="7">
        <v>638.29152992740001</v>
      </c>
      <c r="N1495" s="7">
        <v>641.92140705719999</v>
      </c>
      <c r="O1495" s="7">
        <v>643.11564542780002</v>
      </c>
      <c r="P1495" s="7">
        <v>638.29152992740001</v>
      </c>
      <c r="Q1495">
        <v>1</v>
      </c>
      <c r="R1495">
        <v>1</v>
      </c>
      <c r="S1495" s="11">
        <v>45895.666666666664</v>
      </c>
      <c r="T1495">
        <v>939</v>
      </c>
    </row>
    <row r="1496" spans="1:20">
      <c r="A1496" s="11">
        <v>45896.395833333336</v>
      </c>
      <c r="B1496" s="11">
        <v>45896.416666666664</v>
      </c>
      <c r="C1496" s="10">
        <v>45896</v>
      </c>
      <c r="D1496" s="7">
        <v>643.54330000000004</v>
      </c>
      <c r="E1496" s="7">
        <v>4163387</v>
      </c>
      <c r="F1496" s="7">
        <v>4163387</v>
      </c>
      <c r="G1496" s="7">
        <v>4163387</v>
      </c>
      <c r="H1496" s="7">
        <v>643.54330000000004</v>
      </c>
      <c r="I1496" s="7">
        <v>643.37620000000004</v>
      </c>
      <c r="J1496" s="7">
        <v>14</v>
      </c>
      <c r="K1496" s="7">
        <v>0</v>
      </c>
      <c r="L1496" s="7">
        <v>643.54330000000004</v>
      </c>
      <c r="M1496" s="7">
        <v>643.37620000000004</v>
      </c>
      <c r="N1496" s="7">
        <v>643.54330000000004</v>
      </c>
      <c r="O1496" s="7">
        <v>643.54330000000004</v>
      </c>
      <c r="P1496" s="7">
        <v>643.37620000000004</v>
      </c>
      <c r="Q1496">
        <v>1</v>
      </c>
      <c r="R1496">
        <v>0</v>
      </c>
      <c r="S1496" s="11">
        <v>45896.666666666664</v>
      </c>
      <c r="T1496">
        <v>937</v>
      </c>
    </row>
    <row r="1497" spans="1:20">
      <c r="A1497" s="11">
        <v>45896.416666666664</v>
      </c>
      <c r="B1497" s="11">
        <v>45896.4375</v>
      </c>
      <c r="C1497" s="10">
        <v>45896</v>
      </c>
      <c r="D1497" s="7">
        <v>644.33360000000005</v>
      </c>
      <c r="E1497" s="7">
        <v>2986956</v>
      </c>
      <c r="F1497" s="7">
        <v>2986956</v>
      </c>
      <c r="G1497" s="7">
        <v>7150343</v>
      </c>
      <c r="H1497" s="7">
        <v>643.54330000000004</v>
      </c>
      <c r="I1497" s="7">
        <v>643.37620000000004</v>
      </c>
      <c r="J1497" s="7">
        <v>14</v>
      </c>
      <c r="K1497" s="7">
        <v>2.1015043999999998E-3</v>
      </c>
      <c r="L1497" s="7">
        <v>644.89570906660003</v>
      </c>
      <c r="M1497" s="7">
        <v>642.02414209480003</v>
      </c>
      <c r="N1497" s="7">
        <v>643.87343679579999</v>
      </c>
      <c r="O1497" s="7">
        <v>644.89570906660003</v>
      </c>
      <c r="P1497" s="7">
        <v>642.02414209480003</v>
      </c>
      <c r="Q1497">
        <v>1</v>
      </c>
      <c r="R1497">
        <v>0</v>
      </c>
      <c r="S1497" s="11">
        <v>45896.666666666664</v>
      </c>
      <c r="T1497">
        <v>936</v>
      </c>
    </row>
    <row r="1498" spans="1:20">
      <c r="A1498" s="11">
        <v>45896.4375</v>
      </c>
      <c r="B1498" s="11">
        <v>45896.458333333336</v>
      </c>
      <c r="C1498" s="10">
        <v>45896</v>
      </c>
      <c r="D1498" s="7">
        <v>644.45820000000003</v>
      </c>
      <c r="E1498" s="7">
        <v>2056507</v>
      </c>
      <c r="F1498" s="7">
        <v>2056507</v>
      </c>
      <c r="G1498" s="7">
        <v>9206850</v>
      </c>
      <c r="H1498" s="7">
        <v>643.54330000000004</v>
      </c>
      <c r="I1498" s="7">
        <v>643.37620000000004</v>
      </c>
      <c r="J1498" s="7">
        <v>14</v>
      </c>
      <c r="K1498" s="7">
        <v>2.6329558E-3</v>
      </c>
      <c r="L1498" s="7">
        <v>645.23772104279999</v>
      </c>
      <c r="M1498" s="7">
        <v>641.68221892409997</v>
      </c>
      <c r="N1498" s="7">
        <v>644.00405363250002</v>
      </c>
      <c r="O1498" s="7">
        <v>645.23772104279999</v>
      </c>
      <c r="P1498" s="7">
        <v>641.68221892409997</v>
      </c>
      <c r="Q1498">
        <v>1</v>
      </c>
      <c r="R1498">
        <v>0</v>
      </c>
      <c r="S1498" s="11">
        <v>45896.666666666664</v>
      </c>
      <c r="T1498">
        <v>935</v>
      </c>
    </row>
    <row r="1499" spans="1:20">
      <c r="A1499" s="11">
        <v>45896.458333333336</v>
      </c>
      <c r="B1499" s="11">
        <v>45896.479166666664</v>
      </c>
      <c r="C1499" s="10">
        <v>45896</v>
      </c>
      <c r="D1499" s="7">
        <v>644.5181</v>
      </c>
      <c r="E1499" s="7">
        <v>1552957</v>
      </c>
      <c r="F1499" s="7">
        <v>1552957</v>
      </c>
      <c r="G1499" s="7">
        <v>10759807</v>
      </c>
      <c r="H1499" s="7">
        <v>643.54330000000004</v>
      </c>
      <c r="I1499" s="7">
        <v>643.37620000000004</v>
      </c>
      <c r="J1499" s="7">
        <v>14</v>
      </c>
      <c r="K1499" s="7">
        <v>2.5804613000000001E-3</v>
      </c>
      <c r="L1499" s="7">
        <v>645.20393860570005</v>
      </c>
      <c r="M1499" s="7">
        <v>641.7159925894</v>
      </c>
      <c r="N1499" s="7">
        <v>644.07824566069996</v>
      </c>
      <c r="O1499" s="7">
        <v>645.20393860570005</v>
      </c>
      <c r="P1499" s="7">
        <v>641.7159925894</v>
      </c>
      <c r="Q1499">
        <v>1</v>
      </c>
      <c r="R1499">
        <v>0</v>
      </c>
      <c r="S1499" s="11">
        <v>45896.666666666664</v>
      </c>
      <c r="T1499">
        <v>934</v>
      </c>
    </row>
    <row r="1500" spans="1:20">
      <c r="A1500" s="11">
        <v>45896.479166666664</v>
      </c>
      <c r="B1500" s="11">
        <v>45896.5</v>
      </c>
      <c r="C1500" s="10">
        <v>45896</v>
      </c>
      <c r="D1500" s="7">
        <v>644.75239999999997</v>
      </c>
      <c r="E1500" s="7">
        <v>1688277</v>
      </c>
      <c r="F1500" s="7">
        <v>1688277</v>
      </c>
      <c r="G1500" s="7">
        <v>12448084</v>
      </c>
      <c r="H1500" s="7">
        <v>643.54330000000004</v>
      </c>
      <c r="I1500" s="7">
        <v>643.37620000000004</v>
      </c>
      <c r="J1500" s="7">
        <v>14</v>
      </c>
      <c r="K1500" s="7">
        <v>2.4342958999999998E-3</v>
      </c>
      <c r="L1500" s="7">
        <v>645.10987484320003</v>
      </c>
      <c r="M1500" s="7">
        <v>641.81003192759999</v>
      </c>
      <c r="N1500" s="7">
        <v>644.16967814669999</v>
      </c>
      <c r="O1500" s="7">
        <v>645.10987484320003</v>
      </c>
      <c r="P1500" s="7">
        <v>641.81003192759999</v>
      </c>
      <c r="Q1500">
        <v>1</v>
      </c>
      <c r="R1500">
        <v>0</v>
      </c>
      <c r="S1500" s="11">
        <v>45896.666666666664</v>
      </c>
      <c r="T1500">
        <v>933</v>
      </c>
    </row>
    <row r="1501" spans="1:20">
      <c r="A1501" s="11">
        <v>45896.5</v>
      </c>
      <c r="B1501" s="11">
        <v>45896.520833333336</v>
      </c>
      <c r="C1501" s="10">
        <v>45896</v>
      </c>
      <c r="D1501" s="7">
        <v>644.15409999999997</v>
      </c>
      <c r="E1501" s="7">
        <v>1677365</v>
      </c>
      <c r="F1501" s="7">
        <v>1677365</v>
      </c>
      <c r="G1501" s="7">
        <v>14125449</v>
      </c>
      <c r="H1501" s="7">
        <v>643.54330000000004</v>
      </c>
      <c r="I1501" s="7">
        <v>643.37620000000004</v>
      </c>
      <c r="J1501" s="7">
        <v>14</v>
      </c>
      <c r="K1501" s="7">
        <v>2.9328403E-3</v>
      </c>
      <c r="L1501" s="7">
        <v>645.4307097098</v>
      </c>
      <c r="M1501" s="7">
        <v>641.48928036790005</v>
      </c>
      <c r="N1501" s="7">
        <v>644.16782827710006</v>
      </c>
      <c r="O1501" s="7">
        <v>645.4307097098</v>
      </c>
      <c r="P1501" s="7">
        <v>641.48928036790005</v>
      </c>
      <c r="Q1501">
        <v>1</v>
      </c>
      <c r="R1501">
        <v>0</v>
      </c>
      <c r="S1501" s="11">
        <v>45896.666666666664</v>
      </c>
      <c r="T1501">
        <v>932</v>
      </c>
    </row>
    <row r="1502" spans="1:20">
      <c r="A1502" s="11">
        <v>45896.520833333336</v>
      </c>
      <c r="B1502" s="11">
        <v>45896.541666666664</v>
      </c>
      <c r="C1502" s="10">
        <v>45896</v>
      </c>
      <c r="D1502" s="7">
        <v>644.4932</v>
      </c>
      <c r="E1502" s="7">
        <v>1916922</v>
      </c>
      <c r="F1502" s="7">
        <v>1916922</v>
      </c>
      <c r="G1502" s="7">
        <v>16042371</v>
      </c>
      <c r="H1502" s="7">
        <v>643.54330000000004</v>
      </c>
      <c r="I1502" s="7">
        <v>643.37620000000004</v>
      </c>
      <c r="J1502" s="7">
        <v>14</v>
      </c>
      <c r="K1502" s="7">
        <v>2.9032707000000001E-3</v>
      </c>
      <c r="L1502" s="7">
        <v>645.41168041770004</v>
      </c>
      <c r="M1502" s="7">
        <v>641.50830471890004</v>
      </c>
      <c r="N1502" s="7">
        <v>644.20670733140003</v>
      </c>
      <c r="O1502" s="7">
        <v>645.41168041770004</v>
      </c>
      <c r="P1502" s="7">
        <v>641.50830471890004</v>
      </c>
      <c r="Q1502">
        <v>1</v>
      </c>
      <c r="R1502">
        <v>0</v>
      </c>
      <c r="S1502" s="11">
        <v>45896.666666666664</v>
      </c>
      <c r="T1502">
        <v>931</v>
      </c>
    </row>
    <row r="1503" spans="1:20">
      <c r="A1503" s="11">
        <v>45896.541666666664</v>
      </c>
      <c r="B1503" s="11">
        <v>45896.5625</v>
      </c>
      <c r="C1503" s="10">
        <v>45896</v>
      </c>
      <c r="D1503" s="7">
        <v>644.66269999999997</v>
      </c>
      <c r="E1503" s="7">
        <v>1518023</v>
      </c>
      <c r="F1503" s="7">
        <v>1518023</v>
      </c>
      <c r="G1503" s="7">
        <v>17560394</v>
      </c>
      <c r="H1503" s="7">
        <v>643.54330000000004</v>
      </c>
      <c r="I1503" s="7">
        <v>643.37620000000004</v>
      </c>
      <c r="J1503" s="7">
        <v>14</v>
      </c>
      <c r="K1503" s="7">
        <v>3.3092156000000001E-3</v>
      </c>
      <c r="L1503" s="7">
        <v>645.67292350080004</v>
      </c>
      <c r="M1503" s="7">
        <v>641.24712946909995</v>
      </c>
      <c r="N1503" s="7">
        <v>644.2461260005</v>
      </c>
      <c r="O1503" s="7">
        <v>645.67292350080004</v>
      </c>
      <c r="P1503" s="7">
        <v>641.24712946909995</v>
      </c>
      <c r="Q1503">
        <v>1</v>
      </c>
      <c r="R1503">
        <v>0</v>
      </c>
      <c r="S1503" s="11">
        <v>45896.666666666664</v>
      </c>
      <c r="T1503">
        <v>930</v>
      </c>
    </row>
    <row r="1504" spans="1:20">
      <c r="A1504" s="11">
        <v>45896.5625</v>
      </c>
      <c r="B1504" s="11">
        <v>45896.583333333336</v>
      </c>
      <c r="C1504" s="10">
        <v>45896</v>
      </c>
      <c r="D1504" s="7">
        <v>644.96180000000004</v>
      </c>
      <c r="E1504" s="7">
        <v>1174339</v>
      </c>
      <c r="F1504" s="7">
        <v>1174339</v>
      </c>
      <c r="G1504" s="7">
        <v>18734733</v>
      </c>
      <c r="H1504" s="7">
        <v>643.54330000000004</v>
      </c>
      <c r="I1504" s="7">
        <v>643.37620000000004</v>
      </c>
      <c r="J1504" s="7">
        <v>14</v>
      </c>
      <c r="K1504" s="7">
        <v>3.3559767999999999E-3</v>
      </c>
      <c r="L1504" s="7">
        <v>645.70301638420005</v>
      </c>
      <c r="M1504" s="7">
        <v>641.21704439960001</v>
      </c>
      <c r="N1504" s="7">
        <v>644.2909862015</v>
      </c>
      <c r="O1504" s="7">
        <v>645.70301638420005</v>
      </c>
      <c r="P1504" s="7">
        <v>641.21704439960001</v>
      </c>
      <c r="Q1504">
        <v>1</v>
      </c>
      <c r="R1504">
        <v>0</v>
      </c>
      <c r="S1504" s="11">
        <v>45896.666666666664</v>
      </c>
      <c r="T1504">
        <v>929</v>
      </c>
    </row>
    <row r="1505" spans="1:20">
      <c r="A1505" s="11">
        <v>45896.583333333336</v>
      </c>
      <c r="B1505" s="11">
        <v>45896.604166666664</v>
      </c>
      <c r="C1505" s="10">
        <v>45896</v>
      </c>
      <c r="D1505" s="7">
        <v>645.44050000000004</v>
      </c>
      <c r="E1505" s="7">
        <v>2140459</v>
      </c>
      <c r="F1505" s="7">
        <v>2140459</v>
      </c>
      <c r="G1505" s="7">
        <v>20875192</v>
      </c>
      <c r="H1505" s="7">
        <v>643.54330000000004</v>
      </c>
      <c r="I1505" s="7">
        <v>643.37620000000004</v>
      </c>
      <c r="J1505" s="7">
        <v>14</v>
      </c>
      <c r="K1505" s="7">
        <v>3.3113966000000001E-3</v>
      </c>
      <c r="L1505" s="7">
        <v>645.67432711720005</v>
      </c>
      <c r="M1505" s="7">
        <v>641.24572621719994</v>
      </c>
      <c r="N1505" s="7">
        <v>644.40885276560005</v>
      </c>
      <c r="O1505" s="7">
        <v>645.67432711720005</v>
      </c>
      <c r="P1505" s="7">
        <v>641.24572621719994</v>
      </c>
      <c r="Q1505">
        <v>1</v>
      </c>
      <c r="R1505">
        <v>0</v>
      </c>
      <c r="S1505" s="11">
        <v>45896.666666666664</v>
      </c>
      <c r="T1505">
        <v>928</v>
      </c>
    </row>
    <row r="1506" spans="1:20">
      <c r="A1506" s="11">
        <v>45896.604166666664</v>
      </c>
      <c r="B1506" s="11">
        <v>45896.625</v>
      </c>
      <c r="C1506" s="10">
        <v>45896</v>
      </c>
      <c r="D1506" s="7">
        <v>645.23109999999997</v>
      </c>
      <c r="E1506" s="7">
        <v>1522612</v>
      </c>
      <c r="F1506" s="7">
        <v>1522612</v>
      </c>
      <c r="G1506" s="7">
        <v>22397804</v>
      </c>
      <c r="H1506" s="7">
        <v>643.54330000000004</v>
      </c>
      <c r="I1506" s="7">
        <v>643.37620000000004</v>
      </c>
      <c r="J1506" s="7">
        <v>14</v>
      </c>
      <c r="K1506" s="7">
        <v>3.5268368E-3</v>
      </c>
      <c r="L1506" s="7">
        <v>645.81297219420003</v>
      </c>
      <c r="M1506" s="7">
        <v>641.10711714019999</v>
      </c>
      <c r="N1506" s="7">
        <v>644.46474947340005</v>
      </c>
      <c r="O1506" s="7">
        <v>645.81297219420003</v>
      </c>
      <c r="P1506" s="7">
        <v>641.10711714019999</v>
      </c>
      <c r="Q1506">
        <v>1</v>
      </c>
      <c r="R1506">
        <v>0</v>
      </c>
      <c r="S1506" s="11">
        <v>45896.666666666664</v>
      </c>
      <c r="T1506">
        <v>927</v>
      </c>
    </row>
    <row r="1507" spans="1:20">
      <c r="A1507" s="11">
        <v>45896.625</v>
      </c>
      <c r="B1507" s="11">
        <v>45896.645833333336</v>
      </c>
      <c r="C1507" s="10">
        <v>45896</v>
      </c>
      <c r="D1507" s="7">
        <v>644.90200000000004</v>
      </c>
      <c r="E1507" s="7">
        <v>3270770</v>
      </c>
      <c r="F1507" s="7">
        <v>3270770</v>
      </c>
      <c r="G1507" s="7">
        <v>25668574</v>
      </c>
      <c r="H1507" s="7">
        <v>643.54330000000004</v>
      </c>
      <c r="I1507" s="7">
        <v>643.37620000000004</v>
      </c>
      <c r="J1507" s="7">
        <v>14</v>
      </c>
      <c r="K1507" s="7">
        <v>3.7461466999999999E-3</v>
      </c>
      <c r="L1507" s="7">
        <v>645.95410758979995</v>
      </c>
      <c r="M1507" s="7">
        <v>640.96601839130005</v>
      </c>
      <c r="N1507" s="7">
        <v>644.52046530339999</v>
      </c>
      <c r="O1507" s="7">
        <v>645.95410758979995</v>
      </c>
      <c r="P1507" s="7">
        <v>640.96601839130005</v>
      </c>
      <c r="Q1507">
        <v>1</v>
      </c>
      <c r="R1507">
        <v>0</v>
      </c>
      <c r="S1507" s="11">
        <v>45896.666666666664</v>
      </c>
      <c r="T1507">
        <v>926</v>
      </c>
    </row>
    <row r="1508" spans="1:20">
      <c r="A1508" s="11">
        <v>45896.645833333336</v>
      </c>
      <c r="B1508" s="11">
        <v>45896.666666666664</v>
      </c>
      <c r="C1508" s="10">
        <v>45896</v>
      </c>
      <c r="D1508" s="7">
        <v>644.84220000000005</v>
      </c>
      <c r="E1508" s="7">
        <v>5905935</v>
      </c>
      <c r="F1508" s="7">
        <v>5905935</v>
      </c>
      <c r="G1508" s="7">
        <v>31574509</v>
      </c>
      <c r="H1508" s="7">
        <v>643.54330000000004</v>
      </c>
      <c r="I1508" s="7">
        <v>643.37620000000004</v>
      </c>
      <c r="J1508" s="7">
        <v>14</v>
      </c>
      <c r="K1508" s="7">
        <v>3.6108859999999998E-3</v>
      </c>
      <c r="L1508" s="7">
        <v>645.86706147819996</v>
      </c>
      <c r="M1508" s="7">
        <v>641.05304190080005</v>
      </c>
      <c r="N1508" s="7">
        <v>644.56944084559996</v>
      </c>
      <c r="O1508" s="7">
        <v>645.86706147819996</v>
      </c>
      <c r="P1508" s="7">
        <v>641.05304190080005</v>
      </c>
      <c r="Q1508">
        <v>1</v>
      </c>
      <c r="R1508">
        <v>1</v>
      </c>
      <c r="S1508" s="11">
        <v>45896.666666666664</v>
      </c>
      <c r="T1508">
        <v>925</v>
      </c>
    </row>
    <row r="1509" spans="1:20">
      <c r="A1509" s="11">
        <v>45897.395833333336</v>
      </c>
      <c r="B1509" s="11">
        <v>45897.416666666664</v>
      </c>
      <c r="C1509" s="10">
        <v>45897</v>
      </c>
      <c r="D1509" s="7">
        <v>644.27369999999996</v>
      </c>
      <c r="E1509" s="7">
        <v>6484013</v>
      </c>
      <c r="F1509" s="7">
        <v>6484013</v>
      </c>
      <c r="G1509" s="7">
        <v>6484013</v>
      </c>
      <c r="H1509" s="7">
        <v>644.27369999999996</v>
      </c>
      <c r="I1509" s="7">
        <v>644.84199999999998</v>
      </c>
      <c r="J1509" s="7">
        <v>14</v>
      </c>
      <c r="K1509" s="7">
        <v>0</v>
      </c>
      <c r="L1509" s="7">
        <v>644.84199999999998</v>
      </c>
      <c r="M1509" s="7">
        <v>644.27369999999996</v>
      </c>
      <c r="N1509" s="7">
        <v>644.27369999999996</v>
      </c>
      <c r="O1509" s="7">
        <v>644.84199999999998</v>
      </c>
      <c r="P1509" s="7">
        <v>644.27369999999996</v>
      </c>
      <c r="Q1509">
        <v>1</v>
      </c>
      <c r="R1509">
        <v>0</v>
      </c>
      <c r="S1509" s="11">
        <v>45897.666666666664</v>
      </c>
      <c r="T1509">
        <v>923</v>
      </c>
    </row>
    <row r="1510" spans="1:20">
      <c r="A1510" s="11">
        <v>45897.416666666664</v>
      </c>
      <c r="B1510" s="11">
        <v>45897.4375</v>
      </c>
      <c r="C1510" s="10">
        <v>45897</v>
      </c>
      <c r="D1510" s="7">
        <v>644.24379999999996</v>
      </c>
      <c r="E1510" s="7">
        <v>3090824</v>
      </c>
      <c r="F1510" s="7">
        <v>3090824</v>
      </c>
      <c r="G1510" s="7">
        <v>9574837</v>
      </c>
      <c r="H1510" s="7">
        <v>644.27369999999996</v>
      </c>
      <c r="I1510" s="7">
        <v>644.84199999999998</v>
      </c>
      <c r="J1510" s="7">
        <v>14</v>
      </c>
      <c r="K1510" s="7">
        <v>1.8761536E-3</v>
      </c>
      <c r="L1510" s="7">
        <v>646.05182266359998</v>
      </c>
      <c r="M1510" s="7">
        <v>643.06494355459995</v>
      </c>
      <c r="N1510" s="7">
        <v>644.26404807200004</v>
      </c>
      <c r="O1510" s="7">
        <v>646.05182266359998</v>
      </c>
      <c r="P1510" s="7">
        <v>643.06494355459995</v>
      </c>
      <c r="Q1510">
        <v>1</v>
      </c>
      <c r="R1510">
        <v>0</v>
      </c>
      <c r="S1510" s="11">
        <v>45897.666666666664</v>
      </c>
      <c r="T1510">
        <v>922</v>
      </c>
    </row>
    <row r="1511" spans="1:20">
      <c r="A1511" s="11">
        <v>45897.4375</v>
      </c>
      <c r="B1511" s="11">
        <v>45897.458333333336</v>
      </c>
      <c r="C1511" s="10">
        <v>45897</v>
      </c>
      <c r="D1511" s="7">
        <v>645.0865</v>
      </c>
      <c r="E1511" s="7">
        <v>2605231</v>
      </c>
      <c r="F1511" s="7">
        <v>2605231</v>
      </c>
      <c r="G1511" s="7">
        <v>12180068</v>
      </c>
      <c r="H1511" s="7">
        <v>644.27369999999996</v>
      </c>
      <c r="I1511" s="7">
        <v>644.84199999999998</v>
      </c>
      <c r="J1511" s="7">
        <v>14</v>
      </c>
      <c r="K1511" s="7">
        <v>2.3069779999999999E-3</v>
      </c>
      <c r="L1511" s="7">
        <v>646.32963627879997</v>
      </c>
      <c r="M1511" s="7">
        <v>642.78737477679999</v>
      </c>
      <c r="N1511" s="7">
        <v>644.43996476300003</v>
      </c>
      <c r="O1511" s="7">
        <v>646.32963627879997</v>
      </c>
      <c r="P1511" s="7">
        <v>642.78737477679999</v>
      </c>
      <c r="Q1511">
        <v>1</v>
      </c>
      <c r="R1511">
        <v>0</v>
      </c>
      <c r="S1511" s="11">
        <v>45897.666666666664</v>
      </c>
      <c r="T1511">
        <v>921</v>
      </c>
    </row>
    <row r="1512" spans="1:20">
      <c r="A1512" s="11">
        <v>45897.458333333336</v>
      </c>
      <c r="B1512" s="11">
        <v>45897.479166666664</v>
      </c>
      <c r="C1512" s="10">
        <v>45897</v>
      </c>
      <c r="D1512" s="7">
        <v>644.48320000000001</v>
      </c>
      <c r="E1512" s="7">
        <v>2611648</v>
      </c>
      <c r="F1512" s="7">
        <v>2611648</v>
      </c>
      <c r="G1512" s="7">
        <v>14791716</v>
      </c>
      <c r="H1512" s="7">
        <v>644.27369999999996</v>
      </c>
      <c r="I1512" s="7">
        <v>644.84199999999998</v>
      </c>
      <c r="J1512" s="7">
        <v>14</v>
      </c>
      <c r="K1512" s="7">
        <v>2.1691232999999999E-3</v>
      </c>
      <c r="L1512" s="7">
        <v>646.24074177839998</v>
      </c>
      <c r="M1512" s="7">
        <v>642.87619093440003</v>
      </c>
      <c r="N1512" s="7">
        <v>644.4475984426</v>
      </c>
      <c r="O1512" s="7">
        <v>646.24074177839998</v>
      </c>
      <c r="P1512" s="7">
        <v>642.87619093440003</v>
      </c>
      <c r="Q1512">
        <v>1</v>
      </c>
      <c r="R1512">
        <v>0</v>
      </c>
      <c r="S1512" s="11">
        <v>45897.666666666664</v>
      </c>
      <c r="T1512">
        <v>920</v>
      </c>
    </row>
    <row r="1513" spans="1:20">
      <c r="A1513" s="11">
        <v>45897.479166666664</v>
      </c>
      <c r="B1513" s="11">
        <v>45897.5</v>
      </c>
      <c r="C1513" s="10">
        <v>45897</v>
      </c>
      <c r="D1513" s="7">
        <v>645.27800000000002</v>
      </c>
      <c r="E1513" s="7">
        <v>1856436</v>
      </c>
      <c r="F1513" s="7">
        <v>1856436</v>
      </c>
      <c r="G1513" s="7">
        <v>16648152</v>
      </c>
      <c r="H1513" s="7">
        <v>644.27369999999996</v>
      </c>
      <c r="I1513" s="7">
        <v>644.84199999999998</v>
      </c>
      <c r="J1513" s="7">
        <v>14</v>
      </c>
      <c r="K1513" s="7">
        <v>2.0388703E-3</v>
      </c>
      <c r="L1513" s="7">
        <v>646.15674918019999</v>
      </c>
      <c r="M1513" s="7">
        <v>642.96010950970003</v>
      </c>
      <c r="N1513" s="7">
        <v>644.54019654870001</v>
      </c>
      <c r="O1513" s="7">
        <v>646.15674918019999</v>
      </c>
      <c r="P1513" s="7">
        <v>642.96010950970003</v>
      </c>
      <c r="Q1513">
        <v>1</v>
      </c>
      <c r="R1513">
        <v>0</v>
      </c>
      <c r="S1513" s="11">
        <v>45897.666666666664</v>
      </c>
      <c r="T1513">
        <v>919</v>
      </c>
    </row>
    <row r="1514" spans="1:20">
      <c r="A1514" s="11">
        <v>45897.5</v>
      </c>
      <c r="B1514" s="11">
        <v>45897.520833333336</v>
      </c>
      <c r="C1514" s="10">
        <v>45897</v>
      </c>
      <c r="D1514" s="7">
        <v>646.36789999999996</v>
      </c>
      <c r="E1514" s="7">
        <v>2122788</v>
      </c>
      <c r="F1514" s="7">
        <v>2122788</v>
      </c>
      <c r="G1514" s="7">
        <v>18770940</v>
      </c>
      <c r="H1514" s="7">
        <v>644.27369999999996</v>
      </c>
      <c r="I1514" s="7">
        <v>644.84199999999998</v>
      </c>
      <c r="J1514" s="7">
        <v>14</v>
      </c>
      <c r="K1514" s="7">
        <v>2.5125168000000001E-3</v>
      </c>
      <c r="L1514" s="7">
        <v>646.46217638409996</v>
      </c>
      <c r="M1514" s="7">
        <v>642.65495147920001</v>
      </c>
      <c r="N1514" s="7">
        <v>644.74688981789996</v>
      </c>
      <c r="O1514" s="7">
        <v>646.46217638409996</v>
      </c>
      <c r="P1514" s="7">
        <v>642.65495147920001</v>
      </c>
      <c r="Q1514">
        <v>1</v>
      </c>
      <c r="R1514">
        <v>0</v>
      </c>
      <c r="S1514" s="11">
        <v>45897.666666666664</v>
      </c>
      <c r="T1514">
        <v>918</v>
      </c>
    </row>
    <row r="1515" spans="1:20">
      <c r="A1515" s="11">
        <v>45897.520833333336</v>
      </c>
      <c r="B1515" s="11">
        <v>45897.541666666664</v>
      </c>
      <c r="C1515" s="10">
        <v>45897</v>
      </c>
      <c r="D1515" s="7">
        <v>645.88919999999996</v>
      </c>
      <c r="E1515" s="7">
        <v>1715779</v>
      </c>
      <c r="F1515" s="7">
        <v>1715779</v>
      </c>
      <c r="G1515" s="7">
        <v>20486719</v>
      </c>
      <c r="H1515" s="7">
        <v>644.27369999999996</v>
      </c>
      <c r="I1515" s="7">
        <v>644.84199999999998</v>
      </c>
      <c r="J1515" s="7">
        <v>14</v>
      </c>
      <c r="K1515" s="7">
        <v>2.411743E-3</v>
      </c>
      <c r="L1515" s="7">
        <v>646.39719315069999</v>
      </c>
      <c r="M1515" s="7">
        <v>642.7198774428</v>
      </c>
      <c r="N1515" s="7">
        <v>644.84255920359999</v>
      </c>
      <c r="O1515" s="7">
        <v>646.39719315069999</v>
      </c>
      <c r="P1515" s="7">
        <v>642.7198774428</v>
      </c>
      <c r="Q1515">
        <v>1</v>
      </c>
      <c r="R1515">
        <v>0</v>
      </c>
      <c r="S1515" s="11">
        <v>45897.666666666664</v>
      </c>
      <c r="T1515">
        <v>917</v>
      </c>
    </row>
    <row r="1516" spans="1:20">
      <c r="A1516" s="11">
        <v>45897.541666666664</v>
      </c>
      <c r="B1516" s="11">
        <v>45897.5625</v>
      </c>
      <c r="C1516" s="10">
        <v>45897</v>
      </c>
      <c r="D1516" s="7">
        <v>646.33799999999997</v>
      </c>
      <c r="E1516" s="7">
        <v>1457753</v>
      </c>
      <c r="F1516" s="7">
        <v>1457753</v>
      </c>
      <c r="G1516" s="7">
        <v>21944472</v>
      </c>
      <c r="H1516" s="7">
        <v>644.27369999999996</v>
      </c>
      <c r="I1516" s="7">
        <v>644.84199999999998</v>
      </c>
      <c r="J1516" s="7">
        <v>14</v>
      </c>
      <c r="K1516" s="7">
        <v>2.7029719000000001E-3</v>
      </c>
      <c r="L1516" s="7">
        <v>646.58498982490005</v>
      </c>
      <c r="M1516" s="7">
        <v>642.53224627400004</v>
      </c>
      <c r="N1516" s="7">
        <v>644.94190009030001</v>
      </c>
      <c r="O1516" s="7">
        <v>646.58498982490005</v>
      </c>
      <c r="P1516" s="7">
        <v>642.53224627400004</v>
      </c>
      <c r="Q1516">
        <v>1</v>
      </c>
      <c r="R1516">
        <v>0</v>
      </c>
      <c r="S1516" s="11">
        <v>45897.666666666664</v>
      </c>
      <c r="T1516">
        <v>916</v>
      </c>
    </row>
    <row r="1517" spans="1:20">
      <c r="A1517" s="11">
        <v>45897.5625</v>
      </c>
      <c r="B1517" s="11">
        <v>45897.583333333336</v>
      </c>
      <c r="C1517" s="10">
        <v>45897</v>
      </c>
      <c r="D1517" s="7">
        <v>646.58360000000005</v>
      </c>
      <c r="E1517" s="7">
        <v>1813752</v>
      </c>
      <c r="F1517" s="7">
        <v>1813752</v>
      </c>
      <c r="G1517" s="7">
        <v>23758224</v>
      </c>
      <c r="H1517" s="7">
        <v>644.27369999999996</v>
      </c>
      <c r="I1517" s="7">
        <v>644.84199999999998</v>
      </c>
      <c r="J1517" s="7">
        <v>14</v>
      </c>
      <c r="K1517" s="7">
        <v>2.8623036999999999E-3</v>
      </c>
      <c r="L1517" s="7">
        <v>646.68773361069998</v>
      </c>
      <c r="M1517" s="7">
        <v>642.42959303650002</v>
      </c>
      <c r="N1517" s="7">
        <v>645.06723085969998</v>
      </c>
      <c r="O1517" s="7">
        <v>646.68773361069998</v>
      </c>
      <c r="P1517" s="7">
        <v>642.42959303650002</v>
      </c>
      <c r="Q1517">
        <v>1</v>
      </c>
      <c r="R1517">
        <v>0</v>
      </c>
      <c r="S1517" s="11">
        <v>45897.666666666664</v>
      </c>
      <c r="T1517">
        <v>915</v>
      </c>
    </row>
    <row r="1518" spans="1:20">
      <c r="A1518" s="11">
        <v>45897.583333333336</v>
      </c>
      <c r="B1518" s="11">
        <v>45897.604166666664</v>
      </c>
      <c r="C1518" s="10">
        <v>45897</v>
      </c>
      <c r="D1518" s="7">
        <v>646.85659999999996</v>
      </c>
      <c r="E1518" s="7">
        <v>2076434</v>
      </c>
      <c r="F1518" s="7">
        <v>2076434</v>
      </c>
      <c r="G1518" s="7">
        <v>25834658</v>
      </c>
      <c r="H1518" s="7">
        <v>644.27369999999996</v>
      </c>
      <c r="I1518" s="7">
        <v>644.84199999999998</v>
      </c>
      <c r="J1518" s="7">
        <v>14</v>
      </c>
      <c r="K1518" s="7">
        <v>2.7600671000000002E-3</v>
      </c>
      <c r="L1518" s="7">
        <v>646.62180719729997</v>
      </c>
      <c r="M1518" s="7">
        <v>642.49546134879995</v>
      </c>
      <c r="N1518" s="7">
        <v>645.2110495595</v>
      </c>
      <c r="O1518" s="7">
        <v>646.62180719729997</v>
      </c>
      <c r="P1518" s="7">
        <v>642.49546134879995</v>
      </c>
      <c r="Q1518">
        <v>1</v>
      </c>
      <c r="R1518">
        <v>0</v>
      </c>
      <c r="S1518" s="11">
        <v>45897.666666666664</v>
      </c>
      <c r="T1518">
        <v>914</v>
      </c>
    </row>
    <row r="1519" spans="1:20">
      <c r="A1519" s="11">
        <v>45897.604166666664</v>
      </c>
      <c r="B1519" s="11">
        <v>45897.625</v>
      </c>
      <c r="C1519" s="10">
        <v>45897</v>
      </c>
      <c r="D1519" s="7">
        <v>647.18550000000005</v>
      </c>
      <c r="E1519" s="7">
        <v>2834036</v>
      </c>
      <c r="F1519" s="7">
        <v>2834036</v>
      </c>
      <c r="G1519" s="7">
        <v>28668694</v>
      </c>
      <c r="H1519" s="7">
        <v>644.27369999999996</v>
      </c>
      <c r="I1519" s="7">
        <v>644.84199999999998</v>
      </c>
      <c r="J1519" s="7">
        <v>14</v>
      </c>
      <c r="K1519" s="7">
        <v>3.0376241000000001E-3</v>
      </c>
      <c r="L1519" s="7">
        <v>646.80078762590006</v>
      </c>
      <c r="M1519" s="7">
        <v>642.31663865589996</v>
      </c>
      <c r="N1519" s="7">
        <v>645.40623332430005</v>
      </c>
      <c r="O1519" s="7">
        <v>646.80078762590006</v>
      </c>
      <c r="P1519" s="7">
        <v>642.31663865589996</v>
      </c>
      <c r="Q1519">
        <v>1</v>
      </c>
      <c r="R1519">
        <v>0</v>
      </c>
      <c r="S1519" s="11">
        <v>45897.666666666664</v>
      </c>
      <c r="T1519">
        <v>913</v>
      </c>
    </row>
    <row r="1520" spans="1:20">
      <c r="A1520" s="11">
        <v>45897.625</v>
      </c>
      <c r="B1520" s="11">
        <v>45897.645833333336</v>
      </c>
      <c r="C1520" s="10">
        <v>45897</v>
      </c>
      <c r="D1520" s="7">
        <v>647.14070000000004</v>
      </c>
      <c r="E1520" s="7">
        <v>2389459</v>
      </c>
      <c r="F1520" s="7">
        <v>2389459</v>
      </c>
      <c r="G1520" s="7">
        <v>31058153</v>
      </c>
      <c r="H1520" s="7">
        <v>644.27369999999996</v>
      </c>
      <c r="I1520" s="7">
        <v>644.84199999999998</v>
      </c>
      <c r="J1520" s="7">
        <v>14</v>
      </c>
      <c r="K1520" s="7">
        <v>3.2023692000000001E-3</v>
      </c>
      <c r="L1520" s="7">
        <v>646.90702212860003</v>
      </c>
      <c r="M1520" s="7">
        <v>642.21049777780001</v>
      </c>
      <c r="N1520" s="7">
        <v>645.53967451799997</v>
      </c>
      <c r="O1520" s="7">
        <v>646.90702212860003</v>
      </c>
      <c r="P1520" s="7">
        <v>642.21049777780001</v>
      </c>
      <c r="Q1520">
        <v>1</v>
      </c>
      <c r="R1520">
        <v>0</v>
      </c>
      <c r="S1520" s="11">
        <v>45897.666666666664</v>
      </c>
      <c r="T1520">
        <v>912</v>
      </c>
    </row>
    <row r="1521" spans="1:20">
      <c r="A1521" s="11">
        <v>45897.645833333336</v>
      </c>
      <c r="B1521" s="11">
        <v>45897.666666666664</v>
      </c>
      <c r="C1521" s="10">
        <v>45897</v>
      </c>
      <c r="D1521" s="7">
        <v>647.12580000000003</v>
      </c>
      <c r="E1521" s="7">
        <v>9034557</v>
      </c>
      <c r="F1521" s="7">
        <v>9034557</v>
      </c>
      <c r="G1521" s="7">
        <v>40092710</v>
      </c>
      <c r="H1521" s="7">
        <v>644.27369999999996</v>
      </c>
      <c r="I1521" s="7">
        <v>644.84199999999998</v>
      </c>
      <c r="J1521" s="7">
        <v>14</v>
      </c>
      <c r="K1521" s="7">
        <v>3.2714262000000001E-3</v>
      </c>
      <c r="L1521" s="7">
        <v>646.95155300210001</v>
      </c>
      <c r="M1521" s="7">
        <v>642.1660061494</v>
      </c>
      <c r="N1521" s="7">
        <v>645.90020434899998</v>
      </c>
      <c r="O1521" s="7">
        <v>646.95155300210001</v>
      </c>
      <c r="P1521" s="7">
        <v>642.1660061494</v>
      </c>
      <c r="Q1521">
        <v>1</v>
      </c>
      <c r="R1521">
        <v>1</v>
      </c>
      <c r="S1521" s="11">
        <v>45897.666666666664</v>
      </c>
      <c r="T1521">
        <v>911</v>
      </c>
    </row>
    <row r="1522" spans="1:20">
      <c r="A1522" s="11">
        <v>45898.395833333336</v>
      </c>
      <c r="B1522" s="11">
        <v>45898.416666666664</v>
      </c>
      <c r="C1522" s="10">
        <v>45898</v>
      </c>
      <c r="D1522" s="7">
        <v>643.71280000000002</v>
      </c>
      <c r="E1522" s="7">
        <v>6804956</v>
      </c>
      <c r="F1522" s="7">
        <v>6804956</v>
      </c>
      <c r="G1522" s="7">
        <v>6804956</v>
      </c>
      <c r="H1522" s="7">
        <v>643.71280000000002</v>
      </c>
      <c r="I1522" s="7">
        <v>647.12570000000005</v>
      </c>
      <c r="J1522" s="7">
        <v>14</v>
      </c>
      <c r="K1522" s="7">
        <v>0</v>
      </c>
      <c r="L1522" s="7">
        <v>647.12570000000005</v>
      </c>
      <c r="M1522" s="7">
        <v>643.71280000000002</v>
      </c>
      <c r="N1522" s="7">
        <v>643.71280000000002</v>
      </c>
      <c r="O1522" s="7">
        <v>647.12570000000005</v>
      </c>
      <c r="P1522" s="7">
        <v>643.71280000000002</v>
      </c>
      <c r="Q1522">
        <v>1</v>
      </c>
      <c r="R1522">
        <v>0</v>
      </c>
      <c r="S1522" s="11">
        <v>45898.666666666664</v>
      </c>
      <c r="T1522">
        <v>909</v>
      </c>
    </row>
    <row r="1523" spans="1:20">
      <c r="A1523" s="11">
        <v>45898.416666666664</v>
      </c>
      <c r="B1523" s="11">
        <v>45898.4375</v>
      </c>
      <c r="C1523" s="10">
        <v>45898</v>
      </c>
      <c r="D1523" s="7">
        <v>642.84270000000004</v>
      </c>
      <c r="E1523" s="7">
        <v>7032185</v>
      </c>
      <c r="F1523" s="7">
        <v>7032185</v>
      </c>
      <c r="G1523" s="7">
        <v>13837141</v>
      </c>
      <c r="H1523" s="7">
        <v>643.71280000000002</v>
      </c>
      <c r="I1523" s="7">
        <v>647.12570000000005</v>
      </c>
      <c r="J1523" s="7">
        <v>14</v>
      </c>
      <c r="K1523" s="7">
        <v>1.8244379E-3</v>
      </c>
      <c r="L1523" s="7">
        <v>648.30634063720004</v>
      </c>
      <c r="M1523" s="7">
        <v>642.53838598679999</v>
      </c>
      <c r="N1523" s="7">
        <v>643.27060575129997</v>
      </c>
      <c r="O1523" s="7">
        <v>648.30634063720004</v>
      </c>
      <c r="P1523" s="7">
        <v>642.53838598679999</v>
      </c>
      <c r="Q1523">
        <v>1</v>
      </c>
      <c r="R1523">
        <v>0</v>
      </c>
      <c r="S1523" s="11">
        <v>45898.666666666664</v>
      </c>
      <c r="T1523">
        <v>908</v>
      </c>
    </row>
    <row r="1524" spans="1:20">
      <c r="A1524" s="11">
        <v>45898.4375</v>
      </c>
      <c r="B1524" s="11">
        <v>45898.458333333336</v>
      </c>
      <c r="C1524" s="10">
        <v>45898</v>
      </c>
      <c r="D1524" s="7">
        <v>641.95510000000002</v>
      </c>
      <c r="E1524" s="7">
        <v>3876706</v>
      </c>
      <c r="F1524" s="7">
        <v>3876706</v>
      </c>
      <c r="G1524" s="7">
        <v>17713847</v>
      </c>
      <c r="H1524" s="7">
        <v>643.71280000000002</v>
      </c>
      <c r="I1524" s="7">
        <v>647.12570000000005</v>
      </c>
      <c r="J1524" s="7">
        <v>14</v>
      </c>
      <c r="K1524" s="7">
        <v>2.3836088E-3</v>
      </c>
      <c r="L1524" s="7">
        <v>648.66819449549996</v>
      </c>
      <c r="M1524" s="7">
        <v>642.17844052279997</v>
      </c>
      <c r="N1524" s="7">
        <v>642.9827050463</v>
      </c>
      <c r="O1524" s="7">
        <v>648.66819449549996</v>
      </c>
      <c r="P1524" s="7">
        <v>642.17844052279997</v>
      </c>
      <c r="Q1524">
        <v>1</v>
      </c>
      <c r="R1524">
        <v>0</v>
      </c>
      <c r="S1524" s="11">
        <v>45898.666666666664</v>
      </c>
      <c r="T1524">
        <v>907</v>
      </c>
    </row>
    <row r="1525" spans="1:20">
      <c r="A1525" s="11">
        <v>45898.458333333336</v>
      </c>
      <c r="B1525" s="11">
        <v>45898.479166666664</v>
      </c>
      <c r="C1525" s="10">
        <v>45898</v>
      </c>
      <c r="D1525" s="7">
        <v>642.65729999999996</v>
      </c>
      <c r="E1525" s="7">
        <v>2267753</v>
      </c>
      <c r="F1525" s="7">
        <v>2267753</v>
      </c>
      <c r="G1525" s="7">
        <v>19981600</v>
      </c>
      <c r="H1525" s="7">
        <v>643.71280000000002</v>
      </c>
      <c r="I1525" s="7">
        <v>647.12570000000005</v>
      </c>
      <c r="J1525" s="7">
        <v>14</v>
      </c>
      <c r="K1525" s="7">
        <v>2.1872927999999998E-3</v>
      </c>
      <c r="L1525" s="7">
        <v>648.54115338229997</v>
      </c>
      <c r="M1525" s="7">
        <v>642.30481162930005</v>
      </c>
      <c r="N1525" s="7">
        <v>642.94577415640003</v>
      </c>
      <c r="O1525" s="7">
        <v>648.54115338229997</v>
      </c>
      <c r="P1525" s="7">
        <v>642.30481162930005</v>
      </c>
      <c r="Q1525">
        <v>1</v>
      </c>
      <c r="R1525">
        <v>0</v>
      </c>
      <c r="S1525" s="11">
        <v>45898.666666666664</v>
      </c>
      <c r="T1525">
        <v>906</v>
      </c>
    </row>
    <row r="1526" spans="1:20">
      <c r="A1526" s="11">
        <v>45898.479166666664</v>
      </c>
      <c r="B1526" s="11">
        <v>45898.5</v>
      </c>
      <c r="C1526" s="10">
        <v>45898</v>
      </c>
      <c r="D1526" s="7">
        <v>641.98009999999999</v>
      </c>
      <c r="E1526" s="7">
        <v>2066755</v>
      </c>
      <c r="F1526" s="7">
        <v>2066755</v>
      </c>
      <c r="G1526" s="7">
        <v>22048355</v>
      </c>
      <c r="H1526" s="7">
        <v>643.71280000000002</v>
      </c>
      <c r="I1526" s="7">
        <v>647.12570000000005</v>
      </c>
      <c r="J1526" s="7">
        <v>14</v>
      </c>
      <c r="K1526" s="7">
        <v>2.1069753999999998E-3</v>
      </c>
      <c r="L1526" s="7">
        <v>648.48917794040005</v>
      </c>
      <c r="M1526" s="7">
        <v>642.35651295599996</v>
      </c>
      <c r="N1526" s="7">
        <v>642.85525439239996</v>
      </c>
      <c r="O1526" s="7">
        <v>648.48917794040005</v>
      </c>
      <c r="P1526" s="7">
        <v>642.35651295599996</v>
      </c>
      <c r="Q1526">
        <v>1</v>
      </c>
      <c r="R1526">
        <v>0</v>
      </c>
      <c r="S1526" s="11">
        <v>45898.666666666664</v>
      </c>
      <c r="T1526">
        <v>905</v>
      </c>
    </row>
    <row r="1527" spans="1:20">
      <c r="A1527" s="11">
        <v>45898.5</v>
      </c>
      <c r="B1527" s="11">
        <v>45898.520833333336</v>
      </c>
      <c r="C1527" s="10">
        <v>45898</v>
      </c>
      <c r="D1527" s="7">
        <v>642.42880000000002</v>
      </c>
      <c r="E1527" s="7">
        <v>1861256</v>
      </c>
      <c r="F1527" s="7">
        <v>1861256</v>
      </c>
      <c r="G1527" s="7">
        <v>23909611</v>
      </c>
      <c r="H1527" s="7">
        <v>643.71280000000002</v>
      </c>
      <c r="I1527" s="7">
        <v>647.12570000000005</v>
      </c>
      <c r="J1527" s="7">
        <v>14</v>
      </c>
      <c r="K1527" s="7">
        <v>2.6385522999999998E-3</v>
      </c>
      <c r="L1527" s="7">
        <v>648.83317497819996</v>
      </c>
      <c r="M1527" s="7">
        <v>642.01433013680003</v>
      </c>
      <c r="N1527" s="7">
        <v>642.82205683029997</v>
      </c>
      <c r="O1527" s="7">
        <v>648.83317497819996</v>
      </c>
      <c r="P1527" s="7">
        <v>642.01433013680003</v>
      </c>
      <c r="Q1527">
        <v>1</v>
      </c>
      <c r="R1527">
        <v>0</v>
      </c>
      <c r="S1527" s="11">
        <v>45898.666666666664</v>
      </c>
      <c r="T1527">
        <v>904</v>
      </c>
    </row>
    <row r="1528" spans="1:20">
      <c r="A1528" s="11">
        <v>45898.520833333336</v>
      </c>
      <c r="B1528" s="11">
        <v>45898.541666666664</v>
      </c>
      <c r="C1528" s="10">
        <v>45898</v>
      </c>
      <c r="D1528" s="7">
        <v>642.91750000000002</v>
      </c>
      <c r="E1528" s="7">
        <v>1619586</v>
      </c>
      <c r="F1528" s="7">
        <v>1619586</v>
      </c>
      <c r="G1528" s="7">
        <v>25529197</v>
      </c>
      <c r="H1528" s="7">
        <v>643.71280000000002</v>
      </c>
      <c r="I1528" s="7">
        <v>647.12570000000005</v>
      </c>
      <c r="J1528" s="7">
        <v>14</v>
      </c>
      <c r="K1528" s="7">
        <v>2.5234621999999998E-3</v>
      </c>
      <c r="L1528" s="7">
        <v>648.75869722740003</v>
      </c>
      <c r="M1528" s="7">
        <v>642.08841509670003</v>
      </c>
      <c r="N1528" s="7">
        <v>642.82811179639998</v>
      </c>
      <c r="O1528" s="7">
        <v>648.75869722740003</v>
      </c>
      <c r="P1528" s="7">
        <v>642.08841509670003</v>
      </c>
      <c r="Q1528">
        <v>1</v>
      </c>
      <c r="R1528">
        <v>0</v>
      </c>
      <c r="S1528" s="11">
        <v>45898.666666666664</v>
      </c>
      <c r="T1528">
        <v>903</v>
      </c>
    </row>
    <row r="1529" spans="1:20">
      <c r="A1529" s="11">
        <v>45898.541666666664</v>
      </c>
      <c r="B1529" s="11">
        <v>45898.5625</v>
      </c>
      <c r="C1529" s="10">
        <v>45898</v>
      </c>
      <c r="D1529" s="7">
        <v>642.20939999999996</v>
      </c>
      <c r="E1529" s="7">
        <v>2374393</v>
      </c>
      <c r="F1529" s="7">
        <v>2374393</v>
      </c>
      <c r="G1529" s="7">
        <v>27903590</v>
      </c>
      <c r="H1529" s="7">
        <v>643.71280000000002</v>
      </c>
      <c r="I1529" s="7">
        <v>647.12570000000005</v>
      </c>
      <c r="J1529" s="7">
        <v>14</v>
      </c>
      <c r="K1529" s="7">
        <v>2.8823562E-3</v>
      </c>
      <c r="L1529" s="7">
        <v>648.99094679680002</v>
      </c>
      <c r="M1529" s="7">
        <v>641.85739039680004</v>
      </c>
      <c r="N1529" s="7">
        <v>642.77546391279998</v>
      </c>
      <c r="O1529" s="7">
        <v>648.99094679680002</v>
      </c>
      <c r="P1529" s="7">
        <v>641.85739039680004</v>
      </c>
      <c r="Q1529">
        <v>1</v>
      </c>
      <c r="R1529">
        <v>0</v>
      </c>
      <c r="S1529" s="11">
        <v>45898.666666666664</v>
      </c>
      <c r="T1529">
        <v>902</v>
      </c>
    </row>
    <row r="1530" spans="1:20">
      <c r="A1530" s="11">
        <v>45898.5625</v>
      </c>
      <c r="B1530" s="11">
        <v>45898.583333333336</v>
      </c>
      <c r="C1530" s="10">
        <v>45898</v>
      </c>
      <c r="D1530" s="7">
        <v>642.85770000000002</v>
      </c>
      <c r="E1530" s="7">
        <v>1943982</v>
      </c>
      <c r="F1530" s="7">
        <v>1943982</v>
      </c>
      <c r="G1530" s="7">
        <v>29847572</v>
      </c>
      <c r="H1530" s="7">
        <v>643.71280000000002</v>
      </c>
      <c r="I1530" s="7">
        <v>647.12570000000005</v>
      </c>
      <c r="J1530" s="7">
        <v>14</v>
      </c>
      <c r="K1530" s="7">
        <v>2.9747699999999998E-3</v>
      </c>
      <c r="L1530" s="7">
        <v>649.05075012429995</v>
      </c>
      <c r="M1530" s="7">
        <v>641.79790246829998</v>
      </c>
      <c r="N1530" s="7">
        <v>642.78081997569996</v>
      </c>
      <c r="O1530" s="7">
        <v>649.05075012429995</v>
      </c>
      <c r="P1530" s="7">
        <v>641.79790246829998</v>
      </c>
      <c r="Q1530">
        <v>1</v>
      </c>
      <c r="R1530">
        <v>0</v>
      </c>
      <c r="S1530" s="11">
        <v>45898.666666666664</v>
      </c>
      <c r="T1530">
        <v>901</v>
      </c>
    </row>
    <row r="1531" spans="1:20">
      <c r="A1531" s="11">
        <v>45898.583333333336</v>
      </c>
      <c r="B1531" s="11">
        <v>45898.604166666664</v>
      </c>
      <c r="C1531" s="10">
        <v>45898</v>
      </c>
      <c r="D1531" s="7">
        <v>642.5086</v>
      </c>
      <c r="E1531" s="7">
        <v>1819965</v>
      </c>
      <c r="F1531" s="7">
        <v>1819965</v>
      </c>
      <c r="G1531" s="7">
        <v>31667537</v>
      </c>
      <c r="H1531" s="7">
        <v>643.71280000000002</v>
      </c>
      <c r="I1531" s="7">
        <v>647.12570000000005</v>
      </c>
      <c r="J1531" s="7">
        <v>14</v>
      </c>
      <c r="K1531" s="7">
        <v>2.9037911999999998E-3</v>
      </c>
      <c r="L1531" s="7">
        <v>649.00481794459995</v>
      </c>
      <c r="M1531" s="7">
        <v>641.84359240449999</v>
      </c>
      <c r="N1531" s="7">
        <v>642.76517522159997</v>
      </c>
      <c r="O1531" s="7">
        <v>649.00481794459995</v>
      </c>
      <c r="P1531" s="7">
        <v>641.84359240449999</v>
      </c>
      <c r="Q1531">
        <v>1</v>
      </c>
      <c r="R1531">
        <v>0</v>
      </c>
      <c r="S1531" s="11">
        <v>45898.666666666664</v>
      </c>
      <c r="T1531">
        <v>900</v>
      </c>
    </row>
    <row r="1532" spans="1:20">
      <c r="A1532" s="11">
        <v>45898.604166666664</v>
      </c>
      <c r="B1532" s="11">
        <v>45898.625</v>
      </c>
      <c r="C1532" s="10">
        <v>45898</v>
      </c>
      <c r="D1532" s="7">
        <v>642.69809999999995</v>
      </c>
      <c r="E1532" s="7">
        <v>1566847</v>
      </c>
      <c r="F1532" s="7">
        <v>1566847</v>
      </c>
      <c r="G1532" s="7">
        <v>33234384</v>
      </c>
      <c r="H1532" s="7">
        <v>643.71280000000002</v>
      </c>
      <c r="I1532" s="7">
        <v>647.12570000000005</v>
      </c>
      <c r="J1532" s="7">
        <v>14</v>
      </c>
      <c r="K1532" s="7">
        <v>3.2172491999999998E-3</v>
      </c>
      <c r="L1532" s="7">
        <v>649.20766465630004</v>
      </c>
      <c r="M1532" s="7">
        <v>641.64181549360001</v>
      </c>
      <c r="N1532" s="7">
        <v>642.76201293609995</v>
      </c>
      <c r="O1532" s="7">
        <v>649.20766465630004</v>
      </c>
      <c r="P1532" s="7">
        <v>641.64181549360001</v>
      </c>
      <c r="Q1532">
        <v>1</v>
      </c>
      <c r="R1532">
        <v>0</v>
      </c>
      <c r="S1532" s="11">
        <v>45898.666666666664</v>
      </c>
      <c r="T1532">
        <v>899</v>
      </c>
    </row>
    <row r="1533" spans="1:20">
      <c r="A1533" s="11">
        <v>45898.625</v>
      </c>
      <c r="B1533" s="11">
        <v>45898.645833333336</v>
      </c>
      <c r="C1533" s="10">
        <v>45898</v>
      </c>
      <c r="D1533" s="7">
        <v>642.84770000000003</v>
      </c>
      <c r="E1533" s="7">
        <v>3065886</v>
      </c>
      <c r="F1533" s="7">
        <v>3065886</v>
      </c>
      <c r="G1533" s="7">
        <v>36300270</v>
      </c>
      <c r="H1533" s="7">
        <v>643.71280000000002</v>
      </c>
      <c r="I1533" s="7">
        <v>647.12570000000005</v>
      </c>
      <c r="J1533" s="7">
        <v>14</v>
      </c>
      <c r="K1533" s="7">
        <v>3.3759011000000002E-3</v>
      </c>
      <c r="L1533" s="7">
        <v>649.31033236860003</v>
      </c>
      <c r="M1533" s="7">
        <v>641.53968924430001</v>
      </c>
      <c r="N1533" s="7">
        <v>642.76924998339996</v>
      </c>
      <c r="O1533" s="7">
        <v>649.31033236860003</v>
      </c>
      <c r="P1533" s="7">
        <v>641.53968924430001</v>
      </c>
      <c r="Q1533">
        <v>1</v>
      </c>
      <c r="R1533">
        <v>0</v>
      </c>
      <c r="S1533" s="11">
        <v>45898.666666666664</v>
      </c>
      <c r="T1533">
        <v>898</v>
      </c>
    </row>
    <row r="1534" spans="1:20">
      <c r="A1534" s="11">
        <v>45898.645833333336</v>
      </c>
      <c r="B1534" s="11">
        <v>45898.666666666664</v>
      </c>
      <c r="C1534" s="10">
        <v>45898</v>
      </c>
      <c r="D1534" s="7">
        <v>643.26649999999995</v>
      </c>
      <c r="E1534" s="7">
        <v>13692131</v>
      </c>
      <c r="F1534" s="7">
        <v>13692131</v>
      </c>
      <c r="G1534" s="7">
        <v>49992401</v>
      </c>
      <c r="H1534" s="7">
        <v>643.71280000000002</v>
      </c>
      <c r="I1534" s="7">
        <v>647.12570000000005</v>
      </c>
      <c r="J1534" s="7">
        <v>14</v>
      </c>
      <c r="K1534" s="7">
        <v>3.4494782999999998E-3</v>
      </c>
      <c r="L1534" s="7">
        <v>649.3579460661</v>
      </c>
      <c r="M1534" s="7">
        <v>641.49232665839997</v>
      </c>
      <c r="N1534" s="7">
        <v>642.9327725764</v>
      </c>
      <c r="O1534" s="7">
        <v>649.3579460661</v>
      </c>
      <c r="P1534" s="7">
        <v>641.49232665839997</v>
      </c>
      <c r="Q1534">
        <v>1</v>
      </c>
      <c r="R1534">
        <v>1</v>
      </c>
      <c r="S1534" s="11">
        <v>45898.666666666664</v>
      </c>
      <c r="T1534">
        <v>897</v>
      </c>
    </row>
    <row r="1535" spans="1:20">
      <c r="A1535" s="11">
        <v>45902.395833333336</v>
      </c>
      <c r="B1535" s="11">
        <v>45902.416666666664</v>
      </c>
      <c r="C1535" s="10">
        <v>45902</v>
      </c>
      <c r="D1535" s="7">
        <v>637.56230000000005</v>
      </c>
      <c r="E1535" s="7">
        <v>9867278</v>
      </c>
      <c r="F1535" s="7">
        <v>9867278</v>
      </c>
      <c r="G1535" s="7">
        <v>9867278</v>
      </c>
      <c r="H1535" s="7">
        <v>637.56230000000005</v>
      </c>
      <c r="I1535" s="7">
        <v>643.26639999999998</v>
      </c>
      <c r="J1535" s="7">
        <v>14</v>
      </c>
      <c r="K1535" s="7">
        <v>0</v>
      </c>
      <c r="L1535" s="7">
        <v>643.26639999999998</v>
      </c>
      <c r="M1535" s="7">
        <v>637.56230000000005</v>
      </c>
      <c r="N1535" s="7">
        <v>637.56230000000005</v>
      </c>
      <c r="O1535" s="7">
        <v>643.26639999999998</v>
      </c>
      <c r="P1535" s="7">
        <v>637.56230000000005</v>
      </c>
      <c r="Q1535">
        <v>1</v>
      </c>
      <c r="R1535">
        <v>0</v>
      </c>
      <c r="S1535" s="11">
        <v>45902.666666666664</v>
      </c>
      <c r="T1535">
        <v>895</v>
      </c>
    </row>
    <row r="1536" spans="1:20">
      <c r="A1536" s="11">
        <v>45902.416666666664</v>
      </c>
      <c r="B1536" s="11">
        <v>45902.4375</v>
      </c>
      <c r="C1536" s="10">
        <v>45902</v>
      </c>
      <c r="D1536" s="7">
        <v>637.58230000000003</v>
      </c>
      <c r="E1536" s="7">
        <v>4192303</v>
      </c>
      <c r="F1536" s="7">
        <v>4192303</v>
      </c>
      <c r="G1536" s="7">
        <v>14059581</v>
      </c>
      <c r="H1536" s="7">
        <v>637.56230000000005</v>
      </c>
      <c r="I1536" s="7">
        <v>643.26639999999998</v>
      </c>
      <c r="J1536" s="7">
        <v>14</v>
      </c>
      <c r="K1536" s="7">
        <v>1.8705891E-3</v>
      </c>
      <c r="L1536" s="7">
        <v>644.46968708669999</v>
      </c>
      <c r="M1536" s="7">
        <v>636.36968294029998</v>
      </c>
      <c r="N1536" s="7">
        <v>637.56826362439995</v>
      </c>
      <c r="O1536" s="7">
        <v>644.46968708669999</v>
      </c>
      <c r="P1536" s="7">
        <v>636.36968294029998</v>
      </c>
      <c r="Q1536">
        <v>1</v>
      </c>
      <c r="R1536">
        <v>0</v>
      </c>
      <c r="S1536" s="11">
        <v>45902.666666666664</v>
      </c>
      <c r="T1536">
        <v>894</v>
      </c>
    </row>
    <row r="1537" spans="1:20">
      <c r="A1537" s="11">
        <v>45902.4375</v>
      </c>
      <c r="B1537" s="11">
        <v>45902.458333333336</v>
      </c>
      <c r="C1537" s="10">
        <v>45902</v>
      </c>
      <c r="D1537" s="7">
        <v>635.88699999999994</v>
      </c>
      <c r="E1537" s="7">
        <v>3297740</v>
      </c>
      <c r="F1537" s="7">
        <v>3297740</v>
      </c>
      <c r="G1537" s="7">
        <v>17357321</v>
      </c>
      <c r="H1537" s="7">
        <v>637.56230000000005</v>
      </c>
      <c r="I1537" s="7">
        <v>643.26639999999998</v>
      </c>
      <c r="J1537" s="7">
        <v>14</v>
      </c>
      <c r="K1537" s="7">
        <v>2.4733714E-3</v>
      </c>
      <c r="L1537" s="7">
        <v>644.85743672429999</v>
      </c>
      <c r="M1537" s="7">
        <v>635.98537163360004</v>
      </c>
      <c r="N1537" s="7">
        <v>637.24883816090005</v>
      </c>
      <c r="O1537" s="7">
        <v>644.85743672429999</v>
      </c>
      <c r="P1537" s="7">
        <v>635.98537163360004</v>
      </c>
      <c r="Q1537">
        <v>1</v>
      </c>
      <c r="R1537">
        <v>0</v>
      </c>
      <c r="S1537" s="11">
        <v>45902.666666666664</v>
      </c>
      <c r="T1537">
        <v>893</v>
      </c>
    </row>
    <row r="1538" spans="1:20">
      <c r="A1538" s="11">
        <v>45902.458333333336</v>
      </c>
      <c r="B1538" s="11">
        <v>45902.479166666664</v>
      </c>
      <c r="C1538" s="10">
        <v>45902</v>
      </c>
      <c r="D1538" s="7">
        <v>634.74019999999996</v>
      </c>
      <c r="E1538" s="7">
        <v>2721900</v>
      </c>
      <c r="F1538" s="7">
        <v>2721900</v>
      </c>
      <c r="G1538" s="7">
        <v>20079221</v>
      </c>
      <c r="H1538" s="7">
        <v>637.56230000000005</v>
      </c>
      <c r="I1538" s="7">
        <v>643.26639999999998</v>
      </c>
      <c r="J1538" s="7">
        <v>14</v>
      </c>
      <c r="K1538" s="7">
        <v>2.2338662999999998E-3</v>
      </c>
      <c r="L1538" s="7">
        <v>644.70337116029998</v>
      </c>
      <c r="M1538" s="7">
        <v>636.13807103670001</v>
      </c>
      <c r="N1538" s="7">
        <v>636.90877206920004</v>
      </c>
      <c r="O1538" s="7">
        <v>644.70337116029998</v>
      </c>
      <c r="P1538" s="7">
        <v>636.13807103670001</v>
      </c>
      <c r="Q1538">
        <v>1</v>
      </c>
      <c r="R1538">
        <v>0</v>
      </c>
      <c r="S1538" s="11">
        <v>45902.666666666664</v>
      </c>
      <c r="T1538">
        <v>892</v>
      </c>
    </row>
    <row r="1539" spans="1:20">
      <c r="A1539" s="11">
        <v>45902.479166666664</v>
      </c>
      <c r="B1539" s="11">
        <v>45902.5</v>
      </c>
      <c r="C1539" s="10">
        <v>45902</v>
      </c>
      <c r="D1539" s="7">
        <v>633.43380000000002</v>
      </c>
      <c r="E1539" s="7">
        <v>3131119</v>
      </c>
      <c r="F1539" s="7">
        <v>3131119</v>
      </c>
      <c r="G1539" s="7">
        <v>23210340</v>
      </c>
      <c r="H1539" s="7">
        <v>637.56230000000005</v>
      </c>
      <c r="I1539" s="7">
        <v>643.26639999999998</v>
      </c>
      <c r="J1539" s="7">
        <v>14</v>
      </c>
      <c r="K1539" s="7">
        <v>2.2813154E-3</v>
      </c>
      <c r="L1539" s="7">
        <v>644.7338935555</v>
      </c>
      <c r="M1539" s="7">
        <v>636.10781929569998</v>
      </c>
      <c r="N1539" s="7">
        <v>636.43999172949998</v>
      </c>
      <c r="O1539" s="7">
        <v>644.7338935555</v>
      </c>
      <c r="P1539" s="7">
        <v>636.10781929569998</v>
      </c>
      <c r="Q1539">
        <v>1</v>
      </c>
      <c r="R1539">
        <v>0</v>
      </c>
      <c r="S1539" s="11">
        <v>45902.666666666664</v>
      </c>
      <c r="T1539">
        <v>891</v>
      </c>
    </row>
    <row r="1540" spans="1:20">
      <c r="A1540" s="11">
        <v>45902.5</v>
      </c>
      <c r="B1540" s="11">
        <v>45902.520833333336</v>
      </c>
      <c r="C1540" s="10">
        <v>45902</v>
      </c>
      <c r="D1540" s="7">
        <v>633.86260000000004</v>
      </c>
      <c r="E1540" s="7">
        <v>2299231</v>
      </c>
      <c r="F1540" s="7">
        <v>2299231</v>
      </c>
      <c r="G1540" s="7">
        <v>25509571</v>
      </c>
      <c r="H1540" s="7">
        <v>637.56230000000005</v>
      </c>
      <c r="I1540" s="7">
        <v>643.26639999999998</v>
      </c>
      <c r="J1540" s="7">
        <v>14</v>
      </c>
      <c r="K1540" s="7">
        <v>2.6858154E-3</v>
      </c>
      <c r="L1540" s="7">
        <v>644.99409481789996</v>
      </c>
      <c r="M1540" s="7">
        <v>635.84992534189996</v>
      </c>
      <c r="N1540" s="7">
        <v>636.20768602099997</v>
      </c>
      <c r="O1540" s="7">
        <v>644.99409481789996</v>
      </c>
      <c r="P1540" s="7">
        <v>635.84992534189996</v>
      </c>
      <c r="Q1540">
        <v>1</v>
      </c>
      <c r="R1540">
        <v>0</v>
      </c>
      <c r="S1540" s="11">
        <v>45902.666666666664</v>
      </c>
      <c r="T1540">
        <v>890</v>
      </c>
    </row>
    <row r="1541" spans="1:20">
      <c r="A1541" s="11">
        <v>45902.520833333336</v>
      </c>
      <c r="B1541" s="11">
        <v>45902.541666666664</v>
      </c>
      <c r="C1541" s="10">
        <v>45902</v>
      </c>
      <c r="D1541" s="7">
        <v>635.149</v>
      </c>
      <c r="E1541" s="7">
        <v>2240552</v>
      </c>
      <c r="F1541" s="7">
        <v>2240552</v>
      </c>
      <c r="G1541" s="7">
        <v>27750123</v>
      </c>
      <c r="H1541" s="7">
        <v>637.56230000000005</v>
      </c>
      <c r="I1541" s="7">
        <v>643.26639999999998</v>
      </c>
      <c r="J1541" s="7">
        <v>14</v>
      </c>
      <c r="K1541" s="7">
        <v>2.5691531999999999E-3</v>
      </c>
      <c r="L1541" s="7">
        <v>644.91904995840002</v>
      </c>
      <c r="M1541" s="7">
        <v>635.92430474859998</v>
      </c>
      <c r="N1541" s="7">
        <v>636.12220744199999</v>
      </c>
      <c r="O1541" s="7">
        <v>644.91904995840002</v>
      </c>
      <c r="P1541" s="7">
        <v>635.92430474859998</v>
      </c>
      <c r="Q1541">
        <v>1</v>
      </c>
      <c r="R1541">
        <v>0</v>
      </c>
      <c r="S1541" s="11">
        <v>45902.666666666664</v>
      </c>
      <c r="T1541">
        <v>889</v>
      </c>
    </row>
    <row r="1542" spans="1:20">
      <c r="A1542" s="11">
        <v>45902.541666666664</v>
      </c>
      <c r="B1542" s="11">
        <v>45902.5625</v>
      </c>
      <c r="C1542" s="10">
        <v>45902</v>
      </c>
      <c r="D1542" s="7">
        <v>635.86739999999998</v>
      </c>
      <c r="E1542" s="7">
        <v>2277702</v>
      </c>
      <c r="F1542" s="7">
        <v>2277702</v>
      </c>
      <c r="G1542" s="7">
        <v>30027825</v>
      </c>
      <c r="H1542" s="7">
        <v>637.56230000000005</v>
      </c>
      <c r="I1542" s="7">
        <v>643.26639999999998</v>
      </c>
      <c r="J1542" s="7">
        <v>14</v>
      </c>
      <c r="K1542" s="7">
        <v>2.9909405999999999E-3</v>
      </c>
      <c r="L1542" s="7">
        <v>645.19037158829997</v>
      </c>
      <c r="M1542" s="7">
        <v>635.65538903590004</v>
      </c>
      <c r="N1542" s="7">
        <v>636.1028795213</v>
      </c>
      <c r="O1542" s="7">
        <v>645.19037158829997</v>
      </c>
      <c r="P1542" s="7">
        <v>635.65538903590004</v>
      </c>
      <c r="Q1542">
        <v>1</v>
      </c>
      <c r="R1542">
        <v>0</v>
      </c>
      <c r="S1542" s="11">
        <v>45902.666666666664</v>
      </c>
      <c r="T1542">
        <v>888</v>
      </c>
    </row>
    <row r="1543" spans="1:20">
      <c r="A1543" s="11">
        <v>45902.5625</v>
      </c>
      <c r="B1543" s="11">
        <v>45902.583333333336</v>
      </c>
      <c r="C1543" s="10">
        <v>45902</v>
      </c>
      <c r="D1543" s="7">
        <v>636.53520000000003</v>
      </c>
      <c r="E1543" s="7">
        <v>3013532</v>
      </c>
      <c r="F1543" s="7">
        <v>3013532</v>
      </c>
      <c r="G1543" s="7">
        <v>33041357</v>
      </c>
      <c r="H1543" s="7">
        <v>637.56230000000005</v>
      </c>
      <c r="I1543" s="7">
        <v>643.26639999999998</v>
      </c>
      <c r="J1543" s="7">
        <v>14</v>
      </c>
      <c r="K1543" s="7">
        <v>2.9744521999999999E-3</v>
      </c>
      <c r="L1543" s="7">
        <v>645.1797651549</v>
      </c>
      <c r="M1543" s="7">
        <v>635.66590141790005</v>
      </c>
      <c r="N1543" s="7">
        <v>636.14230924560002</v>
      </c>
      <c r="O1543" s="7">
        <v>645.1797651549</v>
      </c>
      <c r="P1543" s="7">
        <v>635.66590141790005</v>
      </c>
      <c r="Q1543">
        <v>1</v>
      </c>
      <c r="R1543">
        <v>0</v>
      </c>
      <c r="S1543" s="11">
        <v>45902.666666666664</v>
      </c>
      <c r="T1543">
        <v>887</v>
      </c>
    </row>
    <row r="1544" spans="1:20">
      <c r="A1544" s="11">
        <v>45902.583333333336</v>
      </c>
      <c r="B1544" s="11">
        <v>45902.604166666664</v>
      </c>
      <c r="C1544" s="10">
        <v>45902</v>
      </c>
      <c r="D1544" s="7">
        <v>635.94680000000005</v>
      </c>
      <c r="E1544" s="7">
        <v>1757453</v>
      </c>
      <c r="F1544" s="7">
        <v>1757453</v>
      </c>
      <c r="G1544" s="7">
        <v>34798810</v>
      </c>
      <c r="H1544" s="7">
        <v>637.56230000000005</v>
      </c>
      <c r="I1544" s="7">
        <v>643.26639999999998</v>
      </c>
      <c r="J1544" s="7">
        <v>14</v>
      </c>
      <c r="K1544" s="7">
        <v>2.9035614E-3</v>
      </c>
      <c r="L1544" s="7">
        <v>645.13416346949998</v>
      </c>
      <c r="M1544" s="7">
        <v>635.71109873499995</v>
      </c>
      <c r="N1544" s="7">
        <v>636.13243539330006</v>
      </c>
      <c r="O1544" s="7">
        <v>645.13416346949998</v>
      </c>
      <c r="P1544" s="7">
        <v>635.71109873499995</v>
      </c>
      <c r="Q1544">
        <v>1</v>
      </c>
      <c r="R1544">
        <v>0</v>
      </c>
      <c r="S1544" s="11">
        <v>45902.666666666664</v>
      </c>
      <c r="T1544">
        <v>886</v>
      </c>
    </row>
    <row r="1545" spans="1:20">
      <c r="A1545" s="11">
        <v>45902.604166666664</v>
      </c>
      <c r="B1545" s="11">
        <v>45902.625</v>
      </c>
      <c r="C1545" s="10">
        <v>45902</v>
      </c>
      <c r="D1545" s="7">
        <v>636.33569999999997</v>
      </c>
      <c r="E1545" s="7">
        <v>2618896</v>
      </c>
      <c r="F1545" s="7">
        <v>2618896</v>
      </c>
      <c r="G1545" s="7">
        <v>37417706</v>
      </c>
      <c r="H1545" s="7">
        <v>637.56230000000005</v>
      </c>
      <c r="I1545" s="7">
        <v>643.26639999999998</v>
      </c>
      <c r="J1545" s="7">
        <v>14</v>
      </c>
      <c r="K1545" s="7">
        <v>3.1931949999999998E-3</v>
      </c>
      <c r="L1545" s="7">
        <v>645.32047505460002</v>
      </c>
      <c r="M1545" s="7">
        <v>635.52643924910001</v>
      </c>
      <c r="N1545" s="7">
        <v>636.14666205020001</v>
      </c>
      <c r="O1545" s="7">
        <v>645.32047505460002</v>
      </c>
      <c r="P1545" s="7">
        <v>635.52643924910001</v>
      </c>
      <c r="Q1545">
        <v>1</v>
      </c>
      <c r="R1545">
        <v>0</v>
      </c>
      <c r="S1545" s="11">
        <v>45902.666666666664</v>
      </c>
      <c r="T1545">
        <v>885</v>
      </c>
    </row>
    <row r="1546" spans="1:20">
      <c r="A1546" s="11">
        <v>45902.625</v>
      </c>
      <c r="B1546" s="11">
        <v>45902.645833333336</v>
      </c>
      <c r="C1546" s="10">
        <v>45902</v>
      </c>
      <c r="D1546" s="7">
        <v>637.35789999999997</v>
      </c>
      <c r="E1546" s="7">
        <v>2636613</v>
      </c>
      <c r="F1546" s="7">
        <v>2636613</v>
      </c>
      <c r="G1546" s="7">
        <v>40054319</v>
      </c>
      <c r="H1546" s="7">
        <v>637.56230000000005</v>
      </c>
      <c r="I1546" s="7">
        <v>643.26639999999998</v>
      </c>
      <c r="J1546" s="7">
        <v>14</v>
      </c>
      <c r="K1546" s="7">
        <v>3.3128501E-3</v>
      </c>
      <c r="L1546" s="7">
        <v>645.39744516190001</v>
      </c>
      <c r="M1546" s="7">
        <v>635.45015166639996</v>
      </c>
      <c r="N1546" s="7">
        <v>636.22639292079998</v>
      </c>
      <c r="O1546" s="7">
        <v>645.39744516190001</v>
      </c>
      <c r="P1546" s="7">
        <v>635.45015166639996</v>
      </c>
      <c r="Q1546">
        <v>1</v>
      </c>
      <c r="R1546">
        <v>0</v>
      </c>
      <c r="S1546" s="11">
        <v>45902.666666666664</v>
      </c>
      <c r="T1546">
        <v>884</v>
      </c>
    </row>
    <row r="1547" spans="1:20">
      <c r="A1547" s="11">
        <v>45902.645833333336</v>
      </c>
      <c r="B1547" s="11">
        <v>45902.666666666664</v>
      </c>
      <c r="C1547" s="10">
        <v>45902</v>
      </c>
      <c r="D1547" s="7">
        <v>638.49980000000005</v>
      </c>
      <c r="E1547" s="7">
        <v>11737377</v>
      </c>
      <c r="F1547" s="7">
        <v>11737377</v>
      </c>
      <c r="G1547" s="7">
        <v>51791696</v>
      </c>
      <c r="H1547" s="7">
        <v>637.56230000000005</v>
      </c>
      <c r="I1547" s="7">
        <v>643.26639999999998</v>
      </c>
      <c r="J1547" s="7">
        <v>14</v>
      </c>
      <c r="K1547" s="7">
        <v>3.2996216000000002E-3</v>
      </c>
      <c r="L1547" s="7">
        <v>645.38893572860002</v>
      </c>
      <c r="M1547" s="7">
        <v>635.45858564319997</v>
      </c>
      <c r="N1547" s="7">
        <v>636.7630690236</v>
      </c>
      <c r="O1547" s="7">
        <v>645.38893572860002</v>
      </c>
      <c r="P1547" s="7">
        <v>635.45858564319997</v>
      </c>
      <c r="Q1547">
        <v>1</v>
      </c>
      <c r="R1547">
        <v>1</v>
      </c>
      <c r="S1547" s="11">
        <v>45902.666666666664</v>
      </c>
      <c r="T1547">
        <v>883</v>
      </c>
    </row>
    <row r="1548" spans="1:20">
      <c r="A1548" s="11">
        <v>45903.395833333336</v>
      </c>
      <c r="B1548" s="11">
        <v>45903.416666666664</v>
      </c>
      <c r="C1548" s="10">
        <v>45903</v>
      </c>
      <c r="D1548" s="7">
        <v>640.27980000000002</v>
      </c>
      <c r="E1548" s="7">
        <v>6887402</v>
      </c>
      <c r="F1548" s="7">
        <v>6887402</v>
      </c>
      <c r="G1548" s="7">
        <v>6887402</v>
      </c>
      <c r="H1548" s="7">
        <v>640.27980000000002</v>
      </c>
      <c r="I1548" s="7">
        <v>638.49959999999999</v>
      </c>
      <c r="J1548" s="7">
        <v>14</v>
      </c>
      <c r="K1548" s="7">
        <v>0</v>
      </c>
      <c r="L1548" s="7">
        <v>640.27980000000002</v>
      </c>
      <c r="M1548" s="7">
        <v>638.49959999999999</v>
      </c>
      <c r="N1548" s="7">
        <v>640.27980000000002</v>
      </c>
      <c r="O1548" s="7">
        <v>640.27980000000002</v>
      </c>
      <c r="P1548" s="7">
        <v>638.49959999999999</v>
      </c>
      <c r="Q1548">
        <v>1</v>
      </c>
      <c r="R1548">
        <v>0</v>
      </c>
      <c r="S1548" s="11">
        <v>45903.666666666664</v>
      </c>
      <c r="T1548">
        <v>881</v>
      </c>
    </row>
    <row r="1549" spans="1:20">
      <c r="A1549" s="11">
        <v>45903.416666666664</v>
      </c>
      <c r="B1549" s="11">
        <v>45903.4375</v>
      </c>
      <c r="C1549" s="10">
        <v>45903</v>
      </c>
      <c r="D1549" s="7">
        <v>640.63879999999995</v>
      </c>
      <c r="E1549" s="7">
        <v>4371120</v>
      </c>
      <c r="F1549" s="7">
        <v>4371120</v>
      </c>
      <c r="G1549" s="7">
        <v>11258522</v>
      </c>
      <c r="H1549" s="7">
        <v>640.27980000000002</v>
      </c>
      <c r="I1549" s="7">
        <v>638.49959999999999</v>
      </c>
      <c r="J1549" s="7">
        <v>14</v>
      </c>
      <c r="K1549" s="7">
        <v>1.6306907E-3</v>
      </c>
      <c r="L1549" s="7">
        <v>641.32389832280001</v>
      </c>
      <c r="M1549" s="7">
        <v>637.45840463280001</v>
      </c>
      <c r="N1549" s="7">
        <v>640.41918171279997</v>
      </c>
      <c r="O1549" s="7">
        <v>641.32389832280001</v>
      </c>
      <c r="P1549" s="7">
        <v>637.45840463280001</v>
      </c>
      <c r="Q1549">
        <v>1</v>
      </c>
      <c r="R1549">
        <v>0</v>
      </c>
      <c r="S1549" s="11">
        <v>45903.666666666664</v>
      </c>
      <c r="T1549">
        <v>880</v>
      </c>
    </row>
    <row r="1550" spans="1:20">
      <c r="A1550" s="11">
        <v>45903.4375</v>
      </c>
      <c r="B1550" s="11">
        <v>45903.458333333336</v>
      </c>
      <c r="C1550" s="10">
        <v>45903</v>
      </c>
      <c r="D1550" s="7">
        <v>642.20939999999996</v>
      </c>
      <c r="E1550" s="7">
        <v>3431185</v>
      </c>
      <c r="F1550" s="7">
        <v>3431185</v>
      </c>
      <c r="G1550" s="7">
        <v>14689707</v>
      </c>
      <c r="H1550" s="7">
        <v>640.27980000000002</v>
      </c>
      <c r="I1550" s="7">
        <v>638.49959999999999</v>
      </c>
      <c r="J1550" s="7">
        <v>14</v>
      </c>
      <c r="K1550" s="7">
        <v>2.3573424999999999E-3</v>
      </c>
      <c r="L1550" s="7">
        <v>641.78915880500006</v>
      </c>
      <c r="M1550" s="7">
        <v>636.99443773619998</v>
      </c>
      <c r="N1550" s="7">
        <v>640.83733642029995</v>
      </c>
      <c r="O1550" s="7">
        <v>641.78915880500006</v>
      </c>
      <c r="P1550" s="7">
        <v>636.99443773619998</v>
      </c>
      <c r="Q1550">
        <v>1</v>
      </c>
      <c r="R1550">
        <v>0</v>
      </c>
      <c r="S1550" s="11">
        <v>45903.666666666664</v>
      </c>
      <c r="T1550">
        <v>879</v>
      </c>
    </row>
    <row r="1551" spans="1:20">
      <c r="A1551" s="11">
        <v>45903.458333333336</v>
      </c>
      <c r="B1551" s="11">
        <v>45903.479166666664</v>
      </c>
      <c r="C1551" s="10">
        <v>45903</v>
      </c>
      <c r="D1551" s="7">
        <v>640.67370000000005</v>
      </c>
      <c r="E1551" s="7">
        <v>3144258</v>
      </c>
      <c r="F1551" s="7">
        <v>3144258</v>
      </c>
      <c r="G1551" s="7">
        <v>17833965</v>
      </c>
      <c r="H1551" s="7">
        <v>640.27980000000002</v>
      </c>
      <c r="I1551" s="7">
        <v>638.49959999999999</v>
      </c>
      <c r="J1551" s="7">
        <v>14</v>
      </c>
      <c r="K1551" s="7">
        <v>2.1733727E-3</v>
      </c>
      <c r="L1551" s="7">
        <v>641.67136662550001</v>
      </c>
      <c r="M1551" s="7">
        <v>637.11190241259999</v>
      </c>
      <c r="N1551" s="7">
        <v>640.80848612679995</v>
      </c>
      <c r="O1551" s="7">
        <v>641.67136662550001</v>
      </c>
      <c r="P1551" s="7">
        <v>637.11190241259999</v>
      </c>
      <c r="Q1551">
        <v>1</v>
      </c>
      <c r="R1551">
        <v>0</v>
      </c>
      <c r="S1551" s="11">
        <v>45903.666666666664</v>
      </c>
      <c r="T1551">
        <v>878</v>
      </c>
    </row>
    <row r="1552" spans="1:20">
      <c r="A1552" s="11">
        <v>45903.479166666664</v>
      </c>
      <c r="B1552" s="11">
        <v>45903.5</v>
      </c>
      <c r="C1552" s="10">
        <v>45903</v>
      </c>
      <c r="D1552" s="7">
        <v>640.54409999999996</v>
      </c>
      <c r="E1552" s="7">
        <v>2612737</v>
      </c>
      <c r="F1552" s="7">
        <v>2612737</v>
      </c>
      <c r="G1552" s="7">
        <v>20446702</v>
      </c>
      <c r="H1552" s="7">
        <v>640.27980000000002</v>
      </c>
      <c r="I1552" s="7">
        <v>638.49959999999999</v>
      </c>
      <c r="J1552" s="7">
        <v>14</v>
      </c>
      <c r="K1552" s="7">
        <v>2.2931920999999999E-3</v>
      </c>
      <c r="L1552" s="7">
        <v>641.74808459990004</v>
      </c>
      <c r="M1552" s="7">
        <v>637.03539774069998</v>
      </c>
      <c r="N1552" s="7">
        <v>640.77470212510002</v>
      </c>
      <c r="O1552" s="7">
        <v>641.74808459990004</v>
      </c>
      <c r="P1552" s="7">
        <v>637.03539774069998</v>
      </c>
      <c r="Q1552">
        <v>1</v>
      </c>
      <c r="R1552">
        <v>0</v>
      </c>
      <c r="S1552" s="11">
        <v>45903.666666666664</v>
      </c>
      <c r="T1552">
        <v>877</v>
      </c>
    </row>
    <row r="1553" spans="1:20">
      <c r="A1553" s="11">
        <v>45903.5</v>
      </c>
      <c r="B1553" s="11">
        <v>45903.520833333336</v>
      </c>
      <c r="C1553" s="10">
        <v>45903</v>
      </c>
      <c r="D1553" s="7">
        <v>640.66380000000004</v>
      </c>
      <c r="E1553" s="7">
        <v>1964722</v>
      </c>
      <c r="F1553" s="7">
        <v>1964722</v>
      </c>
      <c r="G1553" s="7">
        <v>22411424</v>
      </c>
      <c r="H1553" s="7">
        <v>640.27980000000002</v>
      </c>
      <c r="I1553" s="7">
        <v>638.49959999999999</v>
      </c>
      <c r="J1553" s="7">
        <v>14</v>
      </c>
      <c r="K1553" s="7">
        <v>2.6283496000000001E-3</v>
      </c>
      <c r="L1553" s="7">
        <v>641.96267917319994</v>
      </c>
      <c r="M1553" s="7">
        <v>636.82139981479997</v>
      </c>
      <c r="N1553" s="7">
        <v>640.76497976899998</v>
      </c>
      <c r="O1553" s="7">
        <v>641.96267917319994</v>
      </c>
      <c r="P1553" s="7">
        <v>636.82139981479997</v>
      </c>
      <c r="Q1553">
        <v>1</v>
      </c>
      <c r="R1553">
        <v>0</v>
      </c>
      <c r="S1553" s="11">
        <v>45903.666666666664</v>
      </c>
      <c r="T1553">
        <v>876</v>
      </c>
    </row>
    <row r="1554" spans="1:20">
      <c r="A1554" s="11">
        <v>45903.520833333336</v>
      </c>
      <c r="B1554" s="11">
        <v>45903.541666666664</v>
      </c>
      <c r="C1554" s="10">
        <v>45903</v>
      </c>
      <c r="D1554" s="7">
        <v>640.05039999999997</v>
      </c>
      <c r="E1554" s="7">
        <v>2349142</v>
      </c>
      <c r="F1554" s="7">
        <v>2349142</v>
      </c>
      <c r="G1554" s="7">
        <v>24760566</v>
      </c>
      <c r="H1554" s="7">
        <v>640.27980000000002</v>
      </c>
      <c r="I1554" s="7">
        <v>638.49959999999999</v>
      </c>
      <c r="J1554" s="7">
        <v>14</v>
      </c>
      <c r="K1554" s="7">
        <v>2.3311337999999998E-3</v>
      </c>
      <c r="L1554" s="7">
        <v>641.77237789089997</v>
      </c>
      <c r="M1554" s="7">
        <v>637.01117199350006</v>
      </c>
      <c r="N1554" s="7">
        <v>640.69718449540005</v>
      </c>
      <c r="O1554" s="7">
        <v>641.77237789089997</v>
      </c>
      <c r="P1554" s="7">
        <v>637.01117199350006</v>
      </c>
      <c r="Q1554">
        <v>1</v>
      </c>
      <c r="R1554">
        <v>0</v>
      </c>
      <c r="S1554" s="11">
        <v>45903.666666666664</v>
      </c>
      <c r="T1554">
        <v>875</v>
      </c>
    </row>
    <row r="1555" spans="1:20">
      <c r="A1555" s="11">
        <v>45903.541666666664</v>
      </c>
      <c r="B1555" s="11">
        <v>45903.5625</v>
      </c>
      <c r="C1555" s="10">
        <v>45903</v>
      </c>
      <c r="D1555" s="7">
        <v>640.47919999999999</v>
      </c>
      <c r="E1555" s="7">
        <v>1832935</v>
      </c>
      <c r="F1555" s="7">
        <v>1832935</v>
      </c>
      <c r="G1555" s="7">
        <v>26593501</v>
      </c>
      <c r="H1555" s="7">
        <v>640.27980000000002</v>
      </c>
      <c r="I1555" s="7">
        <v>638.49959999999999</v>
      </c>
      <c r="J1555" s="7">
        <v>14</v>
      </c>
      <c r="K1555" s="7">
        <v>2.6909392999999999E-3</v>
      </c>
      <c r="L1555" s="7">
        <v>642.00275408829998</v>
      </c>
      <c r="M1555" s="7">
        <v>636.78143632189995</v>
      </c>
      <c r="N1555" s="7">
        <v>640.6821600948</v>
      </c>
      <c r="O1555" s="7">
        <v>642.00275408829998</v>
      </c>
      <c r="P1555" s="7">
        <v>636.78143632189995</v>
      </c>
      <c r="Q1555">
        <v>1</v>
      </c>
      <c r="R1555">
        <v>0</v>
      </c>
      <c r="S1555" s="11">
        <v>45903.666666666664</v>
      </c>
      <c r="T1555">
        <v>874</v>
      </c>
    </row>
    <row r="1556" spans="1:20">
      <c r="A1556" s="11">
        <v>45903.5625</v>
      </c>
      <c r="B1556" s="11">
        <v>45903.583333333336</v>
      </c>
      <c r="C1556" s="10">
        <v>45903</v>
      </c>
      <c r="D1556" s="7">
        <v>639.19849999999997</v>
      </c>
      <c r="E1556" s="7">
        <v>2760677</v>
      </c>
      <c r="F1556" s="7">
        <v>2760677</v>
      </c>
      <c r="G1556" s="7">
        <v>29354178</v>
      </c>
      <c r="H1556" s="7">
        <v>640.27980000000002</v>
      </c>
      <c r="I1556" s="7">
        <v>638.49959999999999</v>
      </c>
      <c r="J1556" s="7">
        <v>14</v>
      </c>
      <c r="K1556" s="7">
        <v>2.5385265999999999E-3</v>
      </c>
      <c r="L1556" s="7">
        <v>641.90516732670005</v>
      </c>
      <c r="M1556" s="7">
        <v>636.87875175839997</v>
      </c>
      <c r="N1556" s="7">
        <v>640.54262608030001</v>
      </c>
      <c r="O1556" s="7">
        <v>641.90516732670005</v>
      </c>
      <c r="P1556" s="7">
        <v>636.87875175839997</v>
      </c>
      <c r="Q1556">
        <v>1</v>
      </c>
      <c r="R1556">
        <v>0</v>
      </c>
      <c r="S1556" s="11">
        <v>45903.666666666664</v>
      </c>
      <c r="T1556">
        <v>873</v>
      </c>
    </row>
    <row r="1557" spans="1:20">
      <c r="A1557" s="11">
        <v>45903.583333333336</v>
      </c>
      <c r="B1557" s="11">
        <v>45903.604166666664</v>
      </c>
      <c r="C1557" s="10">
        <v>45903</v>
      </c>
      <c r="D1557" s="7">
        <v>639.31899999999996</v>
      </c>
      <c r="E1557" s="7">
        <v>2367265</v>
      </c>
      <c r="F1557" s="7">
        <v>2367265</v>
      </c>
      <c r="G1557" s="7">
        <v>31721443</v>
      </c>
      <c r="H1557" s="7">
        <v>640.27980000000002</v>
      </c>
      <c r="I1557" s="7">
        <v>638.49959999999999</v>
      </c>
      <c r="J1557" s="7">
        <v>14</v>
      </c>
      <c r="K1557" s="7">
        <v>2.5153006E-3</v>
      </c>
      <c r="L1557" s="7">
        <v>641.89029614080005</v>
      </c>
      <c r="M1557" s="7">
        <v>636.89358159719995</v>
      </c>
      <c r="N1557" s="7">
        <v>640.45131096600005</v>
      </c>
      <c r="O1557" s="7">
        <v>641.89029614080005</v>
      </c>
      <c r="P1557" s="7">
        <v>636.89358159719995</v>
      </c>
      <c r="Q1557">
        <v>1</v>
      </c>
      <c r="R1557">
        <v>0</v>
      </c>
      <c r="S1557" s="11">
        <v>45903.666666666664</v>
      </c>
      <c r="T1557">
        <v>872</v>
      </c>
    </row>
    <row r="1558" spans="1:20">
      <c r="A1558" s="11">
        <v>45903.604166666664</v>
      </c>
      <c r="B1558" s="11">
        <v>45903.625</v>
      </c>
      <c r="C1558" s="10">
        <v>45903</v>
      </c>
      <c r="D1558" s="7">
        <v>639.08810000000005</v>
      </c>
      <c r="E1558" s="7">
        <v>2487021</v>
      </c>
      <c r="F1558" s="7">
        <v>2487021</v>
      </c>
      <c r="G1558" s="7">
        <v>34208464</v>
      </c>
      <c r="H1558" s="7">
        <v>640.27980000000002</v>
      </c>
      <c r="I1558" s="7">
        <v>638.49959999999999</v>
      </c>
      <c r="J1558" s="7">
        <v>14</v>
      </c>
      <c r="K1558" s="7">
        <v>2.7880399999999999E-3</v>
      </c>
      <c r="L1558" s="7">
        <v>642.06492568429996</v>
      </c>
      <c r="M1558" s="7">
        <v>636.71943758450004</v>
      </c>
      <c r="N1558" s="7">
        <v>640.35220291190001</v>
      </c>
      <c r="O1558" s="7">
        <v>642.06492568429996</v>
      </c>
      <c r="P1558" s="7">
        <v>636.71943758450004</v>
      </c>
      <c r="Q1558">
        <v>1</v>
      </c>
      <c r="R1558">
        <v>0</v>
      </c>
      <c r="S1558" s="11">
        <v>45903.666666666664</v>
      </c>
      <c r="T1558">
        <v>871</v>
      </c>
    </row>
    <row r="1559" spans="1:20">
      <c r="A1559" s="11">
        <v>45903.625</v>
      </c>
      <c r="B1559" s="11">
        <v>45903.645833333336</v>
      </c>
      <c r="C1559" s="10">
        <v>45903</v>
      </c>
      <c r="D1559" s="7">
        <v>639.26260000000002</v>
      </c>
      <c r="E1559" s="7">
        <v>2405180</v>
      </c>
      <c r="F1559" s="7">
        <v>2405180</v>
      </c>
      <c r="G1559" s="7">
        <v>36613644</v>
      </c>
      <c r="H1559" s="7">
        <v>640.27980000000002</v>
      </c>
      <c r="I1559" s="7">
        <v>638.49959999999999</v>
      </c>
      <c r="J1559" s="7">
        <v>14</v>
      </c>
      <c r="K1559" s="7">
        <v>2.7578537E-3</v>
      </c>
      <c r="L1559" s="7">
        <v>642.04559801280004</v>
      </c>
      <c r="M1559" s="7">
        <v>636.73871151840001</v>
      </c>
      <c r="N1559" s="7">
        <v>640.28062601199997</v>
      </c>
      <c r="O1559" s="7">
        <v>642.04559801280004</v>
      </c>
      <c r="P1559" s="7">
        <v>636.73871151840001</v>
      </c>
      <c r="Q1559">
        <v>1</v>
      </c>
      <c r="R1559">
        <v>0</v>
      </c>
      <c r="S1559" s="11">
        <v>45903.666666666664</v>
      </c>
      <c r="T1559">
        <v>870</v>
      </c>
    </row>
    <row r="1560" spans="1:20">
      <c r="A1560" s="11">
        <v>45903.645833333336</v>
      </c>
      <c r="B1560" s="11">
        <v>45903.666666666664</v>
      </c>
      <c r="C1560" s="10">
        <v>45903</v>
      </c>
      <c r="D1560" s="7">
        <v>641.96010000000001</v>
      </c>
      <c r="E1560" s="7">
        <v>11987499</v>
      </c>
      <c r="F1560" s="7">
        <v>11987499</v>
      </c>
      <c r="G1560" s="7">
        <v>48601143</v>
      </c>
      <c r="H1560" s="7">
        <v>640.27980000000002</v>
      </c>
      <c r="I1560" s="7">
        <v>638.49959999999999</v>
      </c>
      <c r="J1560" s="7">
        <v>14</v>
      </c>
      <c r="K1560" s="7">
        <v>2.7858498999999998E-3</v>
      </c>
      <c r="L1560" s="7">
        <v>642.06352342989999</v>
      </c>
      <c r="M1560" s="7">
        <v>636.72083594009996</v>
      </c>
      <c r="N1560" s="7">
        <v>640.6604367891</v>
      </c>
      <c r="O1560" s="7">
        <v>642.06352342989999</v>
      </c>
      <c r="P1560" s="7">
        <v>636.72083594009996</v>
      </c>
      <c r="Q1560">
        <v>1</v>
      </c>
      <c r="R1560">
        <v>1</v>
      </c>
      <c r="S1560" s="11">
        <v>45903.666666666664</v>
      </c>
      <c r="T1560">
        <v>869</v>
      </c>
    </row>
    <row r="1561" spans="1:20">
      <c r="A1561" s="11">
        <v>45904.395833333336</v>
      </c>
      <c r="B1561" s="11">
        <v>45904.416666666664</v>
      </c>
      <c r="C1561" s="10">
        <v>45904</v>
      </c>
      <c r="D1561" s="7">
        <v>643.23509999999999</v>
      </c>
      <c r="E1561" s="7">
        <v>5147264</v>
      </c>
      <c r="F1561" s="7">
        <v>5147264</v>
      </c>
      <c r="G1561" s="7">
        <v>5147264</v>
      </c>
      <c r="H1561" s="7">
        <v>643.23509999999999</v>
      </c>
      <c r="I1561" s="7">
        <v>641.96010000000001</v>
      </c>
      <c r="J1561" s="7">
        <v>14</v>
      </c>
      <c r="K1561" s="7">
        <v>0</v>
      </c>
      <c r="L1561" s="7">
        <v>643.23509999999999</v>
      </c>
      <c r="M1561" s="7">
        <v>641.96010000000001</v>
      </c>
      <c r="N1561" s="7">
        <v>643.23509999999999</v>
      </c>
      <c r="O1561" s="7">
        <v>643.23509999999999</v>
      </c>
      <c r="P1561" s="7">
        <v>641.96010000000001</v>
      </c>
      <c r="Q1561">
        <v>1</v>
      </c>
      <c r="R1561">
        <v>0</v>
      </c>
      <c r="S1561" s="11">
        <v>45904.666666666664</v>
      </c>
      <c r="T1561">
        <v>867</v>
      </c>
    </row>
    <row r="1562" spans="1:20">
      <c r="A1562" s="11">
        <v>45904.416666666664</v>
      </c>
      <c r="B1562" s="11">
        <v>45904.4375</v>
      </c>
      <c r="C1562" s="10">
        <v>45904</v>
      </c>
      <c r="D1562" s="7">
        <v>643.077</v>
      </c>
      <c r="E1562" s="7">
        <v>4676892</v>
      </c>
      <c r="F1562" s="7">
        <v>4676892</v>
      </c>
      <c r="G1562" s="7">
        <v>9824156</v>
      </c>
      <c r="H1562" s="7">
        <v>643.23509999999999</v>
      </c>
      <c r="I1562" s="7">
        <v>641.96010000000001</v>
      </c>
      <c r="J1562" s="7">
        <v>14</v>
      </c>
      <c r="K1562" s="7">
        <v>1.5218485999999999E-3</v>
      </c>
      <c r="L1562" s="7">
        <v>644.21400644369999</v>
      </c>
      <c r="M1562" s="7">
        <v>640.98313391329998</v>
      </c>
      <c r="N1562" s="7">
        <v>643.15983484490005</v>
      </c>
      <c r="O1562" s="7">
        <v>644.21400644369999</v>
      </c>
      <c r="P1562" s="7">
        <v>640.98313391329998</v>
      </c>
      <c r="Q1562">
        <v>1</v>
      </c>
      <c r="R1562">
        <v>0</v>
      </c>
      <c r="S1562" s="11">
        <v>45904.666666666664</v>
      </c>
      <c r="T1562">
        <v>866</v>
      </c>
    </row>
    <row r="1563" spans="1:20">
      <c r="A1563" s="11">
        <v>45904.4375</v>
      </c>
      <c r="B1563" s="11">
        <v>45904.458333333336</v>
      </c>
      <c r="C1563" s="10">
        <v>45904</v>
      </c>
      <c r="D1563" s="7">
        <v>643.86490000000003</v>
      </c>
      <c r="E1563" s="7">
        <v>3405393</v>
      </c>
      <c r="F1563" s="7">
        <v>3405393</v>
      </c>
      <c r="G1563" s="7">
        <v>13229549</v>
      </c>
      <c r="H1563" s="7">
        <v>643.23509999999999</v>
      </c>
      <c r="I1563" s="7">
        <v>641.96010000000001</v>
      </c>
      <c r="J1563" s="7">
        <v>14</v>
      </c>
      <c r="K1563" s="7">
        <v>2.3756625999999999E-3</v>
      </c>
      <c r="L1563" s="7">
        <v>644.763209598</v>
      </c>
      <c r="M1563" s="7">
        <v>640.43501937190001</v>
      </c>
      <c r="N1563" s="7">
        <v>643.34132432299998</v>
      </c>
      <c r="O1563" s="7">
        <v>644.763209598</v>
      </c>
      <c r="P1563" s="7">
        <v>640.43501937190001</v>
      </c>
      <c r="Q1563">
        <v>1</v>
      </c>
      <c r="R1563">
        <v>0</v>
      </c>
      <c r="S1563" s="11">
        <v>45904.666666666664</v>
      </c>
      <c r="T1563">
        <v>865</v>
      </c>
    </row>
    <row r="1564" spans="1:20">
      <c r="A1564" s="11">
        <v>45904.458333333336</v>
      </c>
      <c r="B1564" s="11">
        <v>45904.479166666664</v>
      </c>
      <c r="C1564" s="10">
        <v>45904</v>
      </c>
      <c r="D1564" s="7">
        <v>644.46820000000002</v>
      </c>
      <c r="E1564" s="7">
        <v>2933002</v>
      </c>
      <c r="F1564" s="7">
        <v>2933002</v>
      </c>
      <c r="G1564" s="7">
        <v>16162551</v>
      </c>
      <c r="H1564" s="7">
        <v>643.23509999999999</v>
      </c>
      <c r="I1564" s="7">
        <v>641.96010000000001</v>
      </c>
      <c r="J1564" s="7">
        <v>14</v>
      </c>
      <c r="K1564" s="7">
        <v>2.0070921999999999E-3</v>
      </c>
      <c r="L1564" s="7">
        <v>644.52613214250005</v>
      </c>
      <c r="M1564" s="7">
        <v>640.67162689999998</v>
      </c>
      <c r="N1564" s="7">
        <v>643.5458173275</v>
      </c>
      <c r="O1564" s="7">
        <v>644.52613214250005</v>
      </c>
      <c r="P1564" s="7">
        <v>640.67162689999998</v>
      </c>
      <c r="Q1564">
        <v>1</v>
      </c>
      <c r="R1564">
        <v>0</v>
      </c>
      <c r="S1564" s="11">
        <v>45904.666666666664</v>
      </c>
      <c r="T1564">
        <v>864</v>
      </c>
    </row>
    <row r="1565" spans="1:20">
      <c r="A1565" s="11">
        <v>45904.479166666664</v>
      </c>
      <c r="B1565" s="11">
        <v>45904.5</v>
      </c>
      <c r="C1565" s="10">
        <v>45904</v>
      </c>
      <c r="D1565" s="7">
        <v>644.41330000000005</v>
      </c>
      <c r="E1565" s="7">
        <v>2070009</v>
      </c>
      <c r="F1565" s="7">
        <v>2070009</v>
      </c>
      <c r="G1565" s="7">
        <v>18232560</v>
      </c>
      <c r="H1565" s="7">
        <v>643.23509999999999</v>
      </c>
      <c r="I1565" s="7">
        <v>641.96010000000001</v>
      </c>
      <c r="J1565" s="7">
        <v>14</v>
      </c>
      <c r="K1565" s="7">
        <v>2.0859038999999999E-3</v>
      </c>
      <c r="L1565" s="7">
        <v>644.57682662510001</v>
      </c>
      <c r="M1565" s="7">
        <v>640.62103290239997</v>
      </c>
      <c r="N1565" s="7">
        <v>643.64430579760005</v>
      </c>
      <c r="O1565" s="7">
        <v>644.57682662510001</v>
      </c>
      <c r="P1565" s="7">
        <v>640.62103290239997</v>
      </c>
      <c r="Q1565">
        <v>1</v>
      </c>
      <c r="R1565">
        <v>0</v>
      </c>
      <c r="S1565" s="11">
        <v>45904.666666666664</v>
      </c>
      <c r="T1565">
        <v>863</v>
      </c>
    </row>
    <row r="1566" spans="1:20">
      <c r="A1566" s="11">
        <v>45904.5</v>
      </c>
      <c r="B1566" s="11">
        <v>45904.520833333336</v>
      </c>
      <c r="C1566" s="10">
        <v>45904</v>
      </c>
      <c r="D1566" s="7">
        <v>644.15470000000005</v>
      </c>
      <c r="E1566" s="7">
        <v>1641350</v>
      </c>
      <c r="F1566" s="7">
        <v>1641350</v>
      </c>
      <c r="G1566" s="7">
        <v>19873910</v>
      </c>
      <c r="H1566" s="7">
        <v>643.23509999999999</v>
      </c>
      <c r="I1566" s="7">
        <v>641.96010000000001</v>
      </c>
      <c r="J1566" s="7">
        <v>14</v>
      </c>
      <c r="K1566" s="7">
        <v>2.4133792999999999E-3</v>
      </c>
      <c r="L1566" s="7">
        <v>644.7874702862</v>
      </c>
      <c r="M1566" s="7">
        <v>640.41080677239995</v>
      </c>
      <c r="N1566" s="7">
        <v>643.68645832439995</v>
      </c>
      <c r="O1566" s="7">
        <v>644.7874702862</v>
      </c>
      <c r="P1566" s="7">
        <v>640.41080677239995</v>
      </c>
      <c r="Q1566">
        <v>1</v>
      </c>
      <c r="R1566">
        <v>0</v>
      </c>
      <c r="S1566" s="11">
        <v>45904.666666666664</v>
      </c>
      <c r="T1566">
        <v>862</v>
      </c>
    </row>
    <row r="1567" spans="1:20">
      <c r="A1567" s="11">
        <v>45904.520833333336</v>
      </c>
      <c r="B1567" s="11">
        <v>45904.541666666664</v>
      </c>
      <c r="C1567" s="10">
        <v>45904</v>
      </c>
      <c r="D1567" s="7">
        <v>644.15419999999995</v>
      </c>
      <c r="E1567" s="7">
        <v>1580240</v>
      </c>
      <c r="F1567" s="7">
        <v>1580240</v>
      </c>
      <c r="G1567" s="7">
        <v>21454150</v>
      </c>
      <c r="H1567" s="7">
        <v>643.23509999999999</v>
      </c>
      <c r="I1567" s="7">
        <v>641.96010000000001</v>
      </c>
      <c r="J1567" s="7">
        <v>14</v>
      </c>
      <c r="K1567" s="7">
        <v>2.07098E-3</v>
      </c>
      <c r="L1567" s="7">
        <v>644.56722702460002</v>
      </c>
      <c r="M1567" s="7">
        <v>640.63061347489997</v>
      </c>
      <c r="N1567" s="7">
        <v>643.72091059139996</v>
      </c>
      <c r="O1567" s="7">
        <v>644.56722702460002</v>
      </c>
      <c r="P1567" s="7">
        <v>640.63061347489997</v>
      </c>
      <c r="Q1567">
        <v>1</v>
      </c>
      <c r="R1567">
        <v>0</v>
      </c>
      <c r="S1567" s="11">
        <v>45904.666666666664</v>
      </c>
      <c r="T1567">
        <v>861</v>
      </c>
    </row>
    <row r="1568" spans="1:20">
      <c r="A1568" s="11">
        <v>45904.541666666664</v>
      </c>
      <c r="B1568" s="11">
        <v>45904.5625</v>
      </c>
      <c r="C1568" s="10">
        <v>45904</v>
      </c>
      <c r="D1568" s="7">
        <v>645.09019999999998</v>
      </c>
      <c r="E1568" s="7">
        <v>1829562</v>
      </c>
      <c r="F1568" s="7">
        <v>1829562</v>
      </c>
      <c r="G1568" s="7">
        <v>23283712</v>
      </c>
      <c r="H1568" s="7">
        <v>643.23509999999999</v>
      </c>
      <c r="I1568" s="7">
        <v>641.96010000000001</v>
      </c>
      <c r="J1568" s="7">
        <v>14</v>
      </c>
      <c r="K1568" s="7">
        <v>2.4994880999999998E-3</v>
      </c>
      <c r="L1568" s="7">
        <v>644.8428584536</v>
      </c>
      <c r="M1568" s="7">
        <v>640.35552839369996</v>
      </c>
      <c r="N1568" s="7">
        <v>643.82850511369998</v>
      </c>
      <c r="O1568" s="7">
        <v>644.8428584536</v>
      </c>
      <c r="P1568" s="7">
        <v>640.35552839369996</v>
      </c>
      <c r="Q1568">
        <v>1</v>
      </c>
      <c r="R1568">
        <v>0</v>
      </c>
      <c r="S1568" s="11">
        <v>45904.666666666664</v>
      </c>
      <c r="T1568">
        <v>860</v>
      </c>
    </row>
    <row r="1569" spans="1:20">
      <c r="A1569" s="11">
        <v>45904.5625</v>
      </c>
      <c r="B1569" s="11">
        <v>45904.583333333336</v>
      </c>
      <c r="C1569" s="10">
        <v>45904</v>
      </c>
      <c r="D1569" s="7">
        <v>645.3528</v>
      </c>
      <c r="E1569" s="7">
        <v>2157719</v>
      </c>
      <c r="F1569" s="7">
        <v>2157719</v>
      </c>
      <c r="G1569" s="7">
        <v>25441431</v>
      </c>
      <c r="H1569" s="7">
        <v>643.23509999999999</v>
      </c>
      <c r="I1569" s="7">
        <v>641.96010000000001</v>
      </c>
      <c r="J1569" s="7">
        <v>14</v>
      </c>
      <c r="K1569" s="7">
        <v>2.4306694E-3</v>
      </c>
      <c r="L1569" s="7">
        <v>644.79859187750003</v>
      </c>
      <c r="M1569" s="7">
        <v>640.39970722600003</v>
      </c>
      <c r="N1569" s="7">
        <v>643.95778243450002</v>
      </c>
      <c r="O1569" s="7">
        <v>644.79859187750003</v>
      </c>
      <c r="P1569" s="7">
        <v>640.39970722600003</v>
      </c>
      <c r="Q1569">
        <v>1</v>
      </c>
      <c r="R1569">
        <v>0</v>
      </c>
      <c r="S1569" s="11">
        <v>45904.666666666664</v>
      </c>
      <c r="T1569">
        <v>859</v>
      </c>
    </row>
    <row r="1570" spans="1:20">
      <c r="A1570" s="11">
        <v>45904.583333333336</v>
      </c>
      <c r="B1570" s="11">
        <v>45904.604166666664</v>
      </c>
      <c r="C1570" s="10">
        <v>45904</v>
      </c>
      <c r="D1570" s="7">
        <v>645.44050000000004</v>
      </c>
      <c r="E1570" s="7">
        <v>1901876</v>
      </c>
      <c r="F1570" s="7">
        <v>1901876</v>
      </c>
      <c r="G1570" s="7">
        <v>27343307</v>
      </c>
      <c r="H1570" s="7">
        <v>643.23509999999999</v>
      </c>
      <c r="I1570" s="7">
        <v>641.96010000000001</v>
      </c>
      <c r="J1570" s="7">
        <v>14</v>
      </c>
      <c r="K1570" s="7">
        <v>2.4360496999999998E-3</v>
      </c>
      <c r="L1570" s="7">
        <v>644.80205264189999</v>
      </c>
      <c r="M1570" s="7">
        <v>640.39625332139997</v>
      </c>
      <c r="N1570" s="7">
        <v>644.0609135208</v>
      </c>
      <c r="O1570" s="7">
        <v>644.80205264189999</v>
      </c>
      <c r="P1570" s="7">
        <v>640.39625332139997</v>
      </c>
      <c r="Q1570">
        <v>1</v>
      </c>
      <c r="R1570">
        <v>0</v>
      </c>
      <c r="S1570" s="11">
        <v>45904.666666666664</v>
      </c>
      <c r="T1570">
        <v>858</v>
      </c>
    </row>
    <row r="1571" spans="1:20">
      <c r="A1571" s="11">
        <v>45904.604166666664</v>
      </c>
      <c r="B1571" s="11">
        <v>45904.625</v>
      </c>
      <c r="C1571" s="10">
        <v>45904</v>
      </c>
      <c r="D1571" s="7">
        <v>645.83939999999996</v>
      </c>
      <c r="E1571" s="7">
        <v>1893705</v>
      </c>
      <c r="F1571" s="7">
        <v>1893705</v>
      </c>
      <c r="G1571" s="7">
        <v>29237012</v>
      </c>
      <c r="H1571" s="7">
        <v>643.23509999999999</v>
      </c>
      <c r="I1571" s="7">
        <v>641.96010000000001</v>
      </c>
      <c r="J1571" s="7">
        <v>14</v>
      </c>
      <c r="K1571" s="7">
        <v>2.7441671000000001E-3</v>
      </c>
      <c r="L1571" s="7">
        <v>645.00024456860001</v>
      </c>
      <c r="M1571" s="7">
        <v>640.19845424439995</v>
      </c>
      <c r="N1571" s="7">
        <v>644.17610753370002</v>
      </c>
      <c r="O1571" s="7">
        <v>645.00024456860001</v>
      </c>
      <c r="P1571" s="7">
        <v>640.19845424439995</v>
      </c>
      <c r="Q1571">
        <v>1</v>
      </c>
      <c r="R1571">
        <v>0</v>
      </c>
      <c r="S1571" s="11">
        <v>45904.666666666664</v>
      </c>
      <c r="T1571">
        <v>857</v>
      </c>
    </row>
    <row r="1572" spans="1:20">
      <c r="A1572" s="11">
        <v>45904.625</v>
      </c>
      <c r="B1572" s="11">
        <v>45904.645833333336</v>
      </c>
      <c r="C1572" s="10">
        <v>45904</v>
      </c>
      <c r="D1572" s="7">
        <v>646.09939999999995</v>
      </c>
      <c r="E1572" s="7">
        <v>3075583</v>
      </c>
      <c r="F1572" s="7">
        <v>3075583</v>
      </c>
      <c r="G1572" s="7">
        <v>32312595</v>
      </c>
      <c r="H1572" s="7">
        <v>643.23509999999999</v>
      </c>
      <c r="I1572" s="7">
        <v>641.96010000000001</v>
      </c>
      <c r="J1572" s="7">
        <v>14</v>
      </c>
      <c r="K1572" s="7">
        <v>2.7308048000000001E-3</v>
      </c>
      <c r="L1572" s="7">
        <v>644.9916494711</v>
      </c>
      <c r="M1572" s="7">
        <v>640.20703230499998</v>
      </c>
      <c r="N1572" s="7">
        <v>644.35917068950005</v>
      </c>
      <c r="O1572" s="7">
        <v>644.9916494711</v>
      </c>
      <c r="P1572" s="7">
        <v>640.20703230499998</v>
      </c>
      <c r="Q1572">
        <v>1</v>
      </c>
      <c r="R1572">
        <v>0</v>
      </c>
      <c r="S1572" s="11">
        <v>45904.666666666664</v>
      </c>
      <c r="T1572">
        <v>856</v>
      </c>
    </row>
    <row r="1573" spans="1:20">
      <c r="A1573" s="11">
        <v>45904.645833333336</v>
      </c>
      <c r="B1573" s="11">
        <v>45904.666666666664</v>
      </c>
      <c r="C1573" s="10">
        <v>45904</v>
      </c>
      <c r="D1573" s="7">
        <v>647.32529999999997</v>
      </c>
      <c r="E1573" s="7">
        <v>11340058</v>
      </c>
      <c r="F1573" s="7">
        <v>11340058</v>
      </c>
      <c r="G1573" s="7">
        <v>43652653</v>
      </c>
      <c r="H1573" s="7">
        <v>643.23509999999999</v>
      </c>
      <c r="I1573" s="7">
        <v>641.96010000000001</v>
      </c>
      <c r="J1573" s="7">
        <v>14</v>
      </c>
      <c r="K1573" s="7">
        <v>2.8958489999999998E-3</v>
      </c>
      <c r="L1573" s="7">
        <v>645.09781171839995</v>
      </c>
      <c r="M1573" s="7">
        <v>640.10108048899997</v>
      </c>
      <c r="N1573" s="7">
        <v>645.11155126899996</v>
      </c>
      <c r="O1573" s="7">
        <v>645.11155126899996</v>
      </c>
      <c r="P1573" s="7">
        <v>640.10108048899997</v>
      </c>
      <c r="Q1573">
        <v>1</v>
      </c>
      <c r="R1573">
        <v>1</v>
      </c>
      <c r="S1573" s="11">
        <v>45904.666666666664</v>
      </c>
      <c r="T1573">
        <v>855</v>
      </c>
    </row>
    <row r="1574" spans="1:20">
      <c r="A1574" s="11">
        <v>45905.395833333336</v>
      </c>
      <c r="B1574" s="11">
        <v>45905.416666666664</v>
      </c>
      <c r="C1574" s="10">
        <v>45905</v>
      </c>
      <c r="D1574" s="7">
        <v>649.25990000000002</v>
      </c>
      <c r="E1574" s="7">
        <v>7712440</v>
      </c>
      <c r="F1574" s="7">
        <v>7712440</v>
      </c>
      <c r="G1574" s="7">
        <v>7712440</v>
      </c>
      <c r="H1574" s="7">
        <v>649.25990000000002</v>
      </c>
      <c r="I1574" s="7">
        <v>647.3252</v>
      </c>
      <c r="J1574" s="7">
        <v>14</v>
      </c>
      <c r="K1574" s="7">
        <v>0</v>
      </c>
      <c r="L1574" s="7">
        <v>649.25990000000002</v>
      </c>
      <c r="M1574" s="7">
        <v>647.3252</v>
      </c>
      <c r="N1574" s="7">
        <v>649.25990000000002</v>
      </c>
      <c r="O1574" s="7">
        <v>649.25990000000002</v>
      </c>
      <c r="P1574" s="7">
        <v>647.3252</v>
      </c>
      <c r="Q1574">
        <v>1</v>
      </c>
      <c r="R1574">
        <v>0</v>
      </c>
      <c r="S1574" s="11">
        <v>45905.666666666664</v>
      </c>
      <c r="T1574">
        <v>853</v>
      </c>
    </row>
    <row r="1575" spans="1:20">
      <c r="A1575" s="11">
        <v>45905.416666666664</v>
      </c>
      <c r="B1575" s="11">
        <v>45905.4375</v>
      </c>
      <c r="C1575" s="10">
        <v>45905</v>
      </c>
      <c r="D1575" s="7">
        <v>644.71749999999997</v>
      </c>
      <c r="E1575" s="7">
        <v>7836989</v>
      </c>
      <c r="F1575" s="7">
        <v>7836989</v>
      </c>
      <c r="G1575" s="7">
        <v>15549429</v>
      </c>
      <c r="H1575" s="7">
        <v>649.25990000000002</v>
      </c>
      <c r="I1575" s="7">
        <v>647.3252</v>
      </c>
      <c r="J1575" s="7">
        <v>14</v>
      </c>
      <c r="K1575" s="7">
        <v>1.5203325000000001E-3</v>
      </c>
      <c r="L1575" s="7">
        <v>650.24699092130004</v>
      </c>
      <c r="M1575" s="7">
        <v>646.34105046599996</v>
      </c>
      <c r="N1575" s="7">
        <v>646.97050796940005</v>
      </c>
      <c r="O1575" s="7">
        <v>650.24699092130004</v>
      </c>
      <c r="P1575" s="7">
        <v>646.34105046599996</v>
      </c>
      <c r="Q1575">
        <v>1</v>
      </c>
      <c r="R1575">
        <v>0</v>
      </c>
      <c r="S1575" s="11">
        <v>45905.666666666664</v>
      </c>
      <c r="T1575">
        <v>852</v>
      </c>
    </row>
    <row r="1576" spans="1:20">
      <c r="A1576" s="11">
        <v>45905.4375</v>
      </c>
      <c r="B1576" s="11">
        <v>45905.458333333336</v>
      </c>
      <c r="C1576" s="10">
        <v>45905</v>
      </c>
      <c r="D1576" s="7">
        <v>642.42880000000002</v>
      </c>
      <c r="E1576" s="7">
        <v>7125021</v>
      </c>
      <c r="F1576" s="7">
        <v>7125021</v>
      </c>
      <c r="G1576" s="7">
        <v>22674450</v>
      </c>
      <c r="H1576" s="7">
        <v>649.25990000000002</v>
      </c>
      <c r="I1576" s="7">
        <v>647.3252</v>
      </c>
      <c r="J1576" s="7">
        <v>14</v>
      </c>
      <c r="K1576" s="7">
        <v>2.3710776999999999E-3</v>
      </c>
      <c r="L1576" s="7">
        <v>650.79934565630003</v>
      </c>
      <c r="M1576" s="7">
        <v>645.79034166769998</v>
      </c>
      <c r="N1576" s="7">
        <v>645.54336135029996</v>
      </c>
      <c r="O1576" s="7">
        <v>650.79934565630003</v>
      </c>
      <c r="P1576" s="7">
        <v>645.54336135029996</v>
      </c>
      <c r="Q1576">
        <v>1</v>
      </c>
      <c r="R1576">
        <v>0</v>
      </c>
      <c r="S1576" s="11">
        <v>45905.666666666664</v>
      </c>
      <c r="T1576">
        <v>851</v>
      </c>
    </row>
    <row r="1577" spans="1:20">
      <c r="A1577" s="11">
        <v>45905.458333333336</v>
      </c>
      <c r="B1577" s="11">
        <v>45905.479166666664</v>
      </c>
      <c r="C1577" s="10">
        <v>45905</v>
      </c>
      <c r="D1577" s="7">
        <v>644.43399999999997</v>
      </c>
      <c r="E1577" s="7">
        <v>4895405</v>
      </c>
      <c r="F1577" s="7">
        <v>4895405</v>
      </c>
      <c r="G1577" s="7">
        <v>27569855</v>
      </c>
      <c r="H1577" s="7">
        <v>649.25990000000002</v>
      </c>
      <c r="I1577" s="7">
        <v>647.3252</v>
      </c>
      <c r="J1577" s="7">
        <v>14</v>
      </c>
      <c r="K1577" s="7">
        <v>2.0599593999999998E-3</v>
      </c>
      <c r="L1577" s="7">
        <v>650.59734901629997</v>
      </c>
      <c r="M1577" s="7">
        <v>645.99173638709999</v>
      </c>
      <c r="N1577" s="7">
        <v>645.34637906290004</v>
      </c>
      <c r="O1577" s="7">
        <v>650.59734901629997</v>
      </c>
      <c r="P1577" s="7">
        <v>645.34637906290004</v>
      </c>
      <c r="Q1577">
        <v>1</v>
      </c>
      <c r="R1577">
        <v>0</v>
      </c>
      <c r="S1577" s="11">
        <v>45905.666666666664</v>
      </c>
      <c r="T1577">
        <v>850</v>
      </c>
    </row>
    <row r="1578" spans="1:20">
      <c r="A1578" s="11">
        <v>45905.479166666664</v>
      </c>
      <c r="B1578" s="11">
        <v>45905.5</v>
      </c>
      <c r="C1578" s="10">
        <v>45905</v>
      </c>
      <c r="D1578" s="7">
        <v>643.91970000000003</v>
      </c>
      <c r="E1578" s="7">
        <v>3658254</v>
      </c>
      <c r="F1578" s="7">
        <v>3658254</v>
      </c>
      <c r="G1578" s="7">
        <v>31228109</v>
      </c>
      <c r="H1578" s="7">
        <v>649.25990000000002</v>
      </c>
      <c r="I1578" s="7">
        <v>647.3252</v>
      </c>
      <c r="J1578" s="7">
        <v>14</v>
      </c>
      <c r="K1578" s="7">
        <v>2.2147475000000002E-3</v>
      </c>
      <c r="L1578" s="7">
        <v>650.69784672009996</v>
      </c>
      <c r="M1578" s="7">
        <v>645.89153815179998</v>
      </c>
      <c r="N1578" s="7">
        <v>645.17924904589995</v>
      </c>
      <c r="O1578" s="7">
        <v>650.69784672009996</v>
      </c>
      <c r="P1578" s="7">
        <v>645.17924904589995</v>
      </c>
      <c r="Q1578">
        <v>1</v>
      </c>
      <c r="R1578">
        <v>0</v>
      </c>
      <c r="S1578" s="11">
        <v>45905.666666666664</v>
      </c>
      <c r="T1578">
        <v>849</v>
      </c>
    </row>
    <row r="1579" spans="1:20">
      <c r="A1579" s="11">
        <v>45905.5</v>
      </c>
      <c r="B1579" s="11">
        <v>45905.520833333336</v>
      </c>
      <c r="C1579" s="10">
        <v>45905</v>
      </c>
      <c r="D1579" s="7">
        <v>643.96460000000002</v>
      </c>
      <c r="E1579" s="7">
        <v>2671413</v>
      </c>
      <c r="F1579" s="7">
        <v>2671413</v>
      </c>
      <c r="G1579" s="7">
        <v>33899522</v>
      </c>
      <c r="H1579" s="7">
        <v>649.25990000000002</v>
      </c>
      <c r="I1579" s="7">
        <v>647.3252</v>
      </c>
      <c r="J1579" s="7">
        <v>14</v>
      </c>
      <c r="K1579" s="7">
        <v>2.4092472999999999E-3</v>
      </c>
      <c r="L1579" s="7">
        <v>650.82412766230004</v>
      </c>
      <c r="M1579" s="7">
        <v>645.76563350840001</v>
      </c>
      <c r="N1579" s="7">
        <v>645.0835300192</v>
      </c>
      <c r="O1579" s="7">
        <v>650.82412766230004</v>
      </c>
      <c r="P1579" s="7">
        <v>645.0835300192</v>
      </c>
      <c r="Q1579">
        <v>1</v>
      </c>
      <c r="R1579">
        <v>0</v>
      </c>
      <c r="S1579" s="11">
        <v>45905.666666666664</v>
      </c>
      <c r="T1579">
        <v>848</v>
      </c>
    </row>
    <row r="1580" spans="1:20">
      <c r="A1580" s="11">
        <v>45905.520833333336</v>
      </c>
      <c r="B1580" s="11">
        <v>45905.541666666664</v>
      </c>
      <c r="C1580" s="10">
        <v>45905</v>
      </c>
      <c r="D1580" s="7">
        <v>644.65260000000001</v>
      </c>
      <c r="E1580" s="7">
        <v>2325481</v>
      </c>
      <c r="F1580" s="7">
        <v>2325481</v>
      </c>
      <c r="G1580" s="7">
        <v>36225003</v>
      </c>
      <c r="H1580" s="7">
        <v>649.25990000000002</v>
      </c>
      <c r="I1580" s="7">
        <v>647.3252</v>
      </c>
      <c r="J1580" s="7">
        <v>14</v>
      </c>
      <c r="K1580" s="7">
        <v>2.1606200999999998E-3</v>
      </c>
      <c r="L1580" s="7">
        <v>650.66270398220001</v>
      </c>
      <c r="M1580" s="7">
        <v>645.92657616949998</v>
      </c>
      <c r="N1580" s="7">
        <v>645.05586626510001</v>
      </c>
      <c r="O1580" s="7">
        <v>650.66270398220001</v>
      </c>
      <c r="P1580" s="7">
        <v>645.05586626510001</v>
      </c>
      <c r="Q1580">
        <v>1</v>
      </c>
      <c r="R1580">
        <v>0</v>
      </c>
      <c r="S1580" s="11">
        <v>45905.666666666664</v>
      </c>
      <c r="T1580">
        <v>847</v>
      </c>
    </row>
    <row r="1581" spans="1:20">
      <c r="A1581" s="11">
        <v>45905.541666666664</v>
      </c>
      <c r="B1581" s="11">
        <v>45905.5625</v>
      </c>
      <c r="C1581" s="10">
        <v>45905</v>
      </c>
      <c r="D1581" s="7">
        <v>643.87980000000005</v>
      </c>
      <c r="E1581" s="7">
        <v>2360574</v>
      </c>
      <c r="F1581" s="7">
        <v>2360574</v>
      </c>
      <c r="G1581" s="7">
        <v>38585577</v>
      </c>
      <c r="H1581" s="7">
        <v>649.25990000000002</v>
      </c>
      <c r="I1581" s="7">
        <v>647.3252</v>
      </c>
      <c r="J1581" s="7">
        <v>14</v>
      </c>
      <c r="K1581" s="7">
        <v>2.6010187999999999E-3</v>
      </c>
      <c r="L1581" s="7">
        <v>650.94863718680006</v>
      </c>
      <c r="M1581" s="7">
        <v>645.64149500420001</v>
      </c>
      <c r="N1581" s="7">
        <v>644.98391732300001</v>
      </c>
      <c r="O1581" s="7">
        <v>650.94863718680006</v>
      </c>
      <c r="P1581" s="7">
        <v>644.98391732300001</v>
      </c>
      <c r="Q1581">
        <v>1</v>
      </c>
      <c r="R1581">
        <v>0</v>
      </c>
      <c r="S1581" s="11">
        <v>45905.666666666664</v>
      </c>
      <c r="T1581">
        <v>846</v>
      </c>
    </row>
    <row r="1582" spans="1:20">
      <c r="A1582" s="11">
        <v>45905.5625</v>
      </c>
      <c r="B1582" s="11">
        <v>45905.583333333336</v>
      </c>
      <c r="C1582" s="10">
        <v>45905</v>
      </c>
      <c r="D1582" s="7">
        <v>643.35739999999998</v>
      </c>
      <c r="E1582" s="7">
        <v>2511081</v>
      </c>
      <c r="F1582" s="7">
        <v>2511081</v>
      </c>
      <c r="G1582" s="7">
        <v>41096658</v>
      </c>
      <c r="H1582" s="7">
        <v>649.25990000000002</v>
      </c>
      <c r="I1582" s="7">
        <v>647.3252</v>
      </c>
      <c r="J1582" s="7">
        <v>14</v>
      </c>
      <c r="K1582" s="7">
        <v>2.5979598999999998E-3</v>
      </c>
      <c r="L1582" s="7">
        <v>650.94665115939995</v>
      </c>
      <c r="M1582" s="7">
        <v>645.64347511350002</v>
      </c>
      <c r="N1582" s="7">
        <v>644.8845341384</v>
      </c>
      <c r="O1582" s="7">
        <v>650.94665115939995</v>
      </c>
      <c r="P1582" s="7">
        <v>644.8845341384</v>
      </c>
      <c r="Q1582">
        <v>1</v>
      </c>
      <c r="R1582">
        <v>0</v>
      </c>
      <c r="S1582" s="11">
        <v>45905.666666666664</v>
      </c>
      <c r="T1582">
        <v>845</v>
      </c>
    </row>
    <row r="1583" spans="1:20">
      <c r="A1583" s="11">
        <v>45905.583333333336</v>
      </c>
      <c r="B1583" s="11">
        <v>45905.604166666664</v>
      </c>
      <c r="C1583" s="10">
        <v>45905</v>
      </c>
      <c r="D1583" s="7">
        <v>643.92219999999998</v>
      </c>
      <c r="E1583" s="7">
        <v>2646760</v>
      </c>
      <c r="F1583" s="7">
        <v>2646760</v>
      </c>
      <c r="G1583" s="7">
        <v>43743418</v>
      </c>
      <c r="H1583" s="7">
        <v>649.25990000000002</v>
      </c>
      <c r="I1583" s="7">
        <v>647.3252</v>
      </c>
      <c r="J1583" s="7">
        <v>14</v>
      </c>
      <c r="K1583" s="7">
        <v>2.6789595E-3</v>
      </c>
      <c r="L1583" s="7">
        <v>650.99924094990001</v>
      </c>
      <c r="M1583" s="7">
        <v>645.59104203300001</v>
      </c>
      <c r="N1583" s="7">
        <v>644.82630669260004</v>
      </c>
      <c r="O1583" s="7">
        <v>650.99924094990001</v>
      </c>
      <c r="P1583" s="7">
        <v>644.82630669260004</v>
      </c>
      <c r="Q1583">
        <v>1</v>
      </c>
      <c r="R1583">
        <v>0</v>
      </c>
      <c r="S1583" s="11">
        <v>45905.666666666664</v>
      </c>
      <c r="T1583">
        <v>844</v>
      </c>
    </row>
    <row r="1584" spans="1:20">
      <c r="A1584" s="11">
        <v>45905.604166666664</v>
      </c>
      <c r="B1584" s="11">
        <v>45905.625</v>
      </c>
      <c r="C1584" s="10">
        <v>45905</v>
      </c>
      <c r="D1584" s="7">
        <v>644.48320000000001</v>
      </c>
      <c r="E1584" s="7">
        <v>2321924</v>
      </c>
      <c r="F1584" s="7">
        <v>2321924</v>
      </c>
      <c r="G1584" s="7">
        <v>46065342</v>
      </c>
      <c r="H1584" s="7">
        <v>649.25990000000002</v>
      </c>
      <c r="I1584" s="7">
        <v>647.3252</v>
      </c>
      <c r="J1584" s="7">
        <v>14</v>
      </c>
      <c r="K1584" s="7">
        <v>2.9765689000000001E-3</v>
      </c>
      <c r="L1584" s="7">
        <v>651.1924668222</v>
      </c>
      <c r="M1584" s="7">
        <v>645.3983919456</v>
      </c>
      <c r="N1584" s="7">
        <v>644.80901239649995</v>
      </c>
      <c r="O1584" s="7">
        <v>651.1924668222</v>
      </c>
      <c r="P1584" s="7">
        <v>644.80901239649995</v>
      </c>
      <c r="Q1584">
        <v>1</v>
      </c>
      <c r="R1584">
        <v>0</v>
      </c>
      <c r="S1584" s="11">
        <v>45905.666666666664</v>
      </c>
      <c r="T1584">
        <v>843</v>
      </c>
    </row>
    <row r="1585" spans="1:20">
      <c r="A1585" s="11">
        <v>45905.625</v>
      </c>
      <c r="B1585" s="11">
        <v>45905.645833333336</v>
      </c>
      <c r="C1585" s="10">
        <v>45905</v>
      </c>
      <c r="D1585" s="7">
        <v>645.37869999999998</v>
      </c>
      <c r="E1585" s="7">
        <v>3695402</v>
      </c>
      <c r="F1585" s="7">
        <v>3695402</v>
      </c>
      <c r="G1585" s="7">
        <v>49760744</v>
      </c>
      <c r="H1585" s="7">
        <v>649.25990000000002</v>
      </c>
      <c r="I1585" s="7">
        <v>647.3252</v>
      </c>
      <c r="J1585" s="7">
        <v>14</v>
      </c>
      <c r="K1585" s="7">
        <v>2.9444028999999999E-3</v>
      </c>
      <c r="L1585" s="7">
        <v>651.17158273940004</v>
      </c>
      <c r="M1585" s="7">
        <v>645.41921379689995</v>
      </c>
      <c r="N1585" s="7">
        <v>644.85131933440005</v>
      </c>
      <c r="O1585" s="7">
        <v>651.17158273940004</v>
      </c>
      <c r="P1585" s="7">
        <v>644.85131933440005</v>
      </c>
      <c r="Q1585">
        <v>1</v>
      </c>
      <c r="R1585">
        <v>0</v>
      </c>
      <c r="S1585" s="11">
        <v>45905.666666666664</v>
      </c>
      <c r="T1585">
        <v>842</v>
      </c>
    </row>
    <row r="1586" spans="1:20">
      <c r="A1586" s="11">
        <v>45905.645833333336</v>
      </c>
      <c r="B1586" s="11">
        <v>45905.666666666664</v>
      </c>
      <c r="C1586" s="10">
        <v>45905</v>
      </c>
      <c r="D1586" s="7">
        <v>645.45039999999995</v>
      </c>
      <c r="E1586" s="7">
        <v>8585542</v>
      </c>
      <c r="F1586" s="7">
        <v>8585542</v>
      </c>
      <c r="G1586" s="7">
        <v>58346286</v>
      </c>
      <c r="H1586" s="7">
        <v>649.25990000000002</v>
      </c>
      <c r="I1586" s="7">
        <v>647.3252</v>
      </c>
      <c r="J1586" s="7">
        <v>14</v>
      </c>
      <c r="K1586" s="7">
        <v>3.2522286E-3</v>
      </c>
      <c r="L1586" s="7">
        <v>651.37144159290006</v>
      </c>
      <c r="M1586" s="7">
        <v>645.21995049370003</v>
      </c>
      <c r="N1586" s="7">
        <v>644.93508787220003</v>
      </c>
      <c r="O1586" s="7">
        <v>651.37144159290006</v>
      </c>
      <c r="P1586" s="7">
        <v>644.93508787220003</v>
      </c>
      <c r="Q1586">
        <v>1</v>
      </c>
      <c r="R1586">
        <v>1</v>
      </c>
      <c r="S1586" s="11">
        <v>45905.666666666664</v>
      </c>
      <c r="T1586">
        <v>841</v>
      </c>
    </row>
    <row r="1587" spans="1:20">
      <c r="A1587" s="11">
        <v>45908.395833333336</v>
      </c>
      <c r="B1587" s="11">
        <v>45908.416666666664</v>
      </c>
      <c r="C1587" s="10">
        <v>45908</v>
      </c>
      <c r="D1587" s="7">
        <v>646.56240000000003</v>
      </c>
      <c r="E1587" s="7">
        <v>5959190</v>
      </c>
      <c r="F1587" s="7">
        <v>5959190</v>
      </c>
      <c r="G1587" s="7">
        <v>5959190</v>
      </c>
      <c r="H1587" s="7">
        <v>646.56240000000003</v>
      </c>
      <c r="I1587" s="7">
        <v>645.45039999999995</v>
      </c>
      <c r="J1587" s="7">
        <v>14</v>
      </c>
      <c r="K1587" s="7">
        <v>0</v>
      </c>
      <c r="L1587" s="7">
        <v>646.56240000000003</v>
      </c>
      <c r="M1587" s="7">
        <v>645.45039999999995</v>
      </c>
      <c r="N1587" s="7">
        <v>646.56240000000003</v>
      </c>
      <c r="O1587" s="7">
        <v>646.56240000000003</v>
      </c>
      <c r="P1587" s="7">
        <v>645.45039999999995</v>
      </c>
      <c r="Q1587">
        <v>1</v>
      </c>
      <c r="R1587">
        <v>0</v>
      </c>
      <c r="S1587" s="11">
        <v>45908.666666666664</v>
      </c>
      <c r="T1587">
        <v>839</v>
      </c>
    </row>
    <row r="1588" spans="1:20">
      <c r="A1588" s="11">
        <v>45908.416666666664</v>
      </c>
      <c r="B1588" s="11">
        <v>45908.4375</v>
      </c>
      <c r="C1588" s="10">
        <v>45908</v>
      </c>
      <c r="D1588" s="7">
        <v>646.97969999999998</v>
      </c>
      <c r="E1588" s="7">
        <v>3442232</v>
      </c>
      <c r="F1588" s="7">
        <v>3442232</v>
      </c>
      <c r="G1588" s="7">
        <v>9401422</v>
      </c>
      <c r="H1588" s="7">
        <v>646.56240000000003</v>
      </c>
      <c r="I1588" s="7">
        <v>645.45039999999995</v>
      </c>
      <c r="J1588" s="7">
        <v>14</v>
      </c>
      <c r="K1588" s="7">
        <v>1.9362738999999999E-3</v>
      </c>
      <c r="L1588" s="7">
        <v>647.81432187099995</v>
      </c>
      <c r="M1588" s="7">
        <v>644.20063126549996</v>
      </c>
      <c r="N1588" s="7">
        <v>646.7151900156</v>
      </c>
      <c r="O1588" s="7">
        <v>647.81432187099995</v>
      </c>
      <c r="P1588" s="7">
        <v>644.20063126549996</v>
      </c>
      <c r="Q1588">
        <v>1</v>
      </c>
      <c r="R1588">
        <v>0</v>
      </c>
      <c r="S1588" s="11">
        <v>45908.666666666664</v>
      </c>
      <c r="T1588">
        <v>838</v>
      </c>
    </row>
    <row r="1589" spans="1:20">
      <c r="A1589" s="11">
        <v>45908.4375</v>
      </c>
      <c r="B1589" s="11">
        <v>45908.458333333336</v>
      </c>
      <c r="C1589" s="10">
        <v>45908</v>
      </c>
      <c r="D1589" s="7">
        <v>647.55460000000005</v>
      </c>
      <c r="E1589" s="7">
        <v>2829384</v>
      </c>
      <c r="F1589" s="7">
        <v>2829384</v>
      </c>
      <c r="G1589" s="7">
        <v>12230806</v>
      </c>
      <c r="H1589" s="7">
        <v>646.56240000000003</v>
      </c>
      <c r="I1589" s="7">
        <v>645.45039999999995</v>
      </c>
      <c r="J1589" s="7">
        <v>14</v>
      </c>
      <c r="K1589" s="7">
        <v>3.1098572999999998E-3</v>
      </c>
      <c r="L1589" s="7">
        <v>648.57311678420001</v>
      </c>
      <c r="M1589" s="7">
        <v>643.44314137710001</v>
      </c>
      <c r="N1589" s="7">
        <v>646.90937289930002</v>
      </c>
      <c r="O1589" s="7">
        <v>648.57311678420001</v>
      </c>
      <c r="P1589" s="7">
        <v>643.44314137710001</v>
      </c>
      <c r="Q1589">
        <v>1</v>
      </c>
      <c r="R1589">
        <v>0</v>
      </c>
      <c r="S1589" s="11">
        <v>45908.666666666664</v>
      </c>
      <c r="T1589">
        <v>837</v>
      </c>
    </row>
    <row r="1590" spans="1:20">
      <c r="A1590" s="11">
        <v>45908.458333333336</v>
      </c>
      <c r="B1590" s="11">
        <v>45908.479166666664</v>
      </c>
      <c r="C1590" s="10">
        <v>45908</v>
      </c>
      <c r="D1590" s="7">
        <v>647.96849999999995</v>
      </c>
      <c r="E1590" s="7">
        <v>2325284</v>
      </c>
      <c r="F1590" s="7">
        <v>2325284</v>
      </c>
      <c r="G1590" s="7">
        <v>14556090</v>
      </c>
      <c r="H1590" s="7">
        <v>646.56240000000003</v>
      </c>
      <c r="I1590" s="7">
        <v>645.45039999999995</v>
      </c>
      <c r="J1590" s="7">
        <v>14</v>
      </c>
      <c r="K1590" s="7">
        <v>2.5825778999999998E-3</v>
      </c>
      <c r="L1590" s="7">
        <v>648.2321977716</v>
      </c>
      <c r="M1590" s="7">
        <v>643.78347405509999</v>
      </c>
      <c r="N1590" s="7">
        <v>647.07856471529999</v>
      </c>
      <c r="O1590" s="7">
        <v>648.2321977716</v>
      </c>
      <c r="P1590" s="7">
        <v>643.78347405509999</v>
      </c>
      <c r="Q1590">
        <v>1</v>
      </c>
      <c r="R1590">
        <v>0</v>
      </c>
      <c r="S1590" s="11">
        <v>45908.666666666664</v>
      </c>
      <c r="T1590">
        <v>836</v>
      </c>
    </row>
    <row r="1591" spans="1:20">
      <c r="A1591" s="11">
        <v>45908.479166666664</v>
      </c>
      <c r="B1591" s="11">
        <v>45908.5</v>
      </c>
      <c r="C1591" s="10">
        <v>45908</v>
      </c>
      <c r="D1591" s="7">
        <v>647.56460000000004</v>
      </c>
      <c r="E1591" s="7">
        <v>2342330</v>
      </c>
      <c r="F1591" s="7">
        <v>2342330</v>
      </c>
      <c r="G1591" s="7">
        <v>16898420</v>
      </c>
      <c r="H1591" s="7">
        <v>646.56240000000003</v>
      </c>
      <c r="I1591" s="7">
        <v>645.45039999999995</v>
      </c>
      <c r="J1591" s="7">
        <v>14</v>
      </c>
      <c r="K1591" s="7">
        <v>2.7972308999999998E-3</v>
      </c>
      <c r="L1591" s="7">
        <v>648.37098434239999</v>
      </c>
      <c r="M1591" s="7">
        <v>643.64492617840006</v>
      </c>
      <c r="N1591" s="7">
        <v>647.14593521669997</v>
      </c>
      <c r="O1591" s="7">
        <v>648.37098434239999</v>
      </c>
      <c r="P1591" s="7">
        <v>643.64492617840006</v>
      </c>
      <c r="Q1591">
        <v>1</v>
      </c>
      <c r="R1591">
        <v>0</v>
      </c>
      <c r="S1591" s="11">
        <v>45908.666666666664</v>
      </c>
      <c r="T1591">
        <v>835</v>
      </c>
    </row>
    <row r="1592" spans="1:20">
      <c r="A1592" s="11">
        <v>45908.5</v>
      </c>
      <c r="B1592" s="11">
        <v>45908.520833333336</v>
      </c>
      <c r="C1592" s="10">
        <v>45908</v>
      </c>
      <c r="D1592" s="7">
        <v>646.82669999999996</v>
      </c>
      <c r="E1592" s="7">
        <v>1876172</v>
      </c>
      <c r="F1592" s="7">
        <v>1876172</v>
      </c>
      <c r="G1592" s="7">
        <v>18774592</v>
      </c>
      <c r="H1592" s="7">
        <v>646.56240000000003</v>
      </c>
      <c r="I1592" s="7">
        <v>645.45039999999995</v>
      </c>
      <c r="J1592" s="7">
        <v>14</v>
      </c>
      <c r="K1592" s="7">
        <v>2.9823604E-3</v>
      </c>
      <c r="L1592" s="7">
        <v>648.49068211990004</v>
      </c>
      <c r="M1592" s="7">
        <v>643.52543426490001</v>
      </c>
      <c r="N1592" s="7">
        <v>647.11403358200005</v>
      </c>
      <c r="O1592" s="7">
        <v>648.49068211990004</v>
      </c>
      <c r="P1592" s="7">
        <v>643.52543426490001</v>
      </c>
      <c r="Q1592">
        <v>1</v>
      </c>
      <c r="R1592">
        <v>0</v>
      </c>
      <c r="S1592" s="11">
        <v>45908.666666666664</v>
      </c>
      <c r="T1592">
        <v>834</v>
      </c>
    </row>
    <row r="1593" spans="1:20">
      <c r="A1593" s="11">
        <v>45908.520833333336</v>
      </c>
      <c r="B1593" s="11">
        <v>45908.541666666664</v>
      </c>
      <c r="C1593" s="10">
        <v>45908</v>
      </c>
      <c r="D1593" s="7">
        <v>646.7568</v>
      </c>
      <c r="E1593" s="7">
        <v>2002856</v>
      </c>
      <c r="F1593" s="7">
        <v>2002856</v>
      </c>
      <c r="G1593" s="7">
        <v>20777448</v>
      </c>
      <c r="H1593" s="7">
        <v>646.56240000000003</v>
      </c>
      <c r="I1593" s="7">
        <v>645.45039999999995</v>
      </c>
      <c r="J1593" s="7">
        <v>14</v>
      </c>
      <c r="K1593" s="7">
        <v>2.5959135000000002E-3</v>
      </c>
      <c r="L1593" s="7">
        <v>648.24082008369999</v>
      </c>
      <c r="M1593" s="7">
        <v>643.77486657220004</v>
      </c>
      <c r="N1593" s="7">
        <v>647.07959781190004</v>
      </c>
      <c r="O1593" s="7">
        <v>648.24082008369999</v>
      </c>
      <c r="P1593" s="7">
        <v>643.77486657220004</v>
      </c>
      <c r="Q1593">
        <v>1</v>
      </c>
      <c r="R1593">
        <v>0</v>
      </c>
      <c r="S1593" s="11">
        <v>45908.666666666664</v>
      </c>
      <c r="T1593">
        <v>833</v>
      </c>
    </row>
    <row r="1594" spans="1:20">
      <c r="A1594" s="11">
        <v>45908.541666666664</v>
      </c>
      <c r="B1594" s="11">
        <v>45908.5625</v>
      </c>
      <c r="C1594" s="10">
        <v>45908</v>
      </c>
      <c r="D1594" s="7">
        <v>646.71699999999998</v>
      </c>
      <c r="E1594" s="7">
        <v>1517027</v>
      </c>
      <c r="F1594" s="7">
        <v>1517027</v>
      </c>
      <c r="G1594" s="7">
        <v>22294475</v>
      </c>
      <c r="H1594" s="7">
        <v>646.56240000000003</v>
      </c>
      <c r="I1594" s="7">
        <v>645.45039999999995</v>
      </c>
      <c r="J1594" s="7">
        <v>14</v>
      </c>
      <c r="K1594" s="7">
        <v>3.1096765999999998E-3</v>
      </c>
      <c r="L1594" s="7">
        <v>648.57299998320002</v>
      </c>
      <c r="M1594" s="7">
        <v>643.44325797720001</v>
      </c>
      <c r="N1594" s="7">
        <v>647.05492485280001</v>
      </c>
      <c r="O1594" s="7">
        <v>648.57299998320002</v>
      </c>
      <c r="P1594" s="7">
        <v>643.44325797720001</v>
      </c>
      <c r="Q1594">
        <v>1</v>
      </c>
      <c r="R1594">
        <v>0</v>
      </c>
      <c r="S1594" s="11">
        <v>45908.666666666664</v>
      </c>
      <c r="T1594">
        <v>832</v>
      </c>
    </row>
    <row r="1595" spans="1:20">
      <c r="A1595" s="11">
        <v>45908.5625</v>
      </c>
      <c r="B1595" s="11">
        <v>45908.583333333336</v>
      </c>
      <c r="C1595" s="10">
        <v>45908</v>
      </c>
      <c r="D1595" s="7">
        <v>645.78530000000001</v>
      </c>
      <c r="E1595" s="7">
        <v>1511160</v>
      </c>
      <c r="F1595" s="7">
        <v>1511160</v>
      </c>
      <c r="G1595" s="7">
        <v>23805635</v>
      </c>
      <c r="H1595" s="7">
        <v>646.56240000000003</v>
      </c>
      <c r="I1595" s="7">
        <v>645.45039999999995</v>
      </c>
      <c r="J1595" s="7">
        <v>14</v>
      </c>
      <c r="K1595" s="7">
        <v>3.1024727E-3</v>
      </c>
      <c r="L1595" s="7">
        <v>648.56834220999997</v>
      </c>
      <c r="M1595" s="7">
        <v>643.44790773969999</v>
      </c>
      <c r="N1595" s="7">
        <v>646.97433022500002</v>
      </c>
      <c r="O1595" s="7">
        <v>648.56834220999997</v>
      </c>
      <c r="P1595" s="7">
        <v>643.44790773969999</v>
      </c>
      <c r="Q1595">
        <v>1</v>
      </c>
      <c r="R1595">
        <v>0</v>
      </c>
      <c r="S1595" s="11">
        <v>45908.666666666664</v>
      </c>
      <c r="T1595">
        <v>831</v>
      </c>
    </row>
    <row r="1596" spans="1:20">
      <c r="A1596" s="11">
        <v>45908.583333333336</v>
      </c>
      <c r="B1596" s="11">
        <v>45908.604166666664</v>
      </c>
      <c r="C1596" s="10">
        <v>45908</v>
      </c>
      <c r="D1596" s="7">
        <v>646.61220000000003</v>
      </c>
      <c r="E1596" s="7">
        <v>2263502</v>
      </c>
      <c r="F1596" s="7">
        <v>2263502</v>
      </c>
      <c r="G1596" s="7">
        <v>26069137</v>
      </c>
      <c r="H1596" s="7">
        <v>646.56240000000003</v>
      </c>
      <c r="I1596" s="7">
        <v>645.45039999999995</v>
      </c>
      <c r="J1596" s="7">
        <v>14</v>
      </c>
      <c r="K1596" s="7">
        <v>3.1435334000000001E-3</v>
      </c>
      <c r="L1596" s="7">
        <v>648.59489046809995</v>
      </c>
      <c r="M1596" s="7">
        <v>643.42140514100004</v>
      </c>
      <c r="N1596" s="7">
        <v>646.94288758499999</v>
      </c>
      <c r="O1596" s="7">
        <v>648.59489046809995</v>
      </c>
      <c r="P1596" s="7">
        <v>643.42140514100004</v>
      </c>
      <c r="Q1596">
        <v>1</v>
      </c>
      <c r="R1596">
        <v>0</v>
      </c>
      <c r="S1596" s="11">
        <v>45908.666666666664</v>
      </c>
      <c r="T1596">
        <v>830</v>
      </c>
    </row>
    <row r="1597" spans="1:20">
      <c r="A1597" s="11">
        <v>45908.604166666664</v>
      </c>
      <c r="B1597" s="11">
        <v>45908.625</v>
      </c>
      <c r="C1597" s="10">
        <v>45908</v>
      </c>
      <c r="D1597" s="7">
        <v>646.39779999999996</v>
      </c>
      <c r="E1597" s="7">
        <v>1928307</v>
      </c>
      <c r="F1597" s="7">
        <v>1928307</v>
      </c>
      <c r="G1597" s="7">
        <v>27997444</v>
      </c>
      <c r="H1597" s="7">
        <v>646.56240000000003</v>
      </c>
      <c r="I1597" s="7">
        <v>645.45039999999995</v>
      </c>
      <c r="J1597" s="7">
        <v>14</v>
      </c>
      <c r="K1597" s="7">
        <v>3.4088466999999999E-3</v>
      </c>
      <c r="L1597" s="7">
        <v>648.76643210919997</v>
      </c>
      <c r="M1597" s="7">
        <v>643.25015852829995</v>
      </c>
      <c r="N1597" s="7">
        <v>646.90534500770002</v>
      </c>
      <c r="O1597" s="7">
        <v>648.76643210919997</v>
      </c>
      <c r="P1597" s="7">
        <v>643.25015852829995</v>
      </c>
      <c r="Q1597">
        <v>1</v>
      </c>
      <c r="R1597">
        <v>0</v>
      </c>
      <c r="S1597" s="11">
        <v>45908.666666666664</v>
      </c>
      <c r="T1597">
        <v>829</v>
      </c>
    </row>
    <row r="1598" spans="1:20">
      <c r="A1598" s="11">
        <v>45908.625</v>
      </c>
      <c r="B1598" s="11">
        <v>45908.645833333336</v>
      </c>
      <c r="C1598" s="10">
        <v>45908</v>
      </c>
      <c r="D1598" s="7">
        <v>645.81939999999997</v>
      </c>
      <c r="E1598" s="7">
        <v>3228769</v>
      </c>
      <c r="F1598" s="7">
        <v>3228769</v>
      </c>
      <c r="G1598" s="7">
        <v>31226213</v>
      </c>
      <c r="H1598" s="7">
        <v>646.56240000000003</v>
      </c>
      <c r="I1598" s="7">
        <v>645.45039999999995</v>
      </c>
      <c r="J1598" s="7">
        <v>14</v>
      </c>
      <c r="K1598" s="7">
        <v>3.3286689999999998E-3</v>
      </c>
      <c r="L1598" s="7">
        <v>648.71459221340001</v>
      </c>
      <c r="M1598" s="7">
        <v>643.30190926650005</v>
      </c>
      <c r="N1598" s="7">
        <v>646.79305903900001</v>
      </c>
      <c r="O1598" s="7">
        <v>648.71459221340001</v>
      </c>
      <c r="P1598" s="7">
        <v>643.30190926650005</v>
      </c>
      <c r="Q1598">
        <v>1</v>
      </c>
      <c r="R1598">
        <v>0</v>
      </c>
      <c r="S1598" s="11">
        <v>45908.666666666664</v>
      </c>
      <c r="T1598">
        <v>828</v>
      </c>
    </row>
    <row r="1599" spans="1:20">
      <c r="A1599" s="11">
        <v>45908.645833333336</v>
      </c>
      <c r="B1599" s="11">
        <v>45908.666666666664</v>
      </c>
      <c r="C1599" s="10">
        <v>45908</v>
      </c>
      <c r="D1599" s="7">
        <v>647.03610000000003</v>
      </c>
      <c r="E1599" s="7">
        <v>10472152</v>
      </c>
      <c r="F1599" s="7">
        <v>10472152</v>
      </c>
      <c r="G1599" s="7">
        <v>41698365</v>
      </c>
      <c r="H1599" s="7">
        <v>646.56240000000003</v>
      </c>
      <c r="I1599" s="7">
        <v>645.45039999999995</v>
      </c>
      <c r="J1599" s="7">
        <v>14</v>
      </c>
      <c r="K1599" s="7">
        <v>3.6685824999999998E-3</v>
      </c>
      <c r="L1599" s="7">
        <v>648.93436748620002</v>
      </c>
      <c r="M1599" s="7">
        <v>643.08251197749996</v>
      </c>
      <c r="N1599" s="7">
        <v>646.85409648940004</v>
      </c>
      <c r="O1599" s="7">
        <v>648.93436748620002</v>
      </c>
      <c r="P1599" s="7">
        <v>643.08251197749996</v>
      </c>
      <c r="Q1599">
        <v>1</v>
      </c>
      <c r="R1599">
        <v>1</v>
      </c>
      <c r="S1599" s="11">
        <v>45908.666666666664</v>
      </c>
      <c r="T1599">
        <v>827</v>
      </c>
    </row>
    <row r="1600" spans="1:20">
      <c r="A1600" s="11">
        <v>45909.395833333336</v>
      </c>
      <c r="B1600" s="11">
        <v>45909.416666666664</v>
      </c>
      <c r="C1600" s="10">
        <v>45909</v>
      </c>
      <c r="D1600" s="7">
        <v>647.24549999999999</v>
      </c>
      <c r="E1600" s="7">
        <v>4310339</v>
      </c>
      <c r="F1600" s="7">
        <v>4310339</v>
      </c>
      <c r="G1600" s="7">
        <v>4310339</v>
      </c>
      <c r="H1600" s="7">
        <v>647.24549999999999</v>
      </c>
      <c r="I1600" s="7">
        <v>647.03599999999994</v>
      </c>
      <c r="J1600" s="7">
        <v>14</v>
      </c>
      <c r="K1600" s="7">
        <v>0</v>
      </c>
      <c r="L1600" s="7">
        <v>647.24549999999999</v>
      </c>
      <c r="M1600" s="7">
        <v>647.03599999999994</v>
      </c>
      <c r="N1600" s="7">
        <v>647.24549999999999</v>
      </c>
      <c r="O1600" s="7">
        <v>647.24549999999999</v>
      </c>
      <c r="P1600" s="7">
        <v>647.03599999999994</v>
      </c>
      <c r="Q1600">
        <v>1</v>
      </c>
      <c r="R1600">
        <v>0</v>
      </c>
      <c r="S1600" s="11">
        <v>45909.666666666664</v>
      </c>
      <c r="T1600">
        <v>825</v>
      </c>
    </row>
    <row r="1601" spans="1:20">
      <c r="A1601" s="11">
        <v>45909.416666666664</v>
      </c>
      <c r="B1601" s="11">
        <v>45909.4375</v>
      </c>
      <c r="C1601" s="10">
        <v>45909</v>
      </c>
      <c r="D1601" s="7">
        <v>646.94629999999995</v>
      </c>
      <c r="E1601" s="7">
        <v>4565043</v>
      </c>
      <c r="F1601" s="7">
        <v>4565043</v>
      </c>
      <c r="G1601" s="7">
        <v>8875382</v>
      </c>
      <c r="H1601" s="7">
        <v>647.24549999999999</v>
      </c>
      <c r="I1601" s="7">
        <v>647.03599999999994</v>
      </c>
      <c r="J1601" s="7">
        <v>14</v>
      </c>
      <c r="K1601" s="7">
        <v>1.9623714000000002E-3</v>
      </c>
      <c r="L1601" s="7">
        <v>648.51563607219998</v>
      </c>
      <c r="M1601" s="7">
        <v>645.76627504459998</v>
      </c>
      <c r="N1601" s="7">
        <v>647.09160680809998</v>
      </c>
      <c r="O1601" s="7">
        <v>648.51563607219998</v>
      </c>
      <c r="P1601" s="7">
        <v>645.76627504459998</v>
      </c>
      <c r="Q1601">
        <v>1</v>
      </c>
      <c r="R1601">
        <v>0</v>
      </c>
      <c r="S1601" s="11">
        <v>45909.666666666664</v>
      </c>
      <c r="T1601">
        <v>824</v>
      </c>
    </row>
    <row r="1602" spans="1:20">
      <c r="A1602" s="11">
        <v>45909.4375</v>
      </c>
      <c r="B1602" s="11">
        <v>45909.458333333336</v>
      </c>
      <c r="C1602" s="10">
        <v>45909</v>
      </c>
      <c r="D1602" s="7">
        <v>646.55740000000003</v>
      </c>
      <c r="E1602" s="7">
        <v>4677759</v>
      </c>
      <c r="F1602" s="7">
        <v>4677759</v>
      </c>
      <c r="G1602" s="7">
        <v>13553141</v>
      </c>
      <c r="H1602" s="7">
        <v>647.24549999999999</v>
      </c>
      <c r="I1602" s="7">
        <v>647.03599999999994</v>
      </c>
      <c r="J1602" s="7">
        <v>14</v>
      </c>
      <c r="K1602" s="7">
        <v>3.166135E-3</v>
      </c>
      <c r="L1602" s="7">
        <v>649.29476663629998</v>
      </c>
      <c r="M1602" s="7">
        <v>644.98739666899996</v>
      </c>
      <c r="N1602" s="7">
        <v>646.90722957000003</v>
      </c>
      <c r="O1602" s="7">
        <v>649.29476663629998</v>
      </c>
      <c r="P1602" s="7">
        <v>644.98739666899996</v>
      </c>
      <c r="Q1602">
        <v>1</v>
      </c>
      <c r="R1602">
        <v>0</v>
      </c>
      <c r="S1602" s="11">
        <v>45909.666666666664</v>
      </c>
      <c r="T1602">
        <v>823</v>
      </c>
    </row>
    <row r="1603" spans="1:20">
      <c r="A1603" s="11">
        <v>45909.458333333336</v>
      </c>
      <c r="B1603" s="11">
        <v>45909.479166666664</v>
      </c>
      <c r="C1603" s="10">
        <v>45909</v>
      </c>
      <c r="D1603" s="7">
        <v>646.95630000000006</v>
      </c>
      <c r="E1603" s="7">
        <v>2563110</v>
      </c>
      <c r="F1603" s="7">
        <v>2563110</v>
      </c>
      <c r="G1603" s="7">
        <v>16116251</v>
      </c>
      <c r="H1603" s="7">
        <v>647.24549999999999</v>
      </c>
      <c r="I1603" s="7">
        <v>647.03599999999994</v>
      </c>
      <c r="J1603" s="7">
        <v>14</v>
      </c>
      <c r="K1603" s="7">
        <v>2.7368014999999998E-3</v>
      </c>
      <c r="L1603" s="7">
        <v>649.01688246920003</v>
      </c>
      <c r="M1603" s="7">
        <v>645.26519089069996</v>
      </c>
      <c r="N1603" s="7">
        <v>646.9150336747</v>
      </c>
      <c r="O1603" s="7">
        <v>649.01688246920003</v>
      </c>
      <c r="P1603" s="7">
        <v>645.26519089069996</v>
      </c>
      <c r="Q1603">
        <v>1</v>
      </c>
      <c r="R1603">
        <v>0</v>
      </c>
      <c r="S1603" s="11">
        <v>45909.666666666664</v>
      </c>
      <c r="T1603">
        <v>822</v>
      </c>
    </row>
    <row r="1604" spans="1:20">
      <c r="A1604" s="11">
        <v>45909.479166666664</v>
      </c>
      <c r="B1604" s="11">
        <v>45909.5</v>
      </c>
      <c r="C1604" s="10">
        <v>45909</v>
      </c>
      <c r="D1604" s="7">
        <v>646.48760000000004</v>
      </c>
      <c r="E1604" s="7">
        <v>2145975</v>
      </c>
      <c r="F1604" s="7">
        <v>2145975</v>
      </c>
      <c r="G1604" s="7">
        <v>18262226</v>
      </c>
      <c r="H1604" s="7">
        <v>647.24549999999999</v>
      </c>
      <c r="I1604" s="7">
        <v>647.03599999999994</v>
      </c>
      <c r="J1604" s="7">
        <v>14</v>
      </c>
      <c r="K1604" s="7">
        <v>2.9062767E-3</v>
      </c>
      <c r="L1604" s="7">
        <v>649.12657454559996</v>
      </c>
      <c r="M1604" s="7">
        <v>645.15553431930005</v>
      </c>
      <c r="N1604" s="7">
        <v>646.86480639240006</v>
      </c>
      <c r="O1604" s="7">
        <v>649.12657454559996</v>
      </c>
      <c r="P1604" s="7">
        <v>645.15553431930005</v>
      </c>
      <c r="Q1604">
        <v>1</v>
      </c>
      <c r="R1604">
        <v>0</v>
      </c>
      <c r="S1604" s="11">
        <v>45909.666666666664</v>
      </c>
      <c r="T1604">
        <v>821</v>
      </c>
    </row>
    <row r="1605" spans="1:20">
      <c r="A1605" s="11">
        <v>45909.5</v>
      </c>
      <c r="B1605" s="11">
        <v>45909.520833333336</v>
      </c>
      <c r="C1605" s="10">
        <v>45909</v>
      </c>
      <c r="D1605" s="7">
        <v>647.06060000000002</v>
      </c>
      <c r="E1605" s="7">
        <v>2201340</v>
      </c>
      <c r="F1605" s="7">
        <v>2201340</v>
      </c>
      <c r="G1605" s="7">
        <v>20463566</v>
      </c>
      <c r="H1605" s="7">
        <v>647.24549999999999</v>
      </c>
      <c r="I1605" s="7">
        <v>647.03599999999994</v>
      </c>
      <c r="J1605" s="7">
        <v>14</v>
      </c>
      <c r="K1605" s="7">
        <v>2.9689444E-3</v>
      </c>
      <c r="L1605" s="7">
        <v>649.16713587180004</v>
      </c>
      <c r="M1605" s="7">
        <v>645.114986122</v>
      </c>
      <c r="N1605" s="7">
        <v>646.88586862080001</v>
      </c>
      <c r="O1605" s="7">
        <v>649.16713587180004</v>
      </c>
      <c r="P1605" s="7">
        <v>645.114986122</v>
      </c>
      <c r="Q1605">
        <v>1</v>
      </c>
      <c r="R1605">
        <v>0</v>
      </c>
      <c r="S1605" s="11">
        <v>45909.666666666664</v>
      </c>
      <c r="T1605">
        <v>820</v>
      </c>
    </row>
    <row r="1606" spans="1:20">
      <c r="A1606" s="11">
        <v>45909.520833333336</v>
      </c>
      <c r="B1606" s="11">
        <v>45909.541666666664</v>
      </c>
      <c r="C1606" s="10">
        <v>45909</v>
      </c>
      <c r="D1606" s="7">
        <v>647.2355</v>
      </c>
      <c r="E1606" s="7">
        <v>1748365</v>
      </c>
      <c r="F1606" s="7">
        <v>1748365</v>
      </c>
      <c r="G1606" s="7">
        <v>22211931</v>
      </c>
      <c r="H1606" s="7">
        <v>647.24549999999999</v>
      </c>
      <c r="I1606" s="7">
        <v>647.03599999999994</v>
      </c>
      <c r="J1606" s="7">
        <v>14</v>
      </c>
      <c r="K1606" s="7">
        <v>2.5896079000000002E-3</v>
      </c>
      <c r="L1606" s="7">
        <v>648.92161205169998</v>
      </c>
      <c r="M1606" s="7">
        <v>645.36043047110002</v>
      </c>
      <c r="N1606" s="7">
        <v>646.91338911269997</v>
      </c>
      <c r="O1606" s="7">
        <v>648.92161205169998</v>
      </c>
      <c r="P1606" s="7">
        <v>645.36043047110002</v>
      </c>
      <c r="Q1606">
        <v>1</v>
      </c>
      <c r="R1606">
        <v>0</v>
      </c>
      <c r="S1606" s="11">
        <v>45909.666666666664</v>
      </c>
      <c r="T1606">
        <v>819</v>
      </c>
    </row>
    <row r="1607" spans="1:20">
      <c r="A1607" s="11">
        <v>45909.541666666664</v>
      </c>
      <c r="B1607" s="11">
        <v>45909.5625</v>
      </c>
      <c r="C1607" s="10">
        <v>45909</v>
      </c>
      <c r="D1607" s="7">
        <v>647.76900000000001</v>
      </c>
      <c r="E1607" s="7">
        <v>2482484</v>
      </c>
      <c r="F1607" s="7">
        <v>2482484</v>
      </c>
      <c r="G1607" s="7">
        <v>24694415</v>
      </c>
      <c r="H1607" s="7">
        <v>647.24549999999999</v>
      </c>
      <c r="I1607" s="7">
        <v>647.03599999999994</v>
      </c>
      <c r="J1607" s="7">
        <v>14</v>
      </c>
      <c r="K1607" s="7">
        <v>3.0795279000000002E-3</v>
      </c>
      <c r="L1607" s="7">
        <v>649.23871058379996</v>
      </c>
      <c r="M1607" s="7">
        <v>645.04343457729999</v>
      </c>
      <c r="N1607" s="7">
        <v>646.99940209730005</v>
      </c>
      <c r="O1607" s="7">
        <v>649.23871058379996</v>
      </c>
      <c r="P1607" s="7">
        <v>645.04343457729999</v>
      </c>
      <c r="Q1607">
        <v>1</v>
      </c>
      <c r="R1607">
        <v>0</v>
      </c>
      <c r="S1607" s="11">
        <v>45909.666666666664</v>
      </c>
      <c r="T1607">
        <v>818</v>
      </c>
    </row>
    <row r="1608" spans="1:20">
      <c r="A1608" s="11">
        <v>45909.5625</v>
      </c>
      <c r="B1608" s="11">
        <v>45909.583333333336</v>
      </c>
      <c r="C1608" s="10">
        <v>45909</v>
      </c>
      <c r="D1608" s="7">
        <v>647.98350000000005</v>
      </c>
      <c r="E1608" s="7">
        <v>1789615</v>
      </c>
      <c r="F1608" s="7">
        <v>1789615</v>
      </c>
      <c r="G1608" s="7">
        <v>26484030</v>
      </c>
      <c r="H1608" s="7">
        <v>647.24549999999999</v>
      </c>
      <c r="I1608" s="7">
        <v>647.03599999999994</v>
      </c>
      <c r="J1608" s="7">
        <v>14</v>
      </c>
      <c r="K1608" s="7">
        <v>3.1827614999999998E-3</v>
      </c>
      <c r="L1608" s="7">
        <v>649.30552807369997</v>
      </c>
      <c r="M1608" s="7">
        <v>644.97663871489999</v>
      </c>
      <c r="N1608" s="7">
        <v>647.06590090309999</v>
      </c>
      <c r="O1608" s="7">
        <v>649.30552807369997</v>
      </c>
      <c r="P1608" s="7">
        <v>644.97663871489999</v>
      </c>
      <c r="Q1608">
        <v>1</v>
      </c>
      <c r="R1608">
        <v>0</v>
      </c>
      <c r="S1608" s="11">
        <v>45909.666666666664</v>
      </c>
      <c r="T1608">
        <v>817</v>
      </c>
    </row>
    <row r="1609" spans="1:20">
      <c r="A1609" s="11">
        <v>45909.583333333336</v>
      </c>
      <c r="B1609" s="11">
        <v>45909.604166666664</v>
      </c>
      <c r="C1609" s="10">
        <v>45909</v>
      </c>
      <c r="D1609" s="7">
        <v>648.04330000000004</v>
      </c>
      <c r="E1609" s="7">
        <v>1854390</v>
      </c>
      <c r="F1609" s="7">
        <v>1854390</v>
      </c>
      <c r="G1609" s="7">
        <v>28338420</v>
      </c>
      <c r="H1609" s="7">
        <v>647.24549999999999</v>
      </c>
      <c r="I1609" s="7">
        <v>647.03599999999994</v>
      </c>
      <c r="J1609" s="7">
        <v>14</v>
      </c>
      <c r="K1609" s="7">
        <v>3.1479206E-3</v>
      </c>
      <c r="L1609" s="7">
        <v>649.28297742979998</v>
      </c>
      <c r="M1609" s="7">
        <v>644.9991820596</v>
      </c>
      <c r="N1609" s="7">
        <v>647.12985927169996</v>
      </c>
      <c r="O1609" s="7">
        <v>649.28297742979998</v>
      </c>
      <c r="P1609" s="7">
        <v>644.9991820596</v>
      </c>
      <c r="Q1609">
        <v>1</v>
      </c>
      <c r="R1609">
        <v>0</v>
      </c>
      <c r="S1609" s="11">
        <v>45909.666666666664</v>
      </c>
      <c r="T1609">
        <v>816</v>
      </c>
    </row>
    <row r="1610" spans="1:20">
      <c r="A1610" s="11">
        <v>45909.604166666664</v>
      </c>
      <c r="B1610" s="11">
        <v>45909.625</v>
      </c>
      <c r="C1610" s="10">
        <v>45909</v>
      </c>
      <c r="D1610" s="7">
        <v>648.05319999999995</v>
      </c>
      <c r="E1610" s="7">
        <v>2059936</v>
      </c>
      <c r="F1610" s="7">
        <v>2059936</v>
      </c>
      <c r="G1610" s="7">
        <v>30398356</v>
      </c>
      <c r="H1610" s="7">
        <v>647.24549999999999</v>
      </c>
      <c r="I1610" s="7">
        <v>647.03599999999994</v>
      </c>
      <c r="J1610" s="7">
        <v>14</v>
      </c>
      <c r="K1610" s="7">
        <v>3.3531240999999999E-3</v>
      </c>
      <c r="L1610" s="7">
        <v>649.41579450220001</v>
      </c>
      <c r="M1610" s="7">
        <v>644.86640797730001</v>
      </c>
      <c r="N1610" s="7">
        <v>647.19242919509998</v>
      </c>
      <c r="O1610" s="7">
        <v>649.41579450220001</v>
      </c>
      <c r="P1610" s="7">
        <v>644.86640797730001</v>
      </c>
      <c r="Q1610">
        <v>1</v>
      </c>
      <c r="R1610">
        <v>0</v>
      </c>
      <c r="S1610" s="11">
        <v>45909.666666666664</v>
      </c>
      <c r="T1610">
        <v>815</v>
      </c>
    </row>
    <row r="1611" spans="1:20">
      <c r="A1611" s="11">
        <v>45909.625</v>
      </c>
      <c r="B1611" s="11">
        <v>45909.645833333336</v>
      </c>
      <c r="C1611" s="10">
        <v>45909</v>
      </c>
      <c r="D1611" s="7">
        <v>648.26760000000002</v>
      </c>
      <c r="E1611" s="7">
        <v>2381221</v>
      </c>
      <c r="F1611" s="7">
        <v>2381221</v>
      </c>
      <c r="G1611" s="7">
        <v>32779577</v>
      </c>
      <c r="H1611" s="7">
        <v>647.24549999999999</v>
      </c>
      <c r="I1611" s="7">
        <v>647.03599999999994</v>
      </c>
      <c r="J1611" s="7">
        <v>14</v>
      </c>
      <c r="K1611" s="7">
        <v>3.3551877000000002E-3</v>
      </c>
      <c r="L1611" s="7">
        <v>649.41713015590005</v>
      </c>
      <c r="M1611" s="7">
        <v>644.86507275589997</v>
      </c>
      <c r="N1611" s="7">
        <v>647.27053329319995</v>
      </c>
      <c r="O1611" s="7">
        <v>649.41713015590005</v>
      </c>
      <c r="P1611" s="7">
        <v>644.86507275589997</v>
      </c>
      <c r="Q1611">
        <v>1</v>
      </c>
      <c r="R1611">
        <v>0</v>
      </c>
      <c r="S1611" s="11">
        <v>45909.666666666664</v>
      </c>
      <c r="T1611">
        <v>814</v>
      </c>
    </row>
    <row r="1612" spans="1:20">
      <c r="A1612" s="11">
        <v>45909.645833333336</v>
      </c>
      <c r="B1612" s="11">
        <v>45909.666666666664</v>
      </c>
      <c r="C1612" s="10">
        <v>45909</v>
      </c>
      <c r="D1612" s="7">
        <v>648.53189999999995</v>
      </c>
      <c r="E1612" s="7">
        <v>7445627</v>
      </c>
      <c r="F1612" s="7">
        <v>7445627</v>
      </c>
      <c r="G1612" s="7">
        <v>40225204</v>
      </c>
      <c r="H1612" s="7">
        <v>647.24549999999999</v>
      </c>
      <c r="I1612" s="7">
        <v>647.03599999999994</v>
      </c>
      <c r="J1612" s="7">
        <v>14</v>
      </c>
      <c r="K1612" s="7">
        <v>3.6586752000000002E-3</v>
      </c>
      <c r="L1612" s="7">
        <v>649.61356107740005</v>
      </c>
      <c r="M1612" s="7">
        <v>644.66870541510002</v>
      </c>
      <c r="N1612" s="7">
        <v>647.51139587600005</v>
      </c>
      <c r="O1612" s="7">
        <v>649.61356107740005</v>
      </c>
      <c r="P1612" s="7">
        <v>644.66870541510002</v>
      </c>
      <c r="Q1612">
        <v>1</v>
      </c>
      <c r="R1612">
        <v>1</v>
      </c>
      <c r="S1612" s="11">
        <v>45909.666666666664</v>
      </c>
      <c r="T1612">
        <v>813</v>
      </c>
    </row>
    <row r="1613" spans="1:20">
      <c r="A1613" s="11">
        <v>45910.395833333336</v>
      </c>
      <c r="B1613" s="11">
        <v>45910.416666666664</v>
      </c>
      <c r="C1613" s="10">
        <v>45910</v>
      </c>
      <c r="D1613" s="7">
        <v>651.75459999999998</v>
      </c>
      <c r="E1613" s="7">
        <v>7894285</v>
      </c>
      <c r="F1613" s="7">
        <v>7894285</v>
      </c>
      <c r="G1613" s="7">
        <v>7894285</v>
      </c>
      <c r="H1613" s="7">
        <v>651.75459999999998</v>
      </c>
      <c r="I1613" s="7">
        <v>648.53189999999995</v>
      </c>
      <c r="J1613" s="7">
        <v>14</v>
      </c>
      <c r="K1613" s="7">
        <v>0</v>
      </c>
      <c r="L1613" s="7">
        <v>651.75459999999998</v>
      </c>
      <c r="M1613" s="7">
        <v>648.53189999999995</v>
      </c>
      <c r="N1613" s="7">
        <v>651.75459999999998</v>
      </c>
      <c r="O1613" s="7">
        <v>651.75459999999998</v>
      </c>
      <c r="P1613" s="7">
        <v>648.53189999999995</v>
      </c>
      <c r="Q1613">
        <v>1</v>
      </c>
      <c r="R1613">
        <v>0</v>
      </c>
      <c r="S1613" s="11">
        <v>45910.666666666664</v>
      </c>
      <c r="T1613">
        <v>811</v>
      </c>
    </row>
    <row r="1614" spans="1:20">
      <c r="A1614" s="11">
        <v>45910.416666666664</v>
      </c>
      <c r="B1614" s="11">
        <v>45910.4375</v>
      </c>
      <c r="C1614" s="10">
        <v>45910</v>
      </c>
      <c r="D1614" s="7">
        <v>652.08709999999996</v>
      </c>
      <c r="E1614" s="7">
        <v>4645773</v>
      </c>
      <c r="F1614" s="7">
        <v>4645773</v>
      </c>
      <c r="G1614" s="7">
        <v>12540058</v>
      </c>
      <c r="H1614" s="7">
        <v>651.75459999999998</v>
      </c>
      <c r="I1614" s="7">
        <v>648.53189999999995</v>
      </c>
      <c r="J1614" s="7">
        <v>14</v>
      </c>
      <c r="K1614" s="7">
        <v>1.9765056000000001E-3</v>
      </c>
      <c r="L1614" s="7">
        <v>653.04279660949999</v>
      </c>
      <c r="M1614" s="7">
        <v>647.25007307509998</v>
      </c>
      <c r="N1614" s="7">
        <v>651.87778280529994</v>
      </c>
      <c r="O1614" s="7">
        <v>653.04279660949999</v>
      </c>
      <c r="P1614" s="7">
        <v>647.25007307509998</v>
      </c>
      <c r="Q1614">
        <v>1</v>
      </c>
      <c r="R1614">
        <v>0</v>
      </c>
      <c r="S1614" s="11">
        <v>45910.666666666664</v>
      </c>
      <c r="T1614">
        <v>810</v>
      </c>
    </row>
    <row r="1615" spans="1:20">
      <c r="A1615" s="11">
        <v>45910.4375</v>
      </c>
      <c r="B1615" s="11">
        <v>45910.458333333336</v>
      </c>
      <c r="C1615" s="10">
        <v>45910</v>
      </c>
      <c r="D1615" s="7">
        <v>651.61329999999998</v>
      </c>
      <c r="E1615" s="7">
        <v>3581019</v>
      </c>
      <c r="F1615" s="7">
        <v>3581019</v>
      </c>
      <c r="G1615" s="7">
        <v>16121077</v>
      </c>
      <c r="H1615" s="7">
        <v>651.75459999999998</v>
      </c>
      <c r="I1615" s="7">
        <v>648.53189999999995</v>
      </c>
      <c r="J1615" s="7">
        <v>14</v>
      </c>
      <c r="K1615" s="7">
        <v>3.0615237999999999E-3</v>
      </c>
      <c r="L1615" s="7">
        <v>653.74996224489996</v>
      </c>
      <c r="M1615" s="7">
        <v>646.54640412790002</v>
      </c>
      <c r="N1615" s="7">
        <v>651.81903251510005</v>
      </c>
      <c r="O1615" s="7">
        <v>653.74996224489996</v>
      </c>
      <c r="P1615" s="7">
        <v>646.54640412790002</v>
      </c>
      <c r="Q1615">
        <v>1</v>
      </c>
      <c r="R1615">
        <v>0</v>
      </c>
      <c r="S1615" s="11">
        <v>45910.666666666664</v>
      </c>
      <c r="T1615">
        <v>809</v>
      </c>
    </row>
    <row r="1616" spans="1:20">
      <c r="A1616" s="11">
        <v>45910.458333333336</v>
      </c>
      <c r="B1616" s="11">
        <v>45910.479166666664</v>
      </c>
      <c r="C1616" s="10">
        <v>45910</v>
      </c>
      <c r="D1616" s="7">
        <v>651.04489999999998</v>
      </c>
      <c r="E1616" s="7">
        <v>4143067</v>
      </c>
      <c r="F1616" s="7">
        <v>4143067</v>
      </c>
      <c r="G1616" s="7">
        <v>20264144</v>
      </c>
      <c r="H1616" s="7">
        <v>651.75459999999998</v>
      </c>
      <c r="I1616" s="7">
        <v>648.53189999999995</v>
      </c>
      <c r="J1616" s="7">
        <v>14</v>
      </c>
      <c r="K1616" s="7">
        <v>2.6231641999999999E-3</v>
      </c>
      <c r="L1616" s="7">
        <v>653.46425930479995</v>
      </c>
      <c r="M1616" s="7">
        <v>646.83069436630001</v>
      </c>
      <c r="N1616" s="7">
        <v>651.66075872490001</v>
      </c>
      <c r="O1616" s="7">
        <v>653.46425930479995</v>
      </c>
      <c r="P1616" s="7">
        <v>646.83069436630001</v>
      </c>
      <c r="Q1616">
        <v>1</v>
      </c>
      <c r="R1616">
        <v>0</v>
      </c>
      <c r="S1616" s="11">
        <v>45910.666666666664</v>
      </c>
      <c r="T1616">
        <v>808</v>
      </c>
    </row>
    <row r="1617" spans="1:20">
      <c r="A1617" s="11">
        <v>45910.479166666664</v>
      </c>
      <c r="B1617" s="11">
        <v>45910.5</v>
      </c>
      <c r="C1617" s="10">
        <v>45910</v>
      </c>
      <c r="D1617" s="7">
        <v>651.51869999999997</v>
      </c>
      <c r="E1617" s="7">
        <v>2625853</v>
      </c>
      <c r="F1617" s="7">
        <v>2625853</v>
      </c>
      <c r="G1617" s="7">
        <v>22889997</v>
      </c>
      <c r="H1617" s="7">
        <v>651.75459999999998</v>
      </c>
      <c r="I1617" s="7">
        <v>648.53189999999995</v>
      </c>
      <c r="J1617" s="7">
        <v>14</v>
      </c>
      <c r="K1617" s="7">
        <v>2.7510314999999999E-3</v>
      </c>
      <c r="L1617" s="7">
        <v>653.54759746349998</v>
      </c>
      <c r="M1617" s="7">
        <v>646.74776828589995</v>
      </c>
      <c r="N1617" s="7">
        <v>651.64446229069995</v>
      </c>
      <c r="O1617" s="7">
        <v>653.54759746349998</v>
      </c>
      <c r="P1617" s="7">
        <v>646.74776828589995</v>
      </c>
      <c r="Q1617">
        <v>1</v>
      </c>
      <c r="R1617">
        <v>0</v>
      </c>
      <c r="S1617" s="11">
        <v>45910.666666666664</v>
      </c>
      <c r="T1617">
        <v>807</v>
      </c>
    </row>
    <row r="1618" spans="1:20">
      <c r="A1618" s="11">
        <v>45910.5</v>
      </c>
      <c r="B1618" s="11">
        <v>45910.520833333336</v>
      </c>
      <c r="C1618" s="10">
        <v>45910</v>
      </c>
      <c r="D1618" s="7">
        <v>650.84550000000002</v>
      </c>
      <c r="E1618" s="7">
        <v>1702786</v>
      </c>
      <c r="F1618" s="7">
        <v>1702786</v>
      </c>
      <c r="G1618" s="7">
        <v>24592783</v>
      </c>
      <c r="H1618" s="7">
        <v>651.75459999999998</v>
      </c>
      <c r="I1618" s="7">
        <v>648.53189999999995</v>
      </c>
      <c r="J1618" s="7">
        <v>14</v>
      </c>
      <c r="K1618" s="7">
        <v>2.7054747000000001E-3</v>
      </c>
      <c r="L1618" s="7">
        <v>653.51790557039999</v>
      </c>
      <c r="M1618" s="7">
        <v>646.77731336279999</v>
      </c>
      <c r="N1618" s="7">
        <v>651.58914273610003</v>
      </c>
      <c r="O1618" s="7">
        <v>653.51790557039999</v>
      </c>
      <c r="P1618" s="7">
        <v>646.77731336279999</v>
      </c>
      <c r="Q1618">
        <v>1</v>
      </c>
      <c r="R1618">
        <v>0</v>
      </c>
      <c r="S1618" s="11">
        <v>45910.666666666664</v>
      </c>
      <c r="T1618">
        <v>806</v>
      </c>
    </row>
    <row r="1619" spans="1:20">
      <c r="A1619" s="11">
        <v>45910.520833333336</v>
      </c>
      <c r="B1619" s="11">
        <v>45910.541666666664</v>
      </c>
      <c r="C1619" s="10">
        <v>45910</v>
      </c>
      <c r="D1619" s="7">
        <v>651.10469999999998</v>
      </c>
      <c r="E1619" s="7">
        <v>1755961</v>
      </c>
      <c r="F1619" s="7">
        <v>1755961</v>
      </c>
      <c r="G1619" s="7">
        <v>26348744</v>
      </c>
      <c r="H1619" s="7">
        <v>651.75459999999998</v>
      </c>
      <c r="I1619" s="7">
        <v>648.53189999999995</v>
      </c>
      <c r="J1619" s="7">
        <v>14</v>
      </c>
      <c r="K1619" s="7">
        <v>2.2385056999999998E-3</v>
      </c>
      <c r="L1619" s="7">
        <v>653.21355638340003</v>
      </c>
      <c r="M1619" s="7">
        <v>647.08015764890001</v>
      </c>
      <c r="N1619" s="7">
        <v>651.5568579884</v>
      </c>
      <c r="O1619" s="7">
        <v>653.21355638340003</v>
      </c>
      <c r="P1619" s="7">
        <v>647.08015764890001</v>
      </c>
      <c r="Q1619">
        <v>1</v>
      </c>
      <c r="R1619">
        <v>0</v>
      </c>
      <c r="S1619" s="11">
        <v>45910.666666666664</v>
      </c>
      <c r="T1619">
        <v>805</v>
      </c>
    </row>
    <row r="1620" spans="1:20">
      <c r="A1620" s="11">
        <v>45910.541666666664</v>
      </c>
      <c r="B1620" s="11">
        <v>45910.5625</v>
      </c>
      <c r="C1620" s="10">
        <v>45910</v>
      </c>
      <c r="D1620" s="7">
        <v>650.47159999999997</v>
      </c>
      <c r="E1620" s="7">
        <v>2095874</v>
      </c>
      <c r="F1620" s="7">
        <v>2095874</v>
      </c>
      <c r="G1620" s="7">
        <v>28444618</v>
      </c>
      <c r="H1620" s="7">
        <v>651.75459999999998</v>
      </c>
      <c r="I1620" s="7">
        <v>648.53189999999995</v>
      </c>
      <c r="J1620" s="7">
        <v>14</v>
      </c>
      <c r="K1620" s="7">
        <v>2.7817631000000001E-3</v>
      </c>
      <c r="L1620" s="7">
        <v>653.56762691040001</v>
      </c>
      <c r="M1620" s="7">
        <v>646.7278378776</v>
      </c>
      <c r="N1620" s="7">
        <v>651.47689333569997</v>
      </c>
      <c r="O1620" s="7">
        <v>653.56762691040001</v>
      </c>
      <c r="P1620" s="7">
        <v>646.7278378776</v>
      </c>
      <c r="Q1620">
        <v>1</v>
      </c>
      <c r="R1620">
        <v>0</v>
      </c>
      <c r="S1620" s="11">
        <v>45910.666666666664</v>
      </c>
      <c r="T1620">
        <v>804</v>
      </c>
    </row>
    <row r="1621" spans="1:20">
      <c r="A1621" s="11">
        <v>45910.5625</v>
      </c>
      <c r="B1621" s="11">
        <v>45910.583333333336</v>
      </c>
      <c r="C1621" s="10">
        <v>45910</v>
      </c>
      <c r="D1621" s="7">
        <v>650.50639999999999</v>
      </c>
      <c r="E1621" s="7">
        <v>2143827</v>
      </c>
      <c r="F1621" s="7">
        <v>2143827</v>
      </c>
      <c r="G1621" s="7">
        <v>30588445</v>
      </c>
      <c r="H1621" s="7">
        <v>651.75459999999998</v>
      </c>
      <c r="I1621" s="7">
        <v>648.53189999999995</v>
      </c>
      <c r="J1621" s="7">
        <v>14</v>
      </c>
      <c r="K1621" s="7">
        <v>2.9264391999999999E-3</v>
      </c>
      <c r="L1621" s="7">
        <v>653.66192021050006</v>
      </c>
      <c r="M1621" s="7">
        <v>646.63401082509995</v>
      </c>
      <c r="N1621" s="7">
        <v>651.40887517340002</v>
      </c>
      <c r="O1621" s="7">
        <v>653.66192021050006</v>
      </c>
      <c r="P1621" s="7">
        <v>646.63401082509995</v>
      </c>
      <c r="Q1621">
        <v>1</v>
      </c>
      <c r="R1621">
        <v>0</v>
      </c>
      <c r="S1621" s="11">
        <v>45910.666666666664</v>
      </c>
      <c r="T1621">
        <v>803</v>
      </c>
    </row>
    <row r="1622" spans="1:20">
      <c r="A1622" s="11">
        <v>45910.583333333336</v>
      </c>
      <c r="B1622" s="11">
        <v>45910.604166666664</v>
      </c>
      <c r="C1622" s="10">
        <v>45910</v>
      </c>
      <c r="D1622" s="7">
        <v>649.85820000000001</v>
      </c>
      <c r="E1622" s="7">
        <v>2878052</v>
      </c>
      <c r="F1622" s="7">
        <v>2878052</v>
      </c>
      <c r="G1622" s="7">
        <v>33466497</v>
      </c>
      <c r="H1622" s="7">
        <v>651.75459999999998</v>
      </c>
      <c r="I1622" s="7">
        <v>648.53189999999995</v>
      </c>
      <c r="J1622" s="7">
        <v>14</v>
      </c>
      <c r="K1622" s="7">
        <v>2.8126419000000001E-3</v>
      </c>
      <c r="L1622" s="7">
        <v>653.58775230289996</v>
      </c>
      <c r="M1622" s="7">
        <v>646.70781199819999</v>
      </c>
      <c r="N1622" s="7">
        <v>651.27552020099995</v>
      </c>
      <c r="O1622" s="7">
        <v>653.58775230289996</v>
      </c>
      <c r="P1622" s="7">
        <v>646.70781199819999</v>
      </c>
      <c r="Q1622">
        <v>1</v>
      </c>
      <c r="R1622">
        <v>0</v>
      </c>
      <c r="S1622" s="11">
        <v>45910.666666666664</v>
      </c>
      <c r="T1622">
        <v>802</v>
      </c>
    </row>
    <row r="1623" spans="1:20">
      <c r="A1623" s="11">
        <v>45910.604166666664</v>
      </c>
      <c r="B1623" s="11">
        <v>45910.625</v>
      </c>
      <c r="C1623" s="10">
        <v>45910</v>
      </c>
      <c r="D1623" s="7">
        <v>650.18730000000005</v>
      </c>
      <c r="E1623" s="7">
        <v>3092900</v>
      </c>
      <c r="F1623" s="7">
        <v>3092900</v>
      </c>
      <c r="G1623" s="7">
        <v>36559397</v>
      </c>
      <c r="H1623" s="7">
        <v>651.75459999999998</v>
      </c>
      <c r="I1623" s="7">
        <v>648.53189999999995</v>
      </c>
      <c r="J1623" s="7">
        <v>14</v>
      </c>
      <c r="K1623" s="7">
        <v>3.0145037000000002E-3</v>
      </c>
      <c r="L1623" s="7">
        <v>653.71931663589999</v>
      </c>
      <c r="M1623" s="7">
        <v>646.57689820509995</v>
      </c>
      <c r="N1623" s="7">
        <v>651.18345751569996</v>
      </c>
      <c r="O1623" s="7">
        <v>653.71931663589999</v>
      </c>
      <c r="P1623" s="7">
        <v>646.57689820509995</v>
      </c>
      <c r="Q1623">
        <v>1</v>
      </c>
      <c r="R1623">
        <v>0</v>
      </c>
      <c r="S1623" s="11">
        <v>45910.666666666664</v>
      </c>
      <c r="T1623">
        <v>801</v>
      </c>
    </row>
    <row r="1624" spans="1:20">
      <c r="A1624" s="11">
        <v>45910.625</v>
      </c>
      <c r="B1624" s="11">
        <v>45910.645833333336</v>
      </c>
      <c r="C1624" s="10">
        <v>45910</v>
      </c>
      <c r="D1624" s="7">
        <v>649.06039999999996</v>
      </c>
      <c r="E1624" s="7">
        <v>4264411</v>
      </c>
      <c r="F1624" s="7">
        <v>4264411</v>
      </c>
      <c r="G1624" s="7">
        <v>40823808</v>
      </c>
      <c r="H1624" s="7">
        <v>651.75459999999998</v>
      </c>
      <c r="I1624" s="7">
        <v>648.53189999999995</v>
      </c>
      <c r="J1624" s="7">
        <v>14</v>
      </c>
      <c r="K1624" s="7">
        <v>3.060227E-3</v>
      </c>
      <c r="L1624" s="7">
        <v>653.74911702899999</v>
      </c>
      <c r="M1624" s="7">
        <v>646.54724516459999</v>
      </c>
      <c r="N1624" s="7">
        <v>650.96168521499999</v>
      </c>
      <c r="O1624" s="7">
        <v>653.74911702899999</v>
      </c>
      <c r="P1624" s="7">
        <v>646.54724516459999</v>
      </c>
      <c r="Q1624">
        <v>1</v>
      </c>
      <c r="R1624">
        <v>0</v>
      </c>
      <c r="S1624" s="11">
        <v>45910.666666666664</v>
      </c>
      <c r="T1624">
        <v>800</v>
      </c>
    </row>
    <row r="1625" spans="1:20">
      <c r="A1625" s="11">
        <v>45910.645833333336</v>
      </c>
      <c r="B1625" s="11">
        <v>45910.666666666664</v>
      </c>
      <c r="C1625" s="10">
        <v>45910</v>
      </c>
      <c r="D1625" s="7">
        <v>650.4067</v>
      </c>
      <c r="E1625" s="7">
        <v>9780332</v>
      </c>
      <c r="F1625" s="7">
        <v>9780332</v>
      </c>
      <c r="G1625" s="7">
        <v>50604140</v>
      </c>
      <c r="H1625" s="7">
        <v>651.75459999999998</v>
      </c>
      <c r="I1625" s="7">
        <v>648.53189999999995</v>
      </c>
      <c r="J1625" s="7">
        <v>14</v>
      </c>
      <c r="K1625" s="7">
        <v>3.4595417999999998E-3</v>
      </c>
      <c r="L1625" s="7">
        <v>654.00937227710006</v>
      </c>
      <c r="M1625" s="7">
        <v>646.28827678820005</v>
      </c>
      <c r="N1625" s="7">
        <v>650.85442245629997</v>
      </c>
      <c r="O1625" s="7">
        <v>654.00937227710006</v>
      </c>
      <c r="P1625" s="7">
        <v>646.28827678820005</v>
      </c>
      <c r="Q1625">
        <v>1</v>
      </c>
      <c r="R1625">
        <v>1</v>
      </c>
      <c r="S1625" s="11">
        <v>45910.666666666664</v>
      </c>
      <c r="T1625">
        <v>799</v>
      </c>
    </row>
    <row r="1626" spans="1:20">
      <c r="A1626" s="11">
        <v>45911.395833333336</v>
      </c>
      <c r="B1626" s="11">
        <v>45911.416666666664</v>
      </c>
      <c r="C1626" s="10">
        <v>45911</v>
      </c>
      <c r="D1626" s="7">
        <v>653.80229999999995</v>
      </c>
      <c r="E1626" s="7">
        <v>7147567</v>
      </c>
      <c r="F1626" s="7">
        <v>7147567</v>
      </c>
      <c r="G1626" s="7">
        <v>7147567</v>
      </c>
      <c r="H1626" s="7">
        <v>653.80229999999995</v>
      </c>
      <c r="I1626" s="7">
        <v>650.40660000000003</v>
      </c>
      <c r="J1626" s="7">
        <v>14</v>
      </c>
      <c r="K1626" s="7">
        <v>0</v>
      </c>
      <c r="L1626" s="7">
        <v>653.80229999999995</v>
      </c>
      <c r="M1626" s="7">
        <v>650.40660000000003</v>
      </c>
      <c r="N1626" s="7">
        <v>653.80229999999995</v>
      </c>
      <c r="O1626" s="7">
        <v>653.80229999999995</v>
      </c>
      <c r="P1626" s="7">
        <v>650.40660000000003</v>
      </c>
      <c r="Q1626">
        <v>1</v>
      </c>
      <c r="R1626">
        <v>0</v>
      </c>
      <c r="S1626" s="11">
        <v>45911.666666666664</v>
      </c>
      <c r="T1626">
        <v>797</v>
      </c>
    </row>
    <row r="1627" spans="1:20">
      <c r="A1627" s="11">
        <v>45911.416666666664</v>
      </c>
      <c r="B1627" s="11">
        <v>45911.4375</v>
      </c>
      <c r="C1627" s="10">
        <v>45911</v>
      </c>
      <c r="D1627" s="7">
        <v>654.13639999999998</v>
      </c>
      <c r="E1627" s="7">
        <v>4076095</v>
      </c>
      <c r="F1627" s="7">
        <v>4076095</v>
      </c>
      <c r="G1627" s="7">
        <v>11223662</v>
      </c>
      <c r="H1627" s="7">
        <v>653.80229999999995</v>
      </c>
      <c r="I1627" s="7">
        <v>650.40660000000003</v>
      </c>
      <c r="J1627" s="7">
        <v>14</v>
      </c>
      <c r="K1627" s="7">
        <v>1.8589164999999999E-3</v>
      </c>
      <c r="L1627" s="7">
        <v>655.01766389839997</v>
      </c>
      <c r="M1627" s="7">
        <v>649.1975484244</v>
      </c>
      <c r="N1627" s="7">
        <v>653.92363502770002</v>
      </c>
      <c r="O1627" s="7">
        <v>655.01766389839997</v>
      </c>
      <c r="P1627" s="7">
        <v>649.1975484244</v>
      </c>
      <c r="Q1627">
        <v>1</v>
      </c>
      <c r="R1627">
        <v>0</v>
      </c>
      <c r="S1627" s="11">
        <v>45911.666666666664</v>
      </c>
      <c r="T1627">
        <v>796</v>
      </c>
    </row>
    <row r="1628" spans="1:20">
      <c r="A1628" s="11">
        <v>45911.4375</v>
      </c>
      <c r="B1628" s="11">
        <v>45911.458333333336</v>
      </c>
      <c r="C1628" s="10">
        <v>45911</v>
      </c>
      <c r="D1628" s="7">
        <v>654.81449999999995</v>
      </c>
      <c r="E1628" s="7">
        <v>3901094</v>
      </c>
      <c r="F1628" s="7">
        <v>3901094</v>
      </c>
      <c r="G1628" s="7">
        <v>15124756</v>
      </c>
      <c r="H1628" s="7">
        <v>653.80229999999995</v>
      </c>
      <c r="I1628" s="7">
        <v>650.40660000000003</v>
      </c>
      <c r="J1628" s="7">
        <v>14</v>
      </c>
      <c r="K1628" s="7">
        <v>2.8375213000000001E-3</v>
      </c>
      <c r="L1628" s="7">
        <v>655.65747797489996</v>
      </c>
      <c r="M1628" s="7">
        <v>648.56105739630004</v>
      </c>
      <c r="N1628" s="7">
        <v>654.1534138088</v>
      </c>
      <c r="O1628" s="7">
        <v>655.65747797489996</v>
      </c>
      <c r="P1628" s="7">
        <v>648.56105739630004</v>
      </c>
      <c r="Q1628">
        <v>1</v>
      </c>
      <c r="R1628">
        <v>0</v>
      </c>
      <c r="S1628" s="11">
        <v>45911.666666666664</v>
      </c>
      <c r="T1628">
        <v>795</v>
      </c>
    </row>
    <row r="1629" spans="1:20">
      <c r="A1629" s="11">
        <v>45911.458333333336</v>
      </c>
      <c r="B1629" s="11">
        <v>45911.479166666664</v>
      </c>
      <c r="C1629" s="10">
        <v>45911</v>
      </c>
      <c r="D1629" s="7">
        <v>655.63229999999999</v>
      </c>
      <c r="E1629" s="7">
        <v>3116269</v>
      </c>
      <c r="F1629" s="7">
        <v>3116269</v>
      </c>
      <c r="G1629" s="7">
        <v>18241025</v>
      </c>
      <c r="H1629" s="7">
        <v>653.80229999999995</v>
      </c>
      <c r="I1629" s="7">
        <v>650.40660000000003</v>
      </c>
      <c r="J1629" s="7">
        <v>14</v>
      </c>
      <c r="K1629" s="7">
        <v>2.5851451000000001E-3</v>
      </c>
      <c r="L1629" s="7">
        <v>655.49247382520002</v>
      </c>
      <c r="M1629" s="7">
        <v>648.72520455200004</v>
      </c>
      <c r="N1629" s="7">
        <v>654.40606447899995</v>
      </c>
      <c r="O1629" s="7">
        <v>655.49247382520002</v>
      </c>
      <c r="P1629" s="7">
        <v>648.72520455200004</v>
      </c>
      <c r="Q1629">
        <v>1</v>
      </c>
      <c r="R1629">
        <v>0</v>
      </c>
      <c r="S1629" s="11">
        <v>45911.666666666664</v>
      </c>
      <c r="T1629">
        <v>794</v>
      </c>
    </row>
    <row r="1630" spans="1:20">
      <c r="A1630" s="11">
        <v>45911.479166666664</v>
      </c>
      <c r="B1630" s="11">
        <v>45911.5</v>
      </c>
      <c r="C1630" s="10">
        <v>45911</v>
      </c>
      <c r="D1630" s="7">
        <v>655.39290000000005</v>
      </c>
      <c r="E1630" s="7">
        <v>2716666</v>
      </c>
      <c r="F1630" s="7">
        <v>2716666</v>
      </c>
      <c r="G1630" s="7">
        <v>20957691</v>
      </c>
      <c r="H1630" s="7">
        <v>653.80229999999995</v>
      </c>
      <c r="I1630" s="7">
        <v>650.40660000000003</v>
      </c>
      <c r="J1630" s="7">
        <v>14</v>
      </c>
      <c r="K1630" s="7">
        <v>2.7622621000000002E-3</v>
      </c>
      <c r="L1630" s="7">
        <v>655.60827331200005</v>
      </c>
      <c r="M1630" s="7">
        <v>648.61000650139999</v>
      </c>
      <c r="N1630" s="7">
        <v>654.5339842249</v>
      </c>
      <c r="O1630" s="7">
        <v>655.60827331200005</v>
      </c>
      <c r="P1630" s="7">
        <v>648.61000650139999</v>
      </c>
      <c r="Q1630">
        <v>1</v>
      </c>
      <c r="R1630">
        <v>0</v>
      </c>
      <c r="S1630" s="11">
        <v>45911.666666666664</v>
      </c>
      <c r="T1630">
        <v>793</v>
      </c>
    </row>
    <row r="1631" spans="1:20">
      <c r="A1631" s="11">
        <v>45911.5</v>
      </c>
      <c r="B1631" s="11">
        <v>45911.520833333336</v>
      </c>
      <c r="C1631" s="10">
        <v>45911</v>
      </c>
      <c r="D1631" s="7">
        <v>655.56240000000003</v>
      </c>
      <c r="E1631" s="7">
        <v>2062764</v>
      </c>
      <c r="F1631" s="7">
        <v>2062764</v>
      </c>
      <c r="G1631" s="7">
        <v>23020455</v>
      </c>
      <c r="H1631" s="7">
        <v>653.80229999999995</v>
      </c>
      <c r="I1631" s="7">
        <v>650.40660000000003</v>
      </c>
      <c r="J1631" s="7">
        <v>14</v>
      </c>
      <c r="K1631" s="7">
        <v>2.5667573999999999E-3</v>
      </c>
      <c r="L1631" s="7">
        <v>655.48045186829995</v>
      </c>
      <c r="M1631" s="7">
        <v>648.73716406970004</v>
      </c>
      <c r="N1631" s="7">
        <v>654.62613614099996</v>
      </c>
      <c r="O1631" s="7">
        <v>655.48045186829995</v>
      </c>
      <c r="P1631" s="7">
        <v>648.73716406970004</v>
      </c>
      <c r="Q1631">
        <v>1</v>
      </c>
      <c r="R1631">
        <v>0</v>
      </c>
      <c r="S1631" s="11">
        <v>45911.666666666664</v>
      </c>
      <c r="T1631">
        <v>792</v>
      </c>
    </row>
    <row r="1632" spans="1:20">
      <c r="A1632" s="11">
        <v>45911.520833333336</v>
      </c>
      <c r="B1632" s="11">
        <v>45911.541666666664</v>
      </c>
      <c r="C1632" s="10">
        <v>45911</v>
      </c>
      <c r="D1632" s="7">
        <v>655.30319999999995</v>
      </c>
      <c r="E1632" s="7">
        <v>1562753</v>
      </c>
      <c r="F1632" s="7">
        <v>1562753</v>
      </c>
      <c r="G1632" s="7">
        <v>24583208</v>
      </c>
      <c r="H1632" s="7">
        <v>653.80229999999995</v>
      </c>
      <c r="I1632" s="7">
        <v>650.40660000000003</v>
      </c>
      <c r="J1632" s="7">
        <v>14</v>
      </c>
      <c r="K1632" s="7">
        <v>2.2074282000000001E-3</v>
      </c>
      <c r="L1632" s="7">
        <v>655.24552165390003</v>
      </c>
      <c r="M1632" s="7">
        <v>648.97087411020004</v>
      </c>
      <c r="N1632" s="7">
        <v>654.66917704829996</v>
      </c>
      <c r="O1632" s="7">
        <v>655.24552165390003</v>
      </c>
      <c r="P1632" s="7">
        <v>648.97087411020004</v>
      </c>
      <c r="Q1632">
        <v>1</v>
      </c>
      <c r="R1632">
        <v>0</v>
      </c>
      <c r="S1632" s="11">
        <v>45911.666666666664</v>
      </c>
      <c r="T1632">
        <v>791</v>
      </c>
    </row>
    <row r="1633" spans="1:20">
      <c r="A1633" s="11">
        <v>45911.541666666664</v>
      </c>
      <c r="B1633" s="11">
        <v>45911.5625</v>
      </c>
      <c r="C1633" s="10">
        <v>45911</v>
      </c>
      <c r="D1633" s="7">
        <v>655.29819999999995</v>
      </c>
      <c r="E1633" s="7">
        <v>1797225</v>
      </c>
      <c r="F1633" s="7">
        <v>1797225</v>
      </c>
      <c r="G1633" s="7">
        <v>26380433</v>
      </c>
      <c r="H1633" s="7">
        <v>653.80229999999995</v>
      </c>
      <c r="I1633" s="7">
        <v>650.40660000000003</v>
      </c>
      <c r="J1633" s="7">
        <v>14</v>
      </c>
      <c r="K1633" s="7">
        <v>2.7807113E-3</v>
      </c>
      <c r="L1633" s="7">
        <v>655.62033543890004</v>
      </c>
      <c r="M1633" s="7">
        <v>648.5980070224</v>
      </c>
      <c r="N1633" s="7">
        <v>654.71203061990002</v>
      </c>
      <c r="O1633" s="7">
        <v>655.62033543890004</v>
      </c>
      <c r="P1633" s="7">
        <v>648.5980070224</v>
      </c>
      <c r="Q1633">
        <v>1</v>
      </c>
      <c r="R1633">
        <v>0</v>
      </c>
      <c r="S1633" s="11">
        <v>45911.666666666664</v>
      </c>
      <c r="T1633">
        <v>790</v>
      </c>
    </row>
    <row r="1634" spans="1:20">
      <c r="A1634" s="11">
        <v>45911.5625</v>
      </c>
      <c r="B1634" s="11">
        <v>45911.583333333336</v>
      </c>
      <c r="C1634" s="10">
        <v>45911</v>
      </c>
      <c r="D1634" s="7">
        <v>655.76189999999997</v>
      </c>
      <c r="E1634" s="7">
        <v>1641125</v>
      </c>
      <c r="F1634" s="7">
        <v>1641125</v>
      </c>
      <c r="G1634" s="7">
        <v>28021558</v>
      </c>
      <c r="H1634" s="7">
        <v>653.80229999999995</v>
      </c>
      <c r="I1634" s="7">
        <v>650.40660000000003</v>
      </c>
      <c r="J1634" s="7">
        <v>14</v>
      </c>
      <c r="K1634" s="7">
        <v>2.8529921E-3</v>
      </c>
      <c r="L1634" s="7">
        <v>655.66759277680001</v>
      </c>
      <c r="M1634" s="7">
        <v>648.55099512840002</v>
      </c>
      <c r="N1634" s="7">
        <v>654.77351781089999</v>
      </c>
      <c r="O1634" s="7">
        <v>655.66759277680001</v>
      </c>
      <c r="P1634" s="7">
        <v>648.55099512840002</v>
      </c>
      <c r="Q1634">
        <v>1</v>
      </c>
      <c r="R1634">
        <v>0</v>
      </c>
      <c r="S1634" s="11">
        <v>45911.666666666664</v>
      </c>
      <c r="T1634">
        <v>789</v>
      </c>
    </row>
    <row r="1635" spans="1:20">
      <c r="A1635" s="11">
        <v>45911.583333333336</v>
      </c>
      <c r="B1635" s="11">
        <v>45911.604166666664</v>
      </c>
      <c r="C1635" s="10">
        <v>45911</v>
      </c>
      <c r="D1635" s="7">
        <v>655.51260000000002</v>
      </c>
      <c r="E1635" s="7">
        <v>2830419</v>
      </c>
      <c r="F1635" s="7">
        <v>2830419</v>
      </c>
      <c r="G1635" s="7">
        <v>30851977</v>
      </c>
      <c r="H1635" s="7">
        <v>653.80229999999995</v>
      </c>
      <c r="I1635" s="7">
        <v>650.40660000000003</v>
      </c>
      <c r="J1635" s="7">
        <v>14</v>
      </c>
      <c r="K1635" s="7">
        <v>2.9631468000000001E-3</v>
      </c>
      <c r="L1635" s="7">
        <v>655.73961218930003</v>
      </c>
      <c r="M1635" s="7">
        <v>648.4793497682</v>
      </c>
      <c r="N1635" s="7">
        <v>654.84132261540003</v>
      </c>
      <c r="O1635" s="7">
        <v>655.73961218930003</v>
      </c>
      <c r="P1635" s="7">
        <v>648.4793497682</v>
      </c>
      <c r="Q1635">
        <v>1</v>
      </c>
      <c r="R1635">
        <v>0</v>
      </c>
      <c r="S1635" s="11">
        <v>45911.666666666664</v>
      </c>
      <c r="T1635">
        <v>788</v>
      </c>
    </row>
    <row r="1636" spans="1:20">
      <c r="A1636" s="11">
        <v>45911.604166666664</v>
      </c>
      <c r="B1636" s="11">
        <v>45911.625</v>
      </c>
      <c r="C1636" s="10">
        <v>45911</v>
      </c>
      <c r="D1636" s="7">
        <v>655.68709999999999</v>
      </c>
      <c r="E1636" s="7">
        <v>2193014</v>
      </c>
      <c r="F1636" s="7">
        <v>2193014</v>
      </c>
      <c r="G1636" s="7">
        <v>33044991</v>
      </c>
      <c r="H1636" s="7">
        <v>653.80229999999995</v>
      </c>
      <c r="I1636" s="7">
        <v>650.40660000000003</v>
      </c>
      <c r="J1636" s="7">
        <v>14</v>
      </c>
      <c r="K1636" s="7">
        <v>3.026627E-3</v>
      </c>
      <c r="L1636" s="7">
        <v>655.78111571099998</v>
      </c>
      <c r="M1636" s="7">
        <v>648.43806180640001</v>
      </c>
      <c r="N1636" s="7">
        <v>654.89745220079999</v>
      </c>
      <c r="O1636" s="7">
        <v>655.78111571099998</v>
      </c>
      <c r="P1636" s="7">
        <v>648.43806180640001</v>
      </c>
      <c r="Q1636">
        <v>1</v>
      </c>
      <c r="R1636">
        <v>0</v>
      </c>
      <c r="S1636" s="11">
        <v>45911.666666666664</v>
      </c>
      <c r="T1636">
        <v>787</v>
      </c>
    </row>
    <row r="1637" spans="1:20">
      <c r="A1637" s="11">
        <v>45911.625</v>
      </c>
      <c r="B1637" s="11">
        <v>45911.645833333336</v>
      </c>
      <c r="C1637" s="10">
        <v>45911</v>
      </c>
      <c r="D1637" s="7">
        <v>655.92139999999995</v>
      </c>
      <c r="E1637" s="7">
        <v>3021699</v>
      </c>
      <c r="F1637" s="7">
        <v>3021699</v>
      </c>
      <c r="G1637" s="7">
        <v>36066690</v>
      </c>
      <c r="H1637" s="7">
        <v>653.80229999999995</v>
      </c>
      <c r="I1637" s="7">
        <v>650.40660000000003</v>
      </c>
      <c r="J1637" s="7">
        <v>14</v>
      </c>
      <c r="K1637" s="7">
        <v>3.0227130999999998E-3</v>
      </c>
      <c r="L1637" s="7">
        <v>655.77855676820002</v>
      </c>
      <c r="M1637" s="7">
        <v>648.44060745859997</v>
      </c>
      <c r="N1637" s="7">
        <v>654.98323944779997</v>
      </c>
      <c r="O1637" s="7">
        <v>655.77855676820002</v>
      </c>
      <c r="P1637" s="7">
        <v>648.44060745859997</v>
      </c>
      <c r="Q1637">
        <v>1</v>
      </c>
      <c r="R1637">
        <v>0</v>
      </c>
      <c r="S1637" s="11">
        <v>45911.666666666664</v>
      </c>
      <c r="T1637">
        <v>786</v>
      </c>
    </row>
    <row r="1638" spans="1:20">
      <c r="A1638" s="11">
        <v>45911.645833333336</v>
      </c>
      <c r="B1638" s="11">
        <v>45911.666666666664</v>
      </c>
      <c r="C1638" s="10">
        <v>45911</v>
      </c>
      <c r="D1638" s="7">
        <v>655.81169999999997</v>
      </c>
      <c r="E1638" s="7">
        <v>10704125</v>
      </c>
      <c r="F1638" s="7">
        <v>10704125</v>
      </c>
      <c r="G1638" s="7">
        <v>46770815</v>
      </c>
      <c r="H1638" s="7">
        <v>653.80229999999995</v>
      </c>
      <c r="I1638" s="7">
        <v>650.40660000000003</v>
      </c>
      <c r="J1638" s="7">
        <v>14</v>
      </c>
      <c r="K1638" s="7">
        <v>3.2924636E-3</v>
      </c>
      <c r="L1638" s="7">
        <v>655.95492025659996</v>
      </c>
      <c r="M1638" s="7">
        <v>648.26515996190005</v>
      </c>
      <c r="N1638" s="7">
        <v>655.17284369799995</v>
      </c>
      <c r="O1638" s="7">
        <v>655.95492025659996</v>
      </c>
      <c r="P1638" s="7">
        <v>648.26515996190005</v>
      </c>
      <c r="Q1638">
        <v>1</v>
      </c>
      <c r="R1638">
        <v>1</v>
      </c>
      <c r="S1638" s="11">
        <v>45911.666666666664</v>
      </c>
      <c r="T1638">
        <v>785</v>
      </c>
    </row>
    <row r="1639" spans="1:20">
      <c r="A1639" s="11">
        <v>45912.395833333336</v>
      </c>
      <c r="B1639" s="11">
        <v>45912.416666666664</v>
      </c>
      <c r="C1639" s="10">
        <v>45912</v>
      </c>
      <c r="D1639" s="7">
        <v>655.82169999999996</v>
      </c>
      <c r="E1639" s="7">
        <v>5867047</v>
      </c>
      <c r="F1639" s="7">
        <v>5867047</v>
      </c>
      <c r="G1639" s="7">
        <v>5867047</v>
      </c>
      <c r="H1639" s="7">
        <v>655.82169999999996</v>
      </c>
      <c r="I1639" s="7">
        <v>655.8116</v>
      </c>
      <c r="J1639" s="7">
        <v>14</v>
      </c>
      <c r="K1639" s="7">
        <v>0</v>
      </c>
      <c r="L1639" s="7">
        <v>655.82169999999996</v>
      </c>
      <c r="M1639" s="7">
        <v>655.8116</v>
      </c>
      <c r="N1639" s="7">
        <v>655.82169999999996</v>
      </c>
      <c r="O1639" s="7">
        <v>655.82169999999996</v>
      </c>
      <c r="P1639" s="7">
        <v>655.8116</v>
      </c>
      <c r="Q1639">
        <v>1</v>
      </c>
      <c r="R1639">
        <v>0</v>
      </c>
      <c r="S1639" s="11">
        <v>45912.666666666664</v>
      </c>
      <c r="T1639">
        <v>783</v>
      </c>
    </row>
    <row r="1640" spans="1:20">
      <c r="A1640" s="11">
        <v>45912.416666666664</v>
      </c>
      <c r="B1640" s="11">
        <v>45912.4375</v>
      </c>
      <c r="C1640" s="10">
        <v>45912</v>
      </c>
      <c r="D1640" s="7">
        <v>656.14089999999999</v>
      </c>
      <c r="E1640" s="7">
        <v>3584808</v>
      </c>
      <c r="F1640" s="7">
        <v>3584808</v>
      </c>
      <c r="G1640" s="7">
        <v>9451855</v>
      </c>
      <c r="H1640" s="7">
        <v>655.82169999999996</v>
      </c>
      <c r="I1640" s="7">
        <v>655.8116</v>
      </c>
      <c r="J1640" s="7">
        <v>14</v>
      </c>
      <c r="K1640" s="7">
        <v>1.583854E-3</v>
      </c>
      <c r="L1640" s="7">
        <v>656.86042584740005</v>
      </c>
      <c r="M1640" s="7">
        <v>654.77289014960002</v>
      </c>
      <c r="N1640" s="7">
        <v>655.94276308379995</v>
      </c>
      <c r="O1640" s="7">
        <v>656.86042584740005</v>
      </c>
      <c r="P1640" s="7">
        <v>654.77289014960002</v>
      </c>
      <c r="Q1640">
        <v>1</v>
      </c>
      <c r="R1640">
        <v>0</v>
      </c>
      <c r="S1640" s="11">
        <v>45912.666666666664</v>
      </c>
      <c r="T1640">
        <v>782</v>
      </c>
    </row>
    <row r="1641" spans="1:20">
      <c r="A1641" s="11">
        <v>45912.4375</v>
      </c>
      <c r="B1641" s="11">
        <v>45912.458333333336</v>
      </c>
      <c r="C1641" s="10">
        <v>45912</v>
      </c>
      <c r="D1641" s="7">
        <v>656.56460000000004</v>
      </c>
      <c r="E1641" s="7">
        <v>2617818</v>
      </c>
      <c r="F1641" s="7">
        <v>2617818</v>
      </c>
      <c r="G1641" s="7">
        <v>12069673</v>
      </c>
      <c r="H1641" s="7">
        <v>655.82169999999996</v>
      </c>
      <c r="I1641" s="7">
        <v>655.8116</v>
      </c>
      <c r="J1641" s="7">
        <v>14</v>
      </c>
      <c r="K1641" s="7">
        <v>2.7062783E-3</v>
      </c>
      <c r="L1641" s="7">
        <v>657.59653601599996</v>
      </c>
      <c r="M1641" s="7">
        <v>654.0367913174</v>
      </c>
      <c r="N1641" s="7">
        <v>656.07763466419999</v>
      </c>
      <c r="O1641" s="7">
        <v>657.59653601599996</v>
      </c>
      <c r="P1641" s="7">
        <v>654.0367913174</v>
      </c>
      <c r="Q1641">
        <v>1</v>
      </c>
      <c r="R1641">
        <v>0</v>
      </c>
      <c r="S1641" s="11">
        <v>45912.666666666664</v>
      </c>
      <c r="T1641">
        <v>781</v>
      </c>
    </row>
    <row r="1642" spans="1:20">
      <c r="A1642" s="11">
        <v>45912.458333333336</v>
      </c>
      <c r="B1642" s="11">
        <v>45912.479166666664</v>
      </c>
      <c r="C1642" s="10">
        <v>45912</v>
      </c>
      <c r="D1642" s="7">
        <v>655.82169999999996</v>
      </c>
      <c r="E1642" s="7">
        <v>2329069</v>
      </c>
      <c r="F1642" s="7">
        <v>2329069</v>
      </c>
      <c r="G1642" s="7">
        <v>14398742</v>
      </c>
      <c r="H1642" s="7">
        <v>655.82169999999996</v>
      </c>
      <c r="I1642" s="7">
        <v>655.8116</v>
      </c>
      <c r="J1642" s="7">
        <v>14</v>
      </c>
      <c r="K1642" s="7">
        <v>2.601739E-3</v>
      </c>
      <c r="L1642" s="7">
        <v>657.52797687140003</v>
      </c>
      <c r="M1642" s="7">
        <v>654.10534940620005</v>
      </c>
      <c r="N1642" s="7">
        <v>656.03623594390001</v>
      </c>
      <c r="O1642" s="7">
        <v>657.52797687140003</v>
      </c>
      <c r="P1642" s="7">
        <v>654.10534940620005</v>
      </c>
      <c r="Q1642">
        <v>1</v>
      </c>
      <c r="R1642">
        <v>0</v>
      </c>
      <c r="S1642" s="11">
        <v>45912.666666666664</v>
      </c>
      <c r="T1642">
        <v>780</v>
      </c>
    </row>
    <row r="1643" spans="1:20">
      <c r="A1643" s="11">
        <v>45912.479166666664</v>
      </c>
      <c r="B1643" s="11">
        <v>45912.5</v>
      </c>
      <c r="C1643" s="10">
        <v>45912</v>
      </c>
      <c r="D1643" s="7">
        <v>655.78179999999998</v>
      </c>
      <c r="E1643" s="7">
        <v>2195737</v>
      </c>
      <c r="F1643" s="7">
        <v>2195737</v>
      </c>
      <c r="G1643" s="7">
        <v>16594479</v>
      </c>
      <c r="H1643" s="7">
        <v>655.82169999999996</v>
      </c>
      <c r="I1643" s="7">
        <v>655.8116</v>
      </c>
      <c r="J1643" s="7">
        <v>14</v>
      </c>
      <c r="K1643" s="7">
        <v>2.8730450999999999E-3</v>
      </c>
      <c r="L1643" s="7">
        <v>657.7059053529</v>
      </c>
      <c r="M1643" s="7">
        <v>653.92742366480002</v>
      </c>
      <c r="N1643" s="7">
        <v>656.00256966150005</v>
      </c>
      <c r="O1643" s="7">
        <v>657.7059053529</v>
      </c>
      <c r="P1643" s="7">
        <v>653.92742366480002</v>
      </c>
      <c r="Q1643">
        <v>1</v>
      </c>
      <c r="R1643">
        <v>0</v>
      </c>
      <c r="S1643" s="11">
        <v>45912.666666666664</v>
      </c>
      <c r="T1643">
        <v>779</v>
      </c>
    </row>
    <row r="1644" spans="1:20">
      <c r="A1644" s="11">
        <v>45912.5</v>
      </c>
      <c r="B1644" s="11">
        <v>45912.520833333336</v>
      </c>
      <c r="C1644" s="10">
        <v>45912</v>
      </c>
      <c r="D1644" s="7">
        <v>656.2405</v>
      </c>
      <c r="E1644" s="7">
        <v>1899098</v>
      </c>
      <c r="F1644" s="7">
        <v>1899098</v>
      </c>
      <c r="G1644" s="7">
        <v>18493577</v>
      </c>
      <c r="H1644" s="7">
        <v>655.82169999999996</v>
      </c>
      <c r="I1644" s="7">
        <v>655.8116</v>
      </c>
      <c r="J1644" s="7">
        <v>14</v>
      </c>
      <c r="K1644" s="7">
        <v>2.7410492999999998E-3</v>
      </c>
      <c r="L1644" s="7">
        <v>657.61933958709994</v>
      </c>
      <c r="M1644" s="7">
        <v>654.01398809750003</v>
      </c>
      <c r="N1644" s="7">
        <v>656.02700263249994</v>
      </c>
      <c r="O1644" s="7">
        <v>657.61933958709994</v>
      </c>
      <c r="P1644" s="7">
        <v>654.01398809750003</v>
      </c>
      <c r="Q1644">
        <v>1</v>
      </c>
      <c r="R1644">
        <v>0</v>
      </c>
      <c r="S1644" s="11">
        <v>45912.666666666664</v>
      </c>
      <c r="T1644">
        <v>778</v>
      </c>
    </row>
    <row r="1645" spans="1:20">
      <c r="A1645" s="11">
        <v>45912.520833333336</v>
      </c>
      <c r="B1645" s="11">
        <v>45912.541666666664</v>
      </c>
      <c r="C1645" s="10">
        <v>45912</v>
      </c>
      <c r="D1645" s="7">
        <v>656.26049999999998</v>
      </c>
      <c r="E1645" s="7">
        <v>2092363</v>
      </c>
      <c r="F1645" s="7">
        <v>2092363</v>
      </c>
      <c r="G1645" s="7">
        <v>20585940</v>
      </c>
      <c r="H1645" s="7">
        <v>655.82169999999996</v>
      </c>
      <c r="I1645" s="7">
        <v>655.8116</v>
      </c>
      <c r="J1645" s="7">
        <v>14</v>
      </c>
      <c r="K1645" s="7">
        <v>2.3511577999999998E-3</v>
      </c>
      <c r="L1645" s="7">
        <v>657.36364030410004</v>
      </c>
      <c r="M1645" s="7">
        <v>654.26968344260001</v>
      </c>
      <c r="N1645" s="7">
        <v>656.05073539629996</v>
      </c>
      <c r="O1645" s="7">
        <v>657.36364030410004</v>
      </c>
      <c r="P1645" s="7">
        <v>654.26968344260001</v>
      </c>
      <c r="Q1645">
        <v>1</v>
      </c>
      <c r="R1645">
        <v>0</v>
      </c>
      <c r="S1645" s="11">
        <v>45912.666666666664</v>
      </c>
      <c r="T1645">
        <v>777</v>
      </c>
    </row>
    <row r="1646" spans="1:20">
      <c r="A1646" s="11">
        <v>45912.541666666664</v>
      </c>
      <c r="B1646" s="11">
        <v>45912.5625</v>
      </c>
      <c r="C1646" s="10">
        <v>45912</v>
      </c>
      <c r="D1646" s="7">
        <v>656.28039999999999</v>
      </c>
      <c r="E1646" s="7">
        <v>1857194</v>
      </c>
      <c r="F1646" s="7">
        <v>1857194</v>
      </c>
      <c r="G1646" s="7">
        <v>22443134</v>
      </c>
      <c r="H1646" s="7">
        <v>655.82169999999996</v>
      </c>
      <c r="I1646" s="7">
        <v>655.8116</v>
      </c>
      <c r="J1646" s="7">
        <v>14</v>
      </c>
      <c r="K1646" s="7">
        <v>2.8693506999999999E-3</v>
      </c>
      <c r="L1646" s="7">
        <v>657.70348247679999</v>
      </c>
      <c r="M1646" s="7">
        <v>653.92984650359995</v>
      </c>
      <c r="N1646" s="7">
        <v>656.06974039459999</v>
      </c>
      <c r="O1646" s="7">
        <v>657.70348247679999</v>
      </c>
      <c r="P1646" s="7">
        <v>653.92984650359995</v>
      </c>
      <c r="Q1646">
        <v>1</v>
      </c>
      <c r="R1646">
        <v>0</v>
      </c>
      <c r="S1646" s="11">
        <v>45912.666666666664</v>
      </c>
      <c r="T1646">
        <v>776</v>
      </c>
    </row>
    <row r="1647" spans="1:20">
      <c r="A1647" s="11">
        <v>45912.5625</v>
      </c>
      <c r="B1647" s="11">
        <v>45912.583333333336</v>
      </c>
      <c r="C1647" s="10">
        <v>45912</v>
      </c>
      <c r="D1647" s="7">
        <v>656.56460000000004</v>
      </c>
      <c r="E1647" s="7">
        <v>1935124</v>
      </c>
      <c r="F1647" s="7">
        <v>1935124</v>
      </c>
      <c r="G1647" s="7">
        <v>24378258</v>
      </c>
      <c r="H1647" s="7">
        <v>655.82169999999996</v>
      </c>
      <c r="I1647" s="7">
        <v>655.8116</v>
      </c>
      <c r="J1647" s="7">
        <v>14</v>
      </c>
      <c r="K1647" s="7">
        <v>2.9759709E-3</v>
      </c>
      <c r="L1647" s="7">
        <v>657.77340630089998</v>
      </c>
      <c r="M1647" s="7">
        <v>653.85992375640001</v>
      </c>
      <c r="N1647" s="7">
        <v>656.10902190110005</v>
      </c>
      <c r="O1647" s="7">
        <v>657.77340630089998</v>
      </c>
      <c r="P1647" s="7">
        <v>653.85992375640001</v>
      </c>
      <c r="Q1647">
        <v>1</v>
      </c>
      <c r="R1647">
        <v>0</v>
      </c>
      <c r="S1647" s="11">
        <v>45912.666666666664</v>
      </c>
      <c r="T1647">
        <v>775</v>
      </c>
    </row>
    <row r="1648" spans="1:20">
      <c r="A1648" s="11">
        <v>45912.583333333336</v>
      </c>
      <c r="B1648" s="11">
        <v>45912.604166666664</v>
      </c>
      <c r="C1648" s="10">
        <v>45912</v>
      </c>
      <c r="D1648" s="7">
        <v>656.6893</v>
      </c>
      <c r="E1648" s="7">
        <v>2442729</v>
      </c>
      <c r="F1648" s="7">
        <v>2442729</v>
      </c>
      <c r="G1648" s="7">
        <v>26820987</v>
      </c>
      <c r="H1648" s="7">
        <v>655.82169999999996</v>
      </c>
      <c r="I1648" s="7">
        <v>655.8116</v>
      </c>
      <c r="J1648" s="7">
        <v>14</v>
      </c>
      <c r="K1648" s="7">
        <v>3.0980377999999999E-3</v>
      </c>
      <c r="L1648" s="7">
        <v>657.85346040180002</v>
      </c>
      <c r="M1648" s="7">
        <v>653.77987088839996</v>
      </c>
      <c r="N1648" s="7">
        <v>656.16187089360005</v>
      </c>
      <c r="O1648" s="7">
        <v>657.85346040180002</v>
      </c>
      <c r="P1648" s="7">
        <v>653.77987088839996</v>
      </c>
      <c r="Q1648">
        <v>1</v>
      </c>
      <c r="R1648">
        <v>0</v>
      </c>
      <c r="S1648" s="11">
        <v>45912.666666666664</v>
      </c>
      <c r="T1648">
        <v>774</v>
      </c>
    </row>
    <row r="1649" spans="1:20">
      <c r="A1649" s="11">
        <v>45912.604166666664</v>
      </c>
      <c r="B1649" s="11">
        <v>45912.625</v>
      </c>
      <c r="C1649" s="10">
        <v>45912</v>
      </c>
      <c r="D1649" s="7">
        <v>656.97349999999994</v>
      </c>
      <c r="E1649" s="7">
        <v>3658342</v>
      </c>
      <c r="F1649" s="7">
        <v>3658342</v>
      </c>
      <c r="G1649" s="7">
        <v>30479329</v>
      </c>
      <c r="H1649" s="7">
        <v>655.82169999999996</v>
      </c>
      <c r="I1649" s="7">
        <v>655.8116</v>
      </c>
      <c r="J1649" s="7">
        <v>14</v>
      </c>
      <c r="K1649" s="7">
        <v>3.1217524999999999E-3</v>
      </c>
      <c r="L1649" s="7">
        <v>657.8690130512</v>
      </c>
      <c r="M1649" s="7">
        <v>653.76431847849994</v>
      </c>
      <c r="N1649" s="7">
        <v>656.25928828910003</v>
      </c>
      <c r="O1649" s="7">
        <v>657.8690130512</v>
      </c>
      <c r="P1649" s="7">
        <v>653.76431847849994</v>
      </c>
      <c r="Q1649">
        <v>1</v>
      </c>
      <c r="R1649">
        <v>0</v>
      </c>
      <c r="S1649" s="11">
        <v>45912.666666666664</v>
      </c>
      <c r="T1649">
        <v>773</v>
      </c>
    </row>
    <row r="1650" spans="1:20">
      <c r="A1650" s="11">
        <v>45912.625</v>
      </c>
      <c r="B1650" s="11">
        <v>45912.645833333336</v>
      </c>
      <c r="C1650" s="10">
        <v>45912</v>
      </c>
      <c r="D1650" s="7">
        <v>656.32039999999995</v>
      </c>
      <c r="E1650" s="7">
        <v>4608264</v>
      </c>
      <c r="F1650" s="7">
        <v>4608264</v>
      </c>
      <c r="G1650" s="7">
        <v>35087593</v>
      </c>
      <c r="H1650" s="7">
        <v>655.82169999999996</v>
      </c>
      <c r="I1650" s="7">
        <v>655.8116</v>
      </c>
      <c r="J1650" s="7">
        <v>14</v>
      </c>
      <c r="K1650" s="7">
        <v>3.1575007E-3</v>
      </c>
      <c r="L1650" s="7">
        <v>657.89245745350001</v>
      </c>
      <c r="M1650" s="7">
        <v>653.74087443730002</v>
      </c>
      <c r="N1650" s="7">
        <v>656.26731445660005</v>
      </c>
      <c r="O1650" s="7">
        <v>657.89245745350001</v>
      </c>
      <c r="P1650" s="7">
        <v>653.74087443730002</v>
      </c>
      <c r="Q1650">
        <v>1</v>
      </c>
      <c r="R1650">
        <v>0</v>
      </c>
      <c r="S1650" s="11">
        <v>45912.666666666664</v>
      </c>
      <c r="T1650">
        <v>772</v>
      </c>
    </row>
    <row r="1651" spans="1:20">
      <c r="A1651" s="11">
        <v>45912.645833333336</v>
      </c>
      <c r="B1651" s="11">
        <v>45912.666666666664</v>
      </c>
      <c r="C1651" s="10">
        <v>45912</v>
      </c>
      <c r="D1651" s="7">
        <v>655.59230000000002</v>
      </c>
      <c r="E1651" s="7">
        <v>13924448</v>
      </c>
      <c r="F1651" s="7">
        <v>13924448</v>
      </c>
      <c r="G1651" s="7">
        <v>49012041</v>
      </c>
      <c r="H1651" s="7">
        <v>655.82169999999996</v>
      </c>
      <c r="I1651" s="7">
        <v>655.8116</v>
      </c>
      <c r="J1651" s="7">
        <v>14</v>
      </c>
      <c r="K1651" s="7">
        <v>3.4568734999999998E-3</v>
      </c>
      <c r="L1651" s="7">
        <v>658.08879265350004</v>
      </c>
      <c r="M1651" s="7">
        <v>653.54454226090002</v>
      </c>
      <c r="N1651" s="7">
        <v>656.07554109830005</v>
      </c>
      <c r="O1651" s="7">
        <v>658.08879265350004</v>
      </c>
      <c r="P1651" s="7">
        <v>653.54454226090002</v>
      </c>
      <c r="Q1651">
        <v>1</v>
      </c>
      <c r="R1651">
        <v>1</v>
      </c>
      <c r="S1651" s="11">
        <v>45912.666666666664</v>
      </c>
      <c r="T1651">
        <v>771</v>
      </c>
    </row>
    <row r="1652" spans="1:20">
      <c r="A1652" s="11">
        <v>45915.395833333336</v>
      </c>
      <c r="B1652" s="11">
        <v>45915.416666666664</v>
      </c>
      <c r="C1652" s="10">
        <v>45915</v>
      </c>
      <c r="D1652" s="7">
        <v>658.89319999999998</v>
      </c>
      <c r="E1652" s="7">
        <v>6983647</v>
      </c>
      <c r="F1652" s="7">
        <v>6983647</v>
      </c>
      <c r="G1652" s="7">
        <v>6983647</v>
      </c>
      <c r="H1652" s="7">
        <v>658.89319999999998</v>
      </c>
      <c r="I1652" s="7">
        <v>655.59230000000002</v>
      </c>
      <c r="J1652" s="7">
        <v>14</v>
      </c>
      <c r="K1652" s="7">
        <v>0</v>
      </c>
      <c r="L1652" s="7">
        <v>658.89319999999998</v>
      </c>
      <c r="M1652" s="7">
        <v>655.59230000000002</v>
      </c>
      <c r="N1652" s="7">
        <v>658.89319999999998</v>
      </c>
      <c r="O1652" s="7">
        <v>658.89319999999998</v>
      </c>
      <c r="P1652" s="7">
        <v>655.59230000000002</v>
      </c>
      <c r="Q1652">
        <v>1</v>
      </c>
      <c r="R1652">
        <v>0</v>
      </c>
      <c r="S1652" s="11">
        <v>45915.666666666664</v>
      </c>
      <c r="T1652">
        <v>769</v>
      </c>
    </row>
    <row r="1653" spans="1:20">
      <c r="A1653" s="11">
        <v>45915.416666666664</v>
      </c>
      <c r="B1653" s="11">
        <v>45915.4375</v>
      </c>
      <c r="C1653" s="10">
        <v>45915</v>
      </c>
      <c r="D1653" s="7">
        <v>658.86329999999998</v>
      </c>
      <c r="E1653" s="7">
        <v>3618180</v>
      </c>
      <c r="F1653" s="7">
        <v>3618180</v>
      </c>
      <c r="G1653" s="7">
        <v>10601827</v>
      </c>
      <c r="H1653" s="7">
        <v>658.89319999999998</v>
      </c>
      <c r="I1653" s="7">
        <v>655.59230000000002</v>
      </c>
      <c r="J1653" s="7">
        <v>14</v>
      </c>
      <c r="K1653" s="7">
        <v>1.0216695E-3</v>
      </c>
      <c r="L1653" s="7">
        <v>659.56637109530004</v>
      </c>
      <c r="M1653" s="7">
        <v>654.92250133360005</v>
      </c>
      <c r="N1653" s="7">
        <v>658.88299576049997</v>
      </c>
      <c r="O1653" s="7">
        <v>659.56637109530004</v>
      </c>
      <c r="P1653" s="7">
        <v>654.92250133360005</v>
      </c>
      <c r="Q1653">
        <v>1</v>
      </c>
      <c r="R1653">
        <v>0</v>
      </c>
      <c r="S1653" s="11">
        <v>45915.666666666664</v>
      </c>
      <c r="T1653">
        <v>768</v>
      </c>
    </row>
    <row r="1654" spans="1:20">
      <c r="A1654" s="11">
        <v>45915.4375</v>
      </c>
      <c r="B1654" s="11">
        <v>45915.458333333336</v>
      </c>
      <c r="C1654" s="10">
        <v>45915</v>
      </c>
      <c r="D1654" s="7">
        <v>659.20230000000004</v>
      </c>
      <c r="E1654" s="7">
        <v>3491136</v>
      </c>
      <c r="F1654" s="7">
        <v>3491136</v>
      </c>
      <c r="G1654" s="7">
        <v>14092963</v>
      </c>
      <c r="H1654" s="7">
        <v>658.89319999999998</v>
      </c>
      <c r="I1654" s="7">
        <v>655.59230000000002</v>
      </c>
      <c r="J1654" s="7">
        <v>14</v>
      </c>
      <c r="K1654" s="7">
        <v>2.0292095999999999E-3</v>
      </c>
      <c r="L1654" s="7">
        <v>660.23023243570003</v>
      </c>
      <c r="M1654" s="7">
        <v>654.26196578240001</v>
      </c>
      <c r="N1654" s="7">
        <v>658.96209442309998</v>
      </c>
      <c r="O1654" s="7">
        <v>660.23023243570003</v>
      </c>
      <c r="P1654" s="7">
        <v>654.26196578240001</v>
      </c>
      <c r="Q1654">
        <v>1</v>
      </c>
      <c r="R1654">
        <v>0</v>
      </c>
      <c r="S1654" s="11">
        <v>45915.666666666664</v>
      </c>
      <c r="T1654">
        <v>767</v>
      </c>
    </row>
    <row r="1655" spans="1:20">
      <c r="A1655" s="11">
        <v>45915.458333333336</v>
      </c>
      <c r="B1655" s="11">
        <v>45915.479166666664</v>
      </c>
      <c r="C1655" s="10">
        <v>45915</v>
      </c>
      <c r="D1655" s="7">
        <v>658.53920000000005</v>
      </c>
      <c r="E1655" s="7">
        <v>2913610</v>
      </c>
      <c r="F1655" s="7">
        <v>2913610</v>
      </c>
      <c r="G1655" s="7">
        <v>17006573</v>
      </c>
      <c r="H1655" s="7">
        <v>658.89319999999998</v>
      </c>
      <c r="I1655" s="7">
        <v>655.59230000000002</v>
      </c>
      <c r="J1655" s="7">
        <v>14</v>
      </c>
      <c r="K1655" s="7">
        <v>1.8113362E-3</v>
      </c>
      <c r="L1655" s="7">
        <v>660.08667708910002</v>
      </c>
      <c r="M1655" s="7">
        <v>654.40480195049997</v>
      </c>
      <c r="N1655" s="7">
        <v>658.88964305859997</v>
      </c>
      <c r="O1655" s="7">
        <v>660.08667708910002</v>
      </c>
      <c r="P1655" s="7">
        <v>654.40480195049997</v>
      </c>
      <c r="Q1655">
        <v>1</v>
      </c>
      <c r="R1655">
        <v>0</v>
      </c>
      <c r="S1655" s="11">
        <v>45915.666666666664</v>
      </c>
      <c r="T1655">
        <v>766</v>
      </c>
    </row>
    <row r="1656" spans="1:20">
      <c r="A1656" s="11">
        <v>45915.479166666664</v>
      </c>
      <c r="B1656" s="11">
        <v>45915.5</v>
      </c>
      <c r="C1656" s="10">
        <v>45915</v>
      </c>
      <c r="D1656" s="7">
        <v>658.77850000000001</v>
      </c>
      <c r="E1656" s="7">
        <v>2177889</v>
      </c>
      <c r="F1656" s="7">
        <v>2177889</v>
      </c>
      <c r="G1656" s="7">
        <v>19184462</v>
      </c>
      <c r="H1656" s="7">
        <v>658.89319999999998</v>
      </c>
      <c r="I1656" s="7">
        <v>655.59230000000002</v>
      </c>
      <c r="J1656" s="7">
        <v>14</v>
      </c>
      <c r="K1656" s="7">
        <v>2.1474700999999999E-3</v>
      </c>
      <c r="L1656" s="7">
        <v>660.30815341499999</v>
      </c>
      <c r="M1656" s="7">
        <v>654.1844351689</v>
      </c>
      <c r="N1656" s="7">
        <v>658.8770256995</v>
      </c>
      <c r="O1656" s="7">
        <v>660.30815341499999</v>
      </c>
      <c r="P1656" s="7">
        <v>654.1844351689</v>
      </c>
      <c r="Q1656">
        <v>1</v>
      </c>
      <c r="R1656">
        <v>0</v>
      </c>
      <c r="S1656" s="11">
        <v>45915.666666666664</v>
      </c>
      <c r="T1656">
        <v>765</v>
      </c>
    </row>
    <row r="1657" spans="1:20">
      <c r="A1657" s="11">
        <v>45915.5</v>
      </c>
      <c r="B1657" s="11">
        <v>45915.520833333336</v>
      </c>
      <c r="C1657" s="10">
        <v>45915</v>
      </c>
      <c r="D1657" s="7">
        <v>658.79349999999999</v>
      </c>
      <c r="E1657" s="7">
        <v>2012186</v>
      </c>
      <c r="F1657" s="7">
        <v>2012186</v>
      </c>
      <c r="G1657" s="7">
        <v>21196648</v>
      </c>
      <c r="H1657" s="7">
        <v>658.89319999999998</v>
      </c>
      <c r="I1657" s="7">
        <v>655.59230000000002</v>
      </c>
      <c r="J1657" s="7">
        <v>14</v>
      </c>
      <c r="K1657" s="7">
        <v>2.1281768000000001E-3</v>
      </c>
      <c r="L1657" s="7">
        <v>660.29544123690005</v>
      </c>
      <c r="M1657" s="7">
        <v>654.19708366190002</v>
      </c>
      <c r="N1657" s="7">
        <v>658.86909665140001</v>
      </c>
      <c r="O1657" s="7">
        <v>660.29544123690005</v>
      </c>
      <c r="P1657" s="7">
        <v>654.19708366190002</v>
      </c>
      <c r="Q1657">
        <v>1</v>
      </c>
      <c r="R1657">
        <v>0</v>
      </c>
      <c r="S1657" s="11">
        <v>45915.666666666664</v>
      </c>
      <c r="T1657">
        <v>764</v>
      </c>
    </row>
    <row r="1658" spans="1:20">
      <c r="A1658" s="11">
        <v>45915.520833333336</v>
      </c>
      <c r="B1658" s="11">
        <v>45915.541666666664</v>
      </c>
      <c r="C1658" s="10">
        <v>45915</v>
      </c>
      <c r="D1658" s="7">
        <v>658.2998</v>
      </c>
      <c r="E1658" s="7">
        <v>1950928</v>
      </c>
      <c r="F1658" s="7">
        <v>1950928</v>
      </c>
      <c r="G1658" s="7">
        <v>23147576</v>
      </c>
      <c r="H1658" s="7">
        <v>658.89319999999998</v>
      </c>
      <c r="I1658" s="7">
        <v>655.59230000000002</v>
      </c>
      <c r="J1658" s="7">
        <v>14</v>
      </c>
      <c r="K1658" s="7">
        <v>1.7426945999999999E-3</v>
      </c>
      <c r="L1658" s="7">
        <v>660.04144961520001</v>
      </c>
      <c r="M1658" s="7">
        <v>654.44980284539997</v>
      </c>
      <c r="N1658" s="7">
        <v>658.82111509260005</v>
      </c>
      <c r="O1658" s="7">
        <v>660.04144961520001</v>
      </c>
      <c r="P1658" s="7">
        <v>654.44980284539997</v>
      </c>
      <c r="Q1658">
        <v>1</v>
      </c>
      <c r="R1658">
        <v>0</v>
      </c>
      <c r="S1658" s="11">
        <v>45915.666666666664</v>
      </c>
      <c r="T1658">
        <v>763</v>
      </c>
    </row>
    <row r="1659" spans="1:20">
      <c r="A1659" s="11">
        <v>45915.541666666664</v>
      </c>
      <c r="B1659" s="11">
        <v>45915.5625</v>
      </c>
      <c r="C1659" s="10">
        <v>45915</v>
      </c>
      <c r="D1659" s="7">
        <v>657.89589999999998</v>
      </c>
      <c r="E1659" s="7">
        <v>2616018</v>
      </c>
      <c r="F1659" s="7">
        <v>2616018</v>
      </c>
      <c r="G1659" s="7">
        <v>25763594</v>
      </c>
      <c r="H1659" s="7">
        <v>658.89319999999998</v>
      </c>
      <c r="I1659" s="7">
        <v>655.59230000000002</v>
      </c>
      <c r="J1659" s="7">
        <v>14</v>
      </c>
      <c r="K1659" s="7">
        <v>2.1087838000000002E-3</v>
      </c>
      <c r="L1659" s="7">
        <v>660.28266329500002</v>
      </c>
      <c r="M1659" s="7">
        <v>654.20979758939995</v>
      </c>
      <c r="N1659" s="7">
        <v>658.72716937459995</v>
      </c>
      <c r="O1659" s="7">
        <v>660.28266329500002</v>
      </c>
      <c r="P1659" s="7">
        <v>654.20979758939995</v>
      </c>
      <c r="Q1659">
        <v>1</v>
      </c>
      <c r="R1659">
        <v>0</v>
      </c>
      <c r="S1659" s="11">
        <v>45915.666666666664</v>
      </c>
      <c r="T1659">
        <v>762</v>
      </c>
    </row>
    <row r="1660" spans="1:20">
      <c r="A1660" s="11">
        <v>45915.5625</v>
      </c>
      <c r="B1660" s="11">
        <v>45915.583333333336</v>
      </c>
      <c r="C1660" s="10">
        <v>45915</v>
      </c>
      <c r="D1660" s="7">
        <v>658.76350000000002</v>
      </c>
      <c r="E1660" s="7">
        <v>2399210</v>
      </c>
      <c r="F1660" s="7">
        <v>2399210</v>
      </c>
      <c r="G1660" s="7">
        <v>28162804</v>
      </c>
      <c r="H1660" s="7">
        <v>658.89319999999998</v>
      </c>
      <c r="I1660" s="7">
        <v>655.59230000000002</v>
      </c>
      <c r="J1660" s="7">
        <v>14</v>
      </c>
      <c r="K1660" s="7">
        <v>2.2866040999999998E-3</v>
      </c>
      <c r="L1660" s="7">
        <v>660.39982788520001</v>
      </c>
      <c r="M1660" s="7">
        <v>654.09321996619997</v>
      </c>
      <c r="N1660" s="7">
        <v>658.73026440729996</v>
      </c>
      <c r="O1660" s="7">
        <v>660.39982788520001</v>
      </c>
      <c r="P1660" s="7">
        <v>654.09321996619997</v>
      </c>
      <c r="Q1660">
        <v>1</v>
      </c>
      <c r="R1660">
        <v>0</v>
      </c>
      <c r="S1660" s="11">
        <v>45915.666666666664</v>
      </c>
      <c r="T1660">
        <v>761</v>
      </c>
    </row>
    <row r="1661" spans="1:20">
      <c r="A1661" s="11">
        <v>45915.583333333336</v>
      </c>
      <c r="B1661" s="11">
        <v>45915.604166666664</v>
      </c>
      <c r="C1661" s="10">
        <v>45915</v>
      </c>
      <c r="D1661" s="7">
        <v>658.06550000000004</v>
      </c>
      <c r="E1661" s="7">
        <v>2458550</v>
      </c>
      <c r="F1661" s="7">
        <v>2458550</v>
      </c>
      <c r="G1661" s="7">
        <v>30621354</v>
      </c>
      <c r="H1661" s="7">
        <v>658.89319999999998</v>
      </c>
      <c r="I1661" s="7">
        <v>655.59230000000002</v>
      </c>
      <c r="J1661" s="7">
        <v>14</v>
      </c>
      <c r="K1661" s="7">
        <v>2.4636202999999998E-3</v>
      </c>
      <c r="L1661" s="7">
        <v>660.51646265069996</v>
      </c>
      <c r="M1661" s="7">
        <v>653.97716951350003</v>
      </c>
      <c r="N1661" s="7">
        <v>658.67689130919996</v>
      </c>
      <c r="O1661" s="7">
        <v>660.51646265069996</v>
      </c>
      <c r="P1661" s="7">
        <v>653.97716951350003</v>
      </c>
      <c r="Q1661">
        <v>1</v>
      </c>
      <c r="R1661">
        <v>0</v>
      </c>
      <c r="S1661" s="11">
        <v>45915.666666666664</v>
      </c>
      <c r="T1661">
        <v>760</v>
      </c>
    </row>
    <row r="1662" spans="1:20">
      <c r="A1662" s="11">
        <v>45915.604166666664</v>
      </c>
      <c r="B1662" s="11">
        <v>45915.625</v>
      </c>
      <c r="C1662" s="10">
        <v>45915</v>
      </c>
      <c r="D1662" s="7">
        <v>658.16520000000003</v>
      </c>
      <c r="E1662" s="7">
        <v>3100002</v>
      </c>
      <c r="F1662" s="7">
        <v>3100002</v>
      </c>
      <c r="G1662" s="7">
        <v>33721356</v>
      </c>
      <c r="H1662" s="7">
        <v>658.89319999999998</v>
      </c>
      <c r="I1662" s="7">
        <v>655.59230000000002</v>
      </c>
      <c r="J1662" s="7">
        <v>14</v>
      </c>
      <c r="K1662" s="7">
        <v>2.5138155000000001E-3</v>
      </c>
      <c r="L1662" s="7">
        <v>660.54953592540005</v>
      </c>
      <c r="M1662" s="7">
        <v>653.94426192809999</v>
      </c>
      <c r="N1662" s="7">
        <v>658.62985156139996</v>
      </c>
      <c r="O1662" s="7">
        <v>660.54953592540005</v>
      </c>
      <c r="P1662" s="7">
        <v>653.94426192809999</v>
      </c>
      <c r="Q1662">
        <v>1</v>
      </c>
      <c r="R1662">
        <v>0</v>
      </c>
      <c r="S1662" s="11">
        <v>45915.666666666664</v>
      </c>
      <c r="T1662">
        <v>759</v>
      </c>
    </row>
    <row r="1663" spans="1:20">
      <c r="A1663" s="11">
        <v>45915.625</v>
      </c>
      <c r="B1663" s="11">
        <v>45915.645833333336</v>
      </c>
      <c r="C1663" s="10">
        <v>45915</v>
      </c>
      <c r="D1663" s="7">
        <v>658.20510000000002</v>
      </c>
      <c r="E1663" s="7">
        <v>2730160</v>
      </c>
      <c r="F1663" s="7">
        <v>2730160</v>
      </c>
      <c r="G1663" s="7">
        <v>36451516</v>
      </c>
      <c r="H1663" s="7">
        <v>658.89319999999998</v>
      </c>
      <c r="I1663" s="7">
        <v>655.59230000000002</v>
      </c>
      <c r="J1663" s="7">
        <v>14</v>
      </c>
      <c r="K1663" s="7">
        <v>2.5220300999999998E-3</v>
      </c>
      <c r="L1663" s="7">
        <v>660.55494847390003</v>
      </c>
      <c r="M1663" s="7">
        <v>653.93887649520002</v>
      </c>
      <c r="N1663" s="7">
        <v>658.59803835160005</v>
      </c>
      <c r="O1663" s="7">
        <v>660.55494847390003</v>
      </c>
      <c r="P1663" s="7">
        <v>653.93887649520002</v>
      </c>
      <c r="Q1663">
        <v>1</v>
      </c>
      <c r="R1663">
        <v>0</v>
      </c>
      <c r="S1663" s="11">
        <v>45915.666666666664</v>
      </c>
      <c r="T1663">
        <v>758</v>
      </c>
    </row>
    <row r="1664" spans="1:20">
      <c r="A1664" s="11">
        <v>45915.645833333336</v>
      </c>
      <c r="B1664" s="11">
        <v>45915.666666666664</v>
      </c>
      <c r="C1664" s="10">
        <v>45915</v>
      </c>
      <c r="D1664" s="7">
        <v>659.08259999999996</v>
      </c>
      <c r="E1664" s="7">
        <v>9711736</v>
      </c>
      <c r="F1664" s="7">
        <v>9711736</v>
      </c>
      <c r="G1664" s="7">
        <v>46163252</v>
      </c>
      <c r="H1664" s="7">
        <v>658.89319999999998</v>
      </c>
      <c r="I1664" s="7">
        <v>655.59230000000002</v>
      </c>
      <c r="J1664" s="7">
        <v>14</v>
      </c>
      <c r="K1664" s="7">
        <v>2.7663547000000002E-3</v>
      </c>
      <c r="L1664" s="7">
        <v>660.7159323326</v>
      </c>
      <c r="M1664" s="7">
        <v>653.7786991278</v>
      </c>
      <c r="N1664" s="7">
        <v>658.69997949749995</v>
      </c>
      <c r="O1664" s="7">
        <v>660.7159323326</v>
      </c>
      <c r="P1664" s="7">
        <v>653.7786991278</v>
      </c>
      <c r="Q1664">
        <v>1</v>
      </c>
      <c r="R1664">
        <v>1</v>
      </c>
      <c r="S1664" s="11">
        <v>45915.666666666664</v>
      </c>
      <c r="T1664">
        <v>757</v>
      </c>
    </row>
    <row r="1665" spans="1:20">
      <c r="A1665" s="11">
        <v>45916.395833333336</v>
      </c>
      <c r="B1665" s="11">
        <v>45916.416666666664</v>
      </c>
      <c r="C1665" s="10">
        <v>45916</v>
      </c>
      <c r="D1665" s="7">
        <v>658.37459999999999</v>
      </c>
      <c r="E1665" s="7">
        <v>6829256</v>
      </c>
      <c r="F1665" s="7">
        <v>6829256</v>
      </c>
      <c r="G1665" s="7">
        <v>6829256</v>
      </c>
      <c r="H1665" s="7">
        <v>658.37459999999999</v>
      </c>
      <c r="I1665" s="7">
        <v>659.08259999999996</v>
      </c>
      <c r="J1665" s="7">
        <v>14</v>
      </c>
      <c r="K1665" s="7">
        <v>0</v>
      </c>
      <c r="L1665" s="7">
        <v>659.08259999999996</v>
      </c>
      <c r="M1665" s="7">
        <v>658.37459999999999</v>
      </c>
      <c r="N1665" s="7">
        <v>658.37459999999999</v>
      </c>
      <c r="O1665" s="7">
        <v>659.08259999999996</v>
      </c>
      <c r="P1665" s="7">
        <v>658.37459999999999</v>
      </c>
      <c r="Q1665">
        <v>1</v>
      </c>
      <c r="R1665">
        <v>0</v>
      </c>
      <c r="S1665" s="11">
        <v>45916.666666666664</v>
      </c>
      <c r="T1665">
        <v>755</v>
      </c>
    </row>
    <row r="1666" spans="1:20">
      <c r="A1666" s="11">
        <v>45916.416666666664</v>
      </c>
      <c r="B1666" s="11">
        <v>45916.4375</v>
      </c>
      <c r="C1666" s="10">
        <v>45916</v>
      </c>
      <c r="D1666" s="7">
        <v>658.08540000000005</v>
      </c>
      <c r="E1666" s="7">
        <v>4886664</v>
      </c>
      <c r="F1666" s="7">
        <v>4886664</v>
      </c>
      <c r="G1666" s="7">
        <v>11715920</v>
      </c>
      <c r="H1666" s="7">
        <v>658.37459999999999</v>
      </c>
      <c r="I1666" s="7">
        <v>659.08259999999996</v>
      </c>
      <c r="J1666" s="7">
        <v>14</v>
      </c>
      <c r="K1666" s="7">
        <v>1.0016334E-3</v>
      </c>
      <c r="L1666" s="7">
        <v>659.74275914550003</v>
      </c>
      <c r="M1666" s="7">
        <v>657.71515001099999</v>
      </c>
      <c r="N1666" s="7">
        <v>658.25397582120002</v>
      </c>
      <c r="O1666" s="7">
        <v>659.74275914550003</v>
      </c>
      <c r="P1666" s="7">
        <v>657.71515001099999</v>
      </c>
      <c r="Q1666">
        <v>1</v>
      </c>
      <c r="R1666">
        <v>0</v>
      </c>
      <c r="S1666" s="11">
        <v>45916.666666666664</v>
      </c>
      <c r="T1666">
        <v>754</v>
      </c>
    </row>
    <row r="1667" spans="1:20">
      <c r="A1667" s="11">
        <v>45916.4375</v>
      </c>
      <c r="B1667" s="11">
        <v>45916.458333333336</v>
      </c>
      <c r="C1667" s="10">
        <v>45916</v>
      </c>
      <c r="D1667" s="7">
        <v>658.06550000000004</v>
      </c>
      <c r="E1667" s="7">
        <v>2490671</v>
      </c>
      <c r="F1667" s="7">
        <v>2490671</v>
      </c>
      <c r="G1667" s="7">
        <v>14206591</v>
      </c>
      <c r="H1667" s="7">
        <v>658.37459999999999</v>
      </c>
      <c r="I1667" s="7">
        <v>659.08259999999996</v>
      </c>
      <c r="J1667" s="7">
        <v>14</v>
      </c>
      <c r="K1667" s="7">
        <v>2.0582828000000001E-3</v>
      </c>
      <c r="L1667" s="7">
        <v>660.43917839510004</v>
      </c>
      <c r="M1667" s="7">
        <v>657.01947886920004</v>
      </c>
      <c r="N1667" s="7">
        <v>658.22093261880002</v>
      </c>
      <c r="O1667" s="7">
        <v>660.43917839510004</v>
      </c>
      <c r="P1667" s="7">
        <v>657.01947886920004</v>
      </c>
      <c r="Q1667">
        <v>1</v>
      </c>
      <c r="R1667">
        <v>0</v>
      </c>
      <c r="S1667" s="11">
        <v>45916.666666666664</v>
      </c>
      <c r="T1667">
        <v>753</v>
      </c>
    </row>
    <row r="1668" spans="1:20">
      <c r="A1668" s="11">
        <v>45916.458333333336</v>
      </c>
      <c r="B1668" s="11">
        <v>45916.479166666664</v>
      </c>
      <c r="C1668" s="10">
        <v>45916</v>
      </c>
      <c r="D1668" s="7">
        <v>657.77760000000001</v>
      </c>
      <c r="E1668" s="7">
        <v>2649531</v>
      </c>
      <c r="F1668" s="7">
        <v>2649531</v>
      </c>
      <c r="G1668" s="7">
        <v>16856122</v>
      </c>
      <c r="H1668" s="7">
        <v>658.37459999999999</v>
      </c>
      <c r="I1668" s="7">
        <v>659.08259999999996</v>
      </c>
      <c r="J1668" s="7">
        <v>14</v>
      </c>
      <c r="K1668" s="7">
        <v>1.7865273000000001E-3</v>
      </c>
      <c r="L1668" s="7">
        <v>660.26006906509997</v>
      </c>
      <c r="M1668" s="7">
        <v>657.19839579619997</v>
      </c>
      <c r="N1668" s="7">
        <v>658.15124734259996</v>
      </c>
      <c r="O1668" s="7">
        <v>660.26006906509997</v>
      </c>
      <c r="P1668" s="7">
        <v>657.19839579619997</v>
      </c>
      <c r="Q1668">
        <v>1</v>
      </c>
      <c r="R1668">
        <v>0</v>
      </c>
      <c r="S1668" s="11">
        <v>45916.666666666664</v>
      </c>
      <c r="T1668">
        <v>752</v>
      </c>
    </row>
    <row r="1669" spans="1:20">
      <c r="A1669" s="11">
        <v>45916.479166666664</v>
      </c>
      <c r="B1669" s="11">
        <v>45916.5</v>
      </c>
      <c r="C1669" s="10">
        <v>45916</v>
      </c>
      <c r="D1669" s="7">
        <v>657.83119999999997</v>
      </c>
      <c r="E1669" s="7">
        <v>2425647</v>
      </c>
      <c r="F1669" s="7">
        <v>2425647</v>
      </c>
      <c r="G1669" s="7">
        <v>19281769</v>
      </c>
      <c r="H1669" s="7">
        <v>658.37459999999999</v>
      </c>
      <c r="I1669" s="7">
        <v>659.08259999999996</v>
      </c>
      <c r="J1669" s="7">
        <v>14</v>
      </c>
      <c r="K1669" s="7">
        <v>2.0911723999999998E-3</v>
      </c>
      <c r="L1669" s="7">
        <v>660.46085533899998</v>
      </c>
      <c r="M1669" s="7">
        <v>656.99782521099996</v>
      </c>
      <c r="N1669" s="7">
        <v>658.11098537930002</v>
      </c>
      <c r="O1669" s="7">
        <v>660.46085533899998</v>
      </c>
      <c r="P1669" s="7">
        <v>656.99782521099996</v>
      </c>
      <c r="Q1669">
        <v>1</v>
      </c>
      <c r="R1669">
        <v>0</v>
      </c>
      <c r="S1669" s="11">
        <v>45916.666666666664</v>
      </c>
      <c r="T1669">
        <v>751</v>
      </c>
    </row>
    <row r="1670" spans="1:20">
      <c r="A1670" s="11">
        <v>45916.5</v>
      </c>
      <c r="B1670" s="11">
        <v>45916.520833333336</v>
      </c>
      <c r="C1670" s="10">
        <v>45916</v>
      </c>
      <c r="D1670" s="7">
        <v>658.05550000000005</v>
      </c>
      <c r="E1670" s="7">
        <v>1446374</v>
      </c>
      <c r="F1670" s="7">
        <v>1446374</v>
      </c>
      <c r="G1670" s="7">
        <v>20728143</v>
      </c>
      <c r="H1670" s="7">
        <v>658.37459999999999</v>
      </c>
      <c r="I1670" s="7">
        <v>659.08259999999996</v>
      </c>
      <c r="J1670" s="7">
        <v>14</v>
      </c>
      <c r="K1670" s="7">
        <v>2.0758001000000001E-3</v>
      </c>
      <c r="L1670" s="7">
        <v>660.45072371549998</v>
      </c>
      <c r="M1670" s="7">
        <v>657.00794595089997</v>
      </c>
      <c r="N1670" s="7">
        <v>658.10711370540002</v>
      </c>
      <c r="O1670" s="7">
        <v>660.45072371549998</v>
      </c>
      <c r="P1670" s="7">
        <v>657.00794595089997</v>
      </c>
      <c r="Q1670">
        <v>1</v>
      </c>
      <c r="R1670">
        <v>0</v>
      </c>
      <c r="S1670" s="11">
        <v>45916.666666666664</v>
      </c>
      <c r="T1670">
        <v>750</v>
      </c>
    </row>
    <row r="1671" spans="1:20">
      <c r="A1671" s="11">
        <v>45916.520833333336</v>
      </c>
      <c r="B1671" s="11">
        <v>45916.541666666664</v>
      </c>
      <c r="C1671" s="10">
        <v>45916</v>
      </c>
      <c r="D1671" s="7">
        <v>658.08040000000005</v>
      </c>
      <c r="E1671" s="7">
        <v>1696275</v>
      </c>
      <c r="F1671" s="7">
        <v>1696275</v>
      </c>
      <c r="G1671" s="7">
        <v>22424418</v>
      </c>
      <c r="H1671" s="7">
        <v>658.37459999999999</v>
      </c>
      <c r="I1671" s="7">
        <v>659.08259999999996</v>
      </c>
      <c r="J1671" s="7">
        <v>14</v>
      </c>
      <c r="K1671" s="7">
        <v>1.7355234E-3</v>
      </c>
      <c r="L1671" s="7">
        <v>660.22645325129997</v>
      </c>
      <c r="M1671" s="7">
        <v>657.23197549919996</v>
      </c>
      <c r="N1671" s="7">
        <v>658.10509297110002</v>
      </c>
      <c r="O1671" s="7">
        <v>660.22645325129997</v>
      </c>
      <c r="P1671" s="7">
        <v>657.23197549919996</v>
      </c>
      <c r="Q1671">
        <v>1</v>
      </c>
      <c r="R1671">
        <v>0</v>
      </c>
      <c r="S1671" s="11">
        <v>45916.666666666664</v>
      </c>
      <c r="T1671">
        <v>749</v>
      </c>
    </row>
    <row r="1672" spans="1:20">
      <c r="A1672" s="11">
        <v>45916.541666666664</v>
      </c>
      <c r="B1672" s="11">
        <v>45916.5625</v>
      </c>
      <c r="C1672" s="10">
        <v>45916</v>
      </c>
      <c r="D1672" s="7">
        <v>658.45370000000003</v>
      </c>
      <c r="E1672" s="7">
        <v>1535396</v>
      </c>
      <c r="F1672" s="7">
        <v>1535396</v>
      </c>
      <c r="G1672" s="7">
        <v>23959814</v>
      </c>
      <c r="H1672" s="7">
        <v>658.37459999999999</v>
      </c>
      <c r="I1672" s="7">
        <v>659.08259999999996</v>
      </c>
      <c r="J1672" s="7">
        <v>14</v>
      </c>
      <c r="K1672" s="7">
        <v>2.1825375999999998E-3</v>
      </c>
      <c r="L1672" s="7">
        <v>660.52107254350005</v>
      </c>
      <c r="M1672" s="7">
        <v>656.93767269310001</v>
      </c>
      <c r="N1672" s="7">
        <v>658.1274324533</v>
      </c>
      <c r="O1672" s="7">
        <v>660.52107254350005</v>
      </c>
      <c r="P1672" s="7">
        <v>656.93767269310001</v>
      </c>
      <c r="Q1672">
        <v>1</v>
      </c>
      <c r="R1672">
        <v>0</v>
      </c>
      <c r="S1672" s="11">
        <v>45916.666666666664</v>
      </c>
      <c r="T1672">
        <v>748</v>
      </c>
    </row>
    <row r="1673" spans="1:20">
      <c r="A1673" s="11">
        <v>45916.5625</v>
      </c>
      <c r="B1673" s="11">
        <v>45916.583333333336</v>
      </c>
      <c r="C1673" s="10">
        <v>45916</v>
      </c>
      <c r="D1673" s="7">
        <v>658.35469999999998</v>
      </c>
      <c r="E1673" s="7">
        <v>1586188</v>
      </c>
      <c r="F1673" s="7">
        <v>1586188</v>
      </c>
      <c r="G1673" s="7">
        <v>25546002</v>
      </c>
      <c r="H1673" s="7">
        <v>658.37459999999999</v>
      </c>
      <c r="I1673" s="7">
        <v>659.08259999999996</v>
      </c>
      <c r="J1673" s="7">
        <v>14</v>
      </c>
      <c r="K1673" s="7">
        <v>2.2834787E-3</v>
      </c>
      <c r="L1673" s="7">
        <v>660.58760108039996</v>
      </c>
      <c r="M1673" s="7">
        <v>656.87121562250002</v>
      </c>
      <c r="N1673" s="7">
        <v>658.14154382209995</v>
      </c>
      <c r="O1673" s="7">
        <v>660.58760108039996</v>
      </c>
      <c r="P1673" s="7">
        <v>656.87121562250002</v>
      </c>
      <c r="Q1673">
        <v>1</v>
      </c>
      <c r="R1673">
        <v>0</v>
      </c>
      <c r="S1673" s="11">
        <v>45916.666666666664</v>
      </c>
      <c r="T1673">
        <v>747</v>
      </c>
    </row>
    <row r="1674" spans="1:20">
      <c r="A1674" s="11">
        <v>45916.583333333336</v>
      </c>
      <c r="B1674" s="11">
        <v>45916.604166666664</v>
      </c>
      <c r="C1674" s="10">
        <v>45916</v>
      </c>
      <c r="D1674" s="7">
        <v>658.37959999999998</v>
      </c>
      <c r="E1674" s="7">
        <v>1569088</v>
      </c>
      <c r="F1674" s="7">
        <v>1569088</v>
      </c>
      <c r="G1674" s="7">
        <v>27115090</v>
      </c>
      <c r="H1674" s="7">
        <v>658.37459999999999</v>
      </c>
      <c r="I1674" s="7">
        <v>659.08259999999996</v>
      </c>
      <c r="J1674" s="7">
        <v>14</v>
      </c>
      <c r="K1674" s="7">
        <v>2.5378304000000002E-3</v>
      </c>
      <c r="L1674" s="7">
        <v>660.75523982870004</v>
      </c>
      <c r="M1674" s="7">
        <v>656.70375695519999</v>
      </c>
      <c r="N1674" s="7">
        <v>658.15531958650001</v>
      </c>
      <c r="O1674" s="7">
        <v>660.75523982870004</v>
      </c>
      <c r="P1674" s="7">
        <v>656.70375695519999</v>
      </c>
      <c r="Q1674">
        <v>1</v>
      </c>
      <c r="R1674">
        <v>0</v>
      </c>
      <c r="S1674" s="11">
        <v>45916.666666666664</v>
      </c>
      <c r="T1674">
        <v>746</v>
      </c>
    </row>
    <row r="1675" spans="1:20">
      <c r="A1675" s="11">
        <v>45916.604166666664</v>
      </c>
      <c r="B1675" s="11">
        <v>45916.625</v>
      </c>
      <c r="C1675" s="10">
        <v>45916</v>
      </c>
      <c r="D1675" s="7">
        <v>658.77350000000001</v>
      </c>
      <c r="E1675" s="7">
        <v>2067146</v>
      </c>
      <c r="F1675" s="7">
        <v>2067146</v>
      </c>
      <c r="G1675" s="7">
        <v>29182236</v>
      </c>
      <c r="H1675" s="7">
        <v>658.37459999999999</v>
      </c>
      <c r="I1675" s="7">
        <v>659.08259999999996</v>
      </c>
      <c r="J1675" s="7">
        <v>14</v>
      </c>
      <c r="K1675" s="7">
        <v>2.5506160999999999E-3</v>
      </c>
      <c r="L1675" s="7">
        <v>660.76366671589994</v>
      </c>
      <c r="M1675" s="7">
        <v>656.69533912029999</v>
      </c>
      <c r="N1675" s="7">
        <v>658.19910886870002</v>
      </c>
      <c r="O1675" s="7">
        <v>660.76366671589994</v>
      </c>
      <c r="P1675" s="7">
        <v>656.69533912029999</v>
      </c>
      <c r="Q1675">
        <v>1</v>
      </c>
      <c r="R1675">
        <v>0</v>
      </c>
      <c r="S1675" s="11">
        <v>45916.666666666664</v>
      </c>
      <c r="T1675">
        <v>745</v>
      </c>
    </row>
    <row r="1676" spans="1:20">
      <c r="A1676" s="11">
        <v>45916.625</v>
      </c>
      <c r="B1676" s="11">
        <v>45916.645833333336</v>
      </c>
      <c r="C1676" s="10">
        <v>45916</v>
      </c>
      <c r="D1676" s="7">
        <v>658.33969999999999</v>
      </c>
      <c r="E1676" s="7">
        <v>2773265</v>
      </c>
      <c r="F1676" s="7">
        <v>2773265</v>
      </c>
      <c r="G1676" s="7">
        <v>31955501</v>
      </c>
      <c r="H1676" s="7">
        <v>658.37459999999999</v>
      </c>
      <c r="I1676" s="7">
        <v>659.08259999999996</v>
      </c>
      <c r="J1676" s="7">
        <v>14</v>
      </c>
      <c r="K1676" s="7">
        <v>2.5245692E-3</v>
      </c>
      <c r="L1676" s="7">
        <v>660.74649961909995</v>
      </c>
      <c r="M1676" s="7">
        <v>656.71248777589994</v>
      </c>
      <c r="N1676" s="7">
        <v>658.21131010019997</v>
      </c>
      <c r="O1676" s="7">
        <v>660.74649961909995</v>
      </c>
      <c r="P1676" s="7">
        <v>656.71248777589994</v>
      </c>
      <c r="Q1676">
        <v>1</v>
      </c>
      <c r="R1676">
        <v>0</v>
      </c>
      <c r="S1676" s="11">
        <v>45916.666666666664</v>
      </c>
      <c r="T1676">
        <v>744</v>
      </c>
    </row>
    <row r="1677" spans="1:20">
      <c r="A1677" s="11">
        <v>45916.645833333336</v>
      </c>
      <c r="B1677" s="11">
        <v>45916.666666666664</v>
      </c>
      <c r="C1677" s="10">
        <v>45916</v>
      </c>
      <c r="D1677" s="7">
        <v>658.17520000000002</v>
      </c>
      <c r="E1677" s="7">
        <v>10303150</v>
      </c>
      <c r="F1677" s="7">
        <v>10303150</v>
      </c>
      <c r="G1677" s="7">
        <v>42258651</v>
      </c>
      <c r="H1677" s="7">
        <v>658.37459999999999</v>
      </c>
      <c r="I1677" s="7">
        <v>659.08259999999996</v>
      </c>
      <c r="J1677" s="7">
        <v>14</v>
      </c>
      <c r="K1677" s="7">
        <v>2.5795796E-3</v>
      </c>
      <c r="L1677" s="7">
        <v>660.78275602910003</v>
      </c>
      <c r="M1677" s="7">
        <v>656.67627031330005</v>
      </c>
      <c r="N1677" s="7">
        <v>658.18792610360003</v>
      </c>
      <c r="O1677" s="7">
        <v>660.78275602910003</v>
      </c>
      <c r="P1677" s="7">
        <v>656.67627031330005</v>
      </c>
      <c r="Q1677">
        <v>1</v>
      </c>
      <c r="R1677">
        <v>1</v>
      </c>
      <c r="S1677" s="11">
        <v>45916.666666666664</v>
      </c>
      <c r="T1677">
        <v>743</v>
      </c>
    </row>
    <row r="1678" spans="1:20">
      <c r="A1678" s="11">
        <v>45917.395833333336</v>
      </c>
      <c r="B1678" s="11">
        <v>45917.416666666664</v>
      </c>
      <c r="C1678" s="10">
        <v>45917</v>
      </c>
      <c r="D1678" s="7">
        <v>658.09040000000005</v>
      </c>
      <c r="E1678" s="7">
        <v>5575772</v>
      </c>
      <c r="F1678" s="7">
        <v>5575772</v>
      </c>
      <c r="G1678" s="7">
        <v>5575772</v>
      </c>
      <c r="H1678" s="7">
        <v>658.09040000000005</v>
      </c>
      <c r="I1678" s="7">
        <v>658.17510000000004</v>
      </c>
      <c r="J1678" s="7">
        <v>14</v>
      </c>
      <c r="K1678" s="7">
        <v>0</v>
      </c>
      <c r="L1678" s="7">
        <v>658.17510000000004</v>
      </c>
      <c r="M1678" s="7">
        <v>658.09040000000005</v>
      </c>
      <c r="N1678" s="7">
        <v>658.09040000000005</v>
      </c>
      <c r="O1678" s="7">
        <v>658.17510000000004</v>
      </c>
      <c r="P1678" s="7">
        <v>658.09040000000005</v>
      </c>
      <c r="Q1678">
        <v>1</v>
      </c>
      <c r="R1678">
        <v>0</v>
      </c>
      <c r="S1678" s="11">
        <v>45917.666666666664</v>
      </c>
      <c r="T1678">
        <v>741</v>
      </c>
    </row>
    <row r="1679" spans="1:20">
      <c r="A1679" s="11">
        <v>45917.416666666664</v>
      </c>
      <c r="B1679" s="11">
        <v>45917.4375</v>
      </c>
      <c r="C1679" s="10">
        <v>45917</v>
      </c>
      <c r="D1679" s="7">
        <v>657.34749999999997</v>
      </c>
      <c r="E1679" s="7">
        <v>3693472</v>
      </c>
      <c r="F1679" s="7">
        <v>3693472</v>
      </c>
      <c r="G1679" s="7">
        <v>9269244</v>
      </c>
      <c r="H1679" s="7">
        <v>658.09040000000005</v>
      </c>
      <c r="I1679" s="7">
        <v>658.17510000000004</v>
      </c>
      <c r="J1679" s="7">
        <v>14</v>
      </c>
      <c r="K1679" s="7">
        <v>9.6860570000000001E-4</v>
      </c>
      <c r="L1679" s="7">
        <v>658.81261217669999</v>
      </c>
      <c r="M1679" s="7">
        <v>657.45296986419999</v>
      </c>
      <c r="N1679" s="7">
        <v>657.79438013590004</v>
      </c>
      <c r="O1679" s="7">
        <v>658.81261217669999</v>
      </c>
      <c r="P1679" s="7">
        <v>657.45296986419999</v>
      </c>
      <c r="Q1679">
        <v>1</v>
      </c>
      <c r="R1679">
        <v>0</v>
      </c>
      <c r="S1679" s="11">
        <v>45917.666666666664</v>
      </c>
      <c r="T1679">
        <v>740</v>
      </c>
    </row>
    <row r="1680" spans="1:20">
      <c r="A1680" s="11">
        <v>45917.4375</v>
      </c>
      <c r="B1680" s="11">
        <v>45917.458333333336</v>
      </c>
      <c r="C1680" s="10">
        <v>45917</v>
      </c>
      <c r="D1680" s="7">
        <v>657.53689999999995</v>
      </c>
      <c r="E1680" s="7">
        <v>2464172</v>
      </c>
      <c r="F1680" s="7">
        <v>2464172</v>
      </c>
      <c r="G1680" s="7">
        <v>11733416</v>
      </c>
      <c r="H1680" s="7">
        <v>658.09040000000005</v>
      </c>
      <c r="I1680" s="7">
        <v>658.17510000000004</v>
      </c>
      <c r="J1680" s="7">
        <v>14</v>
      </c>
      <c r="K1680" s="7">
        <v>2.0706918000000002E-3</v>
      </c>
      <c r="L1680" s="7">
        <v>659.5379777787</v>
      </c>
      <c r="M1680" s="7">
        <v>656.72769760890003</v>
      </c>
      <c r="N1680" s="7">
        <v>657.74030591389999</v>
      </c>
      <c r="O1680" s="7">
        <v>659.5379777787</v>
      </c>
      <c r="P1680" s="7">
        <v>656.72769760890003</v>
      </c>
      <c r="Q1680">
        <v>1</v>
      </c>
      <c r="R1680">
        <v>0</v>
      </c>
      <c r="S1680" s="11">
        <v>45917.666666666664</v>
      </c>
      <c r="T1680">
        <v>739</v>
      </c>
    </row>
    <row r="1681" spans="1:20">
      <c r="A1681" s="11">
        <v>45917.458333333336</v>
      </c>
      <c r="B1681" s="11">
        <v>45917.479166666664</v>
      </c>
      <c r="C1681" s="10">
        <v>45917</v>
      </c>
      <c r="D1681" s="7">
        <v>657.12310000000002</v>
      </c>
      <c r="E1681" s="7">
        <v>1577817</v>
      </c>
      <c r="F1681" s="7">
        <v>1577817</v>
      </c>
      <c r="G1681" s="7">
        <v>13311233</v>
      </c>
      <c r="H1681" s="7">
        <v>658.09040000000005</v>
      </c>
      <c r="I1681" s="7">
        <v>658.17510000000004</v>
      </c>
      <c r="J1681" s="7">
        <v>14</v>
      </c>
      <c r="K1681" s="7">
        <v>1.8446194E-3</v>
      </c>
      <c r="L1681" s="7">
        <v>659.38918255090005</v>
      </c>
      <c r="M1681" s="7">
        <v>656.87647368839998</v>
      </c>
      <c r="N1681" s="7">
        <v>657.66714680209998</v>
      </c>
      <c r="O1681" s="7">
        <v>659.38918255090005</v>
      </c>
      <c r="P1681" s="7">
        <v>656.87647368839998</v>
      </c>
      <c r="Q1681">
        <v>1</v>
      </c>
      <c r="R1681">
        <v>0</v>
      </c>
      <c r="S1681" s="11">
        <v>45917.666666666664</v>
      </c>
      <c r="T1681">
        <v>738</v>
      </c>
    </row>
    <row r="1682" spans="1:20">
      <c r="A1682" s="11">
        <v>45917.479166666664</v>
      </c>
      <c r="B1682" s="11">
        <v>45917.5</v>
      </c>
      <c r="C1682" s="10">
        <v>45917</v>
      </c>
      <c r="D1682" s="7">
        <v>657.44719999999995</v>
      </c>
      <c r="E1682" s="7">
        <v>1400468</v>
      </c>
      <c r="F1682" s="7">
        <v>1400468</v>
      </c>
      <c r="G1682" s="7">
        <v>14711701</v>
      </c>
      <c r="H1682" s="7">
        <v>658.09040000000005</v>
      </c>
      <c r="I1682" s="7">
        <v>658.17510000000004</v>
      </c>
      <c r="J1682" s="7">
        <v>14</v>
      </c>
      <c r="K1682" s="7">
        <v>2.1178862999999999E-3</v>
      </c>
      <c r="L1682" s="7">
        <v>659.56904000810005</v>
      </c>
      <c r="M1682" s="7">
        <v>656.69663937689995</v>
      </c>
      <c r="N1682" s="7">
        <v>657.64620915130001</v>
      </c>
      <c r="O1682" s="7">
        <v>659.56904000810005</v>
      </c>
      <c r="P1682" s="7">
        <v>656.69663937689995</v>
      </c>
      <c r="Q1682">
        <v>1</v>
      </c>
      <c r="R1682">
        <v>0</v>
      </c>
      <c r="S1682" s="11">
        <v>45917.666666666664</v>
      </c>
      <c r="T1682">
        <v>737</v>
      </c>
    </row>
    <row r="1683" spans="1:20">
      <c r="A1683" s="11">
        <v>45917.5</v>
      </c>
      <c r="B1683" s="11">
        <v>45917.520833333336</v>
      </c>
      <c r="C1683" s="10">
        <v>45917</v>
      </c>
      <c r="D1683" s="7">
        <v>657.08820000000003</v>
      </c>
      <c r="E1683" s="7">
        <v>1100400</v>
      </c>
      <c r="F1683" s="7">
        <v>1100400</v>
      </c>
      <c r="G1683" s="7">
        <v>15812101</v>
      </c>
      <c r="H1683" s="7">
        <v>658.09040000000005</v>
      </c>
      <c r="I1683" s="7">
        <v>658.17510000000004</v>
      </c>
      <c r="J1683" s="7">
        <v>14</v>
      </c>
      <c r="K1683" s="7">
        <v>2.0170307999999998E-3</v>
      </c>
      <c r="L1683" s="7">
        <v>659.50265944809996</v>
      </c>
      <c r="M1683" s="7">
        <v>656.7630113944</v>
      </c>
      <c r="N1683" s="7">
        <v>657.60737602790005</v>
      </c>
      <c r="O1683" s="7">
        <v>659.50265944809996</v>
      </c>
      <c r="P1683" s="7">
        <v>656.7630113944</v>
      </c>
      <c r="Q1683">
        <v>1</v>
      </c>
      <c r="R1683">
        <v>0</v>
      </c>
      <c r="S1683" s="11">
        <v>45917.666666666664</v>
      </c>
      <c r="T1683">
        <v>736</v>
      </c>
    </row>
    <row r="1684" spans="1:20">
      <c r="A1684" s="11">
        <v>45917.520833333336</v>
      </c>
      <c r="B1684" s="11">
        <v>45917.541666666664</v>
      </c>
      <c r="C1684" s="10">
        <v>45917</v>
      </c>
      <c r="D1684" s="7">
        <v>656.48990000000003</v>
      </c>
      <c r="E1684" s="7">
        <v>1953532</v>
      </c>
      <c r="F1684" s="7">
        <v>1953532</v>
      </c>
      <c r="G1684" s="7">
        <v>17765633</v>
      </c>
      <c r="H1684" s="7">
        <v>658.09040000000005</v>
      </c>
      <c r="I1684" s="7">
        <v>658.17510000000004</v>
      </c>
      <c r="J1684" s="7">
        <v>14</v>
      </c>
      <c r="K1684" s="7">
        <v>1.6795041000000001E-3</v>
      </c>
      <c r="L1684" s="7">
        <v>659.28050780119997</v>
      </c>
      <c r="M1684" s="7">
        <v>656.98513445280003</v>
      </c>
      <c r="N1684" s="7">
        <v>657.48449691739995</v>
      </c>
      <c r="O1684" s="7">
        <v>659.28050780119997</v>
      </c>
      <c r="P1684" s="7">
        <v>656.98513445280003</v>
      </c>
      <c r="Q1684">
        <v>1</v>
      </c>
      <c r="R1684">
        <v>0</v>
      </c>
      <c r="S1684" s="11">
        <v>45917.666666666664</v>
      </c>
      <c r="T1684">
        <v>735</v>
      </c>
    </row>
    <row r="1685" spans="1:20">
      <c r="A1685" s="11">
        <v>45917.541666666664</v>
      </c>
      <c r="B1685" s="11">
        <v>45917.5625</v>
      </c>
      <c r="C1685" s="10">
        <v>45917</v>
      </c>
      <c r="D1685" s="7">
        <v>656.85080000000005</v>
      </c>
      <c r="E1685" s="7">
        <v>1471484</v>
      </c>
      <c r="F1685" s="7">
        <v>1471484</v>
      </c>
      <c r="G1685" s="7">
        <v>19237117</v>
      </c>
      <c r="H1685" s="7">
        <v>658.09040000000005</v>
      </c>
      <c r="I1685" s="7">
        <v>658.17510000000004</v>
      </c>
      <c r="J1685" s="7">
        <v>14</v>
      </c>
      <c r="K1685" s="7">
        <v>2.0755004999999998E-3</v>
      </c>
      <c r="L1685" s="7">
        <v>659.54114272859999</v>
      </c>
      <c r="M1685" s="7">
        <v>656.72453306629995</v>
      </c>
      <c r="N1685" s="7">
        <v>657.43602422399999</v>
      </c>
      <c r="O1685" s="7">
        <v>659.54114272859999</v>
      </c>
      <c r="P1685" s="7">
        <v>656.72453306629995</v>
      </c>
      <c r="Q1685">
        <v>1</v>
      </c>
      <c r="R1685">
        <v>0</v>
      </c>
      <c r="S1685" s="11">
        <v>45917.666666666664</v>
      </c>
      <c r="T1685">
        <v>734</v>
      </c>
    </row>
    <row r="1686" spans="1:20">
      <c r="A1686" s="11">
        <v>45917.5625</v>
      </c>
      <c r="B1686" s="11">
        <v>45917.583333333336</v>
      </c>
      <c r="C1686" s="10">
        <v>45917</v>
      </c>
      <c r="D1686" s="7">
        <v>657.85609999999997</v>
      </c>
      <c r="E1686" s="7">
        <v>2071635</v>
      </c>
      <c r="F1686" s="7">
        <v>2071635</v>
      </c>
      <c r="G1686" s="7">
        <v>21308752</v>
      </c>
      <c r="H1686" s="7">
        <v>658.09040000000005</v>
      </c>
      <c r="I1686" s="7">
        <v>658.17510000000004</v>
      </c>
      <c r="J1686" s="7">
        <v>14</v>
      </c>
      <c r="K1686" s="7">
        <v>2.2439542999999999E-3</v>
      </c>
      <c r="L1686" s="7">
        <v>659.65201482320003</v>
      </c>
      <c r="M1686" s="7">
        <v>656.6136752397</v>
      </c>
      <c r="N1686" s="7">
        <v>657.47686395410005</v>
      </c>
      <c r="O1686" s="7">
        <v>659.65201482320003</v>
      </c>
      <c r="P1686" s="7">
        <v>656.6136752397</v>
      </c>
      <c r="Q1686">
        <v>1</v>
      </c>
      <c r="R1686">
        <v>0</v>
      </c>
      <c r="S1686" s="11">
        <v>45917.666666666664</v>
      </c>
      <c r="T1686">
        <v>733</v>
      </c>
    </row>
    <row r="1687" spans="1:20">
      <c r="A1687" s="11">
        <v>45917.583333333336</v>
      </c>
      <c r="B1687" s="11">
        <v>45917.604166666664</v>
      </c>
      <c r="C1687" s="10">
        <v>45917</v>
      </c>
      <c r="D1687" s="7">
        <v>658.53420000000006</v>
      </c>
      <c r="E1687" s="7">
        <v>11033222</v>
      </c>
      <c r="F1687" s="7">
        <v>11033222</v>
      </c>
      <c r="G1687" s="7">
        <v>32341974</v>
      </c>
      <c r="H1687" s="7">
        <v>658.09040000000005</v>
      </c>
      <c r="I1687" s="7">
        <v>658.17510000000004</v>
      </c>
      <c r="J1687" s="7">
        <v>14</v>
      </c>
      <c r="K1687" s="7">
        <v>2.4238576E-3</v>
      </c>
      <c r="L1687" s="7">
        <v>659.770422747</v>
      </c>
      <c r="M1687" s="7">
        <v>656.49528255370001</v>
      </c>
      <c r="N1687" s="7">
        <v>657.83756622049998</v>
      </c>
      <c r="O1687" s="7">
        <v>659.770422747</v>
      </c>
      <c r="P1687" s="7">
        <v>656.49528255370001</v>
      </c>
      <c r="Q1687">
        <v>1</v>
      </c>
      <c r="R1687">
        <v>0</v>
      </c>
      <c r="S1687" s="11">
        <v>45917.666666666664</v>
      </c>
      <c r="T1687">
        <v>732</v>
      </c>
    </row>
    <row r="1688" spans="1:20">
      <c r="A1688" s="11">
        <v>45917.604166666664</v>
      </c>
      <c r="B1688" s="11">
        <v>45917.625</v>
      </c>
      <c r="C1688" s="10">
        <v>45917</v>
      </c>
      <c r="D1688" s="7">
        <v>655.89149999999995</v>
      </c>
      <c r="E1688" s="7">
        <v>13736131</v>
      </c>
      <c r="F1688" s="7">
        <v>13736131</v>
      </c>
      <c r="G1688" s="7">
        <v>46078105</v>
      </c>
      <c r="H1688" s="7">
        <v>658.09040000000005</v>
      </c>
      <c r="I1688" s="7">
        <v>658.17510000000004</v>
      </c>
      <c r="J1688" s="7">
        <v>14</v>
      </c>
      <c r="K1688" s="7">
        <v>2.440471E-3</v>
      </c>
      <c r="L1688" s="7">
        <v>659.78135726489995</v>
      </c>
      <c r="M1688" s="7">
        <v>656.48434944300004</v>
      </c>
      <c r="N1688" s="7">
        <v>657.25743341040004</v>
      </c>
      <c r="O1688" s="7">
        <v>659.78135726489995</v>
      </c>
      <c r="P1688" s="7">
        <v>656.48434944300004</v>
      </c>
      <c r="Q1688">
        <v>1</v>
      </c>
      <c r="R1688">
        <v>0</v>
      </c>
      <c r="S1688" s="11">
        <v>45917.666666666664</v>
      </c>
      <c r="T1688">
        <v>731</v>
      </c>
    </row>
    <row r="1689" spans="1:20">
      <c r="A1689" s="11">
        <v>45917.625</v>
      </c>
      <c r="B1689" s="11">
        <v>45917.645833333336</v>
      </c>
      <c r="C1689" s="10">
        <v>45917</v>
      </c>
      <c r="D1689" s="7">
        <v>658.245</v>
      </c>
      <c r="E1689" s="7">
        <v>9500854</v>
      </c>
      <c r="F1689" s="7">
        <v>9500854</v>
      </c>
      <c r="G1689" s="7">
        <v>55578959</v>
      </c>
      <c r="H1689" s="7">
        <v>658.09040000000005</v>
      </c>
      <c r="I1689" s="7">
        <v>658.17510000000004</v>
      </c>
      <c r="J1689" s="7">
        <v>14</v>
      </c>
      <c r="K1689" s="7">
        <v>2.3004511999999999E-3</v>
      </c>
      <c r="L1689" s="7">
        <v>659.68919969360002</v>
      </c>
      <c r="M1689" s="7">
        <v>656.57649515460002</v>
      </c>
      <c r="N1689" s="7">
        <v>657.42625136150002</v>
      </c>
      <c r="O1689" s="7">
        <v>659.68919969360002</v>
      </c>
      <c r="P1689" s="7">
        <v>656.57649515460002</v>
      </c>
      <c r="Q1689">
        <v>1</v>
      </c>
      <c r="R1689">
        <v>0</v>
      </c>
      <c r="S1689" s="11">
        <v>45917.666666666664</v>
      </c>
      <c r="T1689">
        <v>730</v>
      </c>
    </row>
    <row r="1690" spans="1:20">
      <c r="A1690" s="11">
        <v>45917.645833333336</v>
      </c>
      <c r="B1690" s="11">
        <v>45917.666666666664</v>
      </c>
      <c r="C1690" s="10">
        <v>45917</v>
      </c>
      <c r="D1690" s="7">
        <v>657.35739999999998</v>
      </c>
      <c r="E1690" s="7">
        <v>10858915</v>
      </c>
      <c r="F1690" s="7">
        <v>10858915</v>
      </c>
      <c r="G1690" s="7">
        <v>66437874</v>
      </c>
      <c r="H1690" s="7">
        <v>658.09040000000005</v>
      </c>
      <c r="I1690" s="7">
        <v>658.17510000000004</v>
      </c>
      <c r="J1690" s="7">
        <v>14</v>
      </c>
      <c r="K1690" s="7">
        <v>2.3043788E-3</v>
      </c>
      <c r="L1690" s="7">
        <v>659.69178471700002</v>
      </c>
      <c r="M1690" s="7">
        <v>656.57391046379996</v>
      </c>
      <c r="N1690" s="7">
        <v>657.41499797489996</v>
      </c>
      <c r="O1690" s="7">
        <v>659.69178471700002</v>
      </c>
      <c r="P1690" s="7">
        <v>656.57391046379996</v>
      </c>
      <c r="Q1690">
        <v>1</v>
      </c>
      <c r="R1690">
        <v>1</v>
      </c>
      <c r="S1690" s="11">
        <v>45917.666666666664</v>
      </c>
      <c r="T1690">
        <v>729</v>
      </c>
    </row>
    <row r="1691" spans="1:20">
      <c r="A1691" s="11">
        <v>45918.395833333336</v>
      </c>
      <c r="B1691" s="11">
        <v>45918.416666666664</v>
      </c>
      <c r="C1691" s="10">
        <v>45918</v>
      </c>
      <c r="D1691" s="7">
        <v>660.25940000000003</v>
      </c>
      <c r="E1691" s="7">
        <v>10799744</v>
      </c>
      <c r="F1691" s="7">
        <v>10799744</v>
      </c>
      <c r="G1691" s="7">
        <v>10799744</v>
      </c>
      <c r="H1691" s="7">
        <v>660.25940000000003</v>
      </c>
      <c r="I1691" s="7">
        <v>657.35739999999998</v>
      </c>
      <c r="J1691" s="7">
        <v>14</v>
      </c>
      <c r="K1691" s="7">
        <v>0</v>
      </c>
      <c r="L1691" s="7">
        <v>660.25940000000003</v>
      </c>
      <c r="M1691" s="7">
        <v>657.35739999999998</v>
      </c>
      <c r="N1691" s="7">
        <v>660.25940000000003</v>
      </c>
      <c r="O1691" s="7">
        <v>660.25940000000003</v>
      </c>
      <c r="P1691" s="7">
        <v>657.35739999999998</v>
      </c>
      <c r="Q1691">
        <v>1</v>
      </c>
      <c r="R1691">
        <v>0</v>
      </c>
      <c r="S1691" s="11">
        <v>45918.666666666664</v>
      </c>
      <c r="T1691">
        <v>727</v>
      </c>
    </row>
    <row r="1692" spans="1:20">
      <c r="A1692" s="11">
        <v>45918.416666666664</v>
      </c>
      <c r="B1692" s="11">
        <v>45918.4375</v>
      </c>
      <c r="C1692" s="10">
        <v>45918</v>
      </c>
      <c r="D1692" s="7">
        <v>662.65279999999996</v>
      </c>
      <c r="E1692" s="7">
        <v>6896158</v>
      </c>
      <c r="F1692" s="7">
        <v>6896158</v>
      </c>
      <c r="G1692" s="7">
        <v>17695902</v>
      </c>
      <c r="H1692" s="7">
        <v>660.25940000000003</v>
      </c>
      <c r="I1692" s="7">
        <v>657.35739999999998</v>
      </c>
      <c r="J1692" s="7">
        <v>14</v>
      </c>
      <c r="K1692" s="7">
        <v>9.6152200000000003E-4</v>
      </c>
      <c r="L1692" s="7">
        <v>660.89425392759995</v>
      </c>
      <c r="M1692" s="7">
        <v>656.72533640910001</v>
      </c>
      <c r="N1692" s="7">
        <v>661.19211677010003</v>
      </c>
      <c r="O1692" s="7">
        <v>661.19211677010003</v>
      </c>
      <c r="P1692" s="7">
        <v>656.72533640910001</v>
      </c>
      <c r="Q1692">
        <v>1</v>
      </c>
      <c r="R1692">
        <v>0</v>
      </c>
      <c r="S1692" s="11">
        <v>45918.666666666664</v>
      </c>
      <c r="T1692">
        <v>726</v>
      </c>
    </row>
    <row r="1693" spans="1:20">
      <c r="A1693" s="11">
        <v>45918.4375</v>
      </c>
      <c r="B1693" s="11">
        <v>45918.458333333336</v>
      </c>
      <c r="C1693" s="10">
        <v>45918</v>
      </c>
      <c r="D1693" s="7">
        <v>660.92759999999998</v>
      </c>
      <c r="E1693" s="7">
        <v>4861788</v>
      </c>
      <c r="F1693" s="7">
        <v>4861788</v>
      </c>
      <c r="G1693" s="7">
        <v>22557690</v>
      </c>
      <c r="H1693" s="7">
        <v>660.25940000000003</v>
      </c>
      <c r="I1693" s="7">
        <v>657.35739999999998</v>
      </c>
      <c r="J1693" s="7">
        <v>14</v>
      </c>
      <c r="K1693" s="7">
        <v>2.0292209999999999E-3</v>
      </c>
      <c r="L1693" s="7">
        <v>661.59921226899996</v>
      </c>
      <c r="M1693" s="7">
        <v>656.02347653039999</v>
      </c>
      <c r="N1693" s="7">
        <v>661.13510630229996</v>
      </c>
      <c r="O1693" s="7">
        <v>661.59921226899996</v>
      </c>
      <c r="P1693" s="7">
        <v>656.02347653039999</v>
      </c>
      <c r="Q1693">
        <v>1</v>
      </c>
      <c r="R1693">
        <v>0</v>
      </c>
      <c r="S1693" s="11">
        <v>45918.666666666664</v>
      </c>
      <c r="T1693">
        <v>725</v>
      </c>
    </row>
    <row r="1694" spans="1:20">
      <c r="A1694" s="11">
        <v>45918.458333333336</v>
      </c>
      <c r="B1694" s="11">
        <v>45918.479166666664</v>
      </c>
      <c r="C1694" s="10">
        <v>45918</v>
      </c>
      <c r="D1694" s="7">
        <v>661.55579999999998</v>
      </c>
      <c r="E1694" s="7">
        <v>3701212</v>
      </c>
      <c r="F1694" s="7">
        <v>3701212</v>
      </c>
      <c r="G1694" s="7">
        <v>26258902</v>
      </c>
      <c r="H1694" s="7">
        <v>660.25940000000003</v>
      </c>
      <c r="I1694" s="7">
        <v>657.35739999999998</v>
      </c>
      <c r="J1694" s="7">
        <v>14</v>
      </c>
      <c r="K1694" s="7">
        <v>1.8414137000000001E-3</v>
      </c>
      <c r="L1694" s="7">
        <v>661.47521069100003</v>
      </c>
      <c r="M1694" s="7">
        <v>656.14693309150005</v>
      </c>
      <c r="N1694" s="7">
        <v>661.19440339560003</v>
      </c>
      <c r="O1694" s="7">
        <v>661.47521069100003</v>
      </c>
      <c r="P1694" s="7">
        <v>656.14693309150005</v>
      </c>
      <c r="Q1694">
        <v>1</v>
      </c>
      <c r="R1694">
        <v>0</v>
      </c>
      <c r="S1694" s="11">
        <v>45918.666666666664</v>
      </c>
      <c r="T1694">
        <v>724</v>
      </c>
    </row>
    <row r="1695" spans="1:20">
      <c r="A1695" s="11">
        <v>45918.479166666664</v>
      </c>
      <c r="B1695" s="11">
        <v>45918.5</v>
      </c>
      <c r="C1695" s="10">
        <v>45918</v>
      </c>
      <c r="D1695" s="7">
        <v>660.72810000000004</v>
      </c>
      <c r="E1695" s="7">
        <v>2705514</v>
      </c>
      <c r="F1695" s="7">
        <v>2705514</v>
      </c>
      <c r="G1695" s="7">
        <v>28964416</v>
      </c>
      <c r="H1695" s="7">
        <v>660.25940000000003</v>
      </c>
      <c r="I1695" s="7">
        <v>657.35739999999998</v>
      </c>
      <c r="J1695" s="7">
        <v>14</v>
      </c>
      <c r="K1695" s="7">
        <v>2.0534974000000002E-3</v>
      </c>
      <c r="L1695" s="7">
        <v>661.61524099220003</v>
      </c>
      <c r="M1695" s="7">
        <v>656.00751825739997</v>
      </c>
      <c r="N1695" s="7">
        <v>661.15084683420002</v>
      </c>
      <c r="O1695" s="7">
        <v>661.61524099220003</v>
      </c>
      <c r="P1695" s="7">
        <v>656.00751825739997</v>
      </c>
      <c r="Q1695">
        <v>1</v>
      </c>
      <c r="R1695">
        <v>0</v>
      </c>
      <c r="S1695" s="11">
        <v>45918.666666666664</v>
      </c>
      <c r="T1695">
        <v>723</v>
      </c>
    </row>
    <row r="1696" spans="1:20">
      <c r="A1696" s="11">
        <v>45918.5</v>
      </c>
      <c r="B1696" s="11">
        <v>45918.520833333336</v>
      </c>
      <c r="C1696" s="10">
        <v>45918</v>
      </c>
      <c r="D1696" s="7">
        <v>661.64549999999997</v>
      </c>
      <c r="E1696" s="7">
        <v>2199402</v>
      </c>
      <c r="F1696" s="7">
        <v>2199402</v>
      </c>
      <c r="G1696" s="7">
        <v>31163818</v>
      </c>
      <c r="H1696" s="7">
        <v>660.25940000000003</v>
      </c>
      <c r="I1696" s="7">
        <v>657.35739999999998</v>
      </c>
      <c r="J1696" s="7">
        <v>14</v>
      </c>
      <c r="K1696" s="7">
        <v>2.0580144000000001E-3</v>
      </c>
      <c r="L1696" s="7">
        <v>661.61822337119997</v>
      </c>
      <c r="M1696" s="7">
        <v>656.0045489867</v>
      </c>
      <c r="N1696" s="7">
        <v>661.18575722809999</v>
      </c>
      <c r="O1696" s="7">
        <v>661.61822337119997</v>
      </c>
      <c r="P1696" s="7">
        <v>656.0045489867</v>
      </c>
      <c r="Q1696">
        <v>1</v>
      </c>
      <c r="R1696">
        <v>0</v>
      </c>
      <c r="S1696" s="11">
        <v>45918.666666666664</v>
      </c>
      <c r="T1696">
        <v>722</v>
      </c>
    </row>
    <row r="1697" spans="1:20">
      <c r="A1697" s="11">
        <v>45918.520833333336</v>
      </c>
      <c r="B1697" s="11">
        <v>45918.541666666664</v>
      </c>
      <c r="C1697" s="10">
        <v>45918</v>
      </c>
      <c r="D1697" s="7">
        <v>662.14419999999996</v>
      </c>
      <c r="E1697" s="7">
        <v>2162056</v>
      </c>
      <c r="F1697" s="7">
        <v>2162056</v>
      </c>
      <c r="G1697" s="7">
        <v>33325874</v>
      </c>
      <c r="H1697" s="7">
        <v>660.25940000000003</v>
      </c>
      <c r="I1697" s="7">
        <v>657.35739999999998</v>
      </c>
      <c r="J1697" s="7">
        <v>14</v>
      </c>
      <c r="K1697" s="7">
        <v>1.7477891000000001E-3</v>
      </c>
      <c r="L1697" s="7">
        <v>661.41339420179997</v>
      </c>
      <c r="M1697" s="7">
        <v>656.20847788219999</v>
      </c>
      <c r="N1697" s="7">
        <v>661.24793735109995</v>
      </c>
      <c r="O1697" s="7">
        <v>661.41339420179997</v>
      </c>
      <c r="P1697" s="7">
        <v>656.20847788219999</v>
      </c>
      <c r="Q1697">
        <v>1</v>
      </c>
      <c r="R1697">
        <v>0</v>
      </c>
      <c r="S1697" s="11">
        <v>45918.666666666664</v>
      </c>
      <c r="T1697">
        <v>721</v>
      </c>
    </row>
    <row r="1698" spans="1:20">
      <c r="A1698" s="11">
        <v>45918.541666666664</v>
      </c>
      <c r="B1698" s="11">
        <v>45918.5625</v>
      </c>
      <c r="C1698" s="10">
        <v>45918</v>
      </c>
      <c r="D1698" s="7">
        <v>661.48599999999999</v>
      </c>
      <c r="E1698" s="7">
        <v>2084382</v>
      </c>
      <c r="F1698" s="7">
        <v>2084382</v>
      </c>
      <c r="G1698" s="7">
        <v>35410256</v>
      </c>
      <c r="H1698" s="7">
        <v>660.25940000000003</v>
      </c>
      <c r="I1698" s="7">
        <v>657.35739999999998</v>
      </c>
      <c r="J1698" s="7">
        <v>14</v>
      </c>
      <c r="K1698" s="7">
        <v>2.0858004000000002E-3</v>
      </c>
      <c r="L1698" s="7">
        <v>661.63656934230005</v>
      </c>
      <c r="M1698" s="7">
        <v>655.98628365059994</v>
      </c>
      <c r="N1698" s="7">
        <v>661.2619506218</v>
      </c>
      <c r="O1698" s="7">
        <v>661.63656934230005</v>
      </c>
      <c r="P1698" s="7">
        <v>655.98628365059994</v>
      </c>
      <c r="Q1698">
        <v>1</v>
      </c>
      <c r="R1698">
        <v>0</v>
      </c>
      <c r="S1698" s="11">
        <v>45918.666666666664</v>
      </c>
      <c r="T1698">
        <v>720</v>
      </c>
    </row>
    <row r="1699" spans="1:20">
      <c r="A1699" s="11">
        <v>45918.5625</v>
      </c>
      <c r="B1699" s="11">
        <v>45918.583333333336</v>
      </c>
      <c r="C1699" s="10">
        <v>45918</v>
      </c>
      <c r="D1699" s="7">
        <v>660.92759999999998</v>
      </c>
      <c r="E1699" s="7">
        <v>2445760</v>
      </c>
      <c r="F1699" s="7">
        <v>2445760</v>
      </c>
      <c r="G1699" s="7">
        <v>37856016</v>
      </c>
      <c r="H1699" s="7">
        <v>660.25940000000003</v>
      </c>
      <c r="I1699" s="7">
        <v>657.35739999999998</v>
      </c>
      <c r="J1699" s="7">
        <v>14</v>
      </c>
      <c r="K1699" s="7">
        <v>2.1119418999999999E-3</v>
      </c>
      <c r="L1699" s="7">
        <v>661.65382950799994</v>
      </c>
      <c r="M1699" s="7">
        <v>655.96909934739995</v>
      </c>
      <c r="N1699" s="7">
        <v>661.24034926319996</v>
      </c>
      <c r="O1699" s="7">
        <v>661.65382950799994</v>
      </c>
      <c r="P1699" s="7">
        <v>655.96909934739995</v>
      </c>
      <c r="Q1699">
        <v>1</v>
      </c>
      <c r="R1699">
        <v>0</v>
      </c>
      <c r="S1699" s="11">
        <v>45918.666666666664</v>
      </c>
      <c r="T1699">
        <v>719</v>
      </c>
    </row>
    <row r="1700" spans="1:20">
      <c r="A1700" s="11">
        <v>45918.583333333336</v>
      </c>
      <c r="B1700" s="11">
        <v>45918.604166666664</v>
      </c>
      <c r="C1700" s="10">
        <v>45918</v>
      </c>
      <c r="D1700" s="7">
        <v>660.9674</v>
      </c>
      <c r="E1700" s="7">
        <v>2032896</v>
      </c>
      <c r="F1700" s="7">
        <v>2032896</v>
      </c>
      <c r="G1700" s="7">
        <v>39888912</v>
      </c>
      <c r="H1700" s="7">
        <v>660.25940000000003</v>
      </c>
      <c r="I1700" s="7">
        <v>657.35739999999998</v>
      </c>
      <c r="J1700" s="7">
        <v>14</v>
      </c>
      <c r="K1700" s="7">
        <v>2.2614521000000002E-3</v>
      </c>
      <c r="L1700" s="7">
        <v>661.75254499100004</v>
      </c>
      <c r="M1700" s="7">
        <v>655.87081774290004</v>
      </c>
      <c r="N1700" s="7">
        <v>661.22643869410001</v>
      </c>
      <c r="O1700" s="7">
        <v>661.75254499100004</v>
      </c>
      <c r="P1700" s="7">
        <v>655.87081774290004</v>
      </c>
      <c r="Q1700">
        <v>1</v>
      </c>
      <c r="R1700">
        <v>0</v>
      </c>
      <c r="S1700" s="11">
        <v>45918.666666666664</v>
      </c>
      <c r="T1700">
        <v>718</v>
      </c>
    </row>
    <row r="1701" spans="1:20">
      <c r="A1701" s="11">
        <v>45918.604166666664</v>
      </c>
      <c r="B1701" s="11">
        <v>45918.625</v>
      </c>
      <c r="C1701" s="10">
        <v>45918</v>
      </c>
      <c r="D1701" s="7">
        <v>661.42610000000002</v>
      </c>
      <c r="E1701" s="7">
        <v>2481645</v>
      </c>
      <c r="F1701" s="7">
        <v>2481645</v>
      </c>
      <c r="G1701" s="7">
        <v>42370557</v>
      </c>
      <c r="H1701" s="7">
        <v>660.25940000000003</v>
      </c>
      <c r="I1701" s="7">
        <v>657.35739999999998</v>
      </c>
      <c r="J1701" s="7">
        <v>14</v>
      </c>
      <c r="K1701" s="7">
        <v>2.4918043999999999E-3</v>
      </c>
      <c r="L1701" s="7">
        <v>661.90463726610005</v>
      </c>
      <c r="M1701" s="7">
        <v>655.71939395020001</v>
      </c>
      <c r="N1701" s="7">
        <v>661.2381328637</v>
      </c>
      <c r="O1701" s="7">
        <v>661.90463726610005</v>
      </c>
      <c r="P1701" s="7">
        <v>655.71939395020001</v>
      </c>
      <c r="Q1701">
        <v>1</v>
      </c>
      <c r="R1701">
        <v>0</v>
      </c>
      <c r="S1701" s="11">
        <v>45918.666666666664</v>
      </c>
      <c r="T1701">
        <v>717</v>
      </c>
    </row>
    <row r="1702" spans="1:20">
      <c r="A1702" s="11">
        <v>45918.625</v>
      </c>
      <c r="B1702" s="11">
        <v>45918.645833333336</v>
      </c>
      <c r="C1702" s="10">
        <v>45918</v>
      </c>
      <c r="D1702" s="7">
        <v>660.84780000000001</v>
      </c>
      <c r="E1702" s="7">
        <v>3752219</v>
      </c>
      <c r="F1702" s="7">
        <v>3752219</v>
      </c>
      <c r="G1702" s="7">
        <v>46122776</v>
      </c>
      <c r="H1702" s="7">
        <v>660.25940000000003</v>
      </c>
      <c r="I1702" s="7">
        <v>657.35739999999998</v>
      </c>
      <c r="J1702" s="7">
        <v>14</v>
      </c>
      <c r="K1702" s="7">
        <v>2.1664255999999998E-3</v>
      </c>
      <c r="L1702" s="7">
        <v>661.68980289410001</v>
      </c>
      <c r="M1702" s="7">
        <v>655.93328407310003</v>
      </c>
      <c r="N1702" s="7">
        <v>661.20637817520003</v>
      </c>
      <c r="O1702" s="7">
        <v>661.68980289410001</v>
      </c>
      <c r="P1702" s="7">
        <v>655.93328407310003</v>
      </c>
      <c r="Q1702">
        <v>1</v>
      </c>
      <c r="R1702">
        <v>0</v>
      </c>
      <c r="S1702" s="11">
        <v>45918.666666666664</v>
      </c>
      <c r="T1702">
        <v>716</v>
      </c>
    </row>
    <row r="1703" spans="1:20">
      <c r="A1703" s="11">
        <v>45918.645833333336</v>
      </c>
      <c r="B1703" s="11">
        <v>45918.666666666664</v>
      </c>
      <c r="C1703" s="10">
        <v>45918</v>
      </c>
      <c r="D1703" s="7">
        <v>660.42899999999997</v>
      </c>
      <c r="E1703" s="7">
        <v>12326079</v>
      </c>
      <c r="F1703" s="7">
        <v>12326079</v>
      </c>
      <c r="G1703" s="7">
        <v>58448855</v>
      </c>
      <c r="H1703" s="7">
        <v>660.25940000000003</v>
      </c>
      <c r="I1703" s="7">
        <v>657.35739999999998</v>
      </c>
      <c r="J1703" s="7">
        <v>14</v>
      </c>
      <c r="K1703" s="7">
        <v>2.2397696000000002E-3</v>
      </c>
      <c r="L1703" s="7">
        <v>661.73822893659997</v>
      </c>
      <c r="M1703" s="7">
        <v>655.88507087480002</v>
      </c>
      <c r="N1703" s="7">
        <v>661.04243955230004</v>
      </c>
      <c r="O1703" s="7">
        <v>661.73822893659997</v>
      </c>
      <c r="P1703" s="7">
        <v>655.88507087480002</v>
      </c>
      <c r="Q1703">
        <v>1</v>
      </c>
      <c r="R1703">
        <v>1</v>
      </c>
      <c r="S1703" s="11">
        <v>45918.666666666664</v>
      </c>
      <c r="T1703">
        <v>715</v>
      </c>
    </row>
    <row r="1704" spans="1:20">
      <c r="A1704" s="11">
        <v>45919.395833333336</v>
      </c>
      <c r="B1704" s="11">
        <v>45919.416666666664</v>
      </c>
      <c r="C1704" s="10">
        <v>45919</v>
      </c>
      <c r="D1704" s="7">
        <v>662.125</v>
      </c>
      <c r="E1704" s="7">
        <v>8090484</v>
      </c>
      <c r="F1704" s="7">
        <v>8090484</v>
      </c>
      <c r="G1704" s="7">
        <v>8090484</v>
      </c>
      <c r="H1704" s="7">
        <v>662.125</v>
      </c>
      <c r="I1704" s="7">
        <v>660.42880000000002</v>
      </c>
      <c r="J1704" s="7">
        <v>14</v>
      </c>
      <c r="K1704" s="7">
        <v>0</v>
      </c>
      <c r="L1704" s="7">
        <v>662.125</v>
      </c>
      <c r="M1704" s="7">
        <v>660.42880000000002</v>
      </c>
      <c r="N1704" s="7">
        <v>662.125</v>
      </c>
      <c r="O1704" s="7">
        <v>662.125</v>
      </c>
      <c r="P1704" s="7">
        <v>660.42880000000002</v>
      </c>
      <c r="Q1704">
        <v>1</v>
      </c>
      <c r="R1704">
        <v>0</v>
      </c>
      <c r="S1704" s="11">
        <v>45919.666666666664</v>
      </c>
      <c r="T1704">
        <v>713</v>
      </c>
    </row>
    <row r="1705" spans="1:20">
      <c r="A1705" s="11">
        <v>45919.416666666664</v>
      </c>
      <c r="B1705" s="11">
        <v>45919.4375</v>
      </c>
      <c r="C1705" s="10">
        <v>45919</v>
      </c>
      <c r="D1705" s="7">
        <v>661.875</v>
      </c>
      <c r="E1705" s="7">
        <v>3229278</v>
      </c>
      <c r="F1705" s="7">
        <v>3229278</v>
      </c>
      <c r="G1705" s="7">
        <v>11319762</v>
      </c>
      <c r="H1705" s="7">
        <v>662.125</v>
      </c>
      <c r="I1705" s="7">
        <v>660.42880000000002</v>
      </c>
      <c r="J1705" s="7">
        <v>14</v>
      </c>
      <c r="K1705" s="7">
        <v>1.2171313000000001E-3</v>
      </c>
      <c r="L1705" s="7">
        <v>662.93089304499995</v>
      </c>
      <c r="M1705" s="7">
        <v>659.62497145299994</v>
      </c>
      <c r="N1705" s="7">
        <v>662.05368052350002</v>
      </c>
      <c r="O1705" s="7">
        <v>662.93089304499995</v>
      </c>
      <c r="P1705" s="7">
        <v>659.62497145299994</v>
      </c>
      <c r="Q1705">
        <v>1</v>
      </c>
      <c r="R1705">
        <v>0</v>
      </c>
      <c r="S1705" s="11">
        <v>45919.666666666664</v>
      </c>
      <c r="T1705">
        <v>712</v>
      </c>
    </row>
    <row r="1706" spans="1:20">
      <c r="A1706" s="11">
        <v>45919.4375</v>
      </c>
      <c r="B1706" s="11">
        <v>45919.458333333336</v>
      </c>
      <c r="C1706" s="10">
        <v>45919</v>
      </c>
      <c r="D1706" s="7">
        <v>661.6</v>
      </c>
      <c r="E1706" s="7">
        <v>3389325</v>
      </c>
      <c r="F1706" s="7">
        <v>3389325</v>
      </c>
      <c r="G1706" s="7">
        <v>14709087</v>
      </c>
      <c r="H1706" s="7">
        <v>662.125</v>
      </c>
      <c r="I1706" s="7">
        <v>660.42880000000002</v>
      </c>
      <c r="J1706" s="7">
        <v>14</v>
      </c>
      <c r="K1706" s="7">
        <v>2.0113961E-3</v>
      </c>
      <c r="L1706" s="7">
        <v>663.45679564609998</v>
      </c>
      <c r="M1706" s="7">
        <v>659.10041608400002</v>
      </c>
      <c r="N1706" s="7">
        <v>661.94914169380002</v>
      </c>
      <c r="O1706" s="7">
        <v>663.45679564609998</v>
      </c>
      <c r="P1706" s="7">
        <v>659.10041608400002</v>
      </c>
      <c r="Q1706">
        <v>1</v>
      </c>
      <c r="R1706">
        <v>0</v>
      </c>
      <c r="S1706" s="11">
        <v>45919.666666666664</v>
      </c>
      <c r="T1706">
        <v>711</v>
      </c>
    </row>
    <row r="1707" spans="1:20">
      <c r="A1707" s="11">
        <v>45919.458333333336</v>
      </c>
      <c r="B1707" s="11">
        <v>45919.479166666664</v>
      </c>
      <c r="C1707" s="10">
        <v>45919</v>
      </c>
      <c r="D1707" s="7">
        <v>660.7</v>
      </c>
      <c r="E1707" s="7">
        <v>2833472</v>
      </c>
      <c r="F1707" s="7">
        <v>2833472</v>
      </c>
      <c r="G1707" s="7">
        <v>17542559</v>
      </c>
      <c r="H1707" s="7">
        <v>662.125</v>
      </c>
      <c r="I1707" s="7">
        <v>660.42880000000002</v>
      </c>
      <c r="J1707" s="7">
        <v>14</v>
      </c>
      <c r="K1707" s="7">
        <v>1.9584350000000001E-3</v>
      </c>
      <c r="L1707" s="7">
        <v>663.42172876819996</v>
      </c>
      <c r="M1707" s="7">
        <v>659.1353931292</v>
      </c>
      <c r="N1707" s="7">
        <v>661.7473804791</v>
      </c>
      <c r="O1707" s="7">
        <v>663.42172876819996</v>
      </c>
      <c r="P1707" s="7">
        <v>659.1353931292</v>
      </c>
      <c r="Q1707">
        <v>1</v>
      </c>
      <c r="R1707">
        <v>0</v>
      </c>
      <c r="S1707" s="11">
        <v>45919.666666666664</v>
      </c>
      <c r="T1707">
        <v>710</v>
      </c>
    </row>
    <row r="1708" spans="1:20">
      <c r="A1708" s="11">
        <v>45919.479166666664</v>
      </c>
      <c r="B1708" s="11">
        <v>45919.5</v>
      </c>
      <c r="C1708" s="10">
        <v>45919</v>
      </c>
      <c r="D1708" s="7">
        <v>661.59</v>
      </c>
      <c r="E1708" s="7">
        <v>2433049</v>
      </c>
      <c r="F1708" s="7">
        <v>2433049</v>
      </c>
      <c r="G1708" s="7">
        <v>19975608</v>
      </c>
      <c r="H1708" s="7">
        <v>662.125</v>
      </c>
      <c r="I1708" s="7">
        <v>660.42880000000002</v>
      </c>
      <c r="J1708" s="7">
        <v>14</v>
      </c>
      <c r="K1708" s="7">
        <v>1.9928591000000001E-3</v>
      </c>
      <c r="L1708" s="7">
        <v>663.44452182279997</v>
      </c>
      <c r="M1708" s="7">
        <v>659.11265846480001</v>
      </c>
      <c r="N1708" s="7">
        <v>661.7282113796</v>
      </c>
      <c r="O1708" s="7">
        <v>663.44452182279997</v>
      </c>
      <c r="P1708" s="7">
        <v>659.11265846480001</v>
      </c>
      <c r="Q1708">
        <v>1</v>
      </c>
      <c r="R1708">
        <v>0</v>
      </c>
      <c r="S1708" s="11">
        <v>45919.666666666664</v>
      </c>
      <c r="T1708">
        <v>709</v>
      </c>
    </row>
    <row r="1709" spans="1:20">
      <c r="A1709" s="11">
        <v>45919.5</v>
      </c>
      <c r="B1709" s="11">
        <v>45919.520833333336</v>
      </c>
      <c r="C1709" s="10">
        <v>45919</v>
      </c>
      <c r="D1709" s="7">
        <v>662.46</v>
      </c>
      <c r="E1709" s="7">
        <v>3022592</v>
      </c>
      <c r="F1709" s="7">
        <v>3022592</v>
      </c>
      <c r="G1709" s="7">
        <v>22998200</v>
      </c>
      <c r="H1709" s="7">
        <v>662.125</v>
      </c>
      <c r="I1709" s="7">
        <v>660.42880000000002</v>
      </c>
      <c r="J1709" s="7">
        <v>14</v>
      </c>
      <c r="K1709" s="7">
        <v>1.9757889999999999E-3</v>
      </c>
      <c r="L1709" s="7">
        <v>663.43321931540004</v>
      </c>
      <c r="M1709" s="7">
        <v>659.12393201789996</v>
      </c>
      <c r="N1709" s="7">
        <v>661.82438840340001</v>
      </c>
      <c r="O1709" s="7">
        <v>663.43321931540004</v>
      </c>
      <c r="P1709" s="7">
        <v>659.12393201789996</v>
      </c>
      <c r="Q1709">
        <v>1</v>
      </c>
      <c r="R1709">
        <v>0</v>
      </c>
      <c r="S1709" s="11">
        <v>45919.666666666664</v>
      </c>
      <c r="T1709">
        <v>708</v>
      </c>
    </row>
    <row r="1710" spans="1:20">
      <c r="A1710" s="11">
        <v>45919.520833333336</v>
      </c>
      <c r="B1710" s="11">
        <v>45919.541666666664</v>
      </c>
      <c r="C1710" s="10">
        <v>45919</v>
      </c>
      <c r="D1710" s="7">
        <v>662.51499999999999</v>
      </c>
      <c r="E1710" s="7">
        <v>2156998</v>
      </c>
      <c r="F1710" s="7">
        <v>2156998</v>
      </c>
      <c r="G1710" s="7">
        <v>25155198</v>
      </c>
      <c r="H1710" s="7">
        <v>662.125</v>
      </c>
      <c r="I1710" s="7">
        <v>660.42880000000002</v>
      </c>
      <c r="J1710" s="7">
        <v>14</v>
      </c>
      <c r="K1710" s="7">
        <v>1.7725862999999999E-3</v>
      </c>
      <c r="L1710" s="7">
        <v>663.29867372900003</v>
      </c>
      <c r="M1710" s="7">
        <v>659.25813293190004</v>
      </c>
      <c r="N1710" s="7">
        <v>661.88360669430006</v>
      </c>
      <c r="O1710" s="7">
        <v>663.29867372900003</v>
      </c>
      <c r="P1710" s="7">
        <v>659.25813293190004</v>
      </c>
      <c r="Q1710">
        <v>1</v>
      </c>
      <c r="R1710">
        <v>0</v>
      </c>
      <c r="S1710" s="11">
        <v>45919.666666666664</v>
      </c>
      <c r="T1710">
        <v>707</v>
      </c>
    </row>
    <row r="1711" spans="1:20">
      <c r="A1711" s="11">
        <v>45919.541666666664</v>
      </c>
      <c r="B1711" s="11">
        <v>45919.5625</v>
      </c>
      <c r="C1711" s="10">
        <v>45919</v>
      </c>
      <c r="D1711" s="7">
        <v>662.46</v>
      </c>
      <c r="E1711" s="7">
        <v>1568501</v>
      </c>
      <c r="F1711" s="7">
        <v>1568501</v>
      </c>
      <c r="G1711" s="7">
        <v>26723699</v>
      </c>
      <c r="H1711" s="7">
        <v>662.125</v>
      </c>
      <c r="I1711" s="7">
        <v>660.42880000000002</v>
      </c>
      <c r="J1711" s="7">
        <v>14</v>
      </c>
      <c r="K1711" s="7">
        <v>1.9896347999999999E-3</v>
      </c>
      <c r="L1711" s="7">
        <v>663.44238696570005</v>
      </c>
      <c r="M1711" s="7">
        <v>659.11478785290001</v>
      </c>
      <c r="N1711" s="7">
        <v>661.91743709620005</v>
      </c>
      <c r="O1711" s="7">
        <v>663.44238696570005</v>
      </c>
      <c r="P1711" s="7">
        <v>659.11478785290001</v>
      </c>
      <c r="Q1711">
        <v>1</v>
      </c>
      <c r="R1711">
        <v>0</v>
      </c>
      <c r="S1711" s="11">
        <v>45919.666666666664</v>
      </c>
      <c r="T1711">
        <v>706</v>
      </c>
    </row>
    <row r="1712" spans="1:20">
      <c r="A1712" s="11">
        <v>45919.5625</v>
      </c>
      <c r="B1712" s="11">
        <v>45919.583333333336</v>
      </c>
      <c r="C1712" s="10">
        <v>45919</v>
      </c>
      <c r="D1712" s="7">
        <v>662.7</v>
      </c>
      <c r="E1712" s="7">
        <v>2046014</v>
      </c>
      <c r="F1712" s="7">
        <v>2046014</v>
      </c>
      <c r="G1712" s="7">
        <v>28769713</v>
      </c>
      <c r="H1712" s="7">
        <v>662.125</v>
      </c>
      <c r="I1712" s="7">
        <v>660.42880000000002</v>
      </c>
      <c r="J1712" s="7">
        <v>14</v>
      </c>
      <c r="K1712" s="7">
        <v>1.9281382999999999E-3</v>
      </c>
      <c r="L1712" s="7">
        <v>663.40166855919995</v>
      </c>
      <c r="M1712" s="7">
        <v>659.15540194890002</v>
      </c>
      <c r="N1712" s="7">
        <v>661.9730905765</v>
      </c>
      <c r="O1712" s="7">
        <v>663.40166855919995</v>
      </c>
      <c r="P1712" s="7">
        <v>659.15540194890002</v>
      </c>
      <c r="Q1712">
        <v>1</v>
      </c>
      <c r="R1712">
        <v>0</v>
      </c>
      <c r="S1712" s="11">
        <v>45919.666666666664</v>
      </c>
      <c r="T1712">
        <v>705</v>
      </c>
    </row>
    <row r="1713" spans="1:20">
      <c r="A1713" s="11">
        <v>45919.583333333336</v>
      </c>
      <c r="B1713" s="11">
        <v>45919.604166666664</v>
      </c>
      <c r="C1713" s="10">
        <v>45919</v>
      </c>
      <c r="D1713" s="7">
        <v>662.52499999999998</v>
      </c>
      <c r="E1713" s="7">
        <v>2859046</v>
      </c>
      <c r="F1713" s="7">
        <v>2859046</v>
      </c>
      <c r="G1713" s="7">
        <v>31628759</v>
      </c>
      <c r="H1713" s="7">
        <v>662.125</v>
      </c>
      <c r="I1713" s="7">
        <v>660.42880000000002</v>
      </c>
      <c r="J1713" s="7">
        <v>14</v>
      </c>
      <c r="K1713" s="7">
        <v>2.0516875000000001E-3</v>
      </c>
      <c r="L1713" s="7">
        <v>663.48347355930002</v>
      </c>
      <c r="M1713" s="7">
        <v>659.07380651300002</v>
      </c>
      <c r="N1713" s="7">
        <v>662.02297980640003</v>
      </c>
      <c r="O1713" s="7">
        <v>663.48347355930002</v>
      </c>
      <c r="P1713" s="7">
        <v>659.07380651300002</v>
      </c>
      <c r="Q1713">
        <v>1</v>
      </c>
      <c r="R1713">
        <v>0</v>
      </c>
      <c r="S1713" s="11">
        <v>45919.666666666664</v>
      </c>
      <c r="T1713">
        <v>704</v>
      </c>
    </row>
    <row r="1714" spans="1:20">
      <c r="A1714" s="11">
        <v>45919.604166666664</v>
      </c>
      <c r="B1714" s="11">
        <v>45919.625</v>
      </c>
      <c r="C1714" s="10">
        <v>45919</v>
      </c>
      <c r="D1714" s="7">
        <v>663.07</v>
      </c>
      <c r="E1714" s="7">
        <v>2508853</v>
      </c>
      <c r="F1714" s="7">
        <v>2508853</v>
      </c>
      <c r="G1714" s="7">
        <v>34137612</v>
      </c>
      <c r="H1714" s="7">
        <v>662.125</v>
      </c>
      <c r="I1714" s="7">
        <v>660.42880000000002</v>
      </c>
      <c r="J1714" s="7">
        <v>14</v>
      </c>
      <c r="K1714" s="7">
        <v>2.2951989999999999E-3</v>
      </c>
      <c r="L1714" s="7">
        <v>663.64470865400006</v>
      </c>
      <c r="M1714" s="7">
        <v>658.91298446259998</v>
      </c>
      <c r="N1714" s="7">
        <v>662.09992777089997</v>
      </c>
      <c r="O1714" s="7">
        <v>663.64470865400006</v>
      </c>
      <c r="P1714" s="7">
        <v>658.91298446259998</v>
      </c>
      <c r="Q1714">
        <v>1</v>
      </c>
      <c r="R1714">
        <v>0</v>
      </c>
      <c r="S1714" s="11">
        <v>45919.666666666664</v>
      </c>
      <c r="T1714">
        <v>703</v>
      </c>
    </row>
    <row r="1715" spans="1:20">
      <c r="A1715" s="11">
        <v>45919.625</v>
      </c>
      <c r="B1715" s="11">
        <v>45919.645833333336</v>
      </c>
      <c r="C1715" s="10">
        <v>45919</v>
      </c>
      <c r="D1715" s="7">
        <v>663.85</v>
      </c>
      <c r="E1715" s="7">
        <v>4989312</v>
      </c>
      <c r="F1715" s="7">
        <v>4989312</v>
      </c>
      <c r="G1715" s="7">
        <v>39126924</v>
      </c>
      <c r="H1715" s="7">
        <v>662.125</v>
      </c>
      <c r="I1715" s="7">
        <v>660.42880000000002</v>
      </c>
      <c r="J1715" s="7">
        <v>14</v>
      </c>
      <c r="K1715" s="7">
        <v>1.9122251000000001E-3</v>
      </c>
      <c r="L1715" s="7">
        <v>663.39113206139996</v>
      </c>
      <c r="M1715" s="7">
        <v>659.16591145489997</v>
      </c>
      <c r="N1715" s="7">
        <v>662.32309012250005</v>
      </c>
      <c r="O1715" s="7">
        <v>663.39113206139996</v>
      </c>
      <c r="P1715" s="7">
        <v>659.16591145489997</v>
      </c>
      <c r="Q1715">
        <v>1</v>
      </c>
      <c r="R1715">
        <v>0</v>
      </c>
      <c r="S1715" s="11">
        <v>45919.666666666664</v>
      </c>
      <c r="T1715">
        <v>702</v>
      </c>
    </row>
    <row r="1716" spans="1:20">
      <c r="A1716" s="11">
        <v>45919.645833333336</v>
      </c>
      <c r="B1716" s="11">
        <v>45919.666666666664</v>
      </c>
      <c r="C1716" s="10">
        <v>45919</v>
      </c>
      <c r="D1716" s="7">
        <v>663.7</v>
      </c>
      <c r="E1716" s="7">
        <v>14353976</v>
      </c>
      <c r="F1716" s="7">
        <v>14353976</v>
      </c>
      <c r="G1716" s="7">
        <v>53480900</v>
      </c>
      <c r="H1716" s="7">
        <v>662.125</v>
      </c>
      <c r="I1716" s="7">
        <v>660.42880000000002</v>
      </c>
      <c r="J1716" s="7">
        <v>14</v>
      </c>
      <c r="K1716" s="7">
        <v>1.9419140999999999E-3</v>
      </c>
      <c r="L1716" s="7">
        <v>663.41078989870005</v>
      </c>
      <c r="M1716" s="7">
        <v>659.14630397609994</v>
      </c>
      <c r="N1716" s="7">
        <v>662.67117351779996</v>
      </c>
      <c r="O1716" s="7">
        <v>663.41078989870005</v>
      </c>
      <c r="P1716" s="7">
        <v>659.14630397609994</v>
      </c>
      <c r="Q1716">
        <v>1</v>
      </c>
      <c r="R1716">
        <v>1</v>
      </c>
      <c r="S1716" s="11">
        <v>45919.666666666664</v>
      </c>
      <c r="T1716">
        <v>701</v>
      </c>
    </row>
    <row r="1717" spans="1:20">
      <c r="A1717" s="11">
        <v>45922.395833333336</v>
      </c>
      <c r="B1717" s="11">
        <v>45922.416666666664</v>
      </c>
      <c r="C1717" s="10">
        <v>45922</v>
      </c>
      <c r="D1717" s="7">
        <v>663.43</v>
      </c>
      <c r="E1717" s="7">
        <v>6410580</v>
      </c>
      <c r="F1717" s="7">
        <v>6410580</v>
      </c>
      <c r="G1717" s="7">
        <v>6410580</v>
      </c>
      <c r="H1717" s="7">
        <v>663.43</v>
      </c>
      <c r="I1717" s="7">
        <v>663.7</v>
      </c>
      <c r="J1717" s="7">
        <v>14</v>
      </c>
      <c r="K1717" s="7">
        <v>0</v>
      </c>
      <c r="L1717" s="7">
        <v>663.7</v>
      </c>
      <c r="M1717" s="7">
        <v>663.43</v>
      </c>
      <c r="N1717" s="7">
        <v>663.43</v>
      </c>
      <c r="O1717" s="7">
        <v>663.7</v>
      </c>
      <c r="P1717" s="7">
        <v>663.43</v>
      </c>
      <c r="Q1717">
        <v>1</v>
      </c>
      <c r="R1717">
        <v>0</v>
      </c>
      <c r="S1717" s="11">
        <v>45922.666666666664</v>
      </c>
      <c r="T1717">
        <v>699</v>
      </c>
    </row>
    <row r="1718" spans="1:20">
      <c r="A1718" s="11">
        <v>45922.416666666664</v>
      </c>
      <c r="B1718" s="11">
        <v>45922.4375</v>
      </c>
      <c r="C1718" s="10">
        <v>45922</v>
      </c>
      <c r="D1718" s="7">
        <v>664.07</v>
      </c>
      <c r="E1718" s="7">
        <v>3966920</v>
      </c>
      <c r="F1718" s="7">
        <v>3966920</v>
      </c>
      <c r="G1718" s="7">
        <v>10377500</v>
      </c>
      <c r="H1718" s="7">
        <v>663.43</v>
      </c>
      <c r="I1718" s="7">
        <v>663.7</v>
      </c>
      <c r="J1718" s="7">
        <v>14</v>
      </c>
      <c r="K1718" s="7">
        <v>1.1475514E-3</v>
      </c>
      <c r="L1718" s="7">
        <v>664.46162989699997</v>
      </c>
      <c r="M1718" s="7">
        <v>662.6686799419</v>
      </c>
      <c r="N1718" s="7">
        <v>663.67464743920004</v>
      </c>
      <c r="O1718" s="7">
        <v>664.46162989699997</v>
      </c>
      <c r="P1718" s="7">
        <v>662.6686799419</v>
      </c>
      <c r="Q1718">
        <v>1</v>
      </c>
      <c r="R1718">
        <v>0</v>
      </c>
      <c r="S1718" s="11">
        <v>45922.666666666664</v>
      </c>
      <c r="T1718">
        <v>698</v>
      </c>
    </row>
    <row r="1719" spans="1:20">
      <c r="A1719" s="11">
        <v>45922.4375</v>
      </c>
      <c r="B1719" s="11">
        <v>45922.458333333336</v>
      </c>
      <c r="C1719" s="10">
        <v>45922</v>
      </c>
      <c r="D1719" s="7">
        <v>664.96</v>
      </c>
      <c r="E1719" s="7">
        <v>3659337</v>
      </c>
      <c r="F1719" s="7">
        <v>3659337</v>
      </c>
      <c r="G1719" s="7">
        <v>14036837</v>
      </c>
      <c r="H1719" s="7">
        <v>663.43</v>
      </c>
      <c r="I1719" s="7">
        <v>663.7</v>
      </c>
      <c r="J1719" s="7">
        <v>14</v>
      </c>
      <c r="K1719" s="7">
        <v>1.8729915E-3</v>
      </c>
      <c r="L1719" s="7">
        <v>664.9431044849</v>
      </c>
      <c r="M1719" s="7">
        <v>662.18740122279996</v>
      </c>
      <c r="N1719" s="7">
        <v>664.00973277100002</v>
      </c>
      <c r="O1719" s="7">
        <v>664.9431044849</v>
      </c>
      <c r="P1719" s="7">
        <v>662.18740122279996</v>
      </c>
      <c r="Q1719">
        <v>1</v>
      </c>
      <c r="R1719">
        <v>0</v>
      </c>
      <c r="S1719" s="11">
        <v>45922.666666666664</v>
      </c>
      <c r="T1719">
        <v>697</v>
      </c>
    </row>
    <row r="1720" spans="1:20">
      <c r="A1720" s="11">
        <v>45922.458333333336</v>
      </c>
      <c r="B1720" s="11">
        <v>45922.479166666664</v>
      </c>
      <c r="C1720" s="10">
        <v>45922</v>
      </c>
      <c r="D1720" s="7">
        <v>664.93</v>
      </c>
      <c r="E1720" s="7">
        <v>3010803</v>
      </c>
      <c r="F1720" s="7">
        <v>3010803</v>
      </c>
      <c r="G1720" s="7">
        <v>17047640</v>
      </c>
      <c r="H1720" s="7">
        <v>663.43</v>
      </c>
      <c r="I1720" s="7">
        <v>663.7</v>
      </c>
      <c r="J1720" s="7">
        <v>14</v>
      </c>
      <c r="K1720" s="7">
        <v>1.9950389000000001E-3</v>
      </c>
      <c r="L1720" s="7">
        <v>665.02410734010004</v>
      </c>
      <c r="M1720" s="7">
        <v>662.10643132040002</v>
      </c>
      <c r="N1720" s="7">
        <v>664.17226220810005</v>
      </c>
      <c r="O1720" s="7">
        <v>665.02410734010004</v>
      </c>
      <c r="P1720" s="7">
        <v>662.10643132040002</v>
      </c>
      <c r="Q1720">
        <v>1</v>
      </c>
      <c r="R1720">
        <v>0</v>
      </c>
      <c r="S1720" s="11">
        <v>45922.666666666664</v>
      </c>
      <c r="T1720">
        <v>696</v>
      </c>
    </row>
    <row r="1721" spans="1:20">
      <c r="A1721" s="11">
        <v>45922.479166666664</v>
      </c>
      <c r="B1721" s="11">
        <v>45922.5</v>
      </c>
      <c r="C1721" s="10">
        <v>45922</v>
      </c>
      <c r="D1721" s="7">
        <v>664.58500000000004</v>
      </c>
      <c r="E1721" s="7">
        <v>2252363</v>
      </c>
      <c r="F1721" s="7">
        <v>2252363</v>
      </c>
      <c r="G1721" s="7">
        <v>19300003</v>
      </c>
      <c r="H1721" s="7">
        <v>663.43</v>
      </c>
      <c r="I1721" s="7">
        <v>663.7</v>
      </c>
      <c r="J1721" s="7">
        <v>14</v>
      </c>
      <c r="K1721" s="7">
        <v>1.8583073999999999E-3</v>
      </c>
      <c r="L1721" s="7">
        <v>664.93335861119999</v>
      </c>
      <c r="M1721" s="7">
        <v>662.19714313179998</v>
      </c>
      <c r="N1721" s="7">
        <v>664.22042983439997</v>
      </c>
      <c r="O1721" s="7">
        <v>664.93335861119999</v>
      </c>
      <c r="P1721" s="7">
        <v>662.19714313179998</v>
      </c>
      <c r="Q1721">
        <v>1</v>
      </c>
      <c r="R1721">
        <v>0</v>
      </c>
      <c r="S1721" s="11">
        <v>45922.666666666664</v>
      </c>
      <c r="T1721">
        <v>695</v>
      </c>
    </row>
    <row r="1722" spans="1:20">
      <c r="A1722" s="11">
        <v>45922.5</v>
      </c>
      <c r="B1722" s="11">
        <v>45922.520833333336</v>
      </c>
      <c r="C1722" s="10">
        <v>45922</v>
      </c>
      <c r="D1722" s="7">
        <v>665.85500000000002</v>
      </c>
      <c r="E1722" s="7">
        <v>4409707</v>
      </c>
      <c r="F1722" s="7">
        <v>4409707</v>
      </c>
      <c r="G1722" s="7">
        <v>23709710</v>
      </c>
      <c r="H1722" s="7">
        <v>663.43</v>
      </c>
      <c r="I1722" s="7">
        <v>663.7</v>
      </c>
      <c r="J1722" s="7">
        <v>14</v>
      </c>
      <c r="K1722" s="7">
        <v>1.8694511000000001E-3</v>
      </c>
      <c r="L1722" s="7">
        <v>664.94075467109997</v>
      </c>
      <c r="M1722" s="7">
        <v>662.18975008070004</v>
      </c>
      <c r="N1722" s="7">
        <v>664.52443926770002</v>
      </c>
      <c r="O1722" s="7">
        <v>664.94075467109997</v>
      </c>
      <c r="P1722" s="7">
        <v>662.18975008070004</v>
      </c>
      <c r="Q1722">
        <v>1</v>
      </c>
      <c r="R1722">
        <v>0</v>
      </c>
      <c r="S1722" s="11">
        <v>45922.666666666664</v>
      </c>
      <c r="T1722">
        <v>694</v>
      </c>
    </row>
    <row r="1723" spans="1:20">
      <c r="A1723" s="11">
        <v>45922.520833333336</v>
      </c>
      <c r="B1723" s="11">
        <v>45922.541666666664</v>
      </c>
      <c r="C1723" s="10">
        <v>45922</v>
      </c>
      <c r="D1723" s="7">
        <v>666.40499999999997</v>
      </c>
      <c r="E1723" s="7">
        <v>3459603</v>
      </c>
      <c r="F1723" s="7">
        <v>3459603</v>
      </c>
      <c r="G1723" s="7">
        <v>27169313</v>
      </c>
      <c r="H1723" s="7">
        <v>663.43</v>
      </c>
      <c r="I1723" s="7">
        <v>663.7</v>
      </c>
      <c r="J1723" s="7">
        <v>14</v>
      </c>
      <c r="K1723" s="7">
        <v>1.7264095000000001E-3</v>
      </c>
      <c r="L1723" s="7">
        <v>664.84581796190002</v>
      </c>
      <c r="M1723" s="7">
        <v>662.28464816860003</v>
      </c>
      <c r="N1723" s="7">
        <v>664.7639003667</v>
      </c>
      <c r="O1723" s="7">
        <v>664.84581796190002</v>
      </c>
      <c r="P1723" s="7">
        <v>662.28464816860003</v>
      </c>
      <c r="Q1723">
        <v>1</v>
      </c>
      <c r="R1723">
        <v>0</v>
      </c>
      <c r="S1723" s="11">
        <v>45922.666666666664</v>
      </c>
      <c r="T1723">
        <v>693</v>
      </c>
    </row>
    <row r="1724" spans="1:20">
      <c r="A1724" s="11">
        <v>45922.541666666664</v>
      </c>
      <c r="B1724" s="11">
        <v>45922.5625</v>
      </c>
      <c r="C1724" s="10">
        <v>45922</v>
      </c>
      <c r="D1724" s="7">
        <v>666.49</v>
      </c>
      <c r="E1724" s="7">
        <v>2037264</v>
      </c>
      <c r="F1724" s="7">
        <v>2037264</v>
      </c>
      <c r="G1724" s="7">
        <v>29206577</v>
      </c>
      <c r="H1724" s="7">
        <v>663.43</v>
      </c>
      <c r="I1724" s="7">
        <v>663.7</v>
      </c>
      <c r="J1724" s="7">
        <v>14</v>
      </c>
      <c r="K1724" s="7">
        <v>1.8589514999999999E-3</v>
      </c>
      <c r="L1724" s="7">
        <v>664.93378610399998</v>
      </c>
      <c r="M1724" s="7">
        <v>662.19671581290004</v>
      </c>
      <c r="N1724" s="7">
        <v>664.88430203669998</v>
      </c>
      <c r="O1724" s="7">
        <v>664.93378610399998</v>
      </c>
      <c r="P1724" s="7">
        <v>662.19671581290004</v>
      </c>
      <c r="Q1724">
        <v>1</v>
      </c>
      <c r="R1724">
        <v>0</v>
      </c>
      <c r="S1724" s="11">
        <v>45922.666666666664</v>
      </c>
      <c r="T1724">
        <v>692</v>
      </c>
    </row>
    <row r="1725" spans="1:20">
      <c r="A1725" s="11">
        <v>45922.5625</v>
      </c>
      <c r="B1725" s="11">
        <v>45922.583333333336</v>
      </c>
      <c r="C1725" s="10">
        <v>45922</v>
      </c>
      <c r="D1725" s="7">
        <v>666.36</v>
      </c>
      <c r="E1725" s="7">
        <v>2258214</v>
      </c>
      <c r="F1725" s="7">
        <v>2258214</v>
      </c>
      <c r="G1725" s="7">
        <v>31464791</v>
      </c>
      <c r="H1725" s="7">
        <v>663.43</v>
      </c>
      <c r="I1725" s="7">
        <v>663.7</v>
      </c>
      <c r="J1725" s="7">
        <v>14</v>
      </c>
      <c r="K1725" s="7">
        <v>1.8952832000000001E-3</v>
      </c>
      <c r="L1725" s="7">
        <v>664.95789944909995</v>
      </c>
      <c r="M1725" s="7">
        <v>662.1726122773</v>
      </c>
      <c r="N1725" s="7">
        <v>664.99021222049998</v>
      </c>
      <c r="O1725" s="7">
        <v>664.99021222049998</v>
      </c>
      <c r="P1725" s="7">
        <v>662.1726122773</v>
      </c>
      <c r="Q1725">
        <v>1</v>
      </c>
      <c r="R1725">
        <v>0</v>
      </c>
      <c r="S1725" s="11">
        <v>45922.666666666664</v>
      </c>
      <c r="T1725">
        <v>691</v>
      </c>
    </row>
    <row r="1726" spans="1:20">
      <c r="A1726" s="11">
        <v>45922.583333333336</v>
      </c>
      <c r="B1726" s="11">
        <v>45922.604166666664</v>
      </c>
      <c r="C1726" s="10">
        <v>45922</v>
      </c>
      <c r="D1726" s="7">
        <v>666.55</v>
      </c>
      <c r="E1726" s="7">
        <v>3195115</v>
      </c>
      <c r="F1726" s="7">
        <v>3195115</v>
      </c>
      <c r="G1726" s="7">
        <v>34659906</v>
      </c>
      <c r="H1726" s="7">
        <v>663.43</v>
      </c>
      <c r="I1726" s="7">
        <v>663.7</v>
      </c>
      <c r="J1726" s="7">
        <v>14</v>
      </c>
      <c r="K1726" s="7">
        <v>1.9612164000000001E-3</v>
      </c>
      <c r="L1726" s="7">
        <v>665.00165934029997</v>
      </c>
      <c r="M1726" s="7">
        <v>662.1288701881</v>
      </c>
      <c r="N1726" s="7">
        <v>665.13400087740001</v>
      </c>
      <c r="O1726" s="7">
        <v>665.13400087740001</v>
      </c>
      <c r="P1726" s="7">
        <v>662.1288701881</v>
      </c>
      <c r="Q1726">
        <v>1</v>
      </c>
      <c r="R1726">
        <v>0</v>
      </c>
      <c r="S1726" s="11">
        <v>45922.666666666664</v>
      </c>
      <c r="T1726">
        <v>690</v>
      </c>
    </row>
    <row r="1727" spans="1:20">
      <c r="A1727" s="11">
        <v>45922.604166666664</v>
      </c>
      <c r="B1727" s="11">
        <v>45922.625</v>
      </c>
      <c r="C1727" s="10">
        <v>45922</v>
      </c>
      <c r="D1727" s="7">
        <v>666.78</v>
      </c>
      <c r="E1727" s="7">
        <v>2068949</v>
      </c>
      <c r="F1727" s="7">
        <v>2068949</v>
      </c>
      <c r="G1727" s="7">
        <v>36728855</v>
      </c>
      <c r="H1727" s="7">
        <v>663.43</v>
      </c>
      <c r="I1727" s="7">
        <v>663.7</v>
      </c>
      <c r="J1727" s="7">
        <v>14</v>
      </c>
      <c r="K1727" s="7">
        <v>2.2845488999999998E-3</v>
      </c>
      <c r="L1727" s="7">
        <v>665.21625513319998</v>
      </c>
      <c r="M1727" s="7">
        <v>661.91436169500003</v>
      </c>
      <c r="N1727" s="7">
        <v>665.22672057260002</v>
      </c>
      <c r="O1727" s="7">
        <v>665.22672057260002</v>
      </c>
      <c r="P1727" s="7">
        <v>661.91436169500003</v>
      </c>
      <c r="Q1727">
        <v>1</v>
      </c>
      <c r="R1727">
        <v>0</v>
      </c>
      <c r="S1727" s="11">
        <v>45922.666666666664</v>
      </c>
      <c r="T1727">
        <v>689</v>
      </c>
    </row>
    <row r="1728" spans="1:20">
      <c r="A1728" s="11">
        <v>45922.625</v>
      </c>
      <c r="B1728" s="11">
        <v>45922.645833333336</v>
      </c>
      <c r="C1728" s="10">
        <v>45922</v>
      </c>
      <c r="D1728" s="7">
        <v>667.13499999999999</v>
      </c>
      <c r="E1728" s="7">
        <v>2661520</v>
      </c>
      <c r="F1728" s="7">
        <v>2661520</v>
      </c>
      <c r="G1728" s="7">
        <v>39390375</v>
      </c>
      <c r="H1728" s="7">
        <v>663.43</v>
      </c>
      <c r="I1728" s="7">
        <v>663.7</v>
      </c>
      <c r="J1728" s="7">
        <v>14</v>
      </c>
      <c r="K1728" s="7">
        <v>2.0023198000000001E-3</v>
      </c>
      <c r="L1728" s="7">
        <v>665.0289396746</v>
      </c>
      <c r="M1728" s="7">
        <v>662.10160095169999</v>
      </c>
      <c r="N1728" s="7">
        <v>665.35565876780004</v>
      </c>
      <c r="O1728" s="7">
        <v>665.35565876780004</v>
      </c>
      <c r="P1728" s="7">
        <v>662.10160095169999</v>
      </c>
      <c r="Q1728">
        <v>1</v>
      </c>
      <c r="R1728">
        <v>0</v>
      </c>
      <c r="S1728" s="11">
        <v>45922.666666666664</v>
      </c>
      <c r="T1728">
        <v>688</v>
      </c>
    </row>
    <row r="1729" spans="1:20">
      <c r="A1729" s="11">
        <v>45922.645833333336</v>
      </c>
      <c r="B1729" s="11">
        <v>45922.666666666664</v>
      </c>
      <c r="C1729" s="10">
        <v>45922</v>
      </c>
      <c r="D1729" s="7">
        <v>666.84</v>
      </c>
      <c r="E1729" s="7">
        <v>9173419</v>
      </c>
      <c r="F1729" s="7">
        <v>9173419</v>
      </c>
      <c r="G1729" s="7">
        <v>48563794</v>
      </c>
      <c r="H1729" s="7">
        <v>663.43</v>
      </c>
      <c r="I1729" s="7">
        <v>663.7</v>
      </c>
      <c r="J1729" s="7">
        <v>14</v>
      </c>
      <c r="K1729" s="7">
        <v>2.0622987E-3</v>
      </c>
      <c r="L1729" s="7">
        <v>665.06874762070004</v>
      </c>
      <c r="M1729" s="7">
        <v>662.06180919990004</v>
      </c>
      <c r="N1729" s="7">
        <v>665.63604221690002</v>
      </c>
      <c r="O1729" s="7">
        <v>665.63604221690002</v>
      </c>
      <c r="P1729" s="7">
        <v>662.06180919990004</v>
      </c>
      <c r="Q1729">
        <v>1</v>
      </c>
      <c r="R1729">
        <v>1</v>
      </c>
      <c r="S1729" s="11">
        <v>45922.666666666664</v>
      </c>
      <c r="T1729">
        <v>687</v>
      </c>
    </row>
    <row r="1730" spans="1:20">
      <c r="A1730" s="11">
        <v>45923.395833333336</v>
      </c>
      <c r="B1730" s="11">
        <v>45923.416666666664</v>
      </c>
      <c r="C1730" s="10">
        <v>45923</v>
      </c>
      <c r="D1730" s="7">
        <v>666.78</v>
      </c>
      <c r="E1730" s="7">
        <v>6038930</v>
      </c>
      <c r="F1730" s="7">
        <v>6038930</v>
      </c>
      <c r="G1730" s="7">
        <v>6038930</v>
      </c>
      <c r="H1730" s="7">
        <v>666.78</v>
      </c>
      <c r="I1730" s="7">
        <v>666.84</v>
      </c>
      <c r="J1730" s="7">
        <v>14</v>
      </c>
      <c r="K1730" s="7">
        <v>0</v>
      </c>
      <c r="L1730" s="7">
        <v>666.84</v>
      </c>
      <c r="M1730" s="7">
        <v>666.78</v>
      </c>
      <c r="N1730" s="7">
        <v>666.78</v>
      </c>
      <c r="O1730" s="7">
        <v>666.84</v>
      </c>
      <c r="P1730" s="7">
        <v>666.78</v>
      </c>
      <c r="Q1730">
        <v>1</v>
      </c>
      <c r="R1730">
        <v>0</v>
      </c>
      <c r="S1730" s="11">
        <v>45923.666666666664</v>
      </c>
      <c r="T1730">
        <v>685</v>
      </c>
    </row>
    <row r="1731" spans="1:20">
      <c r="A1731" s="11">
        <v>45923.416666666664</v>
      </c>
      <c r="B1731" s="11">
        <v>45923.4375</v>
      </c>
      <c r="C1731" s="10">
        <v>45923</v>
      </c>
      <c r="D1731" s="7">
        <v>666.61009999999999</v>
      </c>
      <c r="E1731" s="7">
        <v>4200636</v>
      </c>
      <c r="F1731" s="7">
        <v>4200636</v>
      </c>
      <c r="G1731" s="7">
        <v>10239566</v>
      </c>
      <c r="H1731" s="7">
        <v>666.78</v>
      </c>
      <c r="I1731" s="7">
        <v>666.84</v>
      </c>
      <c r="J1731" s="7">
        <v>14</v>
      </c>
      <c r="K1731" s="7">
        <v>1.2142167E-3</v>
      </c>
      <c r="L1731" s="7">
        <v>667.64968829029999</v>
      </c>
      <c r="M1731" s="7">
        <v>665.97038456270002</v>
      </c>
      <c r="N1731" s="7">
        <v>666.71030094670004</v>
      </c>
      <c r="O1731" s="7">
        <v>667.64968829029999</v>
      </c>
      <c r="P1731" s="7">
        <v>665.97038456270002</v>
      </c>
      <c r="Q1731">
        <v>1</v>
      </c>
      <c r="R1731">
        <v>0</v>
      </c>
      <c r="S1731" s="11">
        <v>45923.666666666664</v>
      </c>
      <c r="T1731">
        <v>684</v>
      </c>
    </row>
    <row r="1732" spans="1:20">
      <c r="A1732" s="11">
        <v>45923.4375</v>
      </c>
      <c r="B1732" s="11">
        <v>45923.458333333336</v>
      </c>
      <c r="C1732" s="10">
        <v>45923</v>
      </c>
      <c r="D1732" s="7">
        <v>666.35</v>
      </c>
      <c r="E1732" s="7">
        <v>2824140</v>
      </c>
      <c r="F1732" s="7">
        <v>2824140</v>
      </c>
      <c r="G1732" s="7">
        <v>13063706</v>
      </c>
      <c r="H1732" s="7">
        <v>666.78</v>
      </c>
      <c r="I1732" s="7">
        <v>666.84</v>
      </c>
      <c r="J1732" s="7">
        <v>14</v>
      </c>
      <c r="K1732" s="7">
        <v>1.8500295E-3</v>
      </c>
      <c r="L1732" s="7">
        <v>668.07367368899997</v>
      </c>
      <c r="M1732" s="7">
        <v>665.54643731270005</v>
      </c>
      <c r="N1732" s="7">
        <v>666.63241031480004</v>
      </c>
      <c r="O1732" s="7">
        <v>668.07367368899997</v>
      </c>
      <c r="P1732" s="7">
        <v>665.54643731270005</v>
      </c>
      <c r="Q1732">
        <v>1</v>
      </c>
      <c r="R1732">
        <v>0</v>
      </c>
      <c r="S1732" s="11">
        <v>45923.666666666664</v>
      </c>
      <c r="T1732">
        <v>683</v>
      </c>
    </row>
    <row r="1733" spans="1:20">
      <c r="A1733" s="11">
        <v>45923.458333333336</v>
      </c>
      <c r="B1733" s="11">
        <v>45923.479166666664</v>
      </c>
      <c r="C1733" s="10">
        <v>45923</v>
      </c>
      <c r="D1733" s="7">
        <v>666.16</v>
      </c>
      <c r="E1733" s="7">
        <v>2108698</v>
      </c>
      <c r="F1733" s="7">
        <v>2108698</v>
      </c>
      <c r="G1733" s="7">
        <v>15172404</v>
      </c>
      <c r="H1733" s="7">
        <v>666.78</v>
      </c>
      <c r="I1733" s="7">
        <v>666.84</v>
      </c>
      <c r="J1733" s="7">
        <v>14</v>
      </c>
      <c r="K1733" s="7">
        <v>1.8403664999999999E-3</v>
      </c>
      <c r="L1733" s="7">
        <v>668.0672300041</v>
      </c>
      <c r="M1733" s="7">
        <v>665.55288041790004</v>
      </c>
      <c r="N1733" s="7">
        <v>666.56675356810001</v>
      </c>
      <c r="O1733" s="7">
        <v>668.0672300041</v>
      </c>
      <c r="P1733" s="7">
        <v>665.55288041790004</v>
      </c>
      <c r="Q1733">
        <v>1</v>
      </c>
      <c r="R1733">
        <v>0</v>
      </c>
      <c r="S1733" s="11">
        <v>45923.666666666664</v>
      </c>
      <c r="T1733">
        <v>682</v>
      </c>
    </row>
    <row r="1734" spans="1:20">
      <c r="A1734" s="11">
        <v>45923.479166666664</v>
      </c>
      <c r="B1734" s="11">
        <v>45923.5</v>
      </c>
      <c r="C1734" s="10">
        <v>45923</v>
      </c>
      <c r="D1734" s="7">
        <v>665.57069999999999</v>
      </c>
      <c r="E1734" s="7">
        <v>2345432</v>
      </c>
      <c r="F1734" s="7">
        <v>2345432</v>
      </c>
      <c r="G1734" s="7">
        <v>17517836</v>
      </c>
      <c r="H1734" s="7">
        <v>666.78</v>
      </c>
      <c r="I1734" s="7">
        <v>666.84</v>
      </c>
      <c r="J1734" s="7">
        <v>14</v>
      </c>
      <c r="K1734" s="7">
        <v>1.5201292999999999E-3</v>
      </c>
      <c r="L1734" s="7">
        <v>667.8536830173</v>
      </c>
      <c r="M1734" s="7">
        <v>665.76640819040006</v>
      </c>
      <c r="N1734" s="7">
        <v>666.43339372200001</v>
      </c>
      <c r="O1734" s="7">
        <v>667.8536830173</v>
      </c>
      <c r="P1734" s="7">
        <v>665.76640819040006</v>
      </c>
      <c r="Q1734">
        <v>1</v>
      </c>
      <c r="R1734">
        <v>0</v>
      </c>
      <c r="S1734" s="11">
        <v>45923.666666666664</v>
      </c>
      <c r="T1734">
        <v>681</v>
      </c>
    </row>
    <row r="1735" spans="1:20">
      <c r="A1735" s="11">
        <v>45923.5</v>
      </c>
      <c r="B1735" s="11">
        <v>45923.520833333336</v>
      </c>
      <c r="C1735" s="10">
        <v>45923</v>
      </c>
      <c r="D1735" s="7">
        <v>665.23</v>
      </c>
      <c r="E1735" s="7">
        <v>3233399</v>
      </c>
      <c r="F1735" s="7">
        <v>3233399</v>
      </c>
      <c r="G1735" s="7">
        <v>20751235</v>
      </c>
      <c r="H1735" s="7">
        <v>666.78</v>
      </c>
      <c r="I1735" s="7">
        <v>666.84</v>
      </c>
      <c r="J1735" s="7">
        <v>14</v>
      </c>
      <c r="K1735" s="7">
        <v>1.7160484000000001E-3</v>
      </c>
      <c r="L1735" s="7">
        <v>667.98432969709995</v>
      </c>
      <c r="M1735" s="7">
        <v>665.63577326580003</v>
      </c>
      <c r="N1735" s="7">
        <v>666.24588430120002</v>
      </c>
      <c r="O1735" s="7">
        <v>667.98432969709995</v>
      </c>
      <c r="P1735" s="7">
        <v>665.63577326580003</v>
      </c>
      <c r="Q1735">
        <v>1</v>
      </c>
      <c r="R1735">
        <v>0</v>
      </c>
      <c r="S1735" s="11">
        <v>45923.666666666664</v>
      </c>
      <c r="T1735">
        <v>680</v>
      </c>
    </row>
    <row r="1736" spans="1:20">
      <c r="A1736" s="11">
        <v>45923.520833333336</v>
      </c>
      <c r="B1736" s="11">
        <v>45923.541666666664</v>
      </c>
      <c r="C1736" s="10">
        <v>45923</v>
      </c>
      <c r="D1736" s="7">
        <v>665.14</v>
      </c>
      <c r="E1736" s="7">
        <v>3235866</v>
      </c>
      <c r="F1736" s="7">
        <v>3235866</v>
      </c>
      <c r="G1736" s="7">
        <v>23987101</v>
      </c>
      <c r="H1736" s="7">
        <v>666.78</v>
      </c>
      <c r="I1736" s="7">
        <v>666.84</v>
      </c>
      <c r="J1736" s="7">
        <v>14</v>
      </c>
      <c r="K1736" s="7">
        <v>1.7763432E-3</v>
      </c>
      <c r="L1736" s="7">
        <v>668.02453670559998</v>
      </c>
      <c r="M1736" s="7">
        <v>665.59556987489998</v>
      </c>
      <c r="N1736" s="7">
        <v>666.09670022880005</v>
      </c>
      <c r="O1736" s="7">
        <v>668.02453670559998</v>
      </c>
      <c r="P1736" s="7">
        <v>665.59556987489998</v>
      </c>
      <c r="Q1736">
        <v>1</v>
      </c>
      <c r="R1736">
        <v>0</v>
      </c>
      <c r="S1736" s="11">
        <v>45923.666666666664</v>
      </c>
      <c r="T1736">
        <v>679</v>
      </c>
    </row>
    <row r="1737" spans="1:20">
      <c r="A1737" s="11">
        <v>45923.541666666664</v>
      </c>
      <c r="B1737" s="11">
        <v>45923.5625</v>
      </c>
      <c r="C1737" s="10">
        <v>45923</v>
      </c>
      <c r="D1737" s="7">
        <v>663.61</v>
      </c>
      <c r="E1737" s="7">
        <v>3500027</v>
      </c>
      <c r="F1737" s="7">
        <v>3500027</v>
      </c>
      <c r="G1737" s="7">
        <v>27487128</v>
      </c>
      <c r="H1737" s="7">
        <v>666.78</v>
      </c>
      <c r="I1737" s="7">
        <v>666.84</v>
      </c>
      <c r="J1737" s="7">
        <v>14</v>
      </c>
      <c r="K1737" s="7">
        <v>1.9985218999999999E-3</v>
      </c>
      <c r="L1737" s="7">
        <v>668.1726943704</v>
      </c>
      <c r="M1737" s="7">
        <v>665.44742554089999</v>
      </c>
      <c r="N1737" s="7">
        <v>665.78006045689995</v>
      </c>
      <c r="O1737" s="7">
        <v>668.1726943704</v>
      </c>
      <c r="P1737" s="7">
        <v>665.44742554089999</v>
      </c>
      <c r="Q1737">
        <v>1</v>
      </c>
      <c r="R1737">
        <v>0</v>
      </c>
      <c r="S1737" s="11">
        <v>45923.666666666664</v>
      </c>
      <c r="T1737">
        <v>678</v>
      </c>
    </row>
    <row r="1738" spans="1:20">
      <c r="A1738" s="11">
        <v>45923.5625</v>
      </c>
      <c r="B1738" s="11">
        <v>45923.583333333336</v>
      </c>
      <c r="C1738" s="10">
        <v>45923</v>
      </c>
      <c r="D1738" s="7">
        <v>663.21</v>
      </c>
      <c r="E1738" s="7">
        <v>6861715</v>
      </c>
      <c r="F1738" s="7">
        <v>6861715</v>
      </c>
      <c r="G1738" s="7">
        <v>34348843</v>
      </c>
      <c r="H1738" s="7">
        <v>666.78</v>
      </c>
      <c r="I1738" s="7">
        <v>666.84</v>
      </c>
      <c r="J1738" s="7">
        <v>14</v>
      </c>
      <c r="K1738" s="7">
        <v>2.0956732999999998E-3</v>
      </c>
      <c r="L1738" s="7">
        <v>668.23747880140002</v>
      </c>
      <c r="M1738" s="7">
        <v>665.38264693899998</v>
      </c>
      <c r="N1738" s="7">
        <v>665.26665095459998</v>
      </c>
      <c r="O1738" s="7">
        <v>668.23747880140002</v>
      </c>
      <c r="P1738" s="7">
        <v>665.26665095459998</v>
      </c>
      <c r="Q1738">
        <v>1</v>
      </c>
      <c r="R1738">
        <v>0</v>
      </c>
      <c r="S1738" s="11">
        <v>45923.666666666664</v>
      </c>
      <c r="T1738">
        <v>677</v>
      </c>
    </row>
    <row r="1739" spans="1:20">
      <c r="A1739" s="11">
        <v>45923.583333333336</v>
      </c>
      <c r="B1739" s="11">
        <v>45923.604166666664</v>
      </c>
      <c r="C1739" s="10">
        <v>45923</v>
      </c>
      <c r="D1739" s="7">
        <v>662.67</v>
      </c>
      <c r="E1739" s="7">
        <v>3563212</v>
      </c>
      <c r="F1739" s="7">
        <v>3563212</v>
      </c>
      <c r="G1739" s="7">
        <v>37912055</v>
      </c>
      <c r="H1739" s="7">
        <v>666.78</v>
      </c>
      <c r="I1739" s="7">
        <v>666.84</v>
      </c>
      <c r="J1739" s="7">
        <v>14</v>
      </c>
      <c r="K1739" s="7">
        <v>2.1161423000000002E-3</v>
      </c>
      <c r="L1739" s="7">
        <v>668.25112832929995</v>
      </c>
      <c r="M1739" s="7">
        <v>665.3689986393</v>
      </c>
      <c r="N1739" s="7">
        <v>665.02260146059996</v>
      </c>
      <c r="O1739" s="7">
        <v>668.25112832929995</v>
      </c>
      <c r="P1739" s="7">
        <v>665.02260146059996</v>
      </c>
      <c r="Q1739">
        <v>1</v>
      </c>
      <c r="R1739">
        <v>0</v>
      </c>
      <c r="S1739" s="11">
        <v>45923.666666666664</v>
      </c>
      <c r="T1739">
        <v>676</v>
      </c>
    </row>
    <row r="1740" spans="1:20">
      <c r="A1740" s="11">
        <v>45923.604166666664</v>
      </c>
      <c r="B1740" s="11">
        <v>45923.625</v>
      </c>
      <c r="C1740" s="10">
        <v>45923</v>
      </c>
      <c r="D1740" s="7">
        <v>662.12</v>
      </c>
      <c r="E1740" s="7">
        <v>3358039</v>
      </c>
      <c r="F1740" s="7">
        <v>3358039</v>
      </c>
      <c r="G1740" s="7">
        <v>41270094</v>
      </c>
      <c r="H1740" s="7">
        <v>666.78</v>
      </c>
      <c r="I1740" s="7">
        <v>666.84</v>
      </c>
      <c r="J1740" s="7">
        <v>14</v>
      </c>
      <c r="K1740" s="7">
        <v>2.5078078999999998E-3</v>
      </c>
      <c r="L1740" s="7">
        <v>668.51230659989994</v>
      </c>
      <c r="M1740" s="7">
        <v>665.10784386859996</v>
      </c>
      <c r="N1740" s="7">
        <v>664.78642441420004</v>
      </c>
      <c r="O1740" s="7">
        <v>668.51230659989994</v>
      </c>
      <c r="P1740" s="7">
        <v>664.78642441420004</v>
      </c>
      <c r="Q1740">
        <v>1</v>
      </c>
      <c r="R1740">
        <v>0</v>
      </c>
      <c r="S1740" s="11">
        <v>45923.666666666664</v>
      </c>
      <c r="T1740">
        <v>675</v>
      </c>
    </row>
    <row r="1741" spans="1:20">
      <c r="A1741" s="11">
        <v>45923.625</v>
      </c>
      <c r="B1741" s="11">
        <v>45923.645833333336</v>
      </c>
      <c r="C1741" s="10">
        <v>45923</v>
      </c>
      <c r="D1741" s="7">
        <v>662.39</v>
      </c>
      <c r="E1741" s="7">
        <v>3458367</v>
      </c>
      <c r="F1741" s="7">
        <v>3458367</v>
      </c>
      <c r="G1741" s="7">
        <v>44728461</v>
      </c>
      <c r="H1741" s="7">
        <v>666.78</v>
      </c>
      <c r="I1741" s="7">
        <v>666.84</v>
      </c>
      <c r="J1741" s="7">
        <v>14</v>
      </c>
      <c r="K1741" s="7">
        <v>2.3783211000000001E-3</v>
      </c>
      <c r="L1741" s="7">
        <v>668.42595961710003</v>
      </c>
      <c r="M1741" s="7">
        <v>665.19418308219997</v>
      </c>
      <c r="N1741" s="7">
        <v>664.60113489319997</v>
      </c>
      <c r="O1741" s="7">
        <v>668.42595961710003</v>
      </c>
      <c r="P1741" s="7">
        <v>664.60113489319997</v>
      </c>
      <c r="Q1741">
        <v>1</v>
      </c>
      <c r="R1741">
        <v>0</v>
      </c>
      <c r="S1741" s="11">
        <v>45923.666666666664</v>
      </c>
      <c r="T1741">
        <v>674</v>
      </c>
    </row>
    <row r="1742" spans="1:20">
      <c r="A1742" s="11">
        <v>45923.645833333336</v>
      </c>
      <c r="B1742" s="11">
        <v>45923.666666666664</v>
      </c>
      <c r="C1742" s="10">
        <v>45923</v>
      </c>
      <c r="D1742" s="7">
        <v>663.21</v>
      </c>
      <c r="E1742" s="7">
        <v>10922301</v>
      </c>
      <c r="F1742" s="7">
        <v>10922301</v>
      </c>
      <c r="G1742" s="7">
        <v>55650762</v>
      </c>
      <c r="H1742" s="7">
        <v>666.78</v>
      </c>
      <c r="I1742" s="7">
        <v>666.84</v>
      </c>
      <c r="J1742" s="7">
        <v>14</v>
      </c>
      <c r="K1742" s="7">
        <v>2.3244065E-3</v>
      </c>
      <c r="L1742" s="7">
        <v>668.39000723929996</v>
      </c>
      <c r="M1742" s="7">
        <v>665.23013222509996</v>
      </c>
      <c r="N1742" s="7">
        <v>664.32810369849994</v>
      </c>
      <c r="O1742" s="7">
        <v>668.39000723929996</v>
      </c>
      <c r="P1742" s="7">
        <v>664.32810369849994</v>
      </c>
      <c r="Q1742">
        <v>1</v>
      </c>
      <c r="R1742">
        <v>1</v>
      </c>
      <c r="S1742" s="11">
        <v>45923.666666666664</v>
      </c>
      <c r="T1742">
        <v>673</v>
      </c>
    </row>
    <row r="1743" spans="1:20">
      <c r="A1743" s="11">
        <v>45924.395833333336</v>
      </c>
      <c r="B1743" s="11">
        <v>45924.416666666664</v>
      </c>
      <c r="C1743" s="10">
        <v>45924</v>
      </c>
      <c r="D1743" s="7">
        <v>663.01499999999999</v>
      </c>
      <c r="E1743" s="7">
        <v>6310528</v>
      </c>
      <c r="F1743" s="7">
        <v>6310528</v>
      </c>
      <c r="G1743" s="7">
        <v>6310528</v>
      </c>
      <c r="H1743" s="7">
        <v>663.01499999999999</v>
      </c>
      <c r="I1743" s="7">
        <v>663.21</v>
      </c>
      <c r="J1743" s="7">
        <v>14</v>
      </c>
      <c r="K1743" s="7">
        <v>0</v>
      </c>
      <c r="L1743" s="7">
        <v>663.21</v>
      </c>
      <c r="M1743" s="7">
        <v>663.01499999999999</v>
      </c>
      <c r="N1743" s="7">
        <v>663.01499999999999</v>
      </c>
      <c r="O1743" s="7">
        <v>663.21</v>
      </c>
      <c r="P1743" s="7">
        <v>663.01499999999999</v>
      </c>
      <c r="Q1743">
        <v>1</v>
      </c>
      <c r="R1743">
        <v>0</v>
      </c>
      <c r="S1743" s="11">
        <v>45924.666666666664</v>
      </c>
      <c r="T1743">
        <v>671</v>
      </c>
    </row>
    <row r="1744" spans="1:20">
      <c r="A1744" s="11">
        <v>45924.416666666664</v>
      </c>
      <c r="B1744" s="11">
        <v>45924.4375</v>
      </c>
      <c r="C1744" s="10">
        <v>45924</v>
      </c>
      <c r="D1744" s="7">
        <v>663.17</v>
      </c>
      <c r="E1744" s="7">
        <v>3755304</v>
      </c>
      <c r="F1744" s="7">
        <v>3755304</v>
      </c>
      <c r="G1744" s="7">
        <v>10065832</v>
      </c>
      <c r="H1744" s="7">
        <v>663.01499999999999</v>
      </c>
      <c r="I1744" s="7">
        <v>663.21</v>
      </c>
      <c r="J1744" s="7">
        <v>14</v>
      </c>
      <c r="K1744" s="7">
        <v>1.1923678E-3</v>
      </c>
      <c r="L1744" s="7">
        <v>664.00079022299997</v>
      </c>
      <c r="M1744" s="7">
        <v>662.22444228879999</v>
      </c>
      <c r="N1744" s="7">
        <v>663.07282652840001</v>
      </c>
      <c r="O1744" s="7">
        <v>664.00079022299997</v>
      </c>
      <c r="P1744" s="7">
        <v>662.22444228879999</v>
      </c>
      <c r="Q1744">
        <v>1</v>
      </c>
      <c r="R1744">
        <v>0</v>
      </c>
      <c r="S1744" s="11">
        <v>45924.666666666664</v>
      </c>
      <c r="T1744">
        <v>670</v>
      </c>
    </row>
    <row r="1745" spans="1:20">
      <c r="A1745" s="11">
        <v>45924.4375</v>
      </c>
      <c r="B1745" s="11">
        <v>45924.458333333336</v>
      </c>
      <c r="C1745" s="10">
        <v>45924</v>
      </c>
      <c r="D1745" s="7">
        <v>663.02</v>
      </c>
      <c r="E1745" s="7">
        <v>2670211</v>
      </c>
      <c r="F1745" s="7">
        <v>2670211</v>
      </c>
      <c r="G1745" s="7">
        <v>12736043</v>
      </c>
      <c r="H1745" s="7">
        <v>663.01499999999999</v>
      </c>
      <c r="I1745" s="7">
        <v>663.21</v>
      </c>
      <c r="J1745" s="7">
        <v>14</v>
      </c>
      <c r="K1745" s="7">
        <v>1.6808300999999999E-3</v>
      </c>
      <c r="L1745" s="7">
        <v>664.32474332469997</v>
      </c>
      <c r="M1745" s="7">
        <v>661.9005844372</v>
      </c>
      <c r="N1745" s="7">
        <v>663.06175103370003</v>
      </c>
      <c r="O1745" s="7">
        <v>664.32474332469997</v>
      </c>
      <c r="P1745" s="7">
        <v>661.9005844372</v>
      </c>
      <c r="Q1745">
        <v>1</v>
      </c>
      <c r="R1745">
        <v>0</v>
      </c>
      <c r="S1745" s="11">
        <v>45924.666666666664</v>
      </c>
      <c r="T1745">
        <v>669</v>
      </c>
    </row>
    <row r="1746" spans="1:20">
      <c r="A1746" s="11">
        <v>45924.458333333336</v>
      </c>
      <c r="B1746" s="11">
        <v>45924.479166666664</v>
      </c>
      <c r="C1746" s="10">
        <v>45924</v>
      </c>
      <c r="D1746" s="7">
        <v>662.66499999999996</v>
      </c>
      <c r="E1746" s="7">
        <v>2044097</v>
      </c>
      <c r="F1746" s="7">
        <v>2044097</v>
      </c>
      <c r="G1746" s="7">
        <v>14780140</v>
      </c>
      <c r="H1746" s="7">
        <v>663.01499999999999</v>
      </c>
      <c r="I1746" s="7">
        <v>663.21</v>
      </c>
      <c r="J1746" s="7">
        <v>14</v>
      </c>
      <c r="K1746" s="7">
        <v>1.8628409E-3</v>
      </c>
      <c r="L1746" s="7">
        <v>664.44545474580002</v>
      </c>
      <c r="M1746" s="7">
        <v>661.77990850820004</v>
      </c>
      <c r="N1746" s="7">
        <v>663.00688026800003</v>
      </c>
      <c r="O1746" s="7">
        <v>664.44545474580002</v>
      </c>
      <c r="P1746" s="7">
        <v>661.77990850820004</v>
      </c>
      <c r="Q1746">
        <v>1</v>
      </c>
      <c r="R1746">
        <v>0</v>
      </c>
      <c r="S1746" s="11">
        <v>45924.666666666664</v>
      </c>
      <c r="T1746">
        <v>668</v>
      </c>
    </row>
    <row r="1747" spans="1:20">
      <c r="A1747" s="11">
        <v>45924.479166666664</v>
      </c>
      <c r="B1747" s="11">
        <v>45924.5</v>
      </c>
      <c r="C1747" s="10">
        <v>45924</v>
      </c>
      <c r="D1747" s="7">
        <v>660.38</v>
      </c>
      <c r="E1747" s="7">
        <v>4263067</v>
      </c>
      <c r="F1747" s="7">
        <v>4263067</v>
      </c>
      <c r="G1747" s="7">
        <v>19043207</v>
      </c>
      <c r="H1747" s="7">
        <v>663.01499999999999</v>
      </c>
      <c r="I1747" s="7">
        <v>663.21</v>
      </c>
      <c r="J1747" s="7">
        <v>14</v>
      </c>
      <c r="K1747" s="7">
        <v>1.6201901999999999E-3</v>
      </c>
      <c r="L1747" s="7">
        <v>664.28452637520002</v>
      </c>
      <c r="M1747" s="7">
        <v>661.94078956190003</v>
      </c>
      <c r="N1747" s="7">
        <v>662.41881930839997</v>
      </c>
      <c r="O1747" s="7">
        <v>664.28452637520002</v>
      </c>
      <c r="P1747" s="7">
        <v>661.94078956190003</v>
      </c>
      <c r="Q1747">
        <v>1</v>
      </c>
      <c r="R1747">
        <v>0</v>
      </c>
      <c r="S1747" s="11">
        <v>45924.666666666664</v>
      </c>
      <c r="T1747">
        <v>667</v>
      </c>
    </row>
    <row r="1748" spans="1:20">
      <c r="A1748" s="11">
        <v>45924.5</v>
      </c>
      <c r="B1748" s="11">
        <v>45924.520833333336</v>
      </c>
      <c r="C1748" s="10">
        <v>45924</v>
      </c>
      <c r="D1748" s="7">
        <v>660.92</v>
      </c>
      <c r="E1748" s="7">
        <v>5204705</v>
      </c>
      <c r="F1748" s="7">
        <v>5204705</v>
      </c>
      <c r="G1748" s="7">
        <v>24247912</v>
      </c>
      <c r="H1748" s="7">
        <v>663.01499999999999</v>
      </c>
      <c r="I1748" s="7">
        <v>663.21</v>
      </c>
      <c r="J1748" s="7">
        <v>14</v>
      </c>
      <c r="K1748" s="7">
        <v>1.8392532E-3</v>
      </c>
      <c r="L1748" s="7">
        <v>664.42981108820004</v>
      </c>
      <c r="M1748" s="7">
        <v>661.79554756619996</v>
      </c>
      <c r="N1748" s="7">
        <v>662.09710450060004</v>
      </c>
      <c r="O1748" s="7">
        <v>664.42981108820004</v>
      </c>
      <c r="P1748" s="7">
        <v>661.79554756619996</v>
      </c>
      <c r="Q1748">
        <v>1</v>
      </c>
      <c r="R1748">
        <v>0</v>
      </c>
      <c r="S1748" s="11">
        <v>45924.666666666664</v>
      </c>
      <c r="T1748">
        <v>666</v>
      </c>
    </row>
    <row r="1749" spans="1:20">
      <c r="A1749" s="11">
        <v>45924.520833333336</v>
      </c>
      <c r="B1749" s="11">
        <v>45924.541666666664</v>
      </c>
      <c r="C1749" s="10">
        <v>45924</v>
      </c>
      <c r="D1749" s="7">
        <v>660.51</v>
      </c>
      <c r="E1749" s="7">
        <v>2050414</v>
      </c>
      <c r="F1749" s="7">
        <v>2050414</v>
      </c>
      <c r="G1749" s="7">
        <v>26298326</v>
      </c>
      <c r="H1749" s="7">
        <v>663.01499999999999</v>
      </c>
      <c r="I1749" s="7">
        <v>663.21</v>
      </c>
      <c r="J1749" s="7">
        <v>14</v>
      </c>
      <c r="K1749" s="7">
        <v>1.9264360999999999E-3</v>
      </c>
      <c r="L1749" s="7">
        <v>664.48763171129997</v>
      </c>
      <c r="M1749" s="7">
        <v>661.73774394379996</v>
      </c>
      <c r="N1749" s="7">
        <v>661.97336197460004</v>
      </c>
      <c r="O1749" s="7">
        <v>664.48763171129997</v>
      </c>
      <c r="P1749" s="7">
        <v>661.73774394379996</v>
      </c>
      <c r="Q1749">
        <v>1</v>
      </c>
      <c r="R1749">
        <v>0</v>
      </c>
      <c r="S1749" s="11">
        <v>45924.666666666664</v>
      </c>
      <c r="T1749">
        <v>665</v>
      </c>
    </row>
    <row r="1750" spans="1:20">
      <c r="A1750" s="11">
        <v>45924.541666666664</v>
      </c>
      <c r="B1750" s="11">
        <v>45924.5625</v>
      </c>
      <c r="C1750" s="10">
        <v>45924</v>
      </c>
      <c r="D1750" s="7">
        <v>661.38</v>
      </c>
      <c r="E1750" s="7">
        <v>2370366</v>
      </c>
      <c r="F1750" s="7">
        <v>2370366</v>
      </c>
      <c r="G1750" s="7">
        <v>28668692</v>
      </c>
      <c r="H1750" s="7">
        <v>663.01499999999999</v>
      </c>
      <c r="I1750" s="7">
        <v>663.21</v>
      </c>
      <c r="J1750" s="7">
        <v>14</v>
      </c>
      <c r="K1750" s="7">
        <v>2.3158622999999998E-3</v>
      </c>
      <c r="L1750" s="7">
        <v>664.74590305480001</v>
      </c>
      <c r="M1750" s="7">
        <v>661.47954853830004</v>
      </c>
      <c r="N1750" s="7">
        <v>661.92430200880005</v>
      </c>
      <c r="O1750" s="7">
        <v>664.74590305480001</v>
      </c>
      <c r="P1750" s="7">
        <v>661.47954853830004</v>
      </c>
      <c r="Q1750">
        <v>1</v>
      </c>
      <c r="R1750">
        <v>0</v>
      </c>
      <c r="S1750" s="11">
        <v>45924.666666666664</v>
      </c>
      <c r="T1750">
        <v>664</v>
      </c>
    </row>
    <row r="1751" spans="1:20">
      <c r="A1751" s="11">
        <v>45924.5625</v>
      </c>
      <c r="B1751" s="11">
        <v>45924.583333333336</v>
      </c>
      <c r="C1751" s="10">
        <v>45924</v>
      </c>
      <c r="D1751" s="7">
        <v>660.54</v>
      </c>
      <c r="E1751" s="7">
        <v>2815290</v>
      </c>
      <c r="F1751" s="7">
        <v>2815290</v>
      </c>
      <c r="G1751" s="7">
        <v>31483982</v>
      </c>
      <c r="H1751" s="7">
        <v>663.01499999999999</v>
      </c>
      <c r="I1751" s="7">
        <v>663.21</v>
      </c>
      <c r="J1751" s="7">
        <v>14</v>
      </c>
      <c r="K1751" s="7">
        <v>2.3574802E-3</v>
      </c>
      <c r="L1751" s="7">
        <v>664.77350447430001</v>
      </c>
      <c r="M1751" s="7">
        <v>661.45195523430004</v>
      </c>
      <c r="N1751" s="7">
        <v>661.80051806040001</v>
      </c>
      <c r="O1751" s="7">
        <v>664.77350447430001</v>
      </c>
      <c r="P1751" s="7">
        <v>661.45195523430004</v>
      </c>
      <c r="Q1751">
        <v>1</v>
      </c>
      <c r="R1751">
        <v>0</v>
      </c>
      <c r="S1751" s="11">
        <v>45924.666666666664</v>
      </c>
      <c r="T1751">
        <v>663</v>
      </c>
    </row>
    <row r="1752" spans="1:20">
      <c r="A1752" s="11">
        <v>45924.583333333336</v>
      </c>
      <c r="B1752" s="11">
        <v>45924.604166666664</v>
      </c>
      <c r="C1752" s="10">
        <v>45924</v>
      </c>
      <c r="D1752" s="7">
        <v>660.39</v>
      </c>
      <c r="E1752" s="7">
        <v>2974369</v>
      </c>
      <c r="F1752" s="7">
        <v>2974369</v>
      </c>
      <c r="G1752" s="7">
        <v>34458351</v>
      </c>
      <c r="H1752" s="7">
        <v>663.01499999999999</v>
      </c>
      <c r="I1752" s="7">
        <v>663.21</v>
      </c>
      <c r="J1752" s="7">
        <v>14</v>
      </c>
      <c r="K1752" s="7">
        <v>2.4492392999999999E-3</v>
      </c>
      <c r="L1752" s="7">
        <v>664.83436000209997</v>
      </c>
      <c r="M1752" s="7">
        <v>661.39111759950003</v>
      </c>
      <c r="N1752" s="7">
        <v>661.67876524660005</v>
      </c>
      <c r="O1752" s="7">
        <v>664.83436000209997</v>
      </c>
      <c r="P1752" s="7">
        <v>661.39111759950003</v>
      </c>
      <c r="Q1752">
        <v>1</v>
      </c>
      <c r="R1752">
        <v>0</v>
      </c>
      <c r="S1752" s="11">
        <v>45924.666666666664</v>
      </c>
      <c r="T1752">
        <v>662</v>
      </c>
    </row>
    <row r="1753" spans="1:20">
      <c r="A1753" s="11">
        <v>45924.604166666664</v>
      </c>
      <c r="B1753" s="11">
        <v>45924.625</v>
      </c>
      <c r="C1753" s="10">
        <v>45924</v>
      </c>
      <c r="D1753" s="7">
        <v>661.11249999999995</v>
      </c>
      <c r="E1753" s="7">
        <v>2689825</v>
      </c>
      <c r="F1753" s="7">
        <v>2689825</v>
      </c>
      <c r="G1753" s="7">
        <v>37148176</v>
      </c>
      <c r="H1753" s="7">
        <v>663.01499999999999</v>
      </c>
      <c r="I1753" s="7">
        <v>663.21</v>
      </c>
      <c r="J1753" s="7">
        <v>14</v>
      </c>
      <c r="K1753" s="7">
        <v>2.8740646000000002E-3</v>
      </c>
      <c r="L1753" s="7">
        <v>665.11610838950003</v>
      </c>
      <c r="M1753" s="7">
        <v>661.10945205309997</v>
      </c>
      <c r="N1753" s="7">
        <v>661.63776311460003</v>
      </c>
      <c r="O1753" s="7">
        <v>665.11610838950003</v>
      </c>
      <c r="P1753" s="7">
        <v>661.10945205309997</v>
      </c>
      <c r="Q1753">
        <v>1</v>
      </c>
      <c r="R1753">
        <v>0</v>
      </c>
      <c r="S1753" s="11">
        <v>45924.666666666664</v>
      </c>
      <c r="T1753">
        <v>661</v>
      </c>
    </row>
    <row r="1754" spans="1:20">
      <c r="A1754" s="11">
        <v>45924.625</v>
      </c>
      <c r="B1754" s="11">
        <v>45924.645833333336</v>
      </c>
      <c r="C1754" s="10">
        <v>45924</v>
      </c>
      <c r="D1754" s="7">
        <v>660.80250000000001</v>
      </c>
      <c r="E1754" s="7">
        <v>2249743</v>
      </c>
      <c r="F1754" s="7">
        <v>2249743</v>
      </c>
      <c r="G1754" s="7">
        <v>39397919</v>
      </c>
      <c r="H1754" s="7">
        <v>663.01499999999999</v>
      </c>
      <c r="I1754" s="7">
        <v>663.21</v>
      </c>
      <c r="J1754" s="7">
        <v>14</v>
      </c>
      <c r="K1754" s="7">
        <v>2.7351211000000001E-3</v>
      </c>
      <c r="L1754" s="7">
        <v>665.02395965339997</v>
      </c>
      <c r="M1754" s="7">
        <v>661.20157369519995</v>
      </c>
      <c r="N1754" s="7">
        <v>661.59006700800001</v>
      </c>
      <c r="O1754" s="7">
        <v>665.02395965339997</v>
      </c>
      <c r="P1754" s="7">
        <v>661.20157369519995</v>
      </c>
      <c r="Q1754">
        <v>1</v>
      </c>
      <c r="R1754">
        <v>0</v>
      </c>
      <c r="S1754" s="11">
        <v>45924.666666666664</v>
      </c>
      <c r="T1754">
        <v>660</v>
      </c>
    </row>
    <row r="1755" spans="1:20">
      <c r="A1755" s="11">
        <v>45924.645833333336</v>
      </c>
      <c r="B1755" s="11">
        <v>45924.666666666664</v>
      </c>
      <c r="C1755" s="10">
        <v>45924</v>
      </c>
      <c r="D1755" s="7">
        <v>661.1</v>
      </c>
      <c r="E1755" s="7">
        <v>8816951</v>
      </c>
      <c r="F1755" s="7">
        <v>8816951</v>
      </c>
      <c r="G1755" s="7">
        <v>48214870</v>
      </c>
      <c r="H1755" s="7">
        <v>663.01499999999999</v>
      </c>
      <c r="I1755" s="7">
        <v>663.21</v>
      </c>
      <c r="J1755" s="7">
        <v>14</v>
      </c>
      <c r="K1755" s="7">
        <v>2.5193899999999998E-3</v>
      </c>
      <c r="L1755" s="7">
        <v>664.88088462109999</v>
      </c>
      <c r="M1755" s="7">
        <v>661.34460665990002</v>
      </c>
      <c r="N1755" s="7">
        <v>661.50044949380003</v>
      </c>
      <c r="O1755" s="7">
        <v>664.88088462109999</v>
      </c>
      <c r="P1755" s="7">
        <v>661.34460665990002</v>
      </c>
      <c r="Q1755">
        <v>1</v>
      </c>
      <c r="R1755">
        <v>1</v>
      </c>
      <c r="S1755" s="11">
        <v>45924.666666666664</v>
      </c>
      <c r="T1755">
        <v>659</v>
      </c>
    </row>
    <row r="1756" spans="1:20">
      <c r="A1756" s="11">
        <v>45925.395833333336</v>
      </c>
      <c r="B1756" s="11">
        <v>45925.416666666664</v>
      </c>
      <c r="C1756" s="10">
        <v>45925</v>
      </c>
      <c r="D1756" s="7">
        <v>655.99</v>
      </c>
      <c r="E1756" s="7">
        <v>10860807</v>
      </c>
      <c r="F1756" s="7">
        <v>10860807</v>
      </c>
      <c r="G1756" s="7">
        <v>10860807</v>
      </c>
      <c r="H1756" s="7">
        <v>655.99</v>
      </c>
      <c r="I1756" s="7">
        <v>661.1</v>
      </c>
      <c r="J1756" s="7">
        <v>14</v>
      </c>
      <c r="K1756" s="7">
        <v>0</v>
      </c>
      <c r="L1756" s="7">
        <v>661.1</v>
      </c>
      <c r="M1756" s="7">
        <v>655.99</v>
      </c>
      <c r="N1756" s="7">
        <v>655.99</v>
      </c>
      <c r="O1756" s="7">
        <v>661.1</v>
      </c>
      <c r="P1756" s="7">
        <v>655.99</v>
      </c>
      <c r="Q1756">
        <v>1</v>
      </c>
      <c r="R1756">
        <v>0</v>
      </c>
      <c r="S1756" s="11">
        <v>45925.666666666664</v>
      </c>
      <c r="T1756">
        <v>657</v>
      </c>
    </row>
    <row r="1757" spans="1:20">
      <c r="A1757" s="11">
        <v>45925.416666666664</v>
      </c>
      <c r="B1757" s="11">
        <v>45925.4375</v>
      </c>
      <c r="C1757" s="10">
        <v>45925</v>
      </c>
      <c r="D1757" s="7">
        <v>658.52</v>
      </c>
      <c r="E1757" s="7">
        <v>7091107</v>
      </c>
      <c r="F1757" s="7">
        <v>7091107</v>
      </c>
      <c r="G1757" s="7">
        <v>17951914</v>
      </c>
      <c r="H1757" s="7">
        <v>655.99</v>
      </c>
      <c r="I1757" s="7">
        <v>661.1</v>
      </c>
      <c r="J1757" s="7">
        <v>14</v>
      </c>
      <c r="K1757" s="7">
        <v>1.19151E-3</v>
      </c>
      <c r="L1757" s="7">
        <v>661.88770727819997</v>
      </c>
      <c r="M1757" s="7">
        <v>655.20838133799998</v>
      </c>
      <c r="N1757" s="7">
        <v>656.98936422990005</v>
      </c>
      <c r="O1757" s="7">
        <v>661.88770727819997</v>
      </c>
      <c r="P1757" s="7">
        <v>655.20838133799998</v>
      </c>
      <c r="Q1757">
        <v>1</v>
      </c>
      <c r="R1757">
        <v>0</v>
      </c>
      <c r="S1757" s="11">
        <v>45925.666666666664</v>
      </c>
      <c r="T1757">
        <v>656</v>
      </c>
    </row>
    <row r="1758" spans="1:20">
      <c r="A1758" s="11">
        <v>45925.4375</v>
      </c>
      <c r="B1758" s="11">
        <v>45925.458333333336</v>
      </c>
      <c r="C1758" s="10">
        <v>45925</v>
      </c>
      <c r="D1758" s="7">
        <v>658.78</v>
      </c>
      <c r="E1758" s="7">
        <v>3305377</v>
      </c>
      <c r="F1758" s="7">
        <v>3305377</v>
      </c>
      <c r="G1758" s="7">
        <v>21257291</v>
      </c>
      <c r="H1758" s="7">
        <v>655.99</v>
      </c>
      <c r="I1758" s="7">
        <v>661.1</v>
      </c>
      <c r="J1758" s="7">
        <v>14</v>
      </c>
      <c r="K1758" s="7">
        <v>1.6114320999999999E-3</v>
      </c>
      <c r="L1758" s="7">
        <v>662.16531775880003</v>
      </c>
      <c r="M1758" s="7">
        <v>654.93291665920003</v>
      </c>
      <c r="N1758" s="7">
        <v>657.26779699400004</v>
      </c>
      <c r="O1758" s="7">
        <v>662.16531775880003</v>
      </c>
      <c r="P1758" s="7">
        <v>654.93291665920003</v>
      </c>
      <c r="Q1758">
        <v>1</v>
      </c>
      <c r="R1758">
        <v>0</v>
      </c>
      <c r="S1758" s="11">
        <v>45925.666666666664</v>
      </c>
      <c r="T1758">
        <v>655</v>
      </c>
    </row>
    <row r="1759" spans="1:20">
      <c r="A1759" s="11">
        <v>45925.458333333336</v>
      </c>
      <c r="B1759" s="11">
        <v>45925.479166666664</v>
      </c>
      <c r="C1759" s="10">
        <v>45925</v>
      </c>
      <c r="D1759" s="7">
        <v>657.52829999999994</v>
      </c>
      <c r="E1759" s="7">
        <v>3945767</v>
      </c>
      <c r="F1759" s="7">
        <v>3945767</v>
      </c>
      <c r="G1759" s="7">
        <v>25203058</v>
      </c>
      <c r="H1759" s="7">
        <v>655.99</v>
      </c>
      <c r="I1759" s="7">
        <v>661.1</v>
      </c>
      <c r="J1759" s="7">
        <v>14</v>
      </c>
      <c r="K1759" s="7">
        <v>1.7636169000000001E-3</v>
      </c>
      <c r="L1759" s="7">
        <v>662.26592712039997</v>
      </c>
      <c r="M1759" s="7">
        <v>654.8330849619</v>
      </c>
      <c r="N1759" s="7">
        <v>657.30858109899998</v>
      </c>
      <c r="O1759" s="7">
        <v>662.26592712039997</v>
      </c>
      <c r="P1759" s="7">
        <v>654.8330849619</v>
      </c>
      <c r="Q1759">
        <v>1</v>
      </c>
      <c r="R1759">
        <v>0</v>
      </c>
      <c r="S1759" s="11">
        <v>45925.666666666664</v>
      </c>
      <c r="T1759">
        <v>654</v>
      </c>
    </row>
    <row r="1760" spans="1:20">
      <c r="A1760" s="11">
        <v>45925.479166666664</v>
      </c>
      <c r="B1760" s="11">
        <v>45925.5</v>
      </c>
      <c r="C1760" s="10">
        <v>45925</v>
      </c>
      <c r="D1760" s="7">
        <v>658.91</v>
      </c>
      <c r="E1760" s="7">
        <v>3591616</v>
      </c>
      <c r="F1760" s="7">
        <v>3591616</v>
      </c>
      <c r="G1760" s="7">
        <v>28794674</v>
      </c>
      <c r="H1760" s="7">
        <v>655.99</v>
      </c>
      <c r="I1760" s="7">
        <v>661.1</v>
      </c>
      <c r="J1760" s="7">
        <v>14</v>
      </c>
      <c r="K1760" s="7">
        <v>1.7732323999999999E-3</v>
      </c>
      <c r="L1760" s="7">
        <v>662.27228395370003</v>
      </c>
      <c r="M1760" s="7">
        <v>654.82677726400004</v>
      </c>
      <c r="N1760" s="7">
        <v>657.50832921029996</v>
      </c>
      <c r="O1760" s="7">
        <v>662.27228395370003</v>
      </c>
      <c r="P1760" s="7">
        <v>654.82677726400004</v>
      </c>
      <c r="Q1760">
        <v>1</v>
      </c>
      <c r="R1760">
        <v>0</v>
      </c>
      <c r="S1760" s="11">
        <v>45925.666666666664</v>
      </c>
      <c r="T1760">
        <v>653</v>
      </c>
    </row>
    <row r="1761" spans="1:20">
      <c r="A1761" s="11">
        <v>45925.5</v>
      </c>
      <c r="B1761" s="11">
        <v>45925.520833333336</v>
      </c>
      <c r="C1761" s="10">
        <v>45925</v>
      </c>
      <c r="D1761" s="7">
        <v>658.05499999999995</v>
      </c>
      <c r="E1761" s="7">
        <v>2411244</v>
      </c>
      <c r="F1761" s="7">
        <v>2411244</v>
      </c>
      <c r="G1761" s="7">
        <v>31205918</v>
      </c>
      <c r="H1761" s="7">
        <v>655.99</v>
      </c>
      <c r="I1761" s="7">
        <v>661.1</v>
      </c>
      <c r="J1761" s="7">
        <v>14</v>
      </c>
      <c r="K1761" s="7">
        <v>1.9628359999999999E-3</v>
      </c>
      <c r="L1761" s="7">
        <v>662.39763086710002</v>
      </c>
      <c r="M1761" s="7">
        <v>654.70239922480005</v>
      </c>
      <c r="N1761" s="7">
        <v>657.55056980910001</v>
      </c>
      <c r="O1761" s="7">
        <v>662.39763086710002</v>
      </c>
      <c r="P1761" s="7">
        <v>654.70239922480005</v>
      </c>
      <c r="Q1761">
        <v>1</v>
      </c>
      <c r="R1761">
        <v>0</v>
      </c>
      <c r="S1761" s="11">
        <v>45925.666666666664</v>
      </c>
      <c r="T1761">
        <v>652</v>
      </c>
    </row>
    <row r="1762" spans="1:20">
      <c r="A1762" s="11">
        <v>45925.520833333336</v>
      </c>
      <c r="B1762" s="11">
        <v>45925.541666666664</v>
      </c>
      <c r="C1762" s="10">
        <v>45925</v>
      </c>
      <c r="D1762" s="7">
        <v>657.77499999999998</v>
      </c>
      <c r="E1762" s="7">
        <v>2338742</v>
      </c>
      <c r="F1762" s="7">
        <v>2338742</v>
      </c>
      <c r="G1762" s="7">
        <v>33544660</v>
      </c>
      <c r="H1762" s="7">
        <v>655.99</v>
      </c>
      <c r="I1762" s="7">
        <v>661.1</v>
      </c>
      <c r="J1762" s="7">
        <v>14</v>
      </c>
      <c r="K1762" s="7">
        <v>2.0942449999999998E-3</v>
      </c>
      <c r="L1762" s="7">
        <v>662.48450536810003</v>
      </c>
      <c r="M1762" s="7">
        <v>654.61619622390003</v>
      </c>
      <c r="N1762" s="7">
        <v>657.56621713760001</v>
      </c>
      <c r="O1762" s="7">
        <v>662.48450536810003</v>
      </c>
      <c r="P1762" s="7">
        <v>654.61619622390003</v>
      </c>
      <c r="Q1762">
        <v>1</v>
      </c>
      <c r="R1762">
        <v>0</v>
      </c>
      <c r="S1762" s="11">
        <v>45925.666666666664</v>
      </c>
      <c r="T1762">
        <v>651</v>
      </c>
    </row>
    <row r="1763" spans="1:20">
      <c r="A1763" s="11">
        <v>45925.541666666664</v>
      </c>
      <c r="B1763" s="11">
        <v>45925.5625</v>
      </c>
      <c r="C1763" s="10">
        <v>45925</v>
      </c>
      <c r="D1763" s="7">
        <v>657.24</v>
      </c>
      <c r="E1763" s="7">
        <v>2953734</v>
      </c>
      <c r="F1763" s="7">
        <v>2953734</v>
      </c>
      <c r="G1763" s="7">
        <v>36498394</v>
      </c>
      <c r="H1763" s="7">
        <v>655.99</v>
      </c>
      <c r="I1763" s="7">
        <v>661.1</v>
      </c>
      <c r="J1763" s="7">
        <v>14</v>
      </c>
      <c r="K1763" s="7">
        <v>2.2860046000000001E-3</v>
      </c>
      <c r="L1763" s="7">
        <v>662.611277653</v>
      </c>
      <c r="M1763" s="7">
        <v>654.49040383060003</v>
      </c>
      <c r="N1763" s="7">
        <v>657.53981710879998</v>
      </c>
      <c r="O1763" s="7">
        <v>662.611277653</v>
      </c>
      <c r="P1763" s="7">
        <v>654.49040383060003</v>
      </c>
      <c r="Q1763">
        <v>1</v>
      </c>
      <c r="R1763">
        <v>0</v>
      </c>
      <c r="S1763" s="11">
        <v>45925.666666666664</v>
      </c>
      <c r="T1763">
        <v>650</v>
      </c>
    </row>
    <row r="1764" spans="1:20">
      <c r="A1764" s="11">
        <v>45925.5625</v>
      </c>
      <c r="B1764" s="11">
        <v>45925.583333333336</v>
      </c>
      <c r="C1764" s="10">
        <v>45925</v>
      </c>
      <c r="D1764" s="7">
        <v>655.56500000000005</v>
      </c>
      <c r="E1764" s="7">
        <v>3021565</v>
      </c>
      <c r="F1764" s="7">
        <v>3021565</v>
      </c>
      <c r="G1764" s="7">
        <v>39519959</v>
      </c>
      <c r="H1764" s="7">
        <v>655.99</v>
      </c>
      <c r="I1764" s="7">
        <v>661.1</v>
      </c>
      <c r="J1764" s="7">
        <v>14</v>
      </c>
      <c r="K1764" s="7">
        <v>2.3889575999999999E-3</v>
      </c>
      <c r="L1764" s="7">
        <v>662.6793398648</v>
      </c>
      <c r="M1764" s="7">
        <v>654.42286770850001</v>
      </c>
      <c r="N1764" s="7">
        <v>657.38882914199996</v>
      </c>
      <c r="O1764" s="7">
        <v>662.6793398648</v>
      </c>
      <c r="P1764" s="7">
        <v>654.42286770850001</v>
      </c>
      <c r="Q1764">
        <v>1</v>
      </c>
      <c r="R1764">
        <v>0</v>
      </c>
      <c r="S1764" s="11">
        <v>45925.666666666664</v>
      </c>
      <c r="T1764">
        <v>649</v>
      </c>
    </row>
    <row r="1765" spans="1:20">
      <c r="A1765" s="11">
        <v>45925.583333333336</v>
      </c>
      <c r="B1765" s="11">
        <v>45925.604166666664</v>
      </c>
      <c r="C1765" s="10">
        <v>45925</v>
      </c>
      <c r="D1765" s="7">
        <v>656.96900000000005</v>
      </c>
      <c r="E1765" s="7">
        <v>6568456</v>
      </c>
      <c r="F1765" s="7">
        <v>6568456</v>
      </c>
      <c r="G1765" s="7">
        <v>46088415</v>
      </c>
      <c r="H1765" s="7">
        <v>655.99</v>
      </c>
      <c r="I1765" s="7">
        <v>661.1</v>
      </c>
      <c r="J1765" s="7">
        <v>14</v>
      </c>
      <c r="K1765" s="7">
        <v>2.4871378999999998E-3</v>
      </c>
      <c r="L1765" s="7">
        <v>662.7442468534</v>
      </c>
      <c r="M1765" s="7">
        <v>654.35846242119999</v>
      </c>
      <c r="N1765" s="7">
        <v>657.32899568400001</v>
      </c>
      <c r="O1765" s="7">
        <v>662.7442468534</v>
      </c>
      <c r="P1765" s="7">
        <v>654.35846242119999</v>
      </c>
      <c r="Q1765">
        <v>1</v>
      </c>
      <c r="R1765">
        <v>0</v>
      </c>
      <c r="S1765" s="11">
        <v>45925.666666666664</v>
      </c>
      <c r="T1765">
        <v>648</v>
      </c>
    </row>
    <row r="1766" spans="1:20">
      <c r="A1766" s="11">
        <v>45925.604166666664</v>
      </c>
      <c r="B1766" s="11">
        <v>45925.625</v>
      </c>
      <c r="C1766" s="10">
        <v>45925</v>
      </c>
      <c r="D1766" s="7">
        <v>657.8</v>
      </c>
      <c r="E1766" s="7">
        <v>4143031</v>
      </c>
      <c r="F1766" s="7">
        <v>4143031</v>
      </c>
      <c r="G1766" s="7">
        <v>50231446</v>
      </c>
      <c r="H1766" s="7">
        <v>655.99</v>
      </c>
      <c r="I1766" s="7">
        <v>661.1</v>
      </c>
      <c r="J1766" s="7">
        <v>14</v>
      </c>
      <c r="K1766" s="7">
        <v>2.7898299000000001E-3</v>
      </c>
      <c r="L1766" s="7">
        <v>662.94435657049996</v>
      </c>
      <c r="M1766" s="7">
        <v>654.15989946039997</v>
      </c>
      <c r="N1766" s="7">
        <v>657.36784356980002</v>
      </c>
      <c r="O1766" s="7">
        <v>662.94435657049996</v>
      </c>
      <c r="P1766" s="7">
        <v>654.15989946039997</v>
      </c>
      <c r="Q1766">
        <v>1</v>
      </c>
      <c r="R1766">
        <v>0</v>
      </c>
      <c r="S1766" s="11">
        <v>45925.666666666664</v>
      </c>
      <c r="T1766">
        <v>647</v>
      </c>
    </row>
    <row r="1767" spans="1:20">
      <c r="A1767" s="11">
        <v>45925.625</v>
      </c>
      <c r="B1767" s="11">
        <v>45925.645833333336</v>
      </c>
      <c r="C1767" s="10">
        <v>45925</v>
      </c>
      <c r="D1767" s="7">
        <v>657.47</v>
      </c>
      <c r="E1767" s="7">
        <v>3124805</v>
      </c>
      <c r="F1767" s="7">
        <v>3124805</v>
      </c>
      <c r="G1767" s="7">
        <v>53356251</v>
      </c>
      <c r="H1767" s="7">
        <v>655.99</v>
      </c>
      <c r="I1767" s="7">
        <v>661.1</v>
      </c>
      <c r="J1767" s="7">
        <v>14</v>
      </c>
      <c r="K1767" s="7">
        <v>2.6554117000000001E-3</v>
      </c>
      <c r="L1767" s="7">
        <v>662.85549268440002</v>
      </c>
      <c r="M1767" s="7">
        <v>654.24807646950001</v>
      </c>
      <c r="N1767" s="7">
        <v>657.37382635380004</v>
      </c>
      <c r="O1767" s="7">
        <v>662.85549268440002</v>
      </c>
      <c r="P1767" s="7">
        <v>654.24807646950001</v>
      </c>
      <c r="Q1767">
        <v>1</v>
      </c>
      <c r="R1767">
        <v>0</v>
      </c>
      <c r="S1767" s="11">
        <v>45925.666666666664</v>
      </c>
      <c r="T1767">
        <v>646</v>
      </c>
    </row>
    <row r="1768" spans="1:20">
      <c r="A1768" s="11">
        <v>45925.645833333336</v>
      </c>
      <c r="B1768" s="11">
        <v>45925.666666666664</v>
      </c>
      <c r="C1768" s="10">
        <v>45925</v>
      </c>
      <c r="D1768" s="7">
        <v>658.05</v>
      </c>
      <c r="E1768" s="7">
        <v>7801830</v>
      </c>
      <c r="F1768" s="7">
        <v>7801830</v>
      </c>
      <c r="G1768" s="7">
        <v>61158081</v>
      </c>
      <c r="H1768" s="7">
        <v>655.99</v>
      </c>
      <c r="I1768" s="7">
        <v>661.1</v>
      </c>
      <c r="J1768" s="7">
        <v>14</v>
      </c>
      <c r="K1768" s="7">
        <v>2.2714990000000002E-3</v>
      </c>
      <c r="L1768" s="7">
        <v>662.60168796769995</v>
      </c>
      <c r="M1768" s="7">
        <v>654.49991939200004</v>
      </c>
      <c r="N1768" s="7">
        <v>657.46008464960005</v>
      </c>
      <c r="O1768" s="7">
        <v>662.60168796769995</v>
      </c>
      <c r="P1768" s="7">
        <v>654.49991939200004</v>
      </c>
      <c r="Q1768">
        <v>1</v>
      </c>
      <c r="R1768">
        <v>1</v>
      </c>
      <c r="S1768" s="11">
        <v>45925.666666666664</v>
      </c>
      <c r="T1768">
        <v>645</v>
      </c>
    </row>
    <row r="1769" spans="1:20">
      <c r="A1769" s="11">
        <v>45926.395833333336</v>
      </c>
      <c r="B1769" s="11">
        <v>45926.416666666664</v>
      </c>
      <c r="C1769" s="10">
        <v>45926</v>
      </c>
      <c r="D1769" s="7">
        <v>661.83</v>
      </c>
      <c r="E1769" s="7">
        <v>8174053</v>
      </c>
      <c r="F1769" s="7">
        <v>8174053</v>
      </c>
      <c r="G1769" s="7">
        <v>8174053</v>
      </c>
      <c r="H1769" s="7">
        <v>661.83</v>
      </c>
      <c r="I1769" s="7">
        <v>658.05</v>
      </c>
      <c r="J1769" s="7">
        <v>14</v>
      </c>
      <c r="K1769" s="7">
        <v>0</v>
      </c>
      <c r="L1769" s="7">
        <v>661.83</v>
      </c>
      <c r="M1769" s="7">
        <v>658.05</v>
      </c>
      <c r="N1769" s="7">
        <v>661.83</v>
      </c>
      <c r="O1769" s="7">
        <v>661.83</v>
      </c>
      <c r="P1769" s="7">
        <v>658.05</v>
      </c>
      <c r="Q1769">
        <v>1</v>
      </c>
      <c r="R1769">
        <v>0</v>
      </c>
      <c r="S1769" s="11">
        <v>45926.666666666664</v>
      </c>
      <c r="T1769">
        <v>643</v>
      </c>
    </row>
    <row r="1770" spans="1:20">
      <c r="A1770" s="11">
        <v>45926.416666666664</v>
      </c>
      <c r="B1770" s="11">
        <v>45926.4375</v>
      </c>
      <c r="C1770" s="10">
        <v>45926</v>
      </c>
      <c r="D1770" s="7">
        <v>658.69</v>
      </c>
      <c r="E1770" s="7">
        <v>6334356</v>
      </c>
      <c r="F1770" s="7">
        <v>6334356</v>
      </c>
      <c r="G1770" s="7">
        <v>14508409</v>
      </c>
      <c r="H1770" s="7">
        <v>661.83</v>
      </c>
      <c r="I1770" s="7">
        <v>658.05</v>
      </c>
      <c r="J1770" s="7">
        <v>14</v>
      </c>
      <c r="K1770" s="7">
        <v>9.672595E-4</v>
      </c>
      <c r="L1770" s="7">
        <v>662.47016134149999</v>
      </c>
      <c r="M1770" s="7">
        <v>657.41349489929996</v>
      </c>
      <c r="N1770" s="7">
        <v>660.45907932629996</v>
      </c>
      <c r="O1770" s="7">
        <v>662.47016134149999</v>
      </c>
      <c r="P1770" s="7">
        <v>657.41349489929996</v>
      </c>
      <c r="Q1770">
        <v>1</v>
      </c>
      <c r="R1770">
        <v>0</v>
      </c>
      <c r="S1770" s="11">
        <v>45926.666666666664</v>
      </c>
      <c r="T1770">
        <v>642</v>
      </c>
    </row>
    <row r="1771" spans="1:20">
      <c r="A1771" s="11">
        <v>45926.4375</v>
      </c>
      <c r="B1771" s="11">
        <v>45926.458333333336</v>
      </c>
      <c r="C1771" s="10">
        <v>45926</v>
      </c>
      <c r="D1771" s="7">
        <v>658.45</v>
      </c>
      <c r="E1771" s="7">
        <v>3465455</v>
      </c>
      <c r="F1771" s="7">
        <v>3465455</v>
      </c>
      <c r="G1771" s="7">
        <v>17973864</v>
      </c>
      <c r="H1771" s="7">
        <v>661.83</v>
      </c>
      <c r="I1771" s="7">
        <v>658.05</v>
      </c>
      <c r="J1771" s="7">
        <v>14</v>
      </c>
      <c r="K1771" s="7">
        <v>1.1636998999999999E-3</v>
      </c>
      <c r="L1771" s="7">
        <v>662.60017150290003</v>
      </c>
      <c r="M1771" s="7">
        <v>657.28422728270004</v>
      </c>
      <c r="N1771" s="7">
        <v>660.07171832280005</v>
      </c>
      <c r="O1771" s="7">
        <v>662.60017150290003</v>
      </c>
      <c r="P1771" s="7">
        <v>657.28422728270004</v>
      </c>
      <c r="Q1771">
        <v>1</v>
      </c>
      <c r="R1771">
        <v>0</v>
      </c>
      <c r="S1771" s="11">
        <v>45926.666666666664</v>
      </c>
      <c r="T1771">
        <v>641</v>
      </c>
    </row>
    <row r="1772" spans="1:20">
      <c r="A1772" s="11">
        <v>45926.458333333336</v>
      </c>
      <c r="B1772" s="11">
        <v>45926.479166666664</v>
      </c>
      <c r="C1772" s="10">
        <v>45926</v>
      </c>
      <c r="D1772" s="7">
        <v>659.89</v>
      </c>
      <c r="E1772" s="7">
        <v>2413679</v>
      </c>
      <c r="F1772" s="7">
        <v>2413679</v>
      </c>
      <c r="G1772" s="7">
        <v>20387543</v>
      </c>
      <c r="H1772" s="7">
        <v>661.83</v>
      </c>
      <c r="I1772" s="7">
        <v>658.05</v>
      </c>
      <c r="J1772" s="7">
        <v>14</v>
      </c>
      <c r="K1772" s="7">
        <v>1.4001941E-3</v>
      </c>
      <c r="L1772" s="7">
        <v>662.75669043380003</v>
      </c>
      <c r="M1772" s="7">
        <v>657.12860229969999</v>
      </c>
      <c r="N1772" s="7">
        <v>660.05020471030002</v>
      </c>
      <c r="O1772" s="7">
        <v>662.75669043380003</v>
      </c>
      <c r="P1772" s="7">
        <v>657.12860229969999</v>
      </c>
      <c r="Q1772">
        <v>1</v>
      </c>
      <c r="R1772">
        <v>0</v>
      </c>
      <c r="S1772" s="11">
        <v>45926.666666666664</v>
      </c>
      <c r="T1772">
        <v>640</v>
      </c>
    </row>
    <row r="1773" spans="1:20">
      <c r="A1773" s="11">
        <v>45926.479166666664</v>
      </c>
      <c r="B1773" s="11">
        <v>45926.5</v>
      </c>
      <c r="C1773" s="10">
        <v>45926</v>
      </c>
      <c r="D1773" s="7">
        <v>658.71559999999999</v>
      </c>
      <c r="E1773" s="7">
        <v>2391836</v>
      </c>
      <c r="F1773" s="7">
        <v>2391836</v>
      </c>
      <c r="G1773" s="7">
        <v>22779379</v>
      </c>
      <c r="H1773" s="7">
        <v>661.83</v>
      </c>
      <c r="I1773" s="7">
        <v>658.05</v>
      </c>
      <c r="J1773" s="7">
        <v>14</v>
      </c>
      <c r="K1773" s="7">
        <v>1.5036774000000001E-3</v>
      </c>
      <c r="L1773" s="7">
        <v>662.82517882219997</v>
      </c>
      <c r="M1773" s="7">
        <v>657.0605050785</v>
      </c>
      <c r="N1773" s="7">
        <v>659.91007114510001</v>
      </c>
      <c r="O1773" s="7">
        <v>662.82517882219997</v>
      </c>
      <c r="P1773" s="7">
        <v>657.0605050785</v>
      </c>
      <c r="Q1773">
        <v>1</v>
      </c>
      <c r="R1773">
        <v>0</v>
      </c>
      <c r="S1773" s="11">
        <v>45926.666666666664</v>
      </c>
      <c r="T1773">
        <v>639</v>
      </c>
    </row>
    <row r="1774" spans="1:20">
      <c r="A1774" s="11">
        <v>45926.5</v>
      </c>
      <c r="B1774" s="11">
        <v>45926.520833333336</v>
      </c>
      <c r="C1774" s="10">
        <v>45926</v>
      </c>
      <c r="D1774" s="7">
        <v>660.43</v>
      </c>
      <c r="E1774" s="7">
        <v>2353614</v>
      </c>
      <c r="F1774" s="7">
        <v>2353614</v>
      </c>
      <c r="G1774" s="7">
        <v>25132993</v>
      </c>
      <c r="H1774" s="7">
        <v>661.83</v>
      </c>
      <c r="I1774" s="7">
        <v>658.05</v>
      </c>
      <c r="J1774" s="7">
        <v>14</v>
      </c>
      <c r="K1774" s="7">
        <v>1.6051226E-3</v>
      </c>
      <c r="L1774" s="7">
        <v>662.89231825989998</v>
      </c>
      <c r="M1774" s="7">
        <v>656.99374910339998</v>
      </c>
      <c r="N1774" s="7">
        <v>659.95876060410001</v>
      </c>
      <c r="O1774" s="7">
        <v>662.89231825989998</v>
      </c>
      <c r="P1774" s="7">
        <v>656.99374910339998</v>
      </c>
      <c r="Q1774">
        <v>1</v>
      </c>
      <c r="R1774">
        <v>0</v>
      </c>
      <c r="S1774" s="11">
        <v>45926.666666666664</v>
      </c>
      <c r="T1774">
        <v>638</v>
      </c>
    </row>
    <row r="1775" spans="1:20">
      <c r="A1775" s="11">
        <v>45926.520833333336</v>
      </c>
      <c r="B1775" s="11">
        <v>45926.541666666664</v>
      </c>
      <c r="C1775" s="10">
        <v>45926</v>
      </c>
      <c r="D1775" s="7">
        <v>661.29</v>
      </c>
      <c r="E1775" s="7">
        <v>2277360</v>
      </c>
      <c r="F1775" s="7">
        <v>2277360</v>
      </c>
      <c r="G1775" s="7">
        <v>27410353</v>
      </c>
      <c r="H1775" s="7">
        <v>661.83</v>
      </c>
      <c r="I1775" s="7">
        <v>658.05</v>
      </c>
      <c r="J1775" s="7">
        <v>14</v>
      </c>
      <c r="K1775" s="7">
        <v>1.7817339000000001E-3</v>
      </c>
      <c r="L1775" s="7">
        <v>663.00920493319995</v>
      </c>
      <c r="M1775" s="7">
        <v>656.87753002080001</v>
      </c>
      <c r="N1775" s="7">
        <v>660.06936521219995</v>
      </c>
      <c r="O1775" s="7">
        <v>663.00920493319995</v>
      </c>
      <c r="P1775" s="7">
        <v>656.87753002080001</v>
      </c>
      <c r="Q1775">
        <v>1</v>
      </c>
      <c r="R1775">
        <v>0</v>
      </c>
      <c r="S1775" s="11">
        <v>45926.666666666664</v>
      </c>
      <c r="T1775">
        <v>637</v>
      </c>
    </row>
    <row r="1776" spans="1:20">
      <c r="A1776" s="11">
        <v>45926.541666666664</v>
      </c>
      <c r="B1776" s="11">
        <v>45926.5625</v>
      </c>
      <c r="C1776" s="10">
        <v>45926</v>
      </c>
      <c r="D1776" s="7">
        <v>661.63</v>
      </c>
      <c r="E1776" s="7">
        <v>2018997</v>
      </c>
      <c r="F1776" s="7">
        <v>2018997</v>
      </c>
      <c r="G1776" s="7">
        <v>29429350</v>
      </c>
      <c r="H1776" s="7">
        <v>661.83</v>
      </c>
      <c r="I1776" s="7">
        <v>658.05</v>
      </c>
      <c r="J1776" s="7">
        <v>14</v>
      </c>
      <c r="K1776" s="7">
        <v>1.8302192E-3</v>
      </c>
      <c r="L1776" s="7">
        <v>663.04129400299996</v>
      </c>
      <c r="M1776" s="7">
        <v>656.84562422579995</v>
      </c>
      <c r="N1776" s="7">
        <v>660.17643237319999</v>
      </c>
      <c r="O1776" s="7">
        <v>663.04129400299996</v>
      </c>
      <c r="P1776" s="7">
        <v>656.84562422579995</v>
      </c>
      <c r="Q1776">
        <v>1</v>
      </c>
      <c r="R1776">
        <v>0</v>
      </c>
      <c r="S1776" s="11">
        <v>45926.666666666664</v>
      </c>
      <c r="T1776">
        <v>636</v>
      </c>
    </row>
    <row r="1777" spans="1:20">
      <c r="A1777" s="11">
        <v>45926.5625</v>
      </c>
      <c r="B1777" s="11">
        <v>45926.583333333336</v>
      </c>
      <c r="C1777" s="10">
        <v>45926</v>
      </c>
      <c r="D1777" s="7">
        <v>661.33</v>
      </c>
      <c r="E1777" s="7">
        <v>2035646</v>
      </c>
      <c r="F1777" s="7">
        <v>2035646</v>
      </c>
      <c r="G1777" s="7">
        <v>31464996</v>
      </c>
      <c r="H1777" s="7">
        <v>661.83</v>
      </c>
      <c r="I1777" s="7">
        <v>658.05</v>
      </c>
      <c r="J1777" s="7">
        <v>14</v>
      </c>
      <c r="K1777" s="7">
        <v>1.7858686999999999E-3</v>
      </c>
      <c r="L1777" s="7">
        <v>663.01194146809996</v>
      </c>
      <c r="M1777" s="7">
        <v>656.87480911550006</v>
      </c>
      <c r="N1777" s="7">
        <v>660.25106309379998</v>
      </c>
      <c r="O1777" s="7">
        <v>663.01194146809996</v>
      </c>
      <c r="P1777" s="7">
        <v>656.87480911550006</v>
      </c>
      <c r="Q1777">
        <v>1</v>
      </c>
      <c r="R1777">
        <v>0</v>
      </c>
      <c r="S1777" s="11">
        <v>45926.666666666664</v>
      </c>
      <c r="T1777">
        <v>635</v>
      </c>
    </row>
    <row r="1778" spans="1:20">
      <c r="A1778" s="11">
        <v>45926.583333333336</v>
      </c>
      <c r="B1778" s="11">
        <v>45926.604166666664</v>
      </c>
      <c r="C1778" s="10">
        <v>45926</v>
      </c>
      <c r="D1778" s="7">
        <v>661.77</v>
      </c>
      <c r="E1778" s="7">
        <v>2571681</v>
      </c>
      <c r="F1778" s="7">
        <v>2571681</v>
      </c>
      <c r="G1778" s="7">
        <v>34036677</v>
      </c>
      <c r="H1778" s="7">
        <v>661.83</v>
      </c>
      <c r="I1778" s="7">
        <v>658.05</v>
      </c>
      <c r="J1778" s="7">
        <v>14</v>
      </c>
      <c r="K1778" s="7">
        <v>2.0065089E-3</v>
      </c>
      <c r="L1778" s="7">
        <v>663.15796776599996</v>
      </c>
      <c r="M1778" s="7">
        <v>656.72961683749998</v>
      </c>
      <c r="N1778" s="7">
        <v>660.36582815099996</v>
      </c>
      <c r="O1778" s="7">
        <v>663.15796776599996</v>
      </c>
      <c r="P1778" s="7">
        <v>656.72961683749998</v>
      </c>
      <c r="Q1778">
        <v>1</v>
      </c>
      <c r="R1778">
        <v>0</v>
      </c>
      <c r="S1778" s="11">
        <v>45926.666666666664</v>
      </c>
      <c r="T1778">
        <v>634</v>
      </c>
    </row>
    <row r="1779" spans="1:20">
      <c r="A1779" s="11">
        <v>45926.604166666664</v>
      </c>
      <c r="B1779" s="11">
        <v>45926.625</v>
      </c>
      <c r="C1779" s="10">
        <v>45926</v>
      </c>
      <c r="D1779" s="7">
        <v>661.89499999999998</v>
      </c>
      <c r="E1779" s="7">
        <v>2221379</v>
      </c>
      <c r="F1779" s="7">
        <v>2221379</v>
      </c>
      <c r="G1779" s="7">
        <v>36258056</v>
      </c>
      <c r="H1779" s="7">
        <v>661.83</v>
      </c>
      <c r="I1779" s="7">
        <v>658.05</v>
      </c>
      <c r="J1779" s="7">
        <v>14</v>
      </c>
      <c r="K1779" s="7">
        <v>2.4614044000000001E-3</v>
      </c>
      <c r="L1779" s="7">
        <v>663.45903126049996</v>
      </c>
      <c r="M1779" s="7">
        <v>656.4302728481</v>
      </c>
      <c r="N1779" s="7">
        <v>660.45951409580005</v>
      </c>
      <c r="O1779" s="7">
        <v>663.45903126049996</v>
      </c>
      <c r="P1779" s="7">
        <v>656.4302728481</v>
      </c>
      <c r="Q1779">
        <v>1</v>
      </c>
      <c r="R1779">
        <v>0</v>
      </c>
      <c r="S1779" s="11">
        <v>45926.666666666664</v>
      </c>
      <c r="T1779">
        <v>633</v>
      </c>
    </row>
    <row r="1780" spans="1:20">
      <c r="A1780" s="11">
        <v>45926.625</v>
      </c>
      <c r="B1780" s="11">
        <v>45926.645833333336</v>
      </c>
      <c r="C1780" s="10">
        <v>45926</v>
      </c>
      <c r="D1780" s="7">
        <v>661.59</v>
      </c>
      <c r="E1780" s="7">
        <v>1882116</v>
      </c>
      <c r="F1780" s="7">
        <v>1882116</v>
      </c>
      <c r="G1780" s="7">
        <v>38140172</v>
      </c>
      <c r="H1780" s="7">
        <v>661.83</v>
      </c>
      <c r="I1780" s="7">
        <v>658.05</v>
      </c>
      <c r="J1780" s="7">
        <v>14</v>
      </c>
      <c r="K1780" s="7">
        <v>2.3895723000000001E-3</v>
      </c>
      <c r="L1780" s="7">
        <v>663.41149065050001</v>
      </c>
      <c r="M1780" s="7">
        <v>656.47754193289995</v>
      </c>
      <c r="N1780" s="7">
        <v>660.51530056700005</v>
      </c>
      <c r="O1780" s="7">
        <v>663.41149065050001</v>
      </c>
      <c r="P1780" s="7">
        <v>656.47754193289995</v>
      </c>
      <c r="Q1780">
        <v>1</v>
      </c>
      <c r="R1780">
        <v>0</v>
      </c>
      <c r="S1780" s="11">
        <v>45926.666666666664</v>
      </c>
      <c r="T1780">
        <v>632</v>
      </c>
    </row>
    <row r="1781" spans="1:20">
      <c r="A1781" s="11">
        <v>45926.645833333336</v>
      </c>
      <c r="B1781" s="11">
        <v>45926.666666666664</v>
      </c>
      <c r="C1781" s="10">
        <v>45926</v>
      </c>
      <c r="D1781" s="7">
        <v>661.82</v>
      </c>
      <c r="E1781" s="7">
        <v>8059855</v>
      </c>
      <c r="F1781" s="7">
        <v>8059855</v>
      </c>
      <c r="G1781" s="7">
        <v>46200027</v>
      </c>
      <c r="H1781" s="7">
        <v>661.83</v>
      </c>
      <c r="I1781" s="7">
        <v>658.05</v>
      </c>
      <c r="J1781" s="7">
        <v>14</v>
      </c>
      <c r="K1781" s="7">
        <v>2.0767020000000001E-3</v>
      </c>
      <c r="L1781" s="7">
        <v>663.20442365279996</v>
      </c>
      <c r="M1781" s="7">
        <v>656.68342628059997</v>
      </c>
      <c r="N1781" s="7">
        <v>660.7429127337</v>
      </c>
      <c r="O1781" s="7">
        <v>663.20442365279996</v>
      </c>
      <c r="P1781" s="7">
        <v>656.68342628059997</v>
      </c>
      <c r="Q1781">
        <v>1</v>
      </c>
      <c r="R1781">
        <v>1</v>
      </c>
      <c r="S1781" s="11">
        <v>45926.666666666664</v>
      </c>
      <c r="T1781">
        <v>631</v>
      </c>
    </row>
    <row r="1782" spans="1:20">
      <c r="A1782" s="11">
        <v>45929.395833333336</v>
      </c>
      <c r="B1782" s="11">
        <v>45929.416666666664</v>
      </c>
      <c r="C1782" s="10">
        <v>45929</v>
      </c>
      <c r="D1782" s="7">
        <v>664.61</v>
      </c>
      <c r="E1782" s="7">
        <v>6495314</v>
      </c>
      <c r="F1782" s="7">
        <v>6495314</v>
      </c>
      <c r="G1782" s="7">
        <v>6495314</v>
      </c>
      <c r="H1782" s="7">
        <v>664.61</v>
      </c>
      <c r="I1782" s="7">
        <v>661.82</v>
      </c>
      <c r="J1782" s="7">
        <v>14</v>
      </c>
      <c r="K1782" s="7">
        <v>0</v>
      </c>
      <c r="L1782" s="7">
        <v>664.61</v>
      </c>
      <c r="M1782" s="7">
        <v>661.82</v>
      </c>
      <c r="N1782" s="7">
        <v>664.61</v>
      </c>
      <c r="O1782" s="7">
        <v>664.61</v>
      </c>
      <c r="P1782" s="7">
        <v>661.82</v>
      </c>
      <c r="Q1782">
        <v>1</v>
      </c>
      <c r="R1782">
        <v>0</v>
      </c>
      <c r="S1782" s="11">
        <v>45929.666666666664</v>
      </c>
      <c r="T1782">
        <v>629</v>
      </c>
    </row>
    <row r="1783" spans="1:20">
      <c r="A1783" s="11">
        <v>45929.416666666664</v>
      </c>
      <c r="B1783" s="11">
        <v>45929.4375</v>
      </c>
      <c r="C1783" s="10">
        <v>45929</v>
      </c>
      <c r="D1783" s="7">
        <v>664.76</v>
      </c>
      <c r="E1783" s="7">
        <v>4245329</v>
      </c>
      <c r="F1783" s="7">
        <v>4245329</v>
      </c>
      <c r="G1783" s="7">
        <v>10740643</v>
      </c>
      <c r="H1783" s="7">
        <v>664.61</v>
      </c>
      <c r="I1783" s="7">
        <v>661.82</v>
      </c>
      <c r="J1783" s="7">
        <v>14</v>
      </c>
      <c r="K1783" s="7">
        <v>1.2600457E-3</v>
      </c>
      <c r="L1783" s="7">
        <v>665.44743898909996</v>
      </c>
      <c r="M1783" s="7">
        <v>660.98607653839997</v>
      </c>
      <c r="N1783" s="7">
        <v>664.66928875489998</v>
      </c>
      <c r="O1783" s="7">
        <v>665.44743898909996</v>
      </c>
      <c r="P1783" s="7">
        <v>660.98607653839997</v>
      </c>
      <c r="Q1783">
        <v>1</v>
      </c>
      <c r="R1783">
        <v>0</v>
      </c>
      <c r="S1783" s="11">
        <v>45929.666666666664</v>
      </c>
      <c r="T1783">
        <v>628</v>
      </c>
    </row>
    <row r="1784" spans="1:20">
      <c r="A1784" s="11">
        <v>45929.4375</v>
      </c>
      <c r="B1784" s="11">
        <v>45929.458333333336</v>
      </c>
      <c r="C1784" s="10">
        <v>45929</v>
      </c>
      <c r="D1784" s="7">
        <v>664.47</v>
      </c>
      <c r="E1784" s="7">
        <v>2764912</v>
      </c>
      <c r="F1784" s="7">
        <v>2764912</v>
      </c>
      <c r="G1784" s="7">
        <v>13505555</v>
      </c>
      <c r="H1784" s="7">
        <v>664.61</v>
      </c>
      <c r="I1784" s="7">
        <v>661.82</v>
      </c>
      <c r="J1784" s="7">
        <v>14</v>
      </c>
      <c r="K1784" s="7">
        <v>1.4188765999999999E-3</v>
      </c>
      <c r="L1784" s="7">
        <v>665.55299960039997</v>
      </c>
      <c r="M1784" s="7">
        <v>660.88095906540002</v>
      </c>
      <c r="N1784" s="7">
        <v>664.62848955259994</v>
      </c>
      <c r="O1784" s="7">
        <v>665.55299960039997</v>
      </c>
      <c r="P1784" s="7">
        <v>660.88095906540002</v>
      </c>
      <c r="Q1784">
        <v>1</v>
      </c>
      <c r="R1784">
        <v>0</v>
      </c>
      <c r="S1784" s="11">
        <v>45929.666666666664</v>
      </c>
      <c r="T1784">
        <v>627</v>
      </c>
    </row>
    <row r="1785" spans="1:20">
      <c r="A1785" s="11">
        <v>45929.458333333336</v>
      </c>
      <c r="B1785" s="11">
        <v>45929.479166666664</v>
      </c>
      <c r="C1785" s="10">
        <v>45929</v>
      </c>
      <c r="D1785" s="7">
        <v>663.52499999999998</v>
      </c>
      <c r="E1785" s="7">
        <v>3844422</v>
      </c>
      <c r="F1785" s="7">
        <v>3844422</v>
      </c>
      <c r="G1785" s="7">
        <v>17349977</v>
      </c>
      <c r="H1785" s="7">
        <v>664.61</v>
      </c>
      <c r="I1785" s="7">
        <v>661.82</v>
      </c>
      <c r="J1785" s="7">
        <v>14</v>
      </c>
      <c r="K1785" s="7">
        <v>1.4542322E-3</v>
      </c>
      <c r="L1785" s="7">
        <v>665.5764972751</v>
      </c>
      <c r="M1785" s="7">
        <v>660.85756003280005</v>
      </c>
      <c r="N1785" s="7">
        <v>664.38397744099996</v>
      </c>
      <c r="O1785" s="7">
        <v>665.5764972751</v>
      </c>
      <c r="P1785" s="7">
        <v>660.85756003280005</v>
      </c>
      <c r="Q1785">
        <v>1</v>
      </c>
      <c r="R1785">
        <v>0</v>
      </c>
      <c r="S1785" s="11">
        <v>45929.666666666664</v>
      </c>
      <c r="T1785">
        <v>626</v>
      </c>
    </row>
    <row r="1786" spans="1:20">
      <c r="A1786" s="11">
        <v>45929.479166666664</v>
      </c>
      <c r="B1786" s="11">
        <v>45929.5</v>
      </c>
      <c r="C1786" s="10">
        <v>45929</v>
      </c>
      <c r="D1786" s="7">
        <v>663.33</v>
      </c>
      <c r="E1786" s="7">
        <v>3170399</v>
      </c>
      <c r="F1786" s="7">
        <v>3170399</v>
      </c>
      <c r="G1786" s="7">
        <v>20520376</v>
      </c>
      <c r="H1786" s="7">
        <v>664.61</v>
      </c>
      <c r="I1786" s="7">
        <v>661.82</v>
      </c>
      <c r="J1786" s="7">
        <v>14</v>
      </c>
      <c r="K1786" s="7">
        <v>1.7290843E-3</v>
      </c>
      <c r="L1786" s="7">
        <v>665.75916671599998</v>
      </c>
      <c r="M1786" s="7">
        <v>660.67565742919999</v>
      </c>
      <c r="N1786" s="7">
        <v>664.2211378797</v>
      </c>
      <c r="O1786" s="7">
        <v>665.75916671599998</v>
      </c>
      <c r="P1786" s="7">
        <v>660.67565742919999</v>
      </c>
      <c r="Q1786">
        <v>1</v>
      </c>
      <c r="R1786">
        <v>0</v>
      </c>
      <c r="S1786" s="11">
        <v>45929.666666666664</v>
      </c>
      <c r="T1786">
        <v>625</v>
      </c>
    </row>
    <row r="1787" spans="1:20">
      <c r="A1787" s="11">
        <v>45929.5</v>
      </c>
      <c r="B1787" s="11">
        <v>45929.520833333336</v>
      </c>
      <c r="C1787" s="10">
        <v>45929</v>
      </c>
      <c r="D1787" s="7">
        <v>663.47500000000002</v>
      </c>
      <c r="E1787" s="7">
        <v>2251872</v>
      </c>
      <c r="F1787" s="7">
        <v>2251872</v>
      </c>
      <c r="G1787" s="7">
        <v>22772248</v>
      </c>
      <c r="H1787" s="7">
        <v>664.61</v>
      </c>
      <c r="I1787" s="7">
        <v>661.82</v>
      </c>
      <c r="J1787" s="7">
        <v>14</v>
      </c>
      <c r="K1787" s="7">
        <v>1.7270204E-3</v>
      </c>
      <c r="L1787" s="7">
        <v>665.75779501600005</v>
      </c>
      <c r="M1787" s="7">
        <v>660.67702337089997</v>
      </c>
      <c r="N1787" s="7">
        <v>664.14735478199998</v>
      </c>
      <c r="O1787" s="7">
        <v>665.75779501600005</v>
      </c>
      <c r="P1787" s="7">
        <v>660.67702337089997</v>
      </c>
      <c r="Q1787">
        <v>1</v>
      </c>
      <c r="R1787">
        <v>0</v>
      </c>
      <c r="S1787" s="11">
        <v>45929.666666666664</v>
      </c>
      <c r="T1787">
        <v>624</v>
      </c>
    </row>
    <row r="1788" spans="1:20">
      <c r="A1788" s="11">
        <v>45929.520833333336</v>
      </c>
      <c r="B1788" s="11">
        <v>45929.541666666664</v>
      </c>
      <c r="C1788" s="10">
        <v>45929</v>
      </c>
      <c r="D1788" s="7">
        <v>663.06500000000005</v>
      </c>
      <c r="E1788" s="7">
        <v>1484450</v>
      </c>
      <c r="F1788" s="7">
        <v>1484450</v>
      </c>
      <c r="G1788" s="7">
        <v>24256698</v>
      </c>
      <c r="H1788" s="7">
        <v>664.61</v>
      </c>
      <c r="I1788" s="7">
        <v>661.82</v>
      </c>
      <c r="J1788" s="7">
        <v>14</v>
      </c>
      <c r="K1788" s="7">
        <v>1.8185376E-3</v>
      </c>
      <c r="L1788" s="7">
        <v>665.81861829180002</v>
      </c>
      <c r="M1788" s="7">
        <v>660.61645542819997</v>
      </c>
      <c r="N1788" s="7">
        <v>664.08111734290003</v>
      </c>
      <c r="O1788" s="7">
        <v>665.81861829180002</v>
      </c>
      <c r="P1788" s="7">
        <v>660.61645542819997</v>
      </c>
      <c r="Q1788">
        <v>1</v>
      </c>
      <c r="R1788">
        <v>0</v>
      </c>
      <c r="S1788" s="11">
        <v>45929.666666666664</v>
      </c>
      <c r="T1788">
        <v>623</v>
      </c>
    </row>
    <row r="1789" spans="1:20">
      <c r="A1789" s="11">
        <v>45929.541666666664</v>
      </c>
      <c r="B1789" s="11">
        <v>45929.5625</v>
      </c>
      <c r="C1789" s="10">
        <v>45929</v>
      </c>
      <c r="D1789" s="7">
        <v>662.56</v>
      </c>
      <c r="E1789" s="7">
        <v>2386349</v>
      </c>
      <c r="F1789" s="7">
        <v>2386349</v>
      </c>
      <c r="G1789" s="7">
        <v>26643047</v>
      </c>
      <c r="H1789" s="7">
        <v>664.61</v>
      </c>
      <c r="I1789" s="7">
        <v>661.82</v>
      </c>
      <c r="J1789" s="7">
        <v>14</v>
      </c>
      <c r="K1789" s="7">
        <v>1.8347251E-3</v>
      </c>
      <c r="L1789" s="7">
        <v>665.82937663539997</v>
      </c>
      <c r="M1789" s="7">
        <v>660.60574224760001</v>
      </c>
      <c r="N1789" s="7">
        <v>663.94487478589997</v>
      </c>
      <c r="O1789" s="7">
        <v>665.82937663539997</v>
      </c>
      <c r="P1789" s="7">
        <v>660.60574224760001</v>
      </c>
      <c r="Q1789">
        <v>1</v>
      </c>
      <c r="R1789">
        <v>0</v>
      </c>
      <c r="S1789" s="11">
        <v>45929.666666666664</v>
      </c>
      <c r="T1789">
        <v>622</v>
      </c>
    </row>
    <row r="1790" spans="1:20">
      <c r="A1790" s="11">
        <v>45929.5625</v>
      </c>
      <c r="B1790" s="11">
        <v>45929.583333333336</v>
      </c>
      <c r="C1790" s="10">
        <v>45929</v>
      </c>
      <c r="D1790" s="7">
        <v>662.96</v>
      </c>
      <c r="E1790" s="7">
        <v>2669628</v>
      </c>
      <c r="F1790" s="7">
        <v>2669628</v>
      </c>
      <c r="G1790" s="7">
        <v>29312675</v>
      </c>
      <c r="H1790" s="7">
        <v>664.61</v>
      </c>
      <c r="I1790" s="7">
        <v>661.82</v>
      </c>
      <c r="J1790" s="7">
        <v>14</v>
      </c>
      <c r="K1790" s="7">
        <v>1.7539820000000001E-3</v>
      </c>
      <c r="L1790" s="7">
        <v>665.77571396300004</v>
      </c>
      <c r="M1790" s="7">
        <v>660.65917964669995</v>
      </c>
      <c r="N1790" s="7">
        <v>663.85517811700004</v>
      </c>
      <c r="O1790" s="7">
        <v>665.77571396300004</v>
      </c>
      <c r="P1790" s="7">
        <v>660.65917964669995</v>
      </c>
      <c r="Q1790">
        <v>1</v>
      </c>
      <c r="R1790">
        <v>0</v>
      </c>
      <c r="S1790" s="11">
        <v>45929.666666666664</v>
      </c>
      <c r="T1790">
        <v>621</v>
      </c>
    </row>
    <row r="1791" spans="1:20">
      <c r="A1791" s="11">
        <v>45929.583333333336</v>
      </c>
      <c r="B1791" s="11">
        <v>45929.604166666664</v>
      </c>
      <c r="C1791" s="10">
        <v>45929</v>
      </c>
      <c r="D1791" s="7">
        <v>663.46010000000001</v>
      </c>
      <c r="E1791" s="7">
        <v>2509028</v>
      </c>
      <c r="F1791" s="7">
        <v>2509028</v>
      </c>
      <c r="G1791" s="7">
        <v>31821703</v>
      </c>
      <c r="H1791" s="7">
        <v>664.61</v>
      </c>
      <c r="I1791" s="7">
        <v>661.82</v>
      </c>
      <c r="J1791" s="7">
        <v>14</v>
      </c>
      <c r="K1791" s="7">
        <v>2.0074827999999999E-3</v>
      </c>
      <c r="L1791" s="7">
        <v>665.94419314300001</v>
      </c>
      <c r="M1791" s="7">
        <v>660.49140773399995</v>
      </c>
      <c r="N1791" s="7">
        <v>663.82402761389994</v>
      </c>
      <c r="O1791" s="7">
        <v>665.94419314300001</v>
      </c>
      <c r="P1791" s="7">
        <v>660.49140773399995</v>
      </c>
      <c r="Q1791">
        <v>1</v>
      </c>
      <c r="R1791">
        <v>0</v>
      </c>
      <c r="S1791" s="11">
        <v>45929.666666666664</v>
      </c>
      <c r="T1791">
        <v>620</v>
      </c>
    </row>
    <row r="1792" spans="1:20">
      <c r="A1792" s="11">
        <v>45929.604166666664</v>
      </c>
      <c r="B1792" s="11">
        <v>45929.625</v>
      </c>
      <c r="C1792" s="10">
        <v>45929</v>
      </c>
      <c r="D1792" s="7">
        <v>663.34</v>
      </c>
      <c r="E1792" s="7">
        <v>2474917</v>
      </c>
      <c r="F1792" s="7">
        <v>2474917</v>
      </c>
      <c r="G1792" s="7">
        <v>34296620</v>
      </c>
      <c r="H1792" s="7">
        <v>664.61</v>
      </c>
      <c r="I1792" s="7">
        <v>661.82</v>
      </c>
      <c r="J1792" s="7">
        <v>14</v>
      </c>
      <c r="K1792" s="7">
        <v>2.4502355E-3</v>
      </c>
      <c r="L1792" s="7">
        <v>666.23845100209996</v>
      </c>
      <c r="M1792" s="7">
        <v>660.19838515490005</v>
      </c>
      <c r="N1792" s="7">
        <v>663.78909915240001</v>
      </c>
      <c r="O1792" s="7">
        <v>666.23845100209996</v>
      </c>
      <c r="P1792" s="7">
        <v>660.19838515490005</v>
      </c>
      <c r="Q1792">
        <v>1</v>
      </c>
      <c r="R1792">
        <v>0</v>
      </c>
      <c r="S1792" s="11">
        <v>45929.666666666664</v>
      </c>
      <c r="T1792">
        <v>619</v>
      </c>
    </row>
    <row r="1793" spans="1:20">
      <c r="A1793" s="11">
        <v>45929.625</v>
      </c>
      <c r="B1793" s="11">
        <v>45929.645833333336</v>
      </c>
      <c r="C1793" s="10">
        <v>45929</v>
      </c>
      <c r="D1793" s="7">
        <v>662.64</v>
      </c>
      <c r="E1793" s="7">
        <v>5401507</v>
      </c>
      <c r="F1793" s="7">
        <v>5401507</v>
      </c>
      <c r="G1793" s="7">
        <v>39698127</v>
      </c>
      <c r="H1793" s="7">
        <v>664.61</v>
      </c>
      <c r="I1793" s="7">
        <v>661.82</v>
      </c>
      <c r="J1793" s="7">
        <v>14</v>
      </c>
      <c r="K1793" s="7">
        <v>2.3333921000000001E-3</v>
      </c>
      <c r="L1793" s="7">
        <v>666.16079570700003</v>
      </c>
      <c r="M1793" s="7">
        <v>660.2757144569</v>
      </c>
      <c r="N1793" s="7">
        <v>663.63274751610004</v>
      </c>
      <c r="O1793" s="7">
        <v>666.16079570700003</v>
      </c>
      <c r="P1793" s="7">
        <v>660.2757144569</v>
      </c>
      <c r="Q1793">
        <v>1</v>
      </c>
      <c r="R1793">
        <v>0</v>
      </c>
      <c r="S1793" s="11">
        <v>45929.666666666664</v>
      </c>
      <c r="T1793">
        <v>618</v>
      </c>
    </row>
    <row r="1794" spans="1:20">
      <c r="A1794" s="11">
        <v>45929.645833333336</v>
      </c>
      <c r="B1794" s="11">
        <v>45929.666666666664</v>
      </c>
      <c r="C1794" s="10">
        <v>45929</v>
      </c>
      <c r="D1794" s="7">
        <v>663.68</v>
      </c>
      <c r="E1794" s="7">
        <v>10979093</v>
      </c>
      <c r="F1794" s="7">
        <v>10979093</v>
      </c>
      <c r="G1794" s="7">
        <v>50677220</v>
      </c>
      <c r="H1794" s="7">
        <v>664.61</v>
      </c>
      <c r="I1794" s="7">
        <v>661.82</v>
      </c>
      <c r="J1794" s="7">
        <v>14</v>
      </c>
      <c r="K1794" s="7">
        <v>2.0254495000000001E-3</v>
      </c>
      <c r="L1794" s="7">
        <v>665.95613399419994</v>
      </c>
      <c r="M1794" s="7">
        <v>660.47951700989995</v>
      </c>
      <c r="N1794" s="7">
        <v>663.64298464859996</v>
      </c>
      <c r="O1794" s="7">
        <v>665.95613399419994</v>
      </c>
      <c r="P1794" s="7">
        <v>660.47951700989995</v>
      </c>
      <c r="Q1794">
        <v>1</v>
      </c>
      <c r="R1794">
        <v>1</v>
      </c>
      <c r="S1794" s="11">
        <v>45929.666666666664</v>
      </c>
      <c r="T1794">
        <v>617</v>
      </c>
    </row>
    <row r="1795" spans="1:20">
      <c r="A1795" s="11">
        <v>45930.395833333336</v>
      </c>
      <c r="B1795" s="11">
        <v>45930.416666666664</v>
      </c>
      <c r="C1795" s="10">
        <v>45930</v>
      </c>
      <c r="D1795" s="7">
        <v>663.06500000000005</v>
      </c>
      <c r="E1795" s="7">
        <v>5482339</v>
      </c>
      <c r="F1795" s="7">
        <v>5482339</v>
      </c>
      <c r="G1795" s="7">
        <v>5482339</v>
      </c>
      <c r="H1795" s="7">
        <v>663.06500000000005</v>
      </c>
      <c r="I1795" s="7">
        <v>663.68</v>
      </c>
      <c r="J1795" s="7">
        <v>14</v>
      </c>
      <c r="K1795" s="7">
        <v>0</v>
      </c>
      <c r="L1795" s="7">
        <v>663.68</v>
      </c>
      <c r="M1795" s="7">
        <v>663.06500000000005</v>
      </c>
      <c r="N1795" s="7">
        <v>663.06500000000005</v>
      </c>
      <c r="O1795" s="7">
        <v>663.68</v>
      </c>
      <c r="P1795" s="7">
        <v>663.06500000000005</v>
      </c>
      <c r="Q1795">
        <v>1</v>
      </c>
      <c r="R1795">
        <v>0</v>
      </c>
      <c r="S1795" s="11">
        <v>45930.666666666664</v>
      </c>
      <c r="T1795">
        <v>615</v>
      </c>
    </row>
    <row r="1796" spans="1:20">
      <c r="A1796" s="11">
        <v>45930.416666666664</v>
      </c>
      <c r="B1796" s="11">
        <v>45930.4375</v>
      </c>
      <c r="C1796" s="10">
        <v>45930</v>
      </c>
      <c r="D1796" s="7">
        <v>662.89</v>
      </c>
      <c r="E1796" s="7">
        <v>3869893</v>
      </c>
      <c r="F1796" s="7">
        <v>3869893</v>
      </c>
      <c r="G1796" s="7">
        <v>9352232</v>
      </c>
      <c r="H1796" s="7">
        <v>663.06500000000005</v>
      </c>
      <c r="I1796" s="7">
        <v>663.68</v>
      </c>
      <c r="J1796" s="7">
        <v>14</v>
      </c>
      <c r="K1796" s="7">
        <v>1.2431478000000001E-3</v>
      </c>
      <c r="L1796" s="7">
        <v>664.50505235959997</v>
      </c>
      <c r="M1796" s="7">
        <v>662.24071217640005</v>
      </c>
      <c r="N1796" s="7">
        <v>662.99258613400002</v>
      </c>
      <c r="O1796" s="7">
        <v>664.50505235959997</v>
      </c>
      <c r="P1796" s="7">
        <v>662.24071217640005</v>
      </c>
      <c r="Q1796">
        <v>1</v>
      </c>
      <c r="R1796">
        <v>0</v>
      </c>
      <c r="S1796" s="11">
        <v>45930.666666666664</v>
      </c>
      <c r="T1796">
        <v>614</v>
      </c>
    </row>
    <row r="1797" spans="1:20">
      <c r="A1797" s="11">
        <v>45930.4375</v>
      </c>
      <c r="B1797" s="11">
        <v>45930.458333333336</v>
      </c>
      <c r="C1797" s="10">
        <v>45930</v>
      </c>
      <c r="D1797" s="7">
        <v>663.23</v>
      </c>
      <c r="E1797" s="7">
        <v>3538986</v>
      </c>
      <c r="F1797" s="7">
        <v>3538986</v>
      </c>
      <c r="G1797" s="7">
        <v>12891218</v>
      </c>
      <c r="H1797" s="7">
        <v>663.06500000000005</v>
      </c>
      <c r="I1797" s="7">
        <v>663.68</v>
      </c>
      <c r="J1797" s="7">
        <v>14</v>
      </c>
      <c r="K1797" s="7">
        <v>1.3579859E-3</v>
      </c>
      <c r="L1797" s="7">
        <v>664.5812680624</v>
      </c>
      <c r="M1797" s="7">
        <v>662.16456709889997</v>
      </c>
      <c r="N1797" s="7">
        <v>663.05776262450001</v>
      </c>
      <c r="O1797" s="7">
        <v>664.5812680624</v>
      </c>
      <c r="P1797" s="7">
        <v>662.16456709889997</v>
      </c>
      <c r="Q1797">
        <v>1</v>
      </c>
      <c r="R1797">
        <v>0</v>
      </c>
      <c r="S1797" s="11">
        <v>45930.666666666664</v>
      </c>
      <c r="T1797">
        <v>613</v>
      </c>
    </row>
    <row r="1798" spans="1:20">
      <c r="A1798" s="11">
        <v>45930.458333333336</v>
      </c>
      <c r="B1798" s="11">
        <v>45930.479166666664</v>
      </c>
      <c r="C1798" s="10">
        <v>45930</v>
      </c>
      <c r="D1798" s="7">
        <v>662.19</v>
      </c>
      <c r="E1798" s="7">
        <v>2846151</v>
      </c>
      <c r="F1798" s="7">
        <v>2846151</v>
      </c>
      <c r="G1798" s="7">
        <v>15737369</v>
      </c>
      <c r="H1798" s="7">
        <v>663.06500000000005</v>
      </c>
      <c r="I1798" s="7">
        <v>663.68</v>
      </c>
      <c r="J1798" s="7">
        <v>14</v>
      </c>
      <c r="K1798" s="7">
        <v>1.5389265000000001E-3</v>
      </c>
      <c r="L1798" s="7">
        <v>664.7013547345</v>
      </c>
      <c r="M1798" s="7">
        <v>662.04459170530004</v>
      </c>
      <c r="N1798" s="7">
        <v>662.90082511729997</v>
      </c>
      <c r="O1798" s="7">
        <v>664.7013547345</v>
      </c>
      <c r="P1798" s="7">
        <v>662.04459170530004</v>
      </c>
      <c r="Q1798">
        <v>1</v>
      </c>
      <c r="R1798">
        <v>0</v>
      </c>
      <c r="S1798" s="11">
        <v>45930.666666666664</v>
      </c>
      <c r="T1798">
        <v>612</v>
      </c>
    </row>
    <row r="1799" spans="1:20">
      <c r="A1799" s="11">
        <v>45930.479166666664</v>
      </c>
      <c r="B1799" s="11">
        <v>45930.5</v>
      </c>
      <c r="C1799" s="10">
        <v>45930</v>
      </c>
      <c r="D1799" s="7">
        <v>663.00189999999998</v>
      </c>
      <c r="E1799" s="7">
        <v>2548894</v>
      </c>
      <c r="F1799" s="7">
        <v>2548894</v>
      </c>
      <c r="G1799" s="7">
        <v>18286263</v>
      </c>
      <c r="H1799" s="7">
        <v>663.06500000000005</v>
      </c>
      <c r="I1799" s="7">
        <v>663.68</v>
      </c>
      <c r="J1799" s="7">
        <v>14</v>
      </c>
      <c r="K1799" s="7">
        <v>1.7830114000000001E-3</v>
      </c>
      <c r="L1799" s="7">
        <v>664.86334900300005</v>
      </c>
      <c r="M1799" s="7">
        <v>661.88274754899999</v>
      </c>
      <c r="N1799" s="7">
        <v>662.91491378930004</v>
      </c>
      <c r="O1799" s="7">
        <v>664.86334900300005</v>
      </c>
      <c r="P1799" s="7">
        <v>661.88274754899999</v>
      </c>
      <c r="Q1799">
        <v>1</v>
      </c>
      <c r="R1799">
        <v>0</v>
      </c>
      <c r="S1799" s="11">
        <v>45930.666666666664</v>
      </c>
      <c r="T1799">
        <v>611</v>
      </c>
    </row>
    <row r="1800" spans="1:20">
      <c r="A1800" s="11">
        <v>45930.5</v>
      </c>
      <c r="B1800" s="11">
        <v>45930.520833333336</v>
      </c>
      <c r="C1800" s="10">
        <v>45930</v>
      </c>
      <c r="D1800" s="7">
        <v>663.41</v>
      </c>
      <c r="E1800" s="7">
        <v>2051394</v>
      </c>
      <c r="F1800" s="7">
        <v>2051394</v>
      </c>
      <c r="G1800" s="7">
        <v>20337657</v>
      </c>
      <c r="H1800" s="7">
        <v>663.06500000000005</v>
      </c>
      <c r="I1800" s="7">
        <v>663.68</v>
      </c>
      <c r="J1800" s="7">
        <v>14</v>
      </c>
      <c r="K1800" s="7">
        <v>1.8285987000000001E-3</v>
      </c>
      <c r="L1800" s="7">
        <v>664.89360437970004</v>
      </c>
      <c r="M1800" s="7">
        <v>661.85252020849998</v>
      </c>
      <c r="N1800" s="7">
        <v>662.96485154180004</v>
      </c>
      <c r="O1800" s="7">
        <v>664.89360437970004</v>
      </c>
      <c r="P1800" s="7">
        <v>661.85252020849998</v>
      </c>
      <c r="Q1800">
        <v>1</v>
      </c>
      <c r="R1800">
        <v>0</v>
      </c>
      <c r="S1800" s="11">
        <v>45930.666666666664</v>
      </c>
      <c r="T1800">
        <v>610</v>
      </c>
    </row>
    <row r="1801" spans="1:20">
      <c r="A1801" s="11">
        <v>45930.520833333336</v>
      </c>
      <c r="B1801" s="11">
        <v>45930.541666666664</v>
      </c>
      <c r="C1801" s="10">
        <v>45930</v>
      </c>
      <c r="D1801" s="7">
        <v>662.78</v>
      </c>
      <c r="E1801" s="7">
        <v>1580359</v>
      </c>
      <c r="F1801" s="7">
        <v>1580359</v>
      </c>
      <c r="G1801" s="7">
        <v>21918016</v>
      </c>
      <c r="H1801" s="7">
        <v>663.06500000000005</v>
      </c>
      <c r="I1801" s="7">
        <v>663.68</v>
      </c>
      <c r="J1801" s="7">
        <v>14</v>
      </c>
      <c r="K1801" s="7">
        <v>1.983482E-3</v>
      </c>
      <c r="L1801" s="7">
        <v>664.99639734760001</v>
      </c>
      <c r="M1801" s="7">
        <v>661.74982249380002</v>
      </c>
      <c r="N1801" s="7">
        <v>662.95152315489997</v>
      </c>
      <c r="O1801" s="7">
        <v>664.99639734760001</v>
      </c>
      <c r="P1801" s="7">
        <v>661.74982249380002</v>
      </c>
      <c r="Q1801">
        <v>1</v>
      </c>
      <c r="R1801">
        <v>0</v>
      </c>
      <c r="S1801" s="11">
        <v>45930.666666666664</v>
      </c>
      <c r="T1801">
        <v>609</v>
      </c>
    </row>
    <row r="1802" spans="1:20">
      <c r="A1802" s="11">
        <v>45930.541666666664</v>
      </c>
      <c r="B1802" s="11">
        <v>45930.5625</v>
      </c>
      <c r="C1802" s="10">
        <v>45930</v>
      </c>
      <c r="D1802" s="7">
        <v>662.06</v>
      </c>
      <c r="E1802" s="7">
        <v>2451626</v>
      </c>
      <c r="F1802" s="7">
        <v>2451626</v>
      </c>
      <c r="G1802" s="7">
        <v>24369642</v>
      </c>
      <c r="H1802" s="7">
        <v>663.06500000000005</v>
      </c>
      <c r="I1802" s="7">
        <v>663.68</v>
      </c>
      <c r="J1802" s="7">
        <v>14</v>
      </c>
      <c r="K1802" s="7">
        <v>1.9972752999999998E-3</v>
      </c>
      <c r="L1802" s="7">
        <v>665.00555169660004</v>
      </c>
      <c r="M1802" s="7">
        <v>661.74067662770005</v>
      </c>
      <c r="N1802" s="7">
        <v>662.86183446159998</v>
      </c>
      <c r="O1802" s="7">
        <v>665.00555169660004</v>
      </c>
      <c r="P1802" s="7">
        <v>661.74067662770005</v>
      </c>
      <c r="Q1802">
        <v>1</v>
      </c>
      <c r="R1802">
        <v>0</v>
      </c>
      <c r="S1802" s="11">
        <v>45930.666666666664</v>
      </c>
      <c r="T1802">
        <v>608</v>
      </c>
    </row>
    <row r="1803" spans="1:20">
      <c r="A1803" s="11">
        <v>45930.5625</v>
      </c>
      <c r="B1803" s="11">
        <v>45930.583333333336</v>
      </c>
      <c r="C1803" s="10">
        <v>45930</v>
      </c>
      <c r="D1803" s="7">
        <v>662.51</v>
      </c>
      <c r="E1803" s="7">
        <v>2351864</v>
      </c>
      <c r="F1803" s="7">
        <v>2351864</v>
      </c>
      <c r="G1803" s="7">
        <v>26721506</v>
      </c>
      <c r="H1803" s="7">
        <v>663.06500000000005</v>
      </c>
      <c r="I1803" s="7">
        <v>663.68</v>
      </c>
      <c r="J1803" s="7">
        <v>14</v>
      </c>
      <c r="K1803" s="7">
        <v>1.8498707E-3</v>
      </c>
      <c r="L1803" s="7">
        <v>664.90772220539998</v>
      </c>
      <c r="M1803" s="7">
        <v>661.83841546509996</v>
      </c>
      <c r="N1803" s="7">
        <v>662.83086813800003</v>
      </c>
      <c r="O1803" s="7">
        <v>664.90772220539998</v>
      </c>
      <c r="P1803" s="7">
        <v>661.83841546509996</v>
      </c>
      <c r="Q1803">
        <v>1</v>
      </c>
      <c r="R1803">
        <v>0</v>
      </c>
      <c r="S1803" s="11">
        <v>45930.666666666664</v>
      </c>
      <c r="T1803">
        <v>607</v>
      </c>
    </row>
    <row r="1804" spans="1:20">
      <c r="A1804" s="11">
        <v>45930.583333333336</v>
      </c>
      <c r="B1804" s="11">
        <v>45930.604166666664</v>
      </c>
      <c r="C1804" s="10">
        <v>45930</v>
      </c>
      <c r="D1804" s="7">
        <v>663.84990000000005</v>
      </c>
      <c r="E1804" s="7">
        <v>3661834</v>
      </c>
      <c r="F1804" s="7">
        <v>3661834</v>
      </c>
      <c r="G1804" s="7">
        <v>30383340</v>
      </c>
      <c r="H1804" s="7">
        <v>663.06500000000005</v>
      </c>
      <c r="I1804" s="7">
        <v>663.68</v>
      </c>
      <c r="J1804" s="7">
        <v>14</v>
      </c>
      <c r="K1804" s="7">
        <v>2.0430242000000001E-3</v>
      </c>
      <c r="L1804" s="7">
        <v>665.03591430040001</v>
      </c>
      <c r="M1804" s="7">
        <v>661.71034215949999</v>
      </c>
      <c r="N1804" s="7">
        <v>662.9536829937</v>
      </c>
      <c r="O1804" s="7">
        <v>665.03591430040001</v>
      </c>
      <c r="P1804" s="7">
        <v>661.71034215949999</v>
      </c>
      <c r="Q1804">
        <v>1</v>
      </c>
      <c r="R1804">
        <v>0</v>
      </c>
      <c r="S1804" s="11">
        <v>45930.666666666664</v>
      </c>
      <c r="T1804">
        <v>606</v>
      </c>
    </row>
    <row r="1805" spans="1:20">
      <c r="A1805" s="11">
        <v>45930.604166666664</v>
      </c>
      <c r="B1805" s="11">
        <v>45930.625</v>
      </c>
      <c r="C1805" s="10">
        <v>45930</v>
      </c>
      <c r="D1805" s="7">
        <v>664.43</v>
      </c>
      <c r="E1805" s="7">
        <v>2676405</v>
      </c>
      <c r="F1805" s="7">
        <v>2676405</v>
      </c>
      <c r="G1805" s="7">
        <v>33059745</v>
      </c>
      <c r="H1805" s="7">
        <v>663.06500000000005</v>
      </c>
      <c r="I1805" s="7">
        <v>663.68</v>
      </c>
      <c r="J1805" s="7">
        <v>14</v>
      </c>
      <c r="K1805" s="7">
        <v>2.4975919999999999E-3</v>
      </c>
      <c r="L1805" s="7">
        <v>665.33760186849997</v>
      </c>
      <c r="M1805" s="7">
        <v>661.40893415059998</v>
      </c>
      <c r="N1805" s="7">
        <v>663.07320061910002</v>
      </c>
      <c r="O1805" s="7">
        <v>665.33760186849997</v>
      </c>
      <c r="P1805" s="7">
        <v>661.40893415059998</v>
      </c>
      <c r="Q1805">
        <v>1</v>
      </c>
      <c r="R1805">
        <v>0</v>
      </c>
      <c r="S1805" s="11">
        <v>45930.666666666664</v>
      </c>
      <c r="T1805">
        <v>605</v>
      </c>
    </row>
    <row r="1806" spans="1:20">
      <c r="A1806" s="11">
        <v>45930.625</v>
      </c>
      <c r="B1806" s="11">
        <v>45930.645833333336</v>
      </c>
      <c r="C1806" s="10">
        <v>45930</v>
      </c>
      <c r="D1806" s="7">
        <v>665.40499999999997</v>
      </c>
      <c r="E1806" s="7">
        <v>4464176</v>
      </c>
      <c r="F1806" s="7">
        <v>4464176</v>
      </c>
      <c r="G1806" s="7">
        <v>37523921</v>
      </c>
      <c r="H1806" s="7">
        <v>663.06500000000005</v>
      </c>
      <c r="I1806" s="7">
        <v>663.68</v>
      </c>
      <c r="J1806" s="7">
        <v>14</v>
      </c>
      <c r="K1806" s="7">
        <v>2.43232E-3</v>
      </c>
      <c r="L1806" s="7">
        <v>665.29428213430003</v>
      </c>
      <c r="M1806" s="7">
        <v>661.45221374250002</v>
      </c>
      <c r="N1806" s="7">
        <v>663.3506120024</v>
      </c>
      <c r="O1806" s="7">
        <v>665.29428213430003</v>
      </c>
      <c r="P1806" s="7">
        <v>661.45221374250002</v>
      </c>
      <c r="Q1806">
        <v>1</v>
      </c>
      <c r="R1806">
        <v>0</v>
      </c>
      <c r="S1806" s="11">
        <v>45930.666666666664</v>
      </c>
      <c r="T1806">
        <v>604</v>
      </c>
    </row>
    <row r="1807" spans="1:20">
      <c r="A1807" s="11">
        <v>45930.645833333336</v>
      </c>
      <c r="B1807" s="11">
        <v>45930.666666666664</v>
      </c>
      <c r="C1807" s="10">
        <v>45930</v>
      </c>
      <c r="D1807" s="7">
        <v>666.18</v>
      </c>
      <c r="E1807" s="7">
        <v>19029084</v>
      </c>
      <c r="F1807" s="7">
        <v>19029084</v>
      </c>
      <c r="G1807" s="7">
        <v>56553005</v>
      </c>
      <c r="H1807" s="7">
        <v>663.06500000000005</v>
      </c>
      <c r="I1807" s="7">
        <v>663.68</v>
      </c>
      <c r="J1807" s="7">
        <v>14</v>
      </c>
      <c r="K1807" s="7">
        <v>1.9834365000000001E-3</v>
      </c>
      <c r="L1807" s="7">
        <v>664.99636711740004</v>
      </c>
      <c r="M1807" s="7">
        <v>661.74985269599995</v>
      </c>
      <c r="N1807" s="7">
        <v>664.31106298069994</v>
      </c>
      <c r="O1807" s="7">
        <v>664.99636711740004</v>
      </c>
      <c r="P1807" s="7">
        <v>661.74985269599995</v>
      </c>
      <c r="Q1807">
        <v>1</v>
      </c>
      <c r="R1807">
        <v>1</v>
      </c>
      <c r="S1807" s="11">
        <v>45930.666666666664</v>
      </c>
      <c r="T1807">
        <v>603</v>
      </c>
    </row>
    <row r="1808" spans="1:20">
      <c r="A1808" s="11">
        <v>45931.395833333336</v>
      </c>
      <c r="B1808" s="11">
        <v>45931.416666666664</v>
      </c>
      <c r="C1808" s="10">
        <v>45931</v>
      </c>
      <c r="D1808" s="7">
        <v>663.68240000000003</v>
      </c>
      <c r="E1808" s="7">
        <v>9018852</v>
      </c>
      <c r="F1808" s="7">
        <v>9018852</v>
      </c>
      <c r="G1808" s="7">
        <v>9018852</v>
      </c>
      <c r="H1808" s="7">
        <v>663.68240000000003</v>
      </c>
      <c r="I1808" s="7">
        <v>666.18</v>
      </c>
      <c r="J1808" s="7">
        <v>14</v>
      </c>
      <c r="K1808" s="7">
        <v>0</v>
      </c>
      <c r="L1808" s="7">
        <v>666.18</v>
      </c>
      <c r="M1808" s="7">
        <v>663.68240000000003</v>
      </c>
      <c r="N1808" s="7">
        <v>663.68240000000003</v>
      </c>
      <c r="O1808" s="7">
        <v>666.18</v>
      </c>
      <c r="P1808" s="7">
        <v>663.68240000000003</v>
      </c>
      <c r="Q1808">
        <v>1</v>
      </c>
      <c r="R1808">
        <v>0</v>
      </c>
      <c r="S1808" s="11">
        <v>45931.666666666664</v>
      </c>
      <c r="T1808">
        <v>601</v>
      </c>
    </row>
    <row r="1809" spans="1:20">
      <c r="A1809" s="11">
        <v>45931.416666666664</v>
      </c>
      <c r="B1809" s="11">
        <v>45931.4375</v>
      </c>
      <c r="C1809" s="10">
        <v>45931</v>
      </c>
      <c r="D1809" s="7">
        <v>665.58500000000004</v>
      </c>
      <c r="E1809" s="7">
        <v>4182780</v>
      </c>
      <c r="F1809" s="7">
        <v>4182780</v>
      </c>
      <c r="G1809" s="7">
        <v>13201632</v>
      </c>
      <c r="H1809" s="7">
        <v>663.68240000000003</v>
      </c>
      <c r="I1809" s="7">
        <v>666.18</v>
      </c>
      <c r="J1809" s="7">
        <v>14</v>
      </c>
      <c r="K1809" s="7">
        <v>1.2255596E-3</v>
      </c>
      <c r="L1809" s="7">
        <v>666.99644328969998</v>
      </c>
      <c r="M1809" s="7">
        <v>662.86901766790004</v>
      </c>
      <c r="N1809" s="7">
        <v>664.28521616909995</v>
      </c>
      <c r="O1809" s="7">
        <v>666.99644328969998</v>
      </c>
      <c r="P1809" s="7">
        <v>662.86901766790004</v>
      </c>
      <c r="Q1809">
        <v>1</v>
      </c>
      <c r="R1809">
        <v>0</v>
      </c>
      <c r="S1809" s="11">
        <v>45931.666666666664</v>
      </c>
      <c r="T1809">
        <v>600</v>
      </c>
    </row>
    <row r="1810" spans="1:20">
      <c r="A1810" s="11">
        <v>45931.4375</v>
      </c>
      <c r="B1810" s="11">
        <v>45931.458333333336</v>
      </c>
      <c r="C1810" s="10">
        <v>45931</v>
      </c>
      <c r="D1810" s="7">
        <v>665.81</v>
      </c>
      <c r="E1810" s="7">
        <v>3537509</v>
      </c>
      <c r="F1810" s="7">
        <v>3537509</v>
      </c>
      <c r="G1810" s="7">
        <v>16739141</v>
      </c>
      <c r="H1810" s="7">
        <v>663.68240000000003</v>
      </c>
      <c r="I1810" s="7">
        <v>666.18</v>
      </c>
      <c r="J1810" s="7">
        <v>14</v>
      </c>
      <c r="K1810" s="7">
        <v>1.3602747999999999E-3</v>
      </c>
      <c r="L1810" s="7">
        <v>667.08618786509999</v>
      </c>
      <c r="M1810" s="7">
        <v>662.77960955729998</v>
      </c>
      <c r="N1810" s="7">
        <v>664.6074511347</v>
      </c>
      <c r="O1810" s="7">
        <v>667.08618786509999</v>
      </c>
      <c r="P1810" s="7">
        <v>662.77960955729998</v>
      </c>
      <c r="Q1810">
        <v>1</v>
      </c>
      <c r="R1810">
        <v>0</v>
      </c>
      <c r="S1810" s="11">
        <v>45931.666666666664</v>
      </c>
      <c r="T1810">
        <v>599</v>
      </c>
    </row>
    <row r="1811" spans="1:20">
      <c r="A1811" s="11">
        <v>45931.458333333336</v>
      </c>
      <c r="B1811" s="11">
        <v>45931.479166666664</v>
      </c>
      <c r="C1811" s="10">
        <v>45931</v>
      </c>
      <c r="D1811" s="7">
        <v>666.32799999999997</v>
      </c>
      <c r="E1811" s="7">
        <v>2908154</v>
      </c>
      <c r="F1811" s="7">
        <v>2908154</v>
      </c>
      <c r="G1811" s="7">
        <v>19647295</v>
      </c>
      <c r="H1811" s="7">
        <v>663.68240000000003</v>
      </c>
      <c r="I1811" s="7">
        <v>666.18</v>
      </c>
      <c r="J1811" s="7">
        <v>14</v>
      </c>
      <c r="K1811" s="7">
        <v>1.5554067000000001E-3</v>
      </c>
      <c r="L1811" s="7">
        <v>667.21618081710005</v>
      </c>
      <c r="M1811" s="7">
        <v>662.6501039666</v>
      </c>
      <c r="N1811" s="7">
        <v>664.862123397</v>
      </c>
      <c r="O1811" s="7">
        <v>667.21618081710005</v>
      </c>
      <c r="P1811" s="7">
        <v>662.6501039666</v>
      </c>
      <c r="Q1811">
        <v>1</v>
      </c>
      <c r="R1811">
        <v>0</v>
      </c>
      <c r="S1811" s="11">
        <v>45931.666666666664</v>
      </c>
      <c r="T1811">
        <v>598</v>
      </c>
    </row>
    <row r="1812" spans="1:20">
      <c r="A1812" s="11">
        <v>45931.479166666664</v>
      </c>
      <c r="B1812" s="11">
        <v>45931.5</v>
      </c>
      <c r="C1812" s="10">
        <v>45931</v>
      </c>
      <c r="D1812" s="7">
        <v>667</v>
      </c>
      <c r="E1812" s="7">
        <v>3019978</v>
      </c>
      <c r="F1812" s="7">
        <v>3019978</v>
      </c>
      <c r="G1812" s="7">
        <v>22667273</v>
      </c>
      <c r="H1812" s="7">
        <v>663.68240000000003</v>
      </c>
      <c r="I1812" s="7">
        <v>666.18</v>
      </c>
      <c r="J1812" s="7">
        <v>14</v>
      </c>
      <c r="K1812" s="7">
        <v>1.7639554999999999E-3</v>
      </c>
      <c r="L1812" s="7">
        <v>667.35511190440002</v>
      </c>
      <c r="M1812" s="7">
        <v>662.51169375100005</v>
      </c>
      <c r="N1812" s="7">
        <v>665.14695432070005</v>
      </c>
      <c r="O1812" s="7">
        <v>667.35511190440002</v>
      </c>
      <c r="P1812" s="7">
        <v>662.51169375100005</v>
      </c>
      <c r="Q1812">
        <v>1</v>
      </c>
      <c r="R1812">
        <v>0</v>
      </c>
      <c r="S1812" s="11">
        <v>45931.666666666664</v>
      </c>
      <c r="T1812">
        <v>597</v>
      </c>
    </row>
    <row r="1813" spans="1:20">
      <c r="A1813" s="11">
        <v>45931.5</v>
      </c>
      <c r="B1813" s="11">
        <v>45931.520833333336</v>
      </c>
      <c r="C1813" s="10">
        <v>45931</v>
      </c>
      <c r="D1813" s="7">
        <v>666.9</v>
      </c>
      <c r="E1813" s="7">
        <v>1895100</v>
      </c>
      <c r="F1813" s="7">
        <v>1895100</v>
      </c>
      <c r="G1813" s="7">
        <v>24562373</v>
      </c>
      <c r="H1813" s="7">
        <v>663.68240000000003</v>
      </c>
      <c r="I1813" s="7">
        <v>666.18</v>
      </c>
      <c r="J1813" s="7">
        <v>14</v>
      </c>
      <c r="K1813" s="7">
        <v>1.7661316E-3</v>
      </c>
      <c r="L1813" s="7">
        <v>667.35656155480001</v>
      </c>
      <c r="M1813" s="7">
        <v>662.51024953549995</v>
      </c>
      <c r="N1813" s="7">
        <v>665.28220985430005</v>
      </c>
      <c r="O1813" s="7">
        <v>667.35656155480001</v>
      </c>
      <c r="P1813" s="7">
        <v>662.51024953549995</v>
      </c>
      <c r="Q1813">
        <v>1</v>
      </c>
      <c r="R1813">
        <v>0</v>
      </c>
      <c r="S1813" s="11">
        <v>45931.666666666664</v>
      </c>
      <c r="T1813">
        <v>596</v>
      </c>
    </row>
    <row r="1814" spans="1:20">
      <c r="A1814" s="11">
        <v>45931.520833333336</v>
      </c>
      <c r="B1814" s="11">
        <v>45931.541666666664</v>
      </c>
      <c r="C1814" s="10">
        <v>45931</v>
      </c>
      <c r="D1814" s="7">
        <v>666.91</v>
      </c>
      <c r="E1814" s="7">
        <v>1766033</v>
      </c>
      <c r="F1814" s="7">
        <v>1766033</v>
      </c>
      <c r="G1814" s="7">
        <v>26328406</v>
      </c>
      <c r="H1814" s="7">
        <v>663.68240000000003</v>
      </c>
      <c r="I1814" s="7">
        <v>666.18</v>
      </c>
      <c r="J1814" s="7">
        <v>14</v>
      </c>
      <c r="K1814" s="7">
        <v>1.9429582999999999E-3</v>
      </c>
      <c r="L1814" s="7">
        <v>667.4743599487</v>
      </c>
      <c r="M1814" s="7">
        <v>662.39289278390004</v>
      </c>
      <c r="N1814" s="7">
        <v>665.39139728919997</v>
      </c>
      <c r="O1814" s="7">
        <v>667.4743599487</v>
      </c>
      <c r="P1814" s="7">
        <v>662.39289278390004</v>
      </c>
      <c r="Q1814">
        <v>1</v>
      </c>
      <c r="R1814">
        <v>0</v>
      </c>
      <c r="S1814" s="11">
        <v>45931.666666666664</v>
      </c>
      <c r="T1814">
        <v>595</v>
      </c>
    </row>
    <row r="1815" spans="1:20">
      <c r="A1815" s="11">
        <v>45931.541666666664</v>
      </c>
      <c r="B1815" s="11">
        <v>45931.5625</v>
      </c>
      <c r="C1815" s="10">
        <v>45931</v>
      </c>
      <c r="D1815" s="7">
        <v>667.99869999999999</v>
      </c>
      <c r="E1815" s="7">
        <v>2854743</v>
      </c>
      <c r="F1815" s="7">
        <v>2854743</v>
      </c>
      <c r="G1815" s="7">
        <v>29183149</v>
      </c>
      <c r="H1815" s="7">
        <v>663.68240000000003</v>
      </c>
      <c r="I1815" s="7">
        <v>666.18</v>
      </c>
      <c r="J1815" s="7">
        <v>14</v>
      </c>
      <c r="K1815" s="7">
        <v>1.9649293999999999E-3</v>
      </c>
      <c r="L1815" s="7">
        <v>667.48899663520001</v>
      </c>
      <c r="M1815" s="7">
        <v>662.37831097239996</v>
      </c>
      <c r="N1815" s="7">
        <v>665.6464478721</v>
      </c>
      <c r="O1815" s="7">
        <v>667.48899663520001</v>
      </c>
      <c r="P1815" s="7">
        <v>662.37831097239996</v>
      </c>
      <c r="Q1815">
        <v>1</v>
      </c>
      <c r="R1815">
        <v>0</v>
      </c>
      <c r="S1815" s="11">
        <v>45931.666666666664</v>
      </c>
      <c r="T1815">
        <v>594</v>
      </c>
    </row>
    <row r="1816" spans="1:20">
      <c r="A1816" s="11">
        <v>45931.5625</v>
      </c>
      <c r="B1816" s="11">
        <v>45931.583333333336</v>
      </c>
      <c r="C1816" s="10">
        <v>45931</v>
      </c>
      <c r="D1816" s="7">
        <v>667.952</v>
      </c>
      <c r="E1816" s="7">
        <v>1640891</v>
      </c>
      <c r="F1816" s="7">
        <v>1640891</v>
      </c>
      <c r="G1816" s="7">
        <v>30824040</v>
      </c>
      <c r="H1816" s="7">
        <v>663.68240000000003</v>
      </c>
      <c r="I1816" s="7">
        <v>666.18</v>
      </c>
      <c r="J1816" s="7">
        <v>14</v>
      </c>
      <c r="K1816" s="7">
        <v>1.7728624E-3</v>
      </c>
      <c r="L1816" s="7">
        <v>667.36104550309994</v>
      </c>
      <c r="M1816" s="7">
        <v>662.5057823981</v>
      </c>
      <c r="N1816" s="7">
        <v>665.7691819373</v>
      </c>
      <c r="O1816" s="7">
        <v>667.36104550309994</v>
      </c>
      <c r="P1816" s="7">
        <v>662.5057823981</v>
      </c>
      <c r="Q1816">
        <v>1</v>
      </c>
      <c r="R1816">
        <v>0</v>
      </c>
      <c r="S1816" s="11">
        <v>45931.666666666664</v>
      </c>
      <c r="T1816">
        <v>593</v>
      </c>
    </row>
    <row r="1817" spans="1:20">
      <c r="A1817" s="11">
        <v>45931.583333333336</v>
      </c>
      <c r="B1817" s="11">
        <v>45931.604166666664</v>
      </c>
      <c r="C1817" s="10">
        <v>45931</v>
      </c>
      <c r="D1817" s="7">
        <v>668.76</v>
      </c>
      <c r="E1817" s="7">
        <v>2849116</v>
      </c>
      <c r="F1817" s="7">
        <v>2849116</v>
      </c>
      <c r="G1817" s="7">
        <v>33673156</v>
      </c>
      <c r="H1817" s="7">
        <v>663.68240000000003</v>
      </c>
      <c r="I1817" s="7">
        <v>666.18</v>
      </c>
      <c r="J1817" s="7">
        <v>14</v>
      </c>
      <c r="K1817" s="7">
        <v>1.9197427999999999E-3</v>
      </c>
      <c r="L1817" s="7">
        <v>667.45889429010003</v>
      </c>
      <c r="M1817" s="7">
        <v>662.40830045969994</v>
      </c>
      <c r="N1817" s="7">
        <v>666.02223774219999</v>
      </c>
      <c r="O1817" s="7">
        <v>667.45889429010003</v>
      </c>
      <c r="P1817" s="7">
        <v>662.40830045969994</v>
      </c>
      <c r="Q1817">
        <v>1</v>
      </c>
      <c r="R1817">
        <v>0</v>
      </c>
      <c r="S1817" s="11">
        <v>45931.666666666664</v>
      </c>
      <c r="T1817">
        <v>592</v>
      </c>
    </row>
    <row r="1818" spans="1:20">
      <c r="A1818" s="11">
        <v>45931.604166666664</v>
      </c>
      <c r="B1818" s="11">
        <v>45931.625</v>
      </c>
      <c r="C1818" s="10">
        <v>45931</v>
      </c>
      <c r="D1818" s="7">
        <v>669.1</v>
      </c>
      <c r="E1818" s="7">
        <v>2343186</v>
      </c>
      <c r="F1818" s="7">
        <v>2343186</v>
      </c>
      <c r="G1818" s="7">
        <v>36016342</v>
      </c>
      <c r="H1818" s="7">
        <v>663.68240000000003</v>
      </c>
      <c r="I1818" s="7">
        <v>666.18</v>
      </c>
      <c r="J1818" s="7">
        <v>14</v>
      </c>
      <c r="K1818" s="7">
        <v>2.4728693E-3</v>
      </c>
      <c r="L1818" s="7">
        <v>667.82737608269997</v>
      </c>
      <c r="M1818" s="7">
        <v>662.04120015570004</v>
      </c>
      <c r="N1818" s="7">
        <v>666.22247377489998</v>
      </c>
      <c r="O1818" s="7">
        <v>667.82737608269997</v>
      </c>
      <c r="P1818" s="7">
        <v>662.04120015570004</v>
      </c>
      <c r="Q1818">
        <v>1</v>
      </c>
      <c r="R1818">
        <v>0</v>
      </c>
      <c r="S1818" s="11">
        <v>45931.666666666664</v>
      </c>
      <c r="T1818">
        <v>591</v>
      </c>
    </row>
    <row r="1819" spans="1:20">
      <c r="A1819" s="11">
        <v>45931.625</v>
      </c>
      <c r="B1819" s="11">
        <v>45931.645833333336</v>
      </c>
      <c r="C1819" s="10">
        <v>45931</v>
      </c>
      <c r="D1819" s="7">
        <v>669.1</v>
      </c>
      <c r="E1819" s="7">
        <v>3042767</v>
      </c>
      <c r="F1819" s="7">
        <v>3042767</v>
      </c>
      <c r="G1819" s="7">
        <v>39059109</v>
      </c>
      <c r="H1819" s="7">
        <v>663.68240000000003</v>
      </c>
      <c r="I1819" s="7">
        <v>666.18</v>
      </c>
      <c r="J1819" s="7">
        <v>14</v>
      </c>
      <c r="K1819" s="7">
        <v>2.3891272000000001E-3</v>
      </c>
      <c r="L1819" s="7">
        <v>667.77158877960005</v>
      </c>
      <c r="M1819" s="7">
        <v>662.09677830459998</v>
      </c>
      <c r="N1819" s="7">
        <v>666.44663766559995</v>
      </c>
      <c r="O1819" s="7">
        <v>667.77158877960005</v>
      </c>
      <c r="P1819" s="7">
        <v>662.09677830459998</v>
      </c>
      <c r="Q1819">
        <v>1</v>
      </c>
      <c r="R1819">
        <v>0</v>
      </c>
      <c r="S1819" s="11">
        <v>45931.666666666664</v>
      </c>
      <c r="T1819">
        <v>590</v>
      </c>
    </row>
    <row r="1820" spans="1:20">
      <c r="A1820" s="11">
        <v>45931.645833333336</v>
      </c>
      <c r="B1820" s="11">
        <v>45931.666666666664</v>
      </c>
      <c r="C1820" s="10">
        <v>45931</v>
      </c>
      <c r="D1820" s="7">
        <v>668.45</v>
      </c>
      <c r="E1820" s="7">
        <v>10397374</v>
      </c>
      <c r="F1820" s="7">
        <v>10397374</v>
      </c>
      <c r="G1820" s="7">
        <v>49456483</v>
      </c>
      <c r="H1820" s="7">
        <v>663.68240000000003</v>
      </c>
      <c r="I1820" s="7">
        <v>666.18</v>
      </c>
      <c r="J1820" s="7">
        <v>14</v>
      </c>
      <c r="K1820" s="7">
        <v>2.1712772000000002E-3</v>
      </c>
      <c r="L1820" s="7">
        <v>667.62646146489999</v>
      </c>
      <c r="M1820" s="7">
        <v>662.24136151710002</v>
      </c>
      <c r="N1820" s="7">
        <v>666.87834276449996</v>
      </c>
      <c r="O1820" s="7">
        <v>667.62646146489999</v>
      </c>
      <c r="P1820" s="7">
        <v>662.24136151710002</v>
      </c>
      <c r="Q1820">
        <v>1</v>
      </c>
      <c r="R1820">
        <v>1</v>
      </c>
      <c r="S1820" s="11">
        <v>45931.666666666664</v>
      </c>
      <c r="T1820">
        <v>589</v>
      </c>
    </row>
    <row r="1821" spans="1:20">
      <c r="A1821" s="11">
        <v>45932.395833333336</v>
      </c>
      <c r="B1821" s="11">
        <v>45932.416666666664</v>
      </c>
      <c r="C1821" s="10">
        <v>45932</v>
      </c>
      <c r="D1821" s="7">
        <v>669.3</v>
      </c>
      <c r="E1821" s="7">
        <v>6932678</v>
      </c>
      <c r="F1821" s="7">
        <v>6932678</v>
      </c>
      <c r="G1821" s="7">
        <v>6932678</v>
      </c>
      <c r="H1821" s="7">
        <v>669.3</v>
      </c>
      <c r="I1821" s="7">
        <v>668.45</v>
      </c>
      <c r="J1821" s="7">
        <v>14</v>
      </c>
      <c r="K1821" s="7">
        <v>0</v>
      </c>
      <c r="L1821" s="7">
        <v>669.3</v>
      </c>
      <c r="M1821" s="7">
        <v>668.45</v>
      </c>
      <c r="N1821" s="7">
        <v>669.3</v>
      </c>
      <c r="O1821" s="7">
        <v>669.3</v>
      </c>
      <c r="P1821" s="7">
        <v>668.45</v>
      </c>
      <c r="Q1821">
        <v>1</v>
      </c>
      <c r="R1821">
        <v>0</v>
      </c>
      <c r="S1821" s="11">
        <v>45932.666666666664</v>
      </c>
      <c r="T1821">
        <v>587</v>
      </c>
    </row>
    <row r="1822" spans="1:20">
      <c r="A1822" s="11">
        <v>45932.416666666664</v>
      </c>
      <c r="B1822" s="11">
        <v>45932.4375</v>
      </c>
      <c r="C1822" s="10">
        <v>45932</v>
      </c>
      <c r="D1822" s="7">
        <v>668.73500000000001</v>
      </c>
      <c r="E1822" s="7">
        <v>3459009</v>
      </c>
      <c r="F1822" s="7">
        <v>3459009</v>
      </c>
      <c r="G1822" s="7">
        <v>10391687</v>
      </c>
      <c r="H1822" s="7">
        <v>669.3</v>
      </c>
      <c r="I1822" s="7">
        <v>668.45</v>
      </c>
      <c r="J1822" s="7">
        <v>14</v>
      </c>
      <c r="K1822" s="7">
        <v>1.3938253999999999E-3</v>
      </c>
      <c r="L1822" s="7">
        <v>670.23288736890004</v>
      </c>
      <c r="M1822" s="7">
        <v>667.51829738269998</v>
      </c>
      <c r="N1822" s="7">
        <v>669.11193235660005</v>
      </c>
      <c r="O1822" s="7">
        <v>670.23288736890004</v>
      </c>
      <c r="P1822" s="7">
        <v>667.51829738269998</v>
      </c>
      <c r="Q1822">
        <v>1</v>
      </c>
      <c r="R1822">
        <v>0</v>
      </c>
      <c r="S1822" s="11">
        <v>45932.666666666664</v>
      </c>
      <c r="T1822">
        <v>586</v>
      </c>
    </row>
    <row r="1823" spans="1:20">
      <c r="A1823" s="11">
        <v>45932.4375</v>
      </c>
      <c r="B1823" s="11">
        <v>45932.458333333336</v>
      </c>
      <c r="C1823" s="10">
        <v>45932</v>
      </c>
      <c r="D1823" s="7">
        <v>667.56</v>
      </c>
      <c r="E1823" s="7">
        <v>2930215</v>
      </c>
      <c r="F1823" s="7">
        <v>2930215</v>
      </c>
      <c r="G1823" s="7">
        <v>13321902</v>
      </c>
      <c r="H1823" s="7">
        <v>669.3</v>
      </c>
      <c r="I1823" s="7">
        <v>668.45</v>
      </c>
      <c r="J1823" s="7">
        <v>14</v>
      </c>
      <c r="K1823" s="7">
        <v>1.4786731E-3</v>
      </c>
      <c r="L1823" s="7">
        <v>670.28967588529997</v>
      </c>
      <c r="M1823" s="7">
        <v>667.46158098679996</v>
      </c>
      <c r="N1823" s="7">
        <v>668.77057753580004</v>
      </c>
      <c r="O1823" s="7">
        <v>670.28967588529997</v>
      </c>
      <c r="P1823" s="7">
        <v>667.46158098679996</v>
      </c>
      <c r="Q1823">
        <v>1</v>
      </c>
      <c r="R1823">
        <v>0</v>
      </c>
      <c r="S1823" s="11">
        <v>45932.666666666664</v>
      </c>
      <c r="T1823">
        <v>585</v>
      </c>
    </row>
    <row r="1824" spans="1:20">
      <c r="A1824" s="11">
        <v>45932.458333333336</v>
      </c>
      <c r="B1824" s="11">
        <v>45932.479166666664</v>
      </c>
      <c r="C1824" s="10">
        <v>45932</v>
      </c>
      <c r="D1824" s="7">
        <v>667.61</v>
      </c>
      <c r="E1824" s="7">
        <v>2867074</v>
      </c>
      <c r="F1824" s="7">
        <v>2867074</v>
      </c>
      <c r="G1824" s="7">
        <v>16188976</v>
      </c>
      <c r="H1824" s="7">
        <v>669.3</v>
      </c>
      <c r="I1824" s="7">
        <v>668.45</v>
      </c>
      <c r="J1824" s="7">
        <v>14</v>
      </c>
      <c r="K1824" s="7">
        <v>1.6402089999999999E-3</v>
      </c>
      <c r="L1824" s="7">
        <v>670.39779189219996</v>
      </c>
      <c r="M1824" s="7">
        <v>667.35360228549996</v>
      </c>
      <c r="N1824" s="7">
        <v>668.56503879889999</v>
      </c>
      <c r="O1824" s="7">
        <v>670.39779189219996</v>
      </c>
      <c r="P1824" s="7">
        <v>667.35360228549996</v>
      </c>
      <c r="Q1824">
        <v>1</v>
      </c>
      <c r="R1824">
        <v>0</v>
      </c>
      <c r="S1824" s="11">
        <v>45932.666666666664</v>
      </c>
      <c r="T1824">
        <v>584</v>
      </c>
    </row>
    <row r="1825" spans="1:20">
      <c r="A1825" s="11">
        <v>45932.479166666664</v>
      </c>
      <c r="B1825" s="11">
        <v>45932.5</v>
      </c>
      <c r="C1825" s="10">
        <v>45932</v>
      </c>
      <c r="D1825" s="7">
        <v>668.30499999999995</v>
      </c>
      <c r="E1825" s="7">
        <v>2107782</v>
      </c>
      <c r="F1825" s="7">
        <v>2107782</v>
      </c>
      <c r="G1825" s="7">
        <v>18296758</v>
      </c>
      <c r="H1825" s="7">
        <v>669.3</v>
      </c>
      <c r="I1825" s="7">
        <v>668.45</v>
      </c>
      <c r="J1825" s="7">
        <v>14</v>
      </c>
      <c r="K1825" s="7">
        <v>1.9472363000000001E-3</v>
      </c>
      <c r="L1825" s="7">
        <v>670.60328527540003</v>
      </c>
      <c r="M1825" s="7">
        <v>667.14836987540002</v>
      </c>
      <c r="N1825" s="7">
        <v>668.53508239359996</v>
      </c>
      <c r="O1825" s="7">
        <v>670.60328527540003</v>
      </c>
      <c r="P1825" s="7">
        <v>667.14836987540002</v>
      </c>
      <c r="Q1825">
        <v>1</v>
      </c>
      <c r="R1825">
        <v>0</v>
      </c>
      <c r="S1825" s="11">
        <v>45932.666666666664</v>
      </c>
      <c r="T1825">
        <v>583</v>
      </c>
    </row>
    <row r="1826" spans="1:20">
      <c r="A1826" s="11">
        <v>45932.5</v>
      </c>
      <c r="B1826" s="11">
        <v>45932.520833333336</v>
      </c>
      <c r="C1826" s="10">
        <v>45932</v>
      </c>
      <c r="D1826" s="7">
        <v>668.13530000000003</v>
      </c>
      <c r="E1826" s="7">
        <v>1549520</v>
      </c>
      <c r="F1826" s="7">
        <v>1549520</v>
      </c>
      <c r="G1826" s="7">
        <v>19846278</v>
      </c>
      <c r="H1826" s="7">
        <v>669.3</v>
      </c>
      <c r="I1826" s="7">
        <v>668.45</v>
      </c>
      <c r="J1826" s="7">
        <v>14</v>
      </c>
      <c r="K1826" s="7">
        <v>1.9201318999999999E-3</v>
      </c>
      <c r="L1826" s="7">
        <v>670.58514426880004</v>
      </c>
      <c r="M1826" s="7">
        <v>667.16648784330005</v>
      </c>
      <c r="N1826" s="7">
        <v>668.50386894309997</v>
      </c>
      <c r="O1826" s="7">
        <v>670.58514426880004</v>
      </c>
      <c r="P1826" s="7">
        <v>667.16648784330005</v>
      </c>
      <c r="Q1826">
        <v>1</v>
      </c>
      <c r="R1826">
        <v>0</v>
      </c>
      <c r="S1826" s="11">
        <v>45932.666666666664</v>
      </c>
      <c r="T1826">
        <v>582</v>
      </c>
    </row>
    <row r="1827" spans="1:20">
      <c r="A1827" s="11">
        <v>45932.520833333336</v>
      </c>
      <c r="B1827" s="11">
        <v>45932.541666666664</v>
      </c>
      <c r="C1827" s="10">
        <v>45932</v>
      </c>
      <c r="D1827" s="7">
        <v>668.37</v>
      </c>
      <c r="E1827" s="7">
        <v>1463333</v>
      </c>
      <c r="F1827" s="7">
        <v>1463333</v>
      </c>
      <c r="G1827" s="7">
        <v>21309611</v>
      </c>
      <c r="H1827" s="7">
        <v>669.3</v>
      </c>
      <c r="I1827" s="7">
        <v>668.45</v>
      </c>
      <c r="J1827" s="7">
        <v>14</v>
      </c>
      <c r="K1827" s="7">
        <v>2.1263527E-3</v>
      </c>
      <c r="L1827" s="7">
        <v>670.72316784099996</v>
      </c>
      <c r="M1827" s="7">
        <v>667.02863955869998</v>
      </c>
      <c r="N1827" s="7">
        <v>668.49467615020001</v>
      </c>
      <c r="O1827" s="7">
        <v>670.72316784099996</v>
      </c>
      <c r="P1827" s="7">
        <v>667.02863955869998</v>
      </c>
      <c r="Q1827">
        <v>1</v>
      </c>
      <c r="R1827">
        <v>0</v>
      </c>
      <c r="S1827" s="11">
        <v>45932.666666666664</v>
      </c>
      <c r="T1827">
        <v>581</v>
      </c>
    </row>
    <row r="1828" spans="1:20">
      <c r="A1828" s="11">
        <v>45932.541666666664</v>
      </c>
      <c r="B1828" s="11">
        <v>45932.5625</v>
      </c>
      <c r="C1828" s="10">
        <v>45932</v>
      </c>
      <c r="D1828" s="7">
        <v>668.495</v>
      </c>
      <c r="E1828" s="7">
        <v>1512186</v>
      </c>
      <c r="F1828" s="7">
        <v>1512186</v>
      </c>
      <c r="G1828" s="7">
        <v>22821797</v>
      </c>
      <c r="H1828" s="7">
        <v>669.3</v>
      </c>
      <c r="I1828" s="7">
        <v>668.45</v>
      </c>
      <c r="J1828" s="7">
        <v>14</v>
      </c>
      <c r="K1828" s="7">
        <v>2.2660408999999999E-3</v>
      </c>
      <c r="L1828" s="7">
        <v>670.81666119099998</v>
      </c>
      <c r="M1828" s="7">
        <v>666.93526494380001</v>
      </c>
      <c r="N1828" s="7">
        <v>668.49469760869999</v>
      </c>
      <c r="O1828" s="7">
        <v>670.81666119099998</v>
      </c>
      <c r="P1828" s="7">
        <v>666.93526494380001</v>
      </c>
      <c r="Q1828">
        <v>1</v>
      </c>
      <c r="R1828">
        <v>0</v>
      </c>
      <c r="S1828" s="11">
        <v>45932.666666666664</v>
      </c>
      <c r="T1828">
        <v>580</v>
      </c>
    </row>
    <row r="1829" spans="1:20">
      <c r="A1829" s="11">
        <v>45932.5625</v>
      </c>
      <c r="B1829" s="11">
        <v>45932.583333333336</v>
      </c>
      <c r="C1829" s="10">
        <v>45932</v>
      </c>
      <c r="D1829" s="7">
        <v>668.89499999999998</v>
      </c>
      <c r="E1829" s="7">
        <v>1993107</v>
      </c>
      <c r="F1829" s="7">
        <v>1993107</v>
      </c>
      <c r="G1829" s="7">
        <v>24814904</v>
      </c>
      <c r="H1829" s="7">
        <v>669.3</v>
      </c>
      <c r="I1829" s="7">
        <v>668.45</v>
      </c>
      <c r="J1829" s="7">
        <v>14</v>
      </c>
      <c r="K1829" s="7">
        <v>2.0182882000000001E-3</v>
      </c>
      <c r="L1829" s="7">
        <v>670.650840324</v>
      </c>
      <c r="M1829" s="7">
        <v>667.10087522100002</v>
      </c>
      <c r="N1829" s="7">
        <v>668.52684947590001</v>
      </c>
      <c r="O1829" s="7">
        <v>670.650840324</v>
      </c>
      <c r="P1829" s="7">
        <v>667.10087522100002</v>
      </c>
      <c r="Q1829">
        <v>1</v>
      </c>
      <c r="R1829">
        <v>0</v>
      </c>
      <c r="S1829" s="11">
        <v>45932.666666666664</v>
      </c>
      <c r="T1829">
        <v>579</v>
      </c>
    </row>
    <row r="1830" spans="1:20">
      <c r="A1830" s="11">
        <v>45932.583333333336</v>
      </c>
      <c r="B1830" s="11">
        <v>45932.604166666664</v>
      </c>
      <c r="C1830" s="10">
        <v>45932</v>
      </c>
      <c r="D1830" s="7">
        <v>669.56</v>
      </c>
      <c r="E1830" s="7">
        <v>2115514</v>
      </c>
      <c r="F1830" s="7">
        <v>2115514</v>
      </c>
      <c r="G1830" s="7">
        <v>26930418</v>
      </c>
      <c r="H1830" s="7">
        <v>669.3</v>
      </c>
      <c r="I1830" s="7">
        <v>668.45</v>
      </c>
      <c r="J1830" s="7">
        <v>14</v>
      </c>
      <c r="K1830" s="7">
        <v>2.2793656E-3</v>
      </c>
      <c r="L1830" s="7">
        <v>670.82557941660002</v>
      </c>
      <c r="M1830" s="7">
        <v>666.92635804420001</v>
      </c>
      <c r="N1830" s="7">
        <v>668.60800842399999</v>
      </c>
      <c r="O1830" s="7">
        <v>670.82557941660002</v>
      </c>
      <c r="P1830" s="7">
        <v>666.92635804420001</v>
      </c>
      <c r="Q1830">
        <v>1</v>
      </c>
      <c r="R1830">
        <v>0</v>
      </c>
      <c r="S1830" s="11">
        <v>45932.666666666664</v>
      </c>
      <c r="T1830">
        <v>578</v>
      </c>
    </row>
    <row r="1831" spans="1:20">
      <c r="A1831" s="11">
        <v>45932.604166666664</v>
      </c>
      <c r="B1831" s="11">
        <v>45932.625</v>
      </c>
      <c r="C1831" s="10">
        <v>45932</v>
      </c>
      <c r="D1831" s="7">
        <v>669.42</v>
      </c>
      <c r="E1831" s="7">
        <v>1832191</v>
      </c>
      <c r="F1831" s="7">
        <v>1832191</v>
      </c>
      <c r="G1831" s="7">
        <v>28762609</v>
      </c>
      <c r="H1831" s="7">
        <v>669.3</v>
      </c>
      <c r="I1831" s="7">
        <v>668.45</v>
      </c>
      <c r="J1831" s="7">
        <v>14</v>
      </c>
      <c r="K1831" s="7">
        <v>2.8500202000000001E-3</v>
      </c>
      <c r="L1831" s="7">
        <v>671.20751850080001</v>
      </c>
      <c r="M1831" s="7">
        <v>666.54490401630005</v>
      </c>
      <c r="N1831" s="7">
        <v>668.65973264889999</v>
      </c>
      <c r="O1831" s="7">
        <v>671.20751850080001</v>
      </c>
      <c r="P1831" s="7">
        <v>666.54490401630005</v>
      </c>
      <c r="Q1831">
        <v>1</v>
      </c>
      <c r="R1831">
        <v>0</v>
      </c>
      <c r="S1831" s="11">
        <v>45932.666666666664</v>
      </c>
      <c r="T1831">
        <v>577</v>
      </c>
    </row>
    <row r="1832" spans="1:20">
      <c r="A1832" s="11">
        <v>45932.625</v>
      </c>
      <c r="B1832" s="11">
        <v>45932.645833333336</v>
      </c>
      <c r="C1832" s="10">
        <v>45932</v>
      </c>
      <c r="D1832" s="7">
        <v>669.45</v>
      </c>
      <c r="E1832" s="7">
        <v>1908535</v>
      </c>
      <c r="F1832" s="7">
        <v>1908535</v>
      </c>
      <c r="G1832" s="7">
        <v>30671144</v>
      </c>
      <c r="H1832" s="7">
        <v>669.3</v>
      </c>
      <c r="I1832" s="7">
        <v>668.45</v>
      </c>
      <c r="J1832" s="7">
        <v>14</v>
      </c>
      <c r="K1832" s="7">
        <v>2.7406805999999999E-3</v>
      </c>
      <c r="L1832" s="7">
        <v>671.13433750549996</v>
      </c>
      <c r="M1832" s="7">
        <v>666.61799207299998</v>
      </c>
      <c r="N1832" s="7">
        <v>668.70890762910005</v>
      </c>
      <c r="O1832" s="7">
        <v>671.13433750549996</v>
      </c>
      <c r="P1832" s="7">
        <v>666.61799207299998</v>
      </c>
      <c r="Q1832">
        <v>1</v>
      </c>
      <c r="R1832">
        <v>0</v>
      </c>
      <c r="S1832" s="11">
        <v>45932.666666666664</v>
      </c>
      <c r="T1832">
        <v>576</v>
      </c>
    </row>
    <row r="1833" spans="1:20">
      <c r="A1833" s="11">
        <v>45932.645833333336</v>
      </c>
      <c r="B1833" s="11">
        <v>45932.666666666664</v>
      </c>
      <c r="C1833" s="10">
        <v>45932</v>
      </c>
      <c r="D1833" s="7">
        <v>669.22</v>
      </c>
      <c r="E1833" s="7">
        <v>9403111</v>
      </c>
      <c r="F1833" s="7">
        <v>9403111</v>
      </c>
      <c r="G1833" s="7">
        <v>40074255</v>
      </c>
      <c r="H1833" s="7">
        <v>669.3</v>
      </c>
      <c r="I1833" s="7">
        <v>668.45</v>
      </c>
      <c r="J1833" s="7">
        <v>14</v>
      </c>
      <c r="K1833" s="7">
        <v>2.4648593999999999E-3</v>
      </c>
      <c r="L1833" s="7">
        <v>670.94973039419995</v>
      </c>
      <c r="M1833" s="7">
        <v>666.80236473629998</v>
      </c>
      <c r="N1833" s="7">
        <v>668.82883146289998</v>
      </c>
      <c r="O1833" s="7">
        <v>670.94973039419995</v>
      </c>
      <c r="P1833" s="7">
        <v>666.80236473629998</v>
      </c>
      <c r="Q1833">
        <v>1</v>
      </c>
      <c r="R1833">
        <v>1</v>
      </c>
      <c r="S1833" s="11">
        <v>45932.666666666664</v>
      </c>
      <c r="T1833">
        <v>575</v>
      </c>
    </row>
    <row r="1834" spans="1:20">
      <c r="A1834" s="11">
        <v>45933.395833333336</v>
      </c>
      <c r="B1834" s="11">
        <v>45933.416666666664</v>
      </c>
      <c r="C1834" s="10">
        <v>45933</v>
      </c>
      <c r="D1834" s="7">
        <v>670.67</v>
      </c>
      <c r="E1834" s="7">
        <v>5222237</v>
      </c>
      <c r="F1834" s="7">
        <v>5222237</v>
      </c>
      <c r="G1834" s="7">
        <v>5222237</v>
      </c>
      <c r="H1834" s="7">
        <v>670.67</v>
      </c>
      <c r="I1834" s="7">
        <v>669.22</v>
      </c>
      <c r="J1834" s="7">
        <v>14</v>
      </c>
      <c r="K1834" s="7">
        <v>0</v>
      </c>
      <c r="L1834" s="7">
        <v>670.67</v>
      </c>
      <c r="M1834" s="7">
        <v>669.22</v>
      </c>
      <c r="N1834" s="7">
        <v>670.67</v>
      </c>
      <c r="O1834" s="7">
        <v>670.67</v>
      </c>
      <c r="P1834" s="7">
        <v>669.22</v>
      </c>
      <c r="Q1834">
        <v>1</v>
      </c>
      <c r="R1834">
        <v>0</v>
      </c>
      <c r="S1834" s="11">
        <v>45933.666666666664</v>
      </c>
      <c r="T1834">
        <v>573</v>
      </c>
    </row>
    <row r="1835" spans="1:20">
      <c r="A1835" s="11">
        <v>45933.416666666664</v>
      </c>
      <c r="B1835" s="11">
        <v>45933.4375</v>
      </c>
      <c r="C1835" s="10">
        <v>45933</v>
      </c>
      <c r="D1835" s="7">
        <v>671.36500000000001</v>
      </c>
      <c r="E1835" s="7">
        <v>4044802</v>
      </c>
      <c r="F1835" s="7">
        <v>4044802</v>
      </c>
      <c r="G1835" s="7">
        <v>9267039</v>
      </c>
      <c r="H1835" s="7">
        <v>670.67</v>
      </c>
      <c r="I1835" s="7">
        <v>669.22</v>
      </c>
      <c r="J1835" s="7">
        <v>14</v>
      </c>
      <c r="K1835" s="7">
        <v>1.4193573999999999E-3</v>
      </c>
      <c r="L1835" s="7">
        <v>671.62192045100005</v>
      </c>
      <c r="M1835" s="7">
        <v>668.27013761729995</v>
      </c>
      <c r="N1835" s="7">
        <v>670.97334796150005</v>
      </c>
      <c r="O1835" s="7">
        <v>671.62192045100005</v>
      </c>
      <c r="P1835" s="7">
        <v>668.27013761729995</v>
      </c>
      <c r="Q1835">
        <v>1</v>
      </c>
      <c r="R1835">
        <v>0</v>
      </c>
      <c r="S1835" s="11">
        <v>45933.666666666664</v>
      </c>
      <c r="T1835">
        <v>572</v>
      </c>
    </row>
    <row r="1836" spans="1:20">
      <c r="A1836" s="11">
        <v>45933.4375</v>
      </c>
      <c r="B1836" s="11">
        <v>45933.458333333336</v>
      </c>
      <c r="C1836" s="10">
        <v>45933</v>
      </c>
      <c r="D1836" s="7">
        <v>672.1</v>
      </c>
      <c r="E1836" s="7">
        <v>3001404</v>
      </c>
      <c r="F1836" s="7">
        <v>3001404</v>
      </c>
      <c r="G1836" s="7">
        <v>12268443</v>
      </c>
      <c r="H1836" s="7">
        <v>670.67</v>
      </c>
      <c r="I1836" s="7">
        <v>669.22</v>
      </c>
      <c r="J1836" s="7">
        <v>14</v>
      </c>
      <c r="K1836" s="7">
        <v>1.5834555000000001E-3</v>
      </c>
      <c r="L1836" s="7">
        <v>671.7319760826</v>
      </c>
      <c r="M1836" s="7">
        <v>668.16031992789999</v>
      </c>
      <c r="N1836" s="7">
        <v>671.24897690110004</v>
      </c>
      <c r="O1836" s="7">
        <v>671.7319760826</v>
      </c>
      <c r="P1836" s="7">
        <v>668.16031992789999</v>
      </c>
      <c r="Q1836">
        <v>1</v>
      </c>
      <c r="R1836">
        <v>0</v>
      </c>
      <c r="S1836" s="11">
        <v>45933.666666666664</v>
      </c>
      <c r="T1836">
        <v>571</v>
      </c>
    </row>
    <row r="1837" spans="1:20">
      <c r="A1837" s="11">
        <v>45933.458333333336</v>
      </c>
      <c r="B1837" s="11">
        <v>45933.479166666664</v>
      </c>
      <c r="C1837" s="10">
        <v>45933</v>
      </c>
      <c r="D1837" s="7">
        <v>671.76</v>
      </c>
      <c r="E1837" s="7">
        <v>2315499</v>
      </c>
      <c r="F1837" s="7">
        <v>2315499</v>
      </c>
      <c r="G1837" s="7">
        <v>14583942</v>
      </c>
      <c r="H1837" s="7">
        <v>670.67</v>
      </c>
      <c r="I1837" s="7">
        <v>669.22</v>
      </c>
      <c r="J1837" s="7">
        <v>14</v>
      </c>
      <c r="K1837" s="7">
        <v>1.8205680000000001E-3</v>
      </c>
      <c r="L1837" s="7">
        <v>671.89100035609999</v>
      </c>
      <c r="M1837" s="7">
        <v>668.00163946759994</v>
      </c>
      <c r="N1837" s="7">
        <v>671.33011226730002</v>
      </c>
      <c r="O1837" s="7">
        <v>671.89100035609999</v>
      </c>
      <c r="P1837" s="7">
        <v>668.00163946759994</v>
      </c>
      <c r="Q1837">
        <v>1</v>
      </c>
      <c r="R1837">
        <v>0</v>
      </c>
      <c r="S1837" s="11">
        <v>45933.666666666664</v>
      </c>
      <c r="T1837">
        <v>570</v>
      </c>
    </row>
    <row r="1838" spans="1:20">
      <c r="A1838" s="11">
        <v>45933.479166666664</v>
      </c>
      <c r="B1838" s="11">
        <v>45933.5</v>
      </c>
      <c r="C1838" s="10">
        <v>45933</v>
      </c>
      <c r="D1838" s="7">
        <v>672.51</v>
      </c>
      <c r="E1838" s="7">
        <v>2720911</v>
      </c>
      <c r="F1838" s="7">
        <v>2720911</v>
      </c>
      <c r="G1838" s="7">
        <v>17304853</v>
      </c>
      <c r="H1838" s="7">
        <v>670.67</v>
      </c>
      <c r="I1838" s="7">
        <v>669.22</v>
      </c>
      <c r="J1838" s="7">
        <v>14</v>
      </c>
      <c r="K1838" s="7">
        <v>2.0490782999999999E-3</v>
      </c>
      <c r="L1838" s="7">
        <v>672.04425536880001</v>
      </c>
      <c r="M1838" s="7">
        <v>667.8487157948</v>
      </c>
      <c r="N1838" s="7">
        <v>671.51563071759995</v>
      </c>
      <c r="O1838" s="7">
        <v>672.04425536880001</v>
      </c>
      <c r="P1838" s="7">
        <v>667.8487157948</v>
      </c>
      <c r="Q1838">
        <v>1</v>
      </c>
      <c r="R1838">
        <v>0</v>
      </c>
      <c r="S1838" s="11">
        <v>45933.666666666664</v>
      </c>
      <c r="T1838">
        <v>569</v>
      </c>
    </row>
    <row r="1839" spans="1:20">
      <c r="A1839" s="11">
        <v>45933.5</v>
      </c>
      <c r="B1839" s="11">
        <v>45933.520833333336</v>
      </c>
      <c r="C1839" s="10">
        <v>45933</v>
      </c>
      <c r="D1839" s="7">
        <v>672.43</v>
      </c>
      <c r="E1839" s="7">
        <v>1619856</v>
      </c>
      <c r="F1839" s="7">
        <v>1619856</v>
      </c>
      <c r="G1839" s="7">
        <v>18924709</v>
      </c>
      <c r="H1839" s="7">
        <v>670.67</v>
      </c>
      <c r="I1839" s="7">
        <v>669.22</v>
      </c>
      <c r="J1839" s="7">
        <v>14</v>
      </c>
      <c r="K1839" s="7">
        <v>1.9988166999999999E-3</v>
      </c>
      <c r="L1839" s="7">
        <v>672.0105464275</v>
      </c>
      <c r="M1839" s="7">
        <v>667.88235185680003</v>
      </c>
      <c r="N1839" s="7">
        <v>671.59389594050003</v>
      </c>
      <c r="O1839" s="7">
        <v>672.0105464275</v>
      </c>
      <c r="P1839" s="7">
        <v>667.88235185680003</v>
      </c>
      <c r="Q1839">
        <v>1</v>
      </c>
      <c r="R1839">
        <v>0</v>
      </c>
      <c r="S1839" s="11">
        <v>45933.666666666664</v>
      </c>
      <c r="T1839">
        <v>568</v>
      </c>
    </row>
    <row r="1840" spans="1:20">
      <c r="A1840" s="11">
        <v>45933.520833333336</v>
      </c>
      <c r="B1840" s="11">
        <v>45933.541666666664</v>
      </c>
      <c r="C1840" s="10">
        <v>45933</v>
      </c>
      <c r="D1840" s="7">
        <v>672.2</v>
      </c>
      <c r="E1840" s="7">
        <v>1456880</v>
      </c>
      <c r="F1840" s="7">
        <v>1456880</v>
      </c>
      <c r="G1840" s="7">
        <v>20381589</v>
      </c>
      <c r="H1840" s="7">
        <v>670.67</v>
      </c>
      <c r="I1840" s="7">
        <v>669.22</v>
      </c>
      <c r="J1840" s="7">
        <v>14</v>
      </c>
      <c r="K1840" s="7">
        <v>2.1778116999999998E-3</v>
      </c>
      <c r="L1840" s="7">
        <v>672.13059300609996</v>
      </c>
      <c r="M1840" s="7">
        <v>667.76256482099996</v>
      </c>
      <c r="N1840" s="7">
        <v>671.63722037820003</v>
      </c>
      <c r="O1840" s="7">
        <v>672.13059300609996</v>
      </c>
      <c r="P1840" s="7">
        <v>667.76256482099996</v>
      </c>
      <c r="Q1840">
        <v>1</v>
      </c>
      <c r="R1840">
        <v>0</v>
      </c>
      <c r="S1840" s="11">
        <v>45933.666666666664</v>
      </c>
      <c r="T1840">
        <v>567</v>
      </c>
    </row>
    <row r="1841" spans="1:20">
      <c r="A1841" s="11">
        <v>45933.541666666664</v>
      </c>
      <c r="B1841" s="11">
        <v>45933.5625</v>
      </c>
      <c r="C1841" s="10">
        <v>45933</v>
      </c>
      <c r="D1841" s="7">
        <v>670.26499999999999</v>
      </c>
      <c r="E1841" s="7">
        <v>4782275</v>
      </c>
      <c r="F1841" s="7">
        <v>4782275</v>
      </c>
      <c r="G1841" s="7">
        <v>25163864</v>
      </c>
      <c r="H1841" s="7">
        <v>670.67</v>
      </c>
      <c r="I1841" s="7">
        <v>669.22</v>
      </c>
      <c r="J1841" s="7">
        <v>14</v>
      </c>
      <c r="K1841" s="7">
        <v>2.3019923999999998E-3</v>
      </c>
      <c r="L1841" s="7">
        <v>672.21387727069998</v>
      </c>
      <c r="M1841" s="7">
        <v>667.67946061830003</v>
      </c>
      <c r="N1841" s="7">
        <v>671.37643629470006</v>
      </c>
      <c r="O1841" s="7">
        <v>672.21387727069998</v>
      </c>
      <c r="P1841" s="7">
        <v>667.67946061830003</v>
      </c>
      <c r="Q1841">
        <v>1</v>
      </c>
      <c r="R1841">
        <v>0</v>
      </c>
      <c r="S1841" s="11">
        <v>45933.666666666664</v>
      </c>
      <c r="T1841">
        <v>566</v>
      </c>
    </row>
    <row r="1842" spans="1:20">
      <c r="A1842" s="11">
        <v>45933.5625</v>
      </c>
      <c r="B1842" s="11">
        <v>45933.583333333336</v>
      </c>
      <c r="C1842" s="10">
        <v>45933</v>
      </c>
      <c r="D1842" s="7">
        <v>669.24</v>
      </c>
      <c r="E1842" s="7">
        <v>5610748</v>
      </c>
      <c r="F1842" s="7">
        <v>5610748</v>
      </c>
      <c r="G1842" s="7">
        <v>30774612</v>
      </c>
      <c r="H1842" s="7">
        <v>670.67</v>
      </c>
      <c r="I1842" s="7">
        <v>669.22</v>
      </c>
      <c r="J1842" s="7">
        <v>14</v>
      </c>
      <c r="K1842" s="7">
        <v>1.9805977E-3</v>
      </c>
      <c r="L1842" s="7">
        <v>671.99832746330003</v>
      </c>
      <c r="M1842" s="7">
        <v>667.89454440329996</v>
      </c>
      <c r="N1842" s="7">
        <v>670.98692673180005</v>
      </c>
      <c r="O1842" s="7">
        <v>671.99832746330003</v>
      </c>
      <c r="P1842" s="7">
        <v>667.89454440329996</v>
      </c>
      <c r="Q1842">
        <v>1</v>
      </c>
      <c r="R1842">
        <v>0</v>
      </c>
      <c r="S1842" s="11">
        <v>45933.666666666664</v>
      </c>
      <c r="T1842">
        <v>565</v>
      </c>
    </row>
    <row r="1843" spans="1:20">
      <c r="A1843" s="11">
        <v>45933.583333333336</v>
      </c>
      <c r="B1843" s="11">
        <v>45933.604166666664</v>
      </c>
      <c r="C1843" s="10">
        <v>45933</v>
      </c>
      <c r="D1843" s="7">
        <v>670.55</v>
      </c>
      <c r="E1843" s="7">
        <v>5035306</v>
      </c>
      <c r="F1843" s="7">
        <v>5035306</v>
      </c>
      <c r="G1843" s="7">
        <v>35809918</v>
      </c>
      <c r="H1843" s="7">
        <v>670.67</v>
      </c>
      <c r="I1843" s="7">
        <v>669.22</v>
      </c>
      <c r="J1843" s="7">
        <v>14</v>
      </c>
      <c r="K1843" s="7">
        <v>2.2126187999999998E-3</v>
      </c>
      <c r="L1843" s="7">
        <v>672.15393708149998</v>
      </c>
      <c r="M1843" s="7">
        <v>667.73927121580004</v>
      </c>
      <c r="N1843" s="7">
        <v>670.92548956810003</v>
      </c>
      <c r="O1843" s="7">
        <v>672.15393708149998</v>
      </c>
      <c r="P1843" s="7">
        <v>667.73927121580004</v>
      </c>
      <c r="Q1843">
        <v>1</v>
      </c>
      <c r="R1843">
        <v>0</v>
      </c>
      <c r="S1843" s="11">
        <v>45933.666666666664</v>
      </c>
      <c r="T1843">
        <v>564</v>
      </c>
    </row>
    <row r="1844" spans="1:20">
      <c r="A1844" s="11">
        <v>45933.604166666664</v>
      </c>
      <c r="B1844" s="11">
        <v>45933.625</v>
      </c>
      <c r="C1844" s="10">
        <v>45933</v>
      </c>
      <c r="D1844" s="7">
        <v>669.9</v>
      </c>
      <c r="E1844" s="7">
        <v>2709723</v>
      </c>
      <c r="F1844" s="7">
        <v>2709723</v>
      </c>
      <c r="G1844" s="7">
        <v>38519641</v>
      </c>
      <c r="H1844" s="7">
        <v>670.67</v>
      </c>
      <c r="I1844" s="7">
        <v>669.22</v>
      </c>
      <c r="J1844" s="7">
        <v>14</v>
      </c>
      <c r="K1844" s="7">
        <v>2.7373788999999998E-3</v>
      </c>
      <c r="L1844" s="7">
        <v>672.50587788600001</v>
      </c>
      <c r="M1844" s="7">
        <v>667.38809131339997</v>
      </c>
      <c r="N1844" s="7">
        <v>670.8533499376</v>
      </c>
      <c r="O1844" s="7">
        <v>672.50587788600001</v>
      </c>
      <c r="P1844" s="7">
        <v>667.38809131339997</v>
      </c>
      <c r="Q1844">
        <v>1</v>
      </c>
      <c r="R1844">
        <v>0</v>
      </c>
      <c r="S1844" s="11">
        <v>45933.666666666664</v>
      </c>
      <c r="T1844">
        <v>563</v>
      </c>
    </row>
    <row r="1845" spans="1:20">
      <c r="A1845" s="11">
        <v>45933.625</v>
      </c>
      <c r="B1845" s="11">
        <v>45933.645833333336</v>
      </c>
      <c r="C1845" s="10">
        <v>45933</v>
      </c>
      <c r="D1845" s="7">
        <v>669.62</v>
      </c>
      <c r="E1845" s="7">
        <v>3208394</v>
      </c>
      <c r="F1845" s="7">
        <v>3208394</v>
      </c>
      <c r="G1845" s="7">
        <v>41728035</v>
      </c>
      <c r="H1845" s="7">
        <v>670.67</v>
      </c>
      <c r="I1845" s="7">
        <v>669.22</v>
      </c>
      <c r="J1845" s="7">
        <v>14</v>
      </c>
      <c r="K1845" s="7">
        <v>2.7023730000000001E-3</v>
      </c>
      <c r="L1845" s="7">
        <v>672.48240053009999</v>
      </c>
      <c r="M1845" s="7">
        <v>667.41151791079994</v>
      </c>
      <c r="N1845" s="7">
        <v>670.7585198662</v>
      </c>
      <c r="O1845" s="7">
        <v>672.48240053009999</v>
      </c>
      <c r="P1845" s="7">
        <v>667.41151791079994</v>
      </c>
      <c r="Q1845">
        <v>1</v>
      </c>
      <c r="R1845">
        <v>0</v>
      </c>
      <c r="S1845" s="11">
        <v>45933.666666666664</v>
      </c>
      <c r="T1845">
        <v>562</v>
      </c>
    </row>
    <row r="1846" spans="1:20">
      <c r="A1846" s="11">
        <v>45933.645833333336</v>
      </c>
      <c r="B1846" s="11">
        <v>45933.666666666664</v>
      </c>
      <c r="C1846" s="10">
        <v>45933</v>
      </c>
      <c r="D1846" s="7">
        <v>669.21</v>
      </c>
      <c r="E1846" s="7">
        <v>7776043</v>
      </c>
      <c r="F1846" s="7">
        <v>7776043</v>
      </c>
      <c r="G1846" s="7">
        <v>49504078</v>
      </c>
      <c r="H1846" s="7">
        <v>670.67</v>
      </c>
      <c r="I1846" s="7">
        <v>669.22</v>
      </c>
      <c r="J1846" s="7">
        <v>14</v>
      </c>
      <c r="K1846" s="7">
        <v>2.4484121000000001E-3</v>
      </c>
      <c r="L1846" s="7">
        <v>672.31207653460001</v>
      </c>
      <c r="M1846" s="7">
        <v>667.58147366289995</v>
      </c>
      <c r="N1846" s="7">
        <v>670.5199925316</v>
      </c>
      <c r="O1846" s="7">
        <v>672.31207653460001</v>
      </c>
      <c r="P1846" s="7">
        <v>667.58147366289995</v>
      </c>
      <c r="Q1846">
        <v>1</v>
      </c>
      <c r="R1846">
        <v>1</v>
      </c>
      <c r="S1846" s="11">
        <v>45933.666666666664</v>
      </c>
      <c r="T1846">
        <v>561</v>
      </c>
    </row>
    <row r="1847" spans="1:20">
      <c r="A1847" s="11">
        <v>45936.395833333336</v>
      </c>
      <c r="B1847" s="11">
        <v>45936.416666666664</v>
      </c>
      <c r="C1847" s="10">
        <v>45936</v>
      </c>
      <c r="D1847" s="7">
        <v>669.95</v>
      </c>
      <c r="E1847" s="7">
        <v>7204445</v>
      </c>
      <c r="F1847" s="7">
        <v>7204445</v>
      </c>
      <c r="G1847" s="7">
        <v>7204445</v>
      </c>
      <c r="H1847" s="7">
        <v>669.95</v>
      </c>
      <c r="I1847" s="7">
        <v>669.21</v>
      </c>
      <c r="J1847" s="7">
        <v>14</v>
      </c>
      <c r="K1847" s="7">
        <v>0</v>
      </c>
      <c r="L1847" s="7">
        <v>669.95</v>
      </c>
      <c r="M1847" s="7">
        <v>669.21</v>
      </c>
      <c r="N1847" s="7">
        <v>669.95</v>
      </c>
      <c r="O1847" s="7">
        <v>669.95</v>
      </c>
      <c r="P1847" s="7">
        <v>669.21</v>
      </c>
      <c r="Q1847">
        <v>1</v>
      </c>
      <c r="R1847">
        <v>0</v>
      </c>
      <c r="S1847" s="11">
        <v>45936.666666666664</v>
      </c>
      <c r="T1847">
        <v>559</v>
      </c>
    </row>
    <row r="1848" spans="1:20">
      <c r="A1848" s="11">
        <v>45936.416666666664</v>
      </c>
      <c r="B1848" s="11">
        <v>45936.4375</v>
      </c>
      <c r="C1848" s="10">
        <v>45936</v>
      </c>
      <c r="D1848" s="7">
        <v>670.5</v>
      </c>
      <c r="E1848" s="7">
        <v>4175636</v>
      </c>
      <c r="F1848" s="7">
        <v>4175636</v>
      </c>
      <c r="G1848" s="7">
        <v>11380081</v>
      </c>
      <c r="H1848" s="7">
        <v>669.95</v>
      </c>
      <c r="I1848" s="7">
        <v>669.21</v>
      </c>
      <c r="J1848" s="7">
        <v>14</v>
      </c>
      <c r="K1848" s="7">
        <v>1.4901358999999999E-3</v>
      </c>
      <c r="L1848" s="7">
        <v>670.94831652309995</v>
      </c>
      <c r="M1848" s="7">
        <v>668.21278617739995</v>
      </c>
      <c r="N1848" s="7">
        <v>670.15180873930001</v>
      </c>
      <c r="O1848" s="7">
        <v>670.94831652309995</v>
      </c>
      <c r="P1848" s="7">
        <v>668.21278617739995</v>
      </c>
      <c r="Q1848">
        <v>1</v>
      </c>
      <c r="R1848">
        <v>0</v>
      </c>
      <c r="S1848" s="11">
        <v>45936.666666666664</v>
      </c>
      <c r="T1848">
        <v>558</v>
      </c>
    </row>
    <row r="1849" spans="1:20">
      <c r="A1849" s="11">
        <v>45936.4375</v>
      </c>
      <c r="B1849" s="11">
        <v>45936.458333333336</v>
      </c>
      <c r="C1849" s="10">
        <v>45936</v>
      </c>
      <c r="D1849" s="7">
        <v>670.77</v>
      </c>
      <c r="E1849" s="7">
        <v>2370910</v>
      </c>
      <c r="F1849" s="7">
        <v>2370910</v>
      </c>
      <c r="G1849" s="7">
        <v>13750991</v>
      </c>
      <c r="H1849" s="7">
        <v>669.95</v>
      </c>
      <c r="I1849" s="7">
        <v>669.21</v>
      </c>
      <c r="J1849" s="7">
        <v>14</v>
      </c>
      <c r="K1849" s="7">
        <v>1.7022465999999999E-3</v>
      </c>
      <c r="L1849" s="7">
        <v>671.09042012689997</v>
      </c>
      <c r="M1849" s="7">
        <v>668.07083953560004</v>
      </c>
      <c r="N1849" s="7">
        <v>670.25839566399998</v>
      </c>
      <c r="O1849" s="7">
        <v>671.09042012689997</v>
      </c>
      <c r="P1849" s="7">
        <v>668.07083953560004</v>
      </c>
      <c r="Q1849">
        <v>1</v>
      </c>
      <c r="R1849">
        <v>0</v>
      </c>
      <c r="S1849" s="11">
        <v>45936.666666666664</v>
      </c>
      <c r="T1849">
        <v>557</v>
      </c>
    </row>
    <row r="1850" spans="1:20">
      <c r="A1850" s="11">
        <v>45936.458333333336</v>
      </c>
      <c r="B1850" s="11">
        <v>45936.479166666664</v>
      </c>
      <c r="C1850" s="10">
        <v>45936</v>
      </c>
      <c r="D1850" s="7">
        <v>671.17</v>
      </c>
      <c r="E1850" s="7">
        <v>2037968</v>
      </c>
      <c r="F1850" s="7">
        <v>2037968</v>
      </c>
      <c r="G1850" s="7">
        <v>15788959</v>
      </c>
      <c r="H1850" s="7">
        <v>669.95</v>
      </c>
      <c r="I1850" s="7">
        <v>669.21</v>
      </c>
      <c r="J1850" s="7">
        <v>14</v>
      </c>
      <c r="K1850" s="7">
        <v>1.8982806E-3</v>
      </c>
      <c r="L1850" s="7">
        <v>671.22175307559996</v>
      </c>
      <c r="M1850" s="7">
        <v>667.93965165199995</v>
      </c>
      <c r="N1850" s="7">
        <v>670.37606146229996</v>
      </c>
      <c r="O1850" s="7">
        <v>671.22175307559996</v>
      </c>
      <c r="P1850" s="7">
        <v>667.93965165199995</v>
      </c>
      <c r="Q1850">
        <v>1</v>
      </c>
      <c r="R1850">
        <v>0</v>
      </c>
      <c r="S1850" s="11">
        <v>45936.666666666664</v>
      </c>
      <c r="T1850">
        <v>556</v>
      </c>
    </row>
    <row r="1851" spans="1:20">
      <c r="A1851" s="11">
        <v>45936.479166666664</v>
      </c>
      <c r="B1851" s="11">
        <v>45936.5</v>
      </c>
      <c r="C1851" s="10">
        <v>45936</v>
      </c>
      <c r="D1851" s="7">
        <v>671.83</v>
      </c>
      <c r="E1851" s="7">
        <v>2224150</v>
      </c>
      <c r="F1851" s="7">
        <v>2224150</v>
      </c>
      <c r="G1851" s="7">
        <v>18013109</v>
      </c>
      <c r="H1851" s="7">
        <v>669.95</v>
      </c>
      <c r="I1851" s="7">
        <v>669.21</v>
      </c>
      <c r="J1851" s="7">
        <v>14</v>
      </c>
      <c r="K1851" s="7">
        <v>2.2326100999999999E-3</v>
      </c>
      <c r="L1851" s="7">
        <v>671.44573716779996</v>
      </c>
      <c r="M1851" s="7">
        <v>667.71591496370002</v>
      </c>
      <c r="N1851" s="7">
        <v>670.55558501919995</v>
      </c>
      <c r="O1851" s="7">
        <v>671.44573716779996</v>
      </c>
      <c r="P1851" s="7">
        <v>667.71591496370002</v>
      </c>
      <c r="Q1851">
        <v>1</v>
      </c>
      <c r="R1851">
        <v>0</v>
      </c>
      <c r="S1851" s="11">
        <v>45936.666666666664</v>
      </c>
      <c r="T1851">
        <v>555</v>
      </c>
    </row>
    <row r="1852" spans="1:20">
      <c r="A1852" s="11">
        <v>45936.5</v>
      </c>
      <c r="B1852" s="11">
        <v>45936.520833333336</v>
      </c>
      <c r="C1852" s="10">
        <v>45936</v>
      </c>
      <c r="D1852" s="7">
        <v>671.8</v>
      </c>
      <c r="E1852" s="7">
        <v>1581436</v>
      </c>
      <c r="F1852" s="7">
        <v>1581436</v>
      </c>
      <c r="G1852" s="7">
        <v>19594545</v>
      </c>
      <c r="H1852" s="7">
        <v>669.95</v>
      </c>
      <c r="I1852" s="7">
        <v>669.21</v>
      </c>
      <c r="J1852" s="7">
        <v>14</v>
      </c>
      <c r="K1852" s="7">
        <v>2.1754544E-3</v>
      </c>
      <c r="L1852" s="7">
        <v>671.40744567180002</v>
      </c>
      <c r="M1852" s="7">
        <v>667.75416416439998</v>
      </c>
      <c r="N1852" s="7">
        <v>670.6560192293</v>
      </c>
      <c r="O1852" s="7">
        <v>671.40744567180002</v>
      </c>
      <c r="P1852" s="7">
        <v>667.75416416439998</v>
      </c>
      <c r="Q1852">
        <v>1</v>
      </c>
      <c r="R1852">
        <v>0</v>
      </c>
      <c r="S1852" s="11">
        <v>45936.666666666664</v>
      </c>
      <c r="T1852">
        <v>554</v>
      </c>
    </row>
    <row r="1853" spans="1:20">
      <c r="A1853" s="11">
        <v>45936.520833333336</v>
      </c>
      <c r="B1853" s="11">
        <v>45936.541666666664</v>
      </c>
      <c r="C1853" s="10">
        <v>45936</v>
      </c>
      <c r="D1853" s="7">
        <v>671.71</v>
      </c>
      <c r="E1853" s="7">
        <v>1291302</v>
      </c>
      <c r="F1853" s="7">
        <v>1291302</v>
      </c>
      <c r="G1853" s="7">
        <v>20885847</v>
      </c>
      <c r="H1853" s="7">
        <v>669.95</v>
      </c>
      <c r="I1853" s="7">
        <v>669.21</v>
      </c>
      <c r="J1853" s="7">
        <v>14</v>
      </c>
      <c r="K1853" s="7">
        <v>2.2764331E-3</v>
      </c>
      <c r="L1853" s="7">
        <v>671.47509638849999</v>
      </c>
      <c r="M1853" s="7">
        <v>667.68658817200003</v>
      </c>
      <c r="N1853" s="7">
        <v>670.72118333189997</v>
      </c>
      <c r="O1853" s="7">
        <v>671.47509638849999</v>
      </c>
      <c r="P1853" s="7">
        <v>667.68658817200003</v>
      </c>
      <c r="Q1853">
        <v>1</v>
      </c>
      <c r="R1853">
        <v>0</v>
      </c>
      <c r="S1853" s="11">
        <v>45936.666666666664</v>
      </c>
      <c r="T1853">
        <v>553</v>
      </c>
    </row>
    <row r="1854" spans="1:20">
      <c r="A1854" s="11">
        <v>45936.541666666664</v>
      </c>
      <c r="B1854" s="11">
        <v>45936.5625</v>
      </c>
      <c r="C1854" s="10">
        <v>45936</v>
      </c>
      <c r="D1854" s="7">
        <v>672.08</v>
      </c>
      <c r="E1854" s="7">
        <v>1946359</v>
      </c>
      <c r="F1854" s="7">
        <v>1946359</v>
      </c>
      <c r="G1854" s="7">
        <v>22832206</v>
      </c>
      <c r="H1854" s="7">
        <v>669.95</v>
      </c>
      <c r="I1854" s="7">
        <v>669.21</v>
      </c>
      <c r="J1854" s="7">
        <v>14</v>
      </c>
      <c r="K1854" s="7">
        <v>2.2370121000000001E-3</v>
      </c>
      <c r="L1854" s="7">
        <v>671.44868623980005</v>
      </c>
      <c r="M1854" s="7">
        <v>667.71296914909999</v>
      </c>
      <c r="N1854" s="7">
        <v>670.83701730140001</v>
      </c>
      <c r="O1854" s="7">
        <v>671.44868623980005</v>
      </c>
      <c r="P1854" s="7">
        <v>667.71296914909999</v>
      </c>
      <c r="Q1854">
        <v>1</v>
      </c>
      <c r="R1854">
        <v>0</v>
      </c>
      <c r="S1854" s="11">
        <v>45936.666666666664</v>
      </c>
      <c r="T1854">
        <v>552</v>
      </c>
    </row>
    <row r="1855" spans="1:20">
      <c r="A1855" s="11">
        <v>45936.5625</v>
      </c>
      <c r="B1855" s="11">
        <v>45936.583333333336</v>
      </c>
      <c r="C1855" s="10">
        <v>45936</v>
      </c>
      <c r="D1855" s="7">
        <v>672.28</v>
      </c>
      <c r="E1855" s="7">
        <v>1890286</v>
      </c>
      <c r="F1855" s="7">
        <v>1890286</v>
      </c>
      <c r="G1855" s="7">
        <v>24722492</v>
      </c>
      <c r="H1855" s="7">
        <v>669.95</v>
      </c>
      <c r="I1855" s="7">
        <v>669.21</v>
      </c>
      <c r="J1855" s="7">
        <v>14</v>
      </c>
      <c r="K1855" s="7">
        <v>2.1188371000000002E-3</v>
      </c>
      <c r="L1855" s="7">
        <v>671.3695148859</v>
      </c>
      <c r="M1855" s="7">
        <v>667.79205305359994</v>
      </c>
      <c r="N1855" s="7">
        <v>670.94734800720005</v>
      </c>
      <c r="O1855" s="7">
        <v>671.3695148859</v>
      </c>
      <c r="P1855" s="7">
        <v>667.79205305359994</v>
      </c>
      <c r="Q1855">
        <v>1</v>
      </c>
      <c r="R1855">
        <v>0</v>
      </c>
      <c r="S1855" s="11">
        <v>45936.666666666664</v>
      </c>
      <c r="T1855">
        <v>551</v>
      </c>
    </row>
    <row r="1856" spans="1:20">
      <c r="A1856" s="11">
        <v>45936.583333333336</v>
      </c>
      <c r="B1856" s="11">
        <v>45936.604166666664</v>
      </c>
      <c r="C1856" s="10">
        <v>45936</v>
      </c>
      <c r="D1856" s="7">
        <v>672.24</v>
      </c>
      <c r="E1856" s="7">
        <v>2098191</v>
      </c>
      <c r="F1856" s="7">
        <v>2098191</v>
      </c>
      <c r="G1856" s="7">
        <v>26820683</v>
      </c>
      <c r="H1856" s="7">
        <v>669.95</v>
      </c>
      <c r="I1856" s="7">
        <v>669.21</v>
      </c>
      <c r="J1856" s="7">
        <v>14</v>
      </c>
      <c r="K1856" s="7">
        <v>2.1356707999999999E-3</v>
      </c>
      <c r="L1856" s="7">
        <v>671.38079268520005</v>
      </c>
      <c r="M1856" s="7">
        <v>667.78078771130004</v>
      </c>
      <c r="N1856" s="7">
        <v>671.04847260489998</v>
      </c>
      <c r="O1856" s="7">
        <v>671.38079268520005</v>
      </c>
      <c r="P1856" s="7">
        <v>667.78078771130004</v>
      </c>
      <c r="Q1856">
        <v>1</v>
      </c>
      <c r="R1856">
        <v>0</v>
      </c>
      <c r="S1856" s="11">
        <v>45936.666666666664</v>
      </c>
      <c r="T1856">
        <v>550</v>
      </c>
    </row>
    <row r="1857" spans="1:20">
      <c r="A1857" s="11">
        <v>45936.604166666664</v>
      </c>
      <c r="B1857" s="11">
        <v>45936.625</v>
      </c>
      <c r="C1857" s="10">
        <v>45936</v>
      </c>
      <c r="D1857" s="7">
        <v>672.11</v>
      </c>
      <c r="E1857" s="7">
        <v>1835848</v>
      </c>
      <c r="F1857" s="7">
        <v>1835848</v>
      </c>
      <c r="G1857" s="7">
        <v>28656531</v>
      </c>
      <c r="H1857" s="7">
        <v>669.95</v>
      </c>
      <c r="I1857" s="7">
        <v>669.21</v>
      </c>
      <c r="J1857" s="7">
        <v>14</v>
      </c>
      <c r="K1857" s="7">
        <v>2.7404662000000001E-3</v>
      </c>
      <c r="L1857" s="7">
        <v>671.78597532260005</v>
      </c>
      <c r="M1857" s="7">
        <v>667.37605262240004</v>
      </c>
      <c r="N1857" s="7">
        <v>671.11647814770004</v>
      </c>
      <c r="O1857" s="7">
        <v>671.78597532260005</v>
      </c>
      <c r="P1857" s="7">
        <v>667.37605262240004</v>
      </c>
      <c r="Q1857">
        <v>1</v>
      </c>
      <c r="R1857">
        <v>0</v>
      </c>
      <c r="S1857" s="11">
        <v>45936.666666666664</v>
      </c>
      <c r="T1857">
        <v>549</v>
      </c>
    </row>
    <row r="1858" spans="1:20">
      <c r="A1858" s="11">
        <v>45936.625</v>
      </c>
      <c r="B1858" s="11">
        <v>45936.645833333336</v>
      </c>
      <c r="C1858" s="10">
        <v>45936</v>
      </c>
      <c r="D1858" s="7">
        <v>671.73</v>
      </c>
      <c r="E1858" s="7">
        <v>2156797</v>
      </c>
      <c r="F1858" s="7">
        <v>2156797</v>
      </c>
      <c r="G1858" s="7">
        <v>30813328</v>
      </c>
      <c r="H1858" s="7">
        <v>669.95</v>
      </c>
      <c r="I1858" s="7">
        <v>669.21</v>
      </c>
      <c r="J1858" s="7">
        <v>14</v>
      </c>
      <c r="K1858" s="7">
        <v>2.7396067000000001E-3</v>
      </c>
      <c r="L1858" s="7">
        <v>671.78539952530002</v>
      </c>
      <c r="M1858" s="7">
        <v>667.37662778369997</v>
      </c>
      <c r="N1858" s="7">
        <v>671.15942197029995</v>
      </c>
      <c r="O1858" s="7">
        <v>671.78539952530002</v>
      </c>
      <c r="P1858" s="7">
        <v>667.37662778369997</v>
      </c>
      <c r="Q1858">
        <v>1</v>
      </c>
      <c r="R1858">
        <v>0</v>
      </c>
      <c r="S1858" s="11">
        <v>45936.666666666664</v>
      </c>
      <c r="T1858">
        <v>548</v>
      </c>
    </row>
    <row r="1859" spans="1:20">
      <c r="A1859" s="11">
        <v>45936.645833333336</v>
      </c>
      <c r="B1859" s="11">
        <v>45936.666666666664</v>
      </c>
      <c r="C1859" s="10">
        <v>45936</v>
      </c>
      <c r="D1859" s="7">
        <v>671.61</v>
      </c>
      <c r="E1859" s="7">
        <v>7281199</v>
      </c>
      <c r="F1859" s="7">
        <v>7281199</v>
      </c>
      <c r="G1859" s="7">
        <v>38094527</v>
      </c>
      <c r="H1859" s="7">
        <v>669.95</v>
      </c>
      <c r="I1859" s="7">
        <v>669.21</v>
      </c>
      <c r="J1859" s="7">
        <v>14</v>
      </c>
      <c r="K1859" s="7">
        <v>2.5833746E-3</v>
      </c>
      <c r="L1859" s="7">
        <v>671.68073184340005</v>
      </c>
      <c r="M1859" s="7">
        <v>667.48117985390002</v>
      </c>
      <c r="N1859" s="7">
        <v>671.24554322070003</v>
      </c>
      <c r="O1859" s="7">
        <v>671.68073184340005</v>
      </c>
      <c r="P1859" s="7">
        <v>667.48117985390002</v>
      </c>
      <c r="Q1859">
        <v>1</v>
      </c>
      <c r="R1859">
        <v>1</v>
      </c>
      <c r="S1859" s="11">
        <v>45936.666666666664</v>
      </c>
      <c r="T1859">
        <v>547</v>
      </c>
    </row>
    <row r="1860" spans="1:20">
      <c r="A1860" s="11">
        <v>45937.395833333336</v>
      </c>
      <c r="B1860" s="11">
        <v>45937.416666666664</v>
      </c>
      <c r="C1860" s="10">
        <v>45937</v>
      </c>
      <c r="D1860" s="7">
        <v>672.09500000000003</v>
      </c>
      <c r="E1860" s="7">
        <v>5514922</v>
      </c>
      <c r="F1860" s="7">
        <v>5514922</v>
      </c>
      <c r="G1860" s="7">
        <v>5514922</v>
      </c>
      <c r="H1860" s="7">
        <v>672.09500000000003</v>
      </c>
      <c r="I1860" s="7">
        <v>671.61</v>
      </c>
      <c r="J1860" s="7">
        <v>14</v>
      </c>
      <c r="K1860" s="7">
        <v>0</v>
      </c>
      <c r="L1860" s="7">
        <v>672.09500000000003</v>
      </c>
      <c r="M1860" s="7">
        <v>671.61</v>
      </c>
      <c r="N1860" s="7">
        <v>672.09500000000003</v>
      </c>
      <c r="O1860" s="7">
        <v>672.09500000000003</v>
      </c>
      <c r="P1860" s="7">
        <v>671.61</v>
      </c>
      <c r="Q1860">
        <v>1</v>
      </c>
      <c r="R1860">
        <v>0</v>
      </c>
      <c r="S1860" s="11">
        <v>45937.666666666664</v>
      </c>
      <c r="T1860">
        <v>545</v>
      </c>
    </row>
    <row r="1861" spans="1:20">
      <c r="A1861" s="11">
        <v>45937.416666666664</v>
      </c>
      <c r="B1861" s="11">
        <v>45937.4375</v>
      </c>
      <c r="C1861" s="10">
        <v>45937</v>
      </c>
      <c r="D1861" s="7">
        <v>671.3</v>
      </c>
      <c r="E1861" s="7">
        <v>3221920</v>
      </c>
      <c r="F1861" s="7">
        <v>3221920</v>
      </c>
      <c r="G1861" s="7">
        <v>8736842</v>
      </c>
      <c r="H1861" s="7">
        <v>672.09500000000003</v>
      </c>
      <c r="I1861" s="7">
        <v>671.61</v>
      </c>
      <c r="J1861" s="7">
        <v>14</v>
      </c>
      <c r="K1861" s="7">
        <v>1.5173997E-3</v>
      </c>
      <c r="L1861" s="7">
        <v>673.11483672739996</v>
      </c>
      <c r="M1861" s="7">
        <v>670.59089921140003</v>
      </c>
      <c r="N1861" s="7">
        <v>671.80182468559997</v>
      </c>
      <c r="O1861" s="7">
        <v>673.11483672739996</v>
      </c>
      <c r="P1861" s="7">
        <v>670.59089921140003</v>
      </c>
      <c r="Q1861">
        <v>1</v>
      </c>
      <c r="R1861">
        <v>0</v>
      </c>
      <c r="S1861" s="11">
        <v>45937.666666666664</v>
      </c>
      <c r="T1861">
        <v>544</v>
      </c>
    </row>
    <row r="1862" spans="1:20">
      <c r="A1862" s="11">
        <v>45937.4375</v>
      </c>
      <c r="B1862" s="11">
        <v>45937.458333333336</v>
      </c>
      <c r="C1862" s="10">
        <v>45937</v>
      </c>
      <c r="D1862" s="7">
        <v>670.91</v>
      </c>
      <c r="E1862" s="7">
        <v>3835883</v>
      </c>
      <c r="F1862" s="7">
        <v>3835883</v>
      </c>
      <c r="G1862" s="7">
        <v>12572725</v>
      </c>
      <c r="H1862" s="7">
        <v>672.09500000000003</v>
      </c>
      <c r="I1862" s="7">
        <v>671.61</v>
      </c>
      <c r="J1862" s="7">
        <v>14</v>
      </c>
      <c r="K1862" s="7">
        <v>1.7561382E-3</v>
      </c>
      <c r="L1862" s="7">
        <v>673.2752917199</v>
      </c>
      <c r="M1862" s="7">
        <v>670.43056000709998</v>
      </c>
      <c r="N1862" s="7">
        <v>671.52973290360001</v>
      </c>
      <c r="O1862" s="7">
        <v>673.2752917199</v>
      </c>
      <c r="P1862" s="7">
        <v>670.43056000709998</v>
      </c>
      <c r="Q1862">
        <v>1</v>
      </c>
      <c r="R1862">
        <v>0</v>
      </c>
      <c r="S1862" s="11">
        <v>45937.666666666664</v>
      </c>
      <c r="T1862">
        <v>543</v>
      </c>
    </row>
    <row r="1863" spans="1:20">
      <c r="A1863" s="11">
        <v>45937.458333333336</v>
      </c>
      <c r="B1863" s="11">
        <v>45937.479166666664</v>
      </c>
      <c r="C1863" s="10">
        <v>45937</v>
      </c>
      <c r="D1863" s="7">
        <v>669.23</v>
      </c>
      <c r="E1863" s="7">
        <v>8734450</v>
      </c>
      <c r="F1863" s="7">
        <v>8734450</v>
      </c>
      <c r="G1863" s="7">
        <v>21307175</v>
      </c>
      <c r="H1863" s="7">
        <v>672.09500000000003</v>
      </c>
      <c r="I1863" s="7">
        <v>671.61</v>
      </c>
      <c r="J1863" s="7">
        <v>14</v>
      </c>
      <c r="K1863" s="7">
        <v>1.9635844000000001E-3</v>
      </c>
      <c r="L1863" s="7">
        <v>673.41471522660004</v>
      </c>
      <c r="M1863" s="7">
        <v>670.2912371118</v>
      </c>
      <c r="N1863" s="7">
        <v>670.58700342110001</v>
      </c>
      <c r="O1863" s="7">
        <v>673.41471522660004</v>
      </c>
      <c r="P1863" s="7">
        <v>670.2912371118</v>
      </c>
      <c r="Q1863">
        <v>1</v>
      </c>
      <c r="R1863">
        <v>0</v>
      </c>
      <c r="S1863" s="11">
        <v>45937.666666666664</v>
      </c>
      <c r="T1863">
        <v>542</v>
      </c>
    </row>
    <row r="1864" spans="1:20">
      <c r="A1864" s="11">
        <v>45937.479166666664</v>
      </c>
      <c r="B1864" s="11">
        <v>45937.5</v>
      </c>
      <c r="C1864" s="10">
        <v>45937</v>
      </c>
      <c r="D1864" s="7">
        <v>668.23</v>
      </c>
      <c r="E1864" s="7">
        <v>7297708</v>
      </c>
      <c r="F1864" s="7">
        <v>7297708</v>
      </c>
      <c r="G1864" s="7">
        <v>28604883</v>
      </c>
      <c r="H1864" s="7">
        <v>672.09500000000003</v>
      </c>
      <c r="I1864" s="7">
        <v>671.61</v>
      </c>
      <c r="J1864" s="7">
        <v>14</v>
      </c>
      <c r="K1864" s="7">
        <v>2.3740967999999999E-3</v>
      </c>
      <c r="L1864" s="7">
        <v>673.69061860969998</v>
      </c>
      <c r="M1864" s="7">
        <v>670.01553282730004</v>
      </c>
      <c r="N1864" s="7">
        <v>669.98568221590006</v>
      </c>
      <c r="O1864" s="7">
        <v>673.69061860969998</v>
      </c>
      <c r="P1864" s="7">
        <v>669.98568221590006</v>
      </c>
      <c r="Q1864">
        <v>1</v>
      </c>
      <c r="R1864">
        <v>0</v>
      </c>
      <c r="S1864" s="11">
        <v>45937.666666666664</v>
      </c>
      <c r="T1864">
        <v>541</v>
      </c>
    </row>
    <row r="1865" spans="1:20">
      <c r="A1865" s="11">
        <v>45937.5</v>
      </c>
      <c r="B1865" s="11">
        <v>45937.520833333336</v>
      </c>
      <c r="C1865" s="10">
        <v>45937</v>
      </c>
      <c r="D1865" s="7">
        <v>668.39</v>
      </c>
      <c r="E1865" s="7">
        <v>4233517</v>
      </c>
      <c r="F1865" s="7">
        <v>4233517</v>
      </c>
      <c r="G1865" s="7">
        <v>32838400</v>
      </c>
      <c r="H1865" s="7">
        <v>672.09500000000003</v>
      </c>
      <c r="I1865" s="7">
        <v>671.61</v>
      </c>
      <c r="J1865" s="7">
        <v>14</v>
      </c>
      <c r="K1865" s="7">
        <v>2.3380774000000002E-3</v>
      </c>
      <c r="L1865" s="7">
        <v>673.66641010870001</v>
      </c>
      <c r="M1865" s="7">
        <v>670.03972385880002</v>
      </c>
      <c r="N1865" s="7">
        <v>669.77996732760005</v>
      </c>
      <c r="O1865" s="7">
        <v>673.66641010870001</v>
      </c>
      <c r="P1865" s="7">
        <v>669.77996732760005</v>
      </c>
      <c r="Q1865">
        <v>1</v>
      </c>
      <c r="R1865">
        <v>0</v>
      </c>
      <c r="S1865" s="11">
        <v>45937.666666666664</v>
      </c>
      <c r="T1865">
        <v>540</v>
      </c>
    </row>
    <row r="1866" spans="1:20">
      <c r="A1866" s="11">
        <v>45937.520833333336</v>
      </c>
      <c r="B1866" s="11">
        <v>45937.541666666664</v>
      </c>
      <c r="C1866" s="10">
        <v>45937</v>
      </c>
      <c r="D1866" s="7">
        <v>668.36</v>
      </c>
      <c r="E1866" s="7">
        <v>2934538</v>
      </c>
      <c r="F1866" s="7">
        <v>2934538</v>
      </c>
      <c r="G1866" s="7">
        <v>35772938</v>
      </c>
      <c r="H1866" s="7">
        <v>672.09500000000003</v>
      </c>
      <c r="I1866" s="7">
        <v>671.61</v>
      </c>
      <c r="J1866" s="7">
        <v>14</v>
      </c>
      <c r="K1866" s="7">
        <v>2.4321619999999999E-3</v>
      </c>
      <c r="L1866" s="7">
        <v>673.72964390729999</v>
      </c>
      <c r="M1866" s="7">
        <v>669.97653569119996</v>
      </c>
      <c r="N1866" s="7">
        <v>669.66348407750002</v>
      </c>
      <c r="O1866" s="7">
        <v>673.72964390729999</v>
      </c>
      <c r="P1866" s="7">
        <v>669.66348407750002</v>
      </c>
      <c r="Q1866">
        <v>1</v>
      </c>
      <c r="R1866">
        <v>0</v>
      </c>
      <c r="S1866" s="11">
        <v>45937.666666666664</v>
      </c>
      <c r="T1866">
        <v>539</v>
      </c>
    </row>
    <row r="1867" spans="1:20">
      <c r="A1867" s="11">
        <v>45937.541666666664</v>
      </c>
      <c r="B1867" s="11">
        <v>45937.5625</v>
      </c>
      <c r="C1867" s="10">
        <v>45937</v>
      </c>
      <c r="D1867" s="7">
        <v>668.92</v>
      </c>
      <c r="E1867" s="7">
        <v>2073371</v>
      </c>
      <c r="F1867" s="7">
        <v>2073371</v>
      </c>
      <c r="G1867" s="7">
        <v>37846309</v>
      </c>
      <c r="H1867" s="7">
        <v>672.09500000000003</v>
      </c>
      <c r="I1867" s="7">
        <v>671.61</v>
      </c>
      <c r="J1867" s="7">
        <v>14</v>
      </c>
      <c r="K1867" s="7">
        <v>2.4555262E-3</v>
      </c>
      <c r="L1867" s="7">
        <v>673.7453468635</v>
      </c>
      <c r="M1867" s="7">
        <v>669.96084406670002</v>
      </c>
      <c r="N1867" s="7">
        <v>669.62275306929996</v>
      </c>
      <c r="O1867" s="7">
        <v>673.7453468635</v>
      </c>
      <c r="P1867" s="7">
        <v>669.62275306929996</v>
      </c>
      <c r="Q1867">
        <v>1</v>
      </c>
      <c r="R1867">
        <v>0</v>
      </c>
      <c r="S1867" s="11">
        <v>45937.666666666664</v>
      </c>
      <c r="T1867">
        <v>538</v>
      </c>
    </row>
    <row r="1868" spans="1:20">
      <c r="A1868" s="11">
        <v>45937.5625</v>
      </c>
      <c r="B1868" s="11">
        <v>45937.583333333336</v>
      </c>
      <c r="C1868" s="10">
        <v>45937</v>
      </c>
      <c r="D1868" s="7">
        <v>668.33</v>
      </c>
      <c r="E1868" s="7">
        <v>1741476</v>
      </c>
      <c r="F1868" s="7">
        <v>1741476</v>
      </c>
      <c r="G1868" s="7">
        <v>39587785</v>
      </c>
      <c r="H1868" s="7">
        <v>672.09500000000003</v>
      </c>
      <c r="I1868" s="7">
        <v>671.61</v>
      </c>
      <c r="J1868" s="7">
        <v>14</v>
      </c>
      <c r="K1868" s="7">
        <v>2.3650975000000002E-3</v>
      </c>
      <c r="L1868" s="7">
        <v>673.68457017150001</v>
      </c>
      <c r="M1868" s="7">
        <v>670.02157690080003</v>
      </c>
      <c r="N1868" s="7">
        <v>669.56588455680003</v>
      </c>
      <c r="O1868" s="7">
        <v>673.68457017150001</v>
      </c>
      <c r="P1868" s="7">
        <v>669.56588455680003</v>
      </c>
      <c r="Q1868">
        <v>1</v>
      </c>
      <c r="R1868">
        <v>0</v>
      </c>
      <c r="S1868" s="11">
        <v>45937.666666666664</v>
      </c>
      <c r="T1868">
        <v>537</v>
      </c>
    </row>
    <row r="1869" spans="1:20">
      <c r="A1869" s="11">
        <v>45937.583333333336</v>
      </c>
      <c r="B1869" s="11">
        <v>45937.604166666664</v>
      </c>
      <c r="C1869" s="10">
        <v>45937</v>
      </c>
      <c r="D1869" s="7">
        <v>668.64</v>
      </c>
      <c r="E1869" s="7">
        <v>2204298</v>
      </c>
      <c r="F1869" s="7">
        <v>2204298</v>
      </c>
      <c r="G1869" s="7">
        <v>41792083</v>
      </c>
      <c r="H1869" s="7">
        <v>672.09500000000003</v>
      </c>
      <c r="I1869" s="7">
        <v>671.61</v>
      </c>
      <c r="J1869" s="7">
        <v>14</v>
      </c>
      <c r="K1869" s="7">
        <v>2.3792830999999999E-3</v>
      </c>
      <c r="L1869" s="7">
        <v>673.69410425379999</v>
      </c>
      <c r="M1869" s="7">
        <v>670.01204969840001</v>
      </c>
      <c r="N1869" s="7">
        <v>669.51704933899998</v>
      </c>
      <c r="O1869" s="7">
        <v>673.69410425379999</v>
      </c>
      <c r="P1869" s="7">
        <v>669.51704933899998</v>
      </c>
      <c r="Q1869">
        <v>1</v>
      </c>
      <c r="R1869">
        <v>0</v>
      </c>
      <c r="S1869" s="11">
        <v>45937.666666666664</v>
      </c>
      <c r="T1869">
        <v>536</v>
      </c>
    </row>
    <row r="1870" spans="1:20">
      <c r="A1870" s="11">
        <v>45937.604166666664</v>
      </c>
      <c r="B1870" s="11">
        <v>45937.625</v>
      </c>
      <c r="C1870" s="10">
        <v>45937</v>
      </c>
      <c r="D1870" s="7">
        <v>669</v>
      </c>
      <c r="E1870" s="7">
        <v>1669368</v>
      </c>
      <c r="F1870" s="7">
        <v>1669368</v>
      </c>
      <c r="G1870" s="7">
        <v>43461451</v>
      </c>
      <c r="H1870" s="7">
        <v>672.09500000000003</v>
      </c>
      <c r="I1870" s="7">
        <v>671.61</v>
      </c>
      <c r="J1870" s="7">
        <v>14</v>
      </c>
      <c r="K1870" s="7">
        <v>2.9274829999999998E-3</v>
      </c>
      <c r="L1870" s="7">
        <v>674.06254667550002</v>
      </c>
      <c r="M1870" s="7">
        <v>669.64387315379997</v>
      </c>
      <c r="N1870" s="7">
        <v>669.49718931129996</v>
      </c>
      <c r="O1870" s="7">
        <v>674.06254667550002</v>
      </c>
      <c r="P1870" s="7">
        <v>669.49718931129996</v>
      </c>
      <c r="Q1870">
        <v>1</v>
      </c>
      <c r="R1870">
        <v>0</v>
      </c>
      <c r="S1870" s="11">
        <v>45937.666666666664</v>
      </c>
      <c r="T1870">
        <v>535</v>
      </c>
    </row>
    <row r="1871" spans="1:20">
      <c r="A1871" s="11">
        <v>45937.625</v>
      </c>
      <c r="B1871" s="11">
        <v>45937.645833333336</v>
      </c>
      <c r="C1871" s="10">
        <v>45937</v>
      </c>
      <c r="D1871" s="7">
        <v>668.57</v>
      </c>
      <c r="E1871" s="7">
        <v>2218937</v>
      </c>
      <c r="F1871" s="7">
        <v>2218937</v>
      </c>
      <c r="G1871" s="7">
        <v>45680388</v>
      </c>
      <c r="H1871" s="7">
        <v>672.09500000000003</v>
      </c>
      <c r="I1871" s="7">
        <v>671.61</v>
      </c>
      <c r="J1871" s="7">
        <v>14</v>
      </c>
      <c r="K1871" s="7">
        <v>2.9256E-3</v>
      </c>
      <c r="L1871" s="7">
        <v>674.06128110839995</v>
      </c>
      <c r="M1871" s="7">
        <v>669.64513780760001</v>
      </c>
      <c r="N1871" s="7">
        <v>669.45215084380004</v>
      </c>
      <c r="O1871" s="7">
        <v>674.06128110839995</v>
      </c>
      <c r="P1871" s="7">
        <v>669.45215084380004</v>
      </c>
      <c r="Q1871">
        <v>1</v>
      </c>
      <c r="R1871">
        <v>0</v>
      </c>
      <c r="S1871" s="11">
        <v>45937.666666666664</v>
      </c>
      <c r="T1871">
        <v>534</v>
      </c>
    </row>
    <row r="1872" spans="1:20">
      <c r="A1872" s="11">
        <v>45937.645833333336</v>
      </c>
      <c r="B1872" s="11">
        <v>45937.666666666664</v>
      </c>
      <c r="C1872" s="10">
        <v>45937</v>
      </c>
      <c r="D1872" s="7">
        <v>669.12</v>
      </c>
      <c r="E1872" s="7">
        <v>8083200</v>
      </c>
      <c r="F1872" s="7">
        <v>8083200</v>
      </c>
      <c r="G1872" s="7">
        <v>53763588</v>
      </c>
      <c r="H1872" s="7">
        <v>672.09500000000003</v>
      </c>
      <c r="I1872" s="7">
        <v>671.61</v>
      </c>
      <c r="J1872" s="7">
        <v>14</v>
      </c>
      <c r="K1872" s="7">
        <v>2.7387268000000002E-3</v>
      </c>
      <c r="L1872" s="7">
        <v>673.9356845689</v>
      </c>
      <c r="M1872" s="7">
        <v>669.77064371359995</v>
      </c>
      <c r="N1872" s="7">
        <v>669.40221292490003</v>
      </c>
      <c r="O1872" s="7">
        <v>673.9356845689</v>
      </c>
      <c r="P1872" s="7">
        <v>669.40221292490003</v>
      </c>
      <c r="Q1872">
        <v>1</v>
      </c>
      <c r="R1872">
        <v>1</v>
      </c>
      <c r="S1872" s="11">
        <v>45937.666666666664</v>
      </c>
      <c r="T1872">
        <v>533</v>
      </c>
    </row>
    <row r="1873" spans="1:20">
      <c r="A1873" s="11">
        <v>45938.395833333336</v>
      </c>
      <c r="B1873" s="11">
        <v>45938.416666666664</v>
      </c>
      <c r="C1873" s="10">
        <v>45938</v>
      </c>
      <c r="D1873" s="7">
        <v>670.38499999999999</v>
      </c>
      <c r="E1873" s="7">
        <v>6682292</v>
      </c>
      <c r="F1873" s="7">
        <v>6682292</v>
      </c>
      <c r="G1873" s="7">
        <v>6682292</v>
      </c>
      <c r="H1873" s="7">
        <v>670.38499999999999</v>
      </c>
      <c r="I1873" s="7">
        <v>669.12</v>
      </c>
      <c r="J1873" s="7">
        <v>14</v>
      </c>
      <c r="K1873" s="7">
        <v>0</v>
      </c>
      <c r="L1873" s="7">
        <v>670.38499999999999</v>
      </c>
      <c r="M1873" s="7">
        <v>669.12</v>
      </c>
      <c r="N1873" s="7">
        <v>670.38499999999999</v>
      </c>
      <c r="O1873" s="7">
        <v>670.38499999999999</v>
      </c>
      <c r="P1873" s="7">
        <v>669.12</v>
      </c>
      <c r="Q1873">
        <v>1</v>
      </c>
      <c r="R1873">
        <v>0</v>
      </c>
      <c r="S1873" s="11">
        <v>45938.666666666664</v>
      </c>
      <c r="T1873">
        <v>531</v>
      </c>
    </row>
    <row r="1874" spans="1:20">
      <c r="A1874" s="11">
        <v>45938.416666666664</v>
      </c>
      <c r="B1874" s="11">
        <v>45938.4375</v>
      </c>
      <c r="C1874" s="10">
        <v>45938</v>
      </c>
      <c r="D1874" s="7">
        <v>671.91</v>
      </c>
      <c r="E1874" s="7">
        <v>4535845</v>
      </c>
      <c r="F1874" s="7">
        <v>4535845</v>
      </c>
      <c r="G1874" s="7">
        <v>11218137</v>
      </c>
      <c r="H1874" s="7">
        <v>670.38499999999999</v>
      </c>
      <c r="I1874" s="7">
        <v>669.12</v>
      </c>
      <c r="J1874" s="7">
        <v>14</v>
      </c>
      <c r="K1874" s="7">
        <v>1.5212565000000001E-3</v>
      </c>
      <c r="L1874" s="7">
        <v>671.40482756409995</v>
      </c>
      <c r="M1874" s="7">
        <v>668.10209682540005</v>
      </c>
      <c r="N1874" s="7">
        <v>671.00160537980003</v>
      </c>
      <c r="O1874" s="7">
        <v>671.40482756409995</v>
      </c>
      <c r="P1874" s="7">
        <v>668.10209682540005</v>
      </c>
      <c r="Q1874">
        <v>1</v>
      </c>
      <c r="R1874">
        <v>0</v>
      </c>
      <c r="S1874" s="11">
        <v>45938.666666666664</v>
      </c>
      <c r="T1874">
        <v>530</v>
      </c>
    </row>
    <row r="1875" spans="1:20">
      <c r="A1875" s="11">
        <v>45938.4375</v>
      </c>
      <c r="B1875" s="11">
        <v>45938.458333333336</v>
      </c>
      <c r="C1875" s="10">
        <v>45938</v>
      </c>
      <c r="D1875" s="7">
        <v>671.75</v>
      </c>
      <c r="E1875" s="7">
        <v>3237325</v>
      </c>
      <c r="F1875" s="7">
        <v>3237325</v>
      </c>
      <c r="G1875" s="7">
        <v>14455462</v>
      </c>
      <c r="H1875" s="7">
        <v>670.38499999999999</v>
      </c>
      <c r="I1875" s="7">
        <v>669.12</v>
      </c>
      <c r="J1875" s="7">
        <v>14</v>
      </c>
      <c r="K1875" s="7">
        <v>1.8220006E-3</v>
      </c>
      <c r="L1875" s="7">
        <v>671.60644189549998</v>
      </c>
      <c r="M1875" s="7">
        <v>667.90086293529998</v>
      </c>
      <c r="N1875" s="7">
        <v>671.16920961230005</v>
      </c>
      <c r="O1875" s="7">
        <v>671.60644189549998</v>
      </c>
      <c r="P1875" s="7">
        <v>667.90086293529998</v>
      </c>
      <c r="Q1875">
        <v>1</v>
      </c>
      <c r="R1875">
        <v>0</v>
      </c>
      <c r="S1875" s="11">
        <v>45938.666666666664</v>
      </c>
      <c r="T1875">
        <v>529</v>
      </c>
    </row>
    <row r="1876" spans="1:20">
      <c r="A1876" s="11">
        <v>45938.458333333336</v>
      </c>
      <c r="B1876" s="11">
        <v>45938.479166666664</v>
      </c>
      <c r="C1876" s="10">
        <v>45938</v>
      </c>
      <c r="D1876" s="7">
        <v>672.53</v>
      </c>
      <c r="E1876" s="7">
        <v>2833528</v>
      </c>
      <c r="F1876" s="7">
        <v>2833528</v>
      </c>
      <c r="G1876" s="7">
        <v>17288990</v>
      </c>
      <c r="H1876" s="7">
        <v>670.38499999999999</v>
      </c>
      <c r="I1876" s="7">
        <v>669.12</v>
      </c>
      <c r="J1876" s="7">
        <v>14</v>
      </c>
      <c r="K1876" s="7">
        <v>2.1630795000000002E-3</v>
      </c>
      <c r="L1876" s="7">
        <v>671.8350960189</v>
      </c>
      <c r="M1876" s="7">
        <v>667.67264027659996</v>
      </c>
      <c r="N1876" s="7">
        <v>671.39223233749999</v>
      </c>
      <c r="O1876" s="7">
        <v>671.8350960189</v>
      </c>
      <c r="P1876" s="7">
        <v>667.67264027659996</v>
      </c>
      <c r="Q1876">
        <v>1</v>
      </c>
      <c r="R1876">
        <v>0</v>
      </c>
      <c r="S1876" s="11">
        <v>45938.666666666664</v>
      </c>
      <c r="T1876">
        <v>528</v>
      </c>
    </row>
    <row r="1877" spans="1:20">
      <c r="A1877" s="11">
        <v>45938.479166666664</v>
      </c>
      <c r="B1877" s="11">
        <v>45938.5</v>
      </c>
      <c r="C1877" s="10">
        <v>45938</v>
      </c>
      <c r="D1877" s="7">
        <v>672.8</v>
      </c>
      <c r="E1877" s="7">
        <v>2093811</v>
      </c>
      <c r="F1877" s="7">
        <v>2093811</v>
      </c>
      <c r="G1877" s="7">
        <v>19382801</v>
      </c>
      <c r="H1877" s="7">
        <v>670.38499999999999</v>
      </c>
      <c r="I1877" s="7">
        <v>669.12</v>
      </c>
      <c r="J1877" s="7">
        <v>14</v>
      </c>
      <c r="K1877" s="7">
        <v>2.7150469999999999E-3</v>
      </c>
      <c r="L1877" s="7">
        <v>672.20512675639998</v>
      </c>
      <c r="M1877" s="7">
        <v>667.30330777799998</v>
      </c>
      <c r="N1877" s="7">
        <v>671.54430527149998</v>
      </c>
      <c r="O1877" s="7">
        <v>672.20512675639998</v>
      </c>
      <c r="P1877" s="7">
        <v>667.30330777799998</v>
      </c>
      <c r="Q1877">
        <v>1</v>
      </c>
      <c r="R1877">
        <v>0</v>
      </c>
      <c r="S1877" s="11">
        <v>45938.666666666664</v>
      </c>
      <c r="T1877">
        <v>527</v>
      </c>
    </row>
    <row r="1878" spans="1:20">
      <c r="A1878" s="11">
        <v>45938.5</v>
      </c>
      <c r="B1878" s="11">
        <v>45938.520833333336</v>
      </c>
      <c r="C1878" s="10">
        <v>45938</v>
      </c>
      <c r="D1878" s="7">
        <v>672.64499999999998</v>
      </c>
      <c r="E1878" s="7">
        <v>1819217</v>
      </c>
      <c r="F1878" s="7">
        <v>1819217</v>
      </c>
      <c r="G1878" s="7">
        <v>21202018</v>
      </c>
      <c r="H1878" s="7">
        <v>670.38499999999999</v>
      </c>
      <c r="I1878" s="7">
        <v>669.12</v>
      </c>
      <c r="J1878" s="7">
        <v>14</v>
      </c>
      <c r="K1878" s="7">
        <v>2.6230575E-3</v>
      </c>
      <c r="L1878" s="7">
        <v>672.14345843169997</v>
      </c>
      <c r="M1878" s="7">
        <v>667.36485973610002</v>
      </c>
      <c r="N1878" s="7">
        <v>671.6387492325</v>
      </c>
      <c r="O1878" s="7">
        <v>672.14345843169997</v>
      </c>
      <c r="P1878" s="7">
        <v>667.36485973610002</v>
      </c>
      <c r="Q1878">
        <v>1</v>
      </c>
      <c r="R1878">
        <v>0</v>
      </c>
      <c r="S1878" s="11">
        <v>45938.666666666664</v>
      </c>
      <c r="T1878">
        <v>526</v>
      </c>
    </row>
    <row r="1879" spans="1:20">
      <c r="A1879" s="11">
        <v>45938.520833333336</v>
      </c>
      <c r="B1879" s="11">
        <v>45938.541666666664</v>
      </c>
      <c r="C1879" s="10">
        <v>45938</v>
      </c>
      <c r="D1879" s="7">
        <v>672.72</v>
      </c>
      <c r="E1879" s="7">
        <v>1471107</v>
      </c>
      <c r="F1879" s="7">
        <v>1471107</v>
      </c>
      <c r="G1879" s="7">
        <v>22673125</v>
      </c>
      <c r="H1879" s="7">
        <v>670.38499999999999</v>
      </c>
      <c r="I1879" s="7">
        <v>669.12</v>
      </c>
      <c r="J1879" s="7">
        <v>14</v>
      </c>
      <c r="K1879" s="7">
        <v>2.6553915000000002E-3</v>
      </c>
      <c r="L1879" s="7">
        <v>672.16513463779995</v>
      </c>
      <c r="M1879" s="7">
        <v>667.34322443250005</v>
      </c>
      <c r="N1879" s="7">
        <v>671.7089043423</v>
      </c>
      <c r="O1879" s="7">
        <v>672.16513463779995</v>
      </c>
      <c r="P1879" s="7">
        <v>667.34322443250005</v>
      </c>
      <c r="Q1879">
        <v>1</v>
      </c>
      <c r="R1879">
        <v>0</v>
      </c>
      <c r="S1879" s="11">
        <v>45938.666666666664</v>
      </c>
      <c r="T1879">
        <v>525</v>
      </c>
    </row>
    <row r="1880" spans="1:20">
      <c r="A1880" s="11">
        <v>45938.541666666664</v>
      </c>
      <c r="B1880" s="11">
        <v>45938.5625</v>
      </c>
      <c r="C1880" s="10">
        <v>45938</v>
      </c>
      <c r="D1880" s="7">
        <v>672.91499999999996</v>
      </c>
      <c r="E1880" s="7">
        <v>1312185</v>
      </c>
      <c r="F1880" s="7">
        <v>1312185</v>
      </c>
      <c r="G1880" s="7">
        <v>23985310</v>
      </c>
      <c r="H1880" s="7">
        <v>670.38499999999999</v>
      </c>
      <c r="I1880" s="7">
        <v>669.12</v>
      </c>
      <c r="J1880" s="7">
        <v>14</v>
      </c>
      <c r="K1880" s="7">
        <v>2.6584120999999998E-3</v>
      </c>
      <c r="L1880" s="7">
        <v>672.16715958530006</v>
      </c>
      <c r="M1880" s="7">
        <v>667.34120330600001</v>
      </c>
      <c r="N1880" s="7">
        <v>671.77488725559999</v>
      </c>
      <c r="O1880" s="7">
        <v>672.16715958530006</v>
      </c>
      <c r="P1880" s="7">
        <v>667.34120330600001</v>
      </c>
      <c r="Q1880">
        <v>1</v>
      </c>
      <c r="R1880">
        <v>0</v>
      </c>
      <c r="S1880" s="11">
        <v>45938.666666666664</v>
      </c>
      <c r="T1880">
        <v>524</v>
      </c>
    </row>
    <row r="1881" spans="1:20">
      <c r="A1881" s="11">
        <v>45938.5625</v>
      </c>
      <c r="B1881" s="11">
        <v>45938.583333333336</v>
      </c>
      <c r="C1881" s="10">
        <v>45938</v>
      </c>
      <c r="D1881" s="7">
        <v>672.65</v>
      </c>
      <c r="E1881" s="7">
        <v>1604507</v>
      </c>
      <c r="F1881" s="7">
        <v>1604507</v>
      </c>
      <c r="G1881" s="7">
        <v>25589817</v>
      </c>
      <c r="H1881" s="7">
        <v>670.38499999999999</v>
      </c>
      <c r="I1881" s="7">
        <v>669.12</v>
      </c>
      <c r="J1881" s="7">
        <v>14</v>
      </c>
      <c r="K1881" s="7">
        <v>2.7398015000000002E-3</v>
      </c>
      <c r="L1881" s="7">
        <v>672.22172182099996</v>
      </c>
      <c r="M1881" s="7">
        <v>667.2867440279</v>
      </c>
      <c r="N1881" s="7">
        <v>671.82975769580003</v>
      </c>
      <c r="O1881" s="7">
        <v>672.22172182099996</v>
      </c>
      <c r="P1881" s="7">
        <v>667.2867440279</v>
      </c>
      <c r="Q1881">
        <v>1</v>
      </c>
      <c r="R1881">
        <v>0</v>
      </c>
      <c r="S1881" s="11">
        <v>45938.666666666664</v>
      </c>
      <c r="T1881">
        <v>523</v>
      </c>
    </row>
    <row r="1882" spans="1:20">
      <c r="A1882" s="11">
        <v>45938.583333333336</v>
      </c>
      <c r="B1882" s="11">
        <v>45938.604166666664</v>
      </c>
      <c r="C1882" s="10">
        <v>45938</v>
      </c>
      <c r="D1882" s="7">
        <v>672.85</v>
      </c>
      <c r="E1882" s="7">
        <v>2708937</v>
      </c>
      <c r="F1882" s="7">
        <v>2708937</v>
      </c>
      <c r="G1882" s="7">
        <v>28298754</v>
      </c>
      <c r="H1882" s="7">
        <v>670.38499999999999</v>
      </c>
      <c r="I1882" s="7">
        <v>669.12</v>
      </c>
      <c r="J1882" s="7">
        <v>14</v>
      </c>
      <c r="K1882" s="7">
        <v>2.6983021000000001E-3</v>
      </c>
      <c r="L1882" s="7">
        <v>672.19390127450004</v>
      </c>
      <c r="M1882" s="7">
        <v>667.31451207769999</v>
      </c>
      <c r="N1882" s="7">
        <v>671.92742178829997</v>
      </c>
      <c r="O1882" s="7">
        <v>672.19390127450004</v>
      </c>
      <c r="P1882" s="7">
        <v>667.31451207769999</v>
      </c>
      <c r="Q1882">
        <v>1</v>
      </c>
      <c r="R1882">
        <v>0</v>
      </c>
      <c r="S1882" s="11">
        <v>45938.666666666664</v>
      </c>
      <c r="T1882">
        <v>522</v>
      </c>
    </row>
    <row r="1883" spans="1:20">
      <c r="A1883" s="11">
        <v>45938.604166666664</v>
      </c>
      <c r="B1883" s="11">
        <v>45938.625</v>
      </c>
      <c r="C1883" s="10">
        <v>45938</v>
      </c>
      <c r="D1883" s="7">
        <v>672.24069999999995</v>
      </c>
      <c r="E1883" s="7">
        <v>2187735</v>
      </c>
      <c r="F1883" s="7">
        <v>2187735</v>
      </c>
      <c r="G1883" s="7">
        <v>30486489</v>
      </c>
      <c r="H1883" s="7">
        <v>670.38499999999999</v>
      </c>
      <c r="I1883" s="7">
        <v>669.12</v>
      </c>
      <c r="J1883" s="7">
        <v>14</v>
      </c>
      <c r="K1883" s="7">
        <v>3.0177451000000001E-3</v>
      </c>
      <c r="L1883" s="7">
        <v>672.40805104210006</v>
      </c>
      <c r="M1883" s="7">
        <v>667.10076640540001</v>
      </c>
      <c r="N1883" s="7">
        <v>671.94990288500003</v>
      </c>
      <c r="O1883" s="7">
        <v>672.40805104210006</v>
      </c>
      <c r="P1883" s="7">
        <v>667.10076640540001</v>
      </c>
      <c r="Q1883">
        <v>1</v>
      </c>
      <c r="R1883">
        <v>0</v>
      </c>
      <c r="S1883" s="11">
        <v>45938.666666666664</v>
      </c>
      <c r="T1883">
        <v>521</v>
      </c>
    </row>
    <row r="1884" spans="1:20">
      <c r="A1884" s="11">
        <v>45938.625</v>
      </c>
      <c r="B1884" s="11">
        <v>45938.645833333336</v>
      </c>
      <c r="C1884" s="10">
        <v>45938</v>
      </c>
      <c r="D1884" s="7">
        <v>672.875</v>
      </c>
      <c r="E1884" s="7">
        <v>3044969</v>
      </c>
      <c r="F1884" s="7">
        <v>3044969</v>
      </c>
      <c r="G1884" s="7">
        <v>33531458</v>
      </c>
      <c r="H1884" s="7">
        <v>670.38499999999999</v>
      </c>
      <c r="I1884" s="7">
        <v>669.12</v>
      </c>
      <c r="J1884" s="7">
        <v>14</v>
      </c>
      <c r="K1884" s="7">
        <v>3.283448E-3</v>
      </c>
      <c r="L1884" s="7">
        <v>672.58617427019999</v>
      </c>
      <c r="M1884" s="7">
        <v>666.92297929150004</v>
      </c>
      <c r="N1884" s="7">
        <v>672.03391032770003</v>
      </c>
      <c r="O1884" s="7">
        <v>672.58617427019999</v>
      </c>
      <c r="P1884" s="7">
        <v>666.92297929150004</v>
      </c>
      <c r="Q1884">
        <v>1</v>
      </c>
      <c r="R1884">
        <v>0</v>
      </c>
      <c r="S1884" s="11">
        <v>45938.666666666664</v>
      </c>
      <c r="T1884">
        <v>520</v>
      </c>
    </row>
    <row r="1885" spans="1:20">
      <c r="A1885" s="11">
        <v>45938.645833333336</v>
      </c>
      <c r="B1885" s="11">
        <v>45938.666666666664</v>
      </c>
      <c r="C1885" s="10">
        <v>45938</v>
      </c>
      <c r="D1885" s="7">
        <v>673.11</v>
      </c>
      <c r="E1885" s="7">
        <v>9794114</v>
      </c>
      <c r="F1885" s="7">
        <v>9794114</v>
      </c>
      <c r="G1885" s="7">
        <v>43325572</v>
      </c>
      <c r="H1885" s="7">
        <v>670.38499999999999</v>
      </c>
      <c r="I1885" s="7">
        <v>669.12</v>
      </c>
      <c r="J1885" s="7">
        <v>14</v>
      </c>
      <c r="K1885" s="7">
        <v>2.9753431000000001E-3</v>
      </c>
      <c r="L1885" s="7">
        <v>672.3796253946</v>
      </c>
      <c r="M1885" s="7">
        <v>667.12913841449995</v>
      </c>
      <c r="N1885" s="7">
        <v>672.27716954940001</v>
      </c>
      <c r="O1885" s="7">
        <v>672.3796253946</v>
      </c>
      <c r="P1885" s="7">
        <v>667.12913841449995</v>
      </c>
      <c r="Q1885">
        <v>1</v>
      </c>
      <c r="R1885">
        <v>1</v>
      </c>
      <c r="S1885" s="11">
        <v>45938.666666666664</v>
      </c>
      <c r="T1885">
        <v>519</v>
      </c>
    </row>
    <row r="1886" spans="1:20">
      <c r="A1886" s="11">
        <v>45939.395833333336</v>
      </c>
      <c r="B1886" s="11">
        <v>45939.416666666664</v>
      </c>
      <c r="C1886" s="10">
        <v>45939</v>
      </c>
      <c r="D1886" s="7">
        <v>671.73</v>
      </c>
      <c r="E1886" s="7">
        <v>7266878</v>
      </c>
      <c r="F1886" s="7">
        <v>7266878</v>
      </c>
      <c r="G1886" s="7">
        <v>7266878</v>
      </c>
      <c r="H1886" s="7">
        <v>671.73</v>
      </c>
      <c r="I1886" s="7">
        <v>673.11</v>
      </c>
      <c r="J1886" s="7">
        <v>14</v>
      </c>
      <c r="K1886" s="7">
        <v>0</v>
      </c>
      <c r="L1886" s="7">
        <v>673.11</v>
      </c>
      <c r="M1886" s="7">
        <v>671.73</v>
      </c>
      <c r="N1886" s="7">
        <v>671.73</v>
      </c>
      <c r="O1886" s="7">
        <v>673.11</v>
      </c>
      <c r="P1886" s="7">
        <v>671.73</v>
      </c>
      <c r="Q1886">
        <v>1</v>
      </c>
      <c r="R1886">
        <v>0</v>
      </c>
      <c r="S1886" s="11">
        <v>45939.666666666664</v>
      </c>
      <c r="T1886">
        <v>517</v>
      </c>
    </row>
    <row r="1887" spans="1:20">
      <c r="A1887" s="11">
        <v>45939.416666666664</v>
      </c>
      <c r="B1887" s="11">
        <v>45939.4375</v>
      </c>
      <c r="C1887" s="10">
        <v>45939</v>
      </c>
      <c r="D1887" s="7">
        <v>671.18</v>
      </c>
      <c r="E1887" s="7">
        <v>4176116</v>
      </c>
      <c r="F1887" s="7">
        <v>4176116</v>
      </c>
      <c r="G1887" s="7">
        <v>11442994</v>
      </c>
      <c r="H1887" s="7">
        <v>671.73</v>
      </c>
      <c r="I1887" s="7">
        <v>673.11</v>
      </c>
      <c r="J1887" s="7">
        <v>14</v>
      </c>
      <c r="K1887" s="7">
        <v>1.4248189000000001E-3</v>
      </c>
      <c r="L1887" s="7">
        <v>674.06905986130005</v>
      </c>
      <c r="M1887" s="7">
        <v>670.77290638880004</v>
      </c>
      <c r="N1887" s="7">
        <v>671.52927772400005</v>
      </c>
      <c r="O1887" s="7">
        <v>674.06905986130005</v>
      </c>
      <c r="P1887" s="7">
        <v>670.77290638880004</v>
      </c>
      <c r="Q1887">
        <v>1</v>
      </c>
      <c r="R1887">
        <v>0</v>
      </c>
      <c r="S1887" s="11">
        <v>45939.666666666664</v>
      </c>
      <c r="T1887">
        <v>516</v>
      </c>
    </row>
    <row r="1888" spans="1:20">
      <c r="A1888" s="11">
        <v>45939.4375</v>
      </c>
      <c r="B1888" s="11">
        <v>45939.458333333336</v>
      </c>
      <c r="C1888" s="10">
        <v>45939</v>
      </c>
      <c r="D1888" s="7">
        <v>671.4</v>
      </c>
      <c r="E1888" s="7">
        <v>5057093</v>
      </c>
      <c r="F1888" s="7">
        <v>5057093</v>
      </c>
      <c r="G1888" s="7">
        <v>16500087</v>
      </c>
      <c r="H1888" s="7">
        <v>671.73</v>
      </c>
      <c r="I1888" s="7">
        <v>673.11</v>
      </c>
      <c r="J1888" s="7">
        <v>14</v>
      </c>
      <c r="K1888" s="7">
        <v>1.8951517999999999E-3</v>
      </c>
      <c r="L1888" s="7">
        <v>674.3856456574</v>
      </c>
      <c r="M1888" s="7">
        <v>670.45696965210004</v>
      </c>
      <c r="N1888" s="7">
        <v>671.48965554059998</v>
      </c>
      <c r="O1888" s="7">
        <v>674.3856456574</v>
      </c>
      <c r="P1888" s="7">
        <v>670.45696965210004</v>
      </c>
      <c r="Q1888">
        <v>1</v>
      </c>
      <c r="R1888">
        <v>0</v>
      </c>
      <c r="S1888" s="11">
        <v>45939.666666666664</v>
      </c>
      <c r="T1888">
        <v>515</v>
      </c>
    </row>
    <row r="1889" spans="1:20">
      <c r="A1889" s="11">
        <v>45939.458333333336</v>
      </c>
      <c r="B1889" s="11">
        <v>45939.479166666664</v>
      </c>
      <c r="C1889" s="10">
        <v>45939</v>
      </c>
      <c r="D1889" s="7">
        <v>670.75</v>
      </c>
      <c r="E1889" s="7">
        <v>2659396</v>
      </c>
      <c r="F1889" s="7">
        <v>2659396</v>
      </c>
      <c r="G1889" s="7">
        <v>19159483</v>
      </c>
      <c r="H1889" s="7">
        <v>671.73</v>
      </c>
      <c r="I1889" s="7">
        <v>673.11</v>
      </c>
      <c r="J1889" s="7">
        <v>14</v>
      </c>
      <c r="K1889" s="7">
        <v>2.2513783000000002E-3</v>
      </c>
      <c r="L1889" s="7">
        <v>674.62542521609998</v>
      </c>
      <c r="M1889" s="7">
        <v>670.21768168589995</v>
      </c>
      <c r="N1889" s="7">
        <v>671.38698904449996</v>
      </c>
      <c r="O1889" s="7">
        <v>674.62542521609998</v>
      </c>
      <c r="P1889" s="7">
        <v>670.21768168589995</v>
      </c>
      <c r="Q1889">
        <v>1</v>
      </c>
      <c r="R1889">
        <v>0</v>
      </c>
      <c r="S1889" s="11">
        <v>45939.666666666664</v>
      </c>
      <c r="T1889">
        <v>514</v>
      </c>
    </row>
    <row r="1890" spans="1:20">
      <c r="A1890" s="11">
        <v>45939.479166666664</v>
      </c>
      <c r="B1890" s="11">
        <v>45939.5</v>
      </c>
      <c r="C1890" s="10">
        <v>45939</v>
      </c>
      <c r="D1890" s="7">
        <v>671.33</v>
      </c>
      <c r="E1890" s="7">
        <v>3030773</v>
      </c>
      <c r="F1890" s="7">
        <v>3030773</v>
      </c>
      <c r="G1890" s="7">
        <v>22190256</v>
      </c>
      <c r="H1890" s="7">
        <v>671.73</v>
      </c>
      <c r="I1890" s="7">
        <v>673.11</v>
      </c>
      <c r="J1890" s="7">
        <v>14</v>
      </c>
      <c r="K1890" s="7">
        <v>2.9216566000000001E-3</v>
      </c>
      <c r="L1890" s="7">
        <v>675.07659627880003</v>
      </c>
      <c r="M1890" s="7">
        <v>669.76743560729994</v>
      </c>
      <c r="N1890" s="7">
        <v>671.37920540929997</v>
      </c>
      <c r="O1890" s="7">
        <v>675.07659627880003</v>
      </c>
      <c r="P1890" s="7">
        <v>669.76743560729994</v>
      </c>
      <c r="Q1890">
        <v>1</v>
      </c>
      <c r="R1890">
        <v>0</v>
      </c>
      <c r="S1890" s="11">
        <v>45939.666666666664</v>
      </c>
      <c r="T1890">
        <v>513</v>
      </c>
    </row>
    <row r="1891" spans="1:20">
      <c r="A1891" s="11">
        <v>45939.5</v>
      </c>
      <c r="B1891" s="11">
        <v>45939.520833333336</v>
      </c>
      <c r="C1891" s="10">
        <v>45939</v>
      </c>
      <c r="D1891" s="7">
        <v>670.96500000000003</v>
      </c>
      <c r="E1891" s="7">
        <v>1701604</v>
      </c>
      <c r="F1891" s="7">
        <v>1701604</v>
      </c>
      <c r="G1891" s="7">
        <v>23891860</v>
      </c>
      <c r="H1891" s="7">
        <v>671.73</v>
      </c>
      <c r="I1891" s="7">
        <v>673.11</v>
      </c>
      <c r="J1891" s="7">
        <v>14</v>
      </c>
      <c r="K1891" s="7">
        <v>2.7139055000000001E-3</v>
      </c>
      <c r="L1891" s="7">
        <v>674.9367568998</v>
      </c>
      <c r="M1891" s="7">
        <v>669.90698828970005</v>
      </c>
      <c r="N1891" s="7">
        <v>671.34970525400001</v>
      </c>
      <c r="O1891" s="7">
        <v>674.9367568998</v>
      </c>
      <c r="P1891" s="7">
        <v>669.90698828970005</v>
      </c>
      <c r="Q1891">
        <v>1</v>
      </c>
      <c r="R1891">
        <v>0</v>
      </c>
      <c r="S1891" s="11">
        <v>45939.666666666664</v>
      </c>
      <c r="T1891">
        <v>512</v>
      </c>
    </row>
    <row r="1892" spans="1:20">
      <c r="A1892" s="11">
        <v>45939.520833333336</v>
      </c>
      <c r="B1892" s="11">
        <v>45939.541666666664</v>
      </c>
      <c r="C1892" s="10">
        <v>45939</v>
      </c>
      <c r="D1892" s="7">
        <v>669.76</v>
      </c>
      <c r="E1892" s="7">
        <v>2162337</v>
      </c>
      <c r="F1892" s="7">
        <v>2162337</v>
      </c>
      <c r="G1892" s="7">
        <v>26054197</v>
      </c>
      <c r="H1892" s="7">
        <v>671.73</v>
      </c>
      <c r="I1892" s="7">
        <v>673.11</v>
      </c>
      <c r="J1892" s="7">
        <v>14</v>
      </c>
      <c r="K1892" s="7">
        <v>2.7002799000000002E-3</v>
      </c>
      <c r="L1892" s="7">
        <v>674.92758540780005</v>
      </c>
      <c r="M1892" s="7">
        <v>669.91614097850004</v>
      </c>
      <c r="N1892" s="7">
        <v>671.21776956279996</v>
      </c>
      <c r="O1892" s="7">
        <v>674.92758540780005</v>
      </c>
      <c r="P1892" s="7">
        <v>669.91614097850004</v>
      </c>
      <c r="Q1892">
        <v>1</v>
      </c>
      <c r="R1892">
        <v>0</v>
      </c>
      <c r="S1892" s="11">
        <v>45939.666666666664</v>
      </c>
      <c r="T1892">
        <v>511</v>
      </c>
    </row>
    <row r="1893" spans="1:20">
      <c r="A1893" s="11">
        <v>45939.541666666664</v>
      </c>
      <c r="B1893" s="11">
        <v>45939.5625</v>
      </c>
      <c r="C1893" s="10">
        <v>45939</v>
      </c>
      <c r="D1893" s="7">
        <v>669.47</v>
      </c>
      <c r="E1893" s="7">
        <v>3277290</v>
      </c>
      <c r="F1893" s="7">
        <v>3277290</v>
      </c>
      <c r="G1893" s="7">
        <v>29331487</v>
      </c>
      <c r="H1893" s="7">
        <v>671.73</v>
      </c>
      <c r="I1893" s="7">
        <v>673.11</v>
      </c>
      <c r="J1893" s="7">
        <v>14</v>
      </c>
      <c r="K1893" s="7">
        <v>2.7952832E-3</v>
      </c>
      <c r="L1893" s="7">
        <v>674.99153309769997</v>
      </c>
      <c r="M1893" s="7">
        <v>669.85232439310005</v>
      </c>
      <c r="N1893" s="7">
        <v>671.02248632639999</v>
      </c>
      <c r="O1893" s="7">
        <v>674.99153309769997</v>
      </c>
      <c r="P1893" s="7">
        <v>669.85232439310005</v>
      </c>
      <c r="Q1893">
        <v>1</v>
      </c>
      <c r="R1893">
        <v>0</v>
      </c>
      <c r="S1893" s="11">
        <v>45939.666666666664</v>
      </c>
      <c r="T1893">
        <v>510</v>
      </c>
    </row>
    <row r="1894" spans="1:20">
      <c r="A1894" s="11">
        <v>45939.5625</v>
      </c>
      <c r="B1894" s="11">
        <v>45939.583333333336</v>
      </c>
      <c r="C1894" s="10">
        <v>45939</v>
      </c>
      <c r="D1894" s="7">
        <v>670.18</v>
      </c>
      <c r="E1894" s="7">
        <v>2355896</v>
      </c>
      <c r="F1894" s="7">
        <v>2355896</v>
      </c>
      <c r="G1894" s="7">
        <v>31687383</v>
      </c>
      <c r="H1894" s="7">
        <v>671.73</v>
      </c>
      <c r="I1894" s="7">
        <v>673.11</v>
      </c>
      <c r="J1894" s="7">
        <v>14</v>
      </c>
      <c r="K1894" s="7">
        <v>2.9088463999999998E-3</v>
      </c>
      <c r="L1894" s="7">
        <v>675.06797361500003</v>
      </c>
      <c r="M1894" s="7">
        <v>669.77604059309999</v>
      </c>
      <c r="N1894" s="7">
        <v>670.95984908790001</v>
      </c>
      <c r="O1894" s="7">
        <v>675.06797361500003</v>
      </c>
      <c r="P1894" s="7">
        <v>669.77604059309999</v>
      </c>
      <c r="Q1894">
        <v>1</v>
      </c>
      <c r="R1894">
        <v>0</v>
      </c>
      <c r="S1894" s="11">
        <v>45939.666666666664</v>
      </c>
      <c r="T1894">
        <v>509</v>
      </c>
    </row>
    <row r="1895" spans="1:20">
      <c r="A1895" s="11">
        <v>45939.583333333336</v>
      </c>
      <c r="B1895" s="11">
        <v>45939.604166666664</v>
      </c>
      <c r="C1895" s="10">
        <v>45939</v>
      </c>
      <c r="D1895" s="7">
        <v>669.81500000000005</v>
      </c>
      <c r="E1895" s="7">
        <v>1995276</v>
      </c>
      <c r="F1895" s="7">
        <v>1995276</v>
      </c>
      <c r="G1895" s="7">
        <v>33682659</v>
      </c>
      <c r="H1895" s="7">
        <v>671.73</v>
      </c>
      <c r="I1895" s="7">
        <v>673.11</v>
      </c>
      <c r="J1895" s="7">
        <v>14</v>
      </c>
      <c r="K1895" s="7">
        <v>2.8843510999999999E-3</v>
      </c>
      <c r="L1895" s="7">
        <v>675.05148557840005</v>
      </c>
      <c r="M1895" s="7">
        <v>669.79249482609998</v>
      </c>
      <c r="N1895" s="7">
        <v>670.89203110749997</v>
      </c>
      <c r="O1895" s="7">
        <v>675.05148557840005</v>
      </c>
      <c r="P1895" s="7">
        <v>669.79249482609998</v>
      </c>
      <c r="Q1895">
        <v>1</v>
      </c>
      <c r="R1895">
        <v>0</v>
      </c>
      <c r="S1895" s="11">
        <v>45939.666666666664</v>
      </c>
      <c r="T1895">
        <v>508</v>
      </c>
    </row>
    <row r="1896" spans="1:20">
      <c r="A1896" s="11">
        <v>45939.604166666664</v>
      </c>
      <c r="B1896" s="11">
        <v>45939.625</v>
      </c>
      <c r="C1896" s="10">
        <v>45939</v>
      </c>
      <c r="D1896" s="7">
        <v>669.92</v>
      </c>
      <c r="E1896" s="7">
        <v>1687433</v>
      </c>
      <c r="F1896" s="7">
        <v>1687433</v>
      </c>
      <c r="G1896" s="7">
        <v>35370092</v>
      </c>
      <c r="H1896" s="7">
        <v>671.73</v>
      </c>
      <c r="I1896" s="7">
        <v>673.11</v>
      </c>
      <c r="J1896" s="7">
        <v>14</v>
      </c>
      <c r="K1896" s="7">
        <v>3.0892506999999998E-3</v>
      </c>
      <c r="L1896" s="7">
        <v>675.18940551679998</v>
      </c>
      <c r="M1896" s="7">
        <v>669.65485764909999</v>
      </c>
      <c r="N1896" s="7">
        <v>670.84565753940001</v>
      </c>
      <c r="O1896" s="7">
        <v>675.18940551679998</v>
      </c>
      <c r="P1896" s="7">
        <v>669.65485764909999</v>
      </c>
      <c r="Q1896">
        <v>1</v>
      </c>
      <c r="R1896">
        <v>0</v>
      </c>
      <c r="S1896" s="11">
        <v>45939.666666666664</v>
      </c>
      <c r="T1896">
        <v>507</v>
      </c>
    </row>
    <row r="1897" spans="1:20">
      <c r="A1897" s="11">
        <v>45939.625</v>
      </c>
      <c r="B1897" s="11">
        <v>45939.645833333336</v>
      </c>
      <c r="C1897" s="10">
        <v>45939</v>
      </c>
      <c r="D1897" s="7">
        <v>670.48</v>
      </c>
      <c r="E1897" s="7">
        <v>2990931</v>
      </c>
      <c r="F1897" s="7">
        <v>2990931</v>
      </c>
      <c r="G1897" s="7">
        <v>38361023</v>
      </c>
      <c r="H1897" s="7">
        <v>671.73</v>
      </c>
      <c r="I1897" s="7">
        <v>673.11</v>
      </c>
      <c r="J1897" s="7">
        <v>14</v>
      </c>
      <c r="K1897" s="7">
        <v>3.4850992999999999E-3</v>
      </c>
      <c r="L1897" s="7">
        <v>675.45585519580004</v>
      </c>
      <c r="M1897" s="7">
        <v>669.38895424120005</v>
      </c>
      <c r="N1897" s="7">
        <v>670.81714796419999</v>
      </c>
      <c r="O1897" s="7">
        <v>675.45585519580004</v>
      </c>
      <c r="P1897" s="7">
        <v>669.38895424120005</v>
      </c>
      <c r="Q1897">
        <v>1</v>
      </c>
      <c r="R1897">
        <v>0</v>
      </c>
      <c r="S1897" s="11">
        <v>45939.666666666664</v>
      </c>
      <c r="T1897">
        <v>506</v>
      </c>
    </row>
    <row r="1898" spans="1:20">
      <c r="A1898" s="11">
        <v>45939.645833333336</v>
      </c>
      <c r="B1898" s="11">
        <v>45939.666666666664</v>
      </c>
      <c r="C1898" s="10">
        <v>45939</v>
      </c>
      <c r="D1898" s="7">
        <v>671.16</v>
      </c>
      <c r="E1898" s="7">
        <v>9335711</v>
      </c>
      <c r="F1898" s="7">
        <v>9335711</v>
      </c>
      <c r="G1898" s="7">
        <v>47696734</v>
      </c>
      <c r="H1898" s="7">
        <v>671.73</v>
      </c>
      <c r="I1898" s="7">
        <v>673.11</v>
      </c>
      <c r="J1898" s="7">
        <v>14</v>
      </c>
      <c r="K1898" s="7">
        <v>3.2473402000000001E-3</v>
      </c>
      <c r="L1898" s="7">
        <v>675.29581718600002</v>
      </c>
      <c r="M1898" s="7">
        <v>669.54866414349999</v>
      </c>
      <c r="N1898" s="7">
        <v>670.86859615440005</v>
      </c>
      <c r="O1898" s="7">
        <v>675.29581718600002</v>
      </c>
      <c r="P1898" s="7">
        <v>669.54866414349999</v>
      </c>
      <c r="Q1898">
        <v>1</v>
      </c>
      <c r="R1898">
        <v>1</v>
      </c>
      <c r="S1898" s="11">
        <v>45939.666666666664</v>
      </c>
      <c r="T1898">
        <v>505</v>
      </c>
    </row>
    <row r="1899" spans="1:20">
      <c r="A1899" s="11">
        <v>45940.395833333336</v>
      </c>
      <c r="B1899" s="11">
        <v>45940.416666666664</v>
      </c>
      <c r="C1899" s="10">
        <v>45940</v>
      </c>
      <c r="D1899" s="7">
        <v>673.17</v>
      </c>
      <c r="E1899" s="7">
        <v>6539333</v>
      </c>
      <c r="F1899" s="7">
        <v>6539333</v>
      </c>
      <c r="G1899" s="7">
        <v>6539333</v>
      </c>
      <c r="H1899" s="7">
        <v>673.17</v>
      </c>
      <c r="I1899" s="7">
        <v>671.16</v>
      </c>
      <c r="J1899" s="7">
        <v>14</v>
      </c>
      <c r="K1899" s="7">
        <v>0</v>
      </c>
      <c r="L1899" s="7">
        <v>673.17</v>
      </c>
      <c r="M1899" s="7">
        <v>671.16</v>
      </c>
      <c r="N1899" s="7">
        <v>673.17</v>
      </c>
      <c r="O1899" s="7">
        <v>673.17</v>
      </c>
      <c r="P1899" s="7">
        <v>671.16</v>
      </c>
      <c r="Q1899">
        <v>1</v>
      </c>
      <c r="R1899">
        <v>0</v>
      </c>
      <c r="S1899" s="11">
        <v>45940.666666666664</v>
      </c>
      <c r="T1899">
        <v>503</v>
      </c>
    </row>
    <row r="1900" spans="1:20">
      <c r="A1900" s="11">
        <v>45940.416666666664</v>
      </c>
      <c r="B1900" s="11">
        <v>45940.4375</v>
      </c>
      <c r="C1900" s="10">
        <v>45940</v>
      </c>
      <c r="D1900" s="7">
        <v>672.56500000000005</v>
      </c>
      <c r="E1900" s="7">
        <v>3841054</v>
      </c>
      <c r="F1900" s="7">
        <v>3841054</v>
      </c>
      <c r="G1900" s="7">
        <v>10380387</v>
      </c>
      <c r="H1900" s="7">
        <v>673.17</v>
      </c>
      <c r="I1900" s="7">
        <v>671.16</v>
      </c>
      <c r="J1900" s="7">
        <v>14</v>
      </c>
      <c r="K1900" s="7">
        <v>1.4563339000000001E-3</v>
      </c>
      <c r="L1900" s="7">
        <v>674.15036026179996</v>
      </c>
      <c r="M1900" s="7">
        <v>670.18256696920002</v>
      </c>
      <c r="N1900" s="7">
        <v>672.94613188510004</v>
      </c>
      <c r="O1900" s="7">
        <v>674.15036026179996</v>
      </c>
      <c r="P1900" s="7">
        <v>670.18256696920002</v>
      </c>
      <c r="Q1900">
        <v>1</v>
      </c>
      <c r="R1900">
        <v>0</v>
      </c>
      <c r="S1900" s="11">
        <v>45940.666666666664</v>
      </c>
      <c r="T1900">
        <v>502</v>
      </c>
    </row>
    <row r="1901" spans="1:20">
      <c r="A1901" s="11">
        <v>45940.4375</v>
      </c>
      <c r="B1901" s="11">
        <v>45940.458333333336</v>
      </c>
      <c r="C1901" s="10">
        <v>45940</v>
      </c>
      <c r="D1901" s="7">
        <v>668.72500000000002</v>
      </c>
      <c r="E1901" s="7">
        <v>5993044</v>
      </c>
      <c r="F1901" s="7">
        <v>5993044</v>
      </c>
      <c r="G1901" s="7">
        <v>16373431</v>
      </c>
      <c r="H1901" s="7">
        <v>673.17</v>
      </c>
      <c r="I1901" s="7">
        <v>671.16</v>
      </c>
      <c r="J1901" s="7">
        <v>14</v>
      </c>
      <c r="K1901" s="7">
        <v>1.8736066000000001E-3</v>
      </c>
      <c r="L1901" s="7">
        <v>674.43125578290005</v>
      </c>
      <c r="M1901" s="7">
        <v>669.90251016649995</v>
      </c>
      <c r="N1901" s="7">
        <v>671.40110267789998</v>
      </c>
      <c r="O1901" s="7">
        <v>674.43125578290005</v>
      </c>
      <c r="P1901" s="7">
        <v>669.90251016649995</v>
      </c>
      <c r="Q1901">
        <v>1</v>
      </c>
      <c r="R1901">
        <v>0</v>
      </c>
      <c r="S1901" s="11">
        <v>45940.666666666664</v>
      </c>
      <c r="T1901">
        <v>501</v>
      </c>
    </row>
    <row r="1902" spans="1:20">
      <c r="A1902" s="11">
        <v>45940.458333333336</v>
      </c>
      <c r="B1902" s="11">
        <v>45940.479166666664</v>
      </c>
      <c r="C1902" s="10">
        <v>45940</v>
      </c>
      <c r="D1902" s="7">
        <v>662.42</v>
      </c>
      <c r="E1902" s="7">
        <v>24806214</v>
      </c>
      <c r="F1902" s="7">
        <v>24806214</v>
      </c>
      <c r="G1902" s="7">
        <v>41179645</v>
      </c>
      <c r="H1902" s="7">
        <v>673.17</v>
      </c>
      <c r="I1902" s="7">
        <v>671.16</v>
      </c>
      <c r="J1902" s="7">
        <v>14</v>
      </c>
      <c r="K1902" s="7">
        <v>2.2018609999999998E-3</v>
      </c>
      <c r="L1902" s="7">
        <v>674.65222674309996</v>
      </c>
      <c r="M1902" s="7">
        <v>669.6821989975</v>
      </c>
      <c r="N1902" s="7">
        <v>665.99097456770005</v>
      </c>
      <c r="O1902" s="7">
        <v>674.65222674309996</v>
      </c>
      <c r="P1902" s="7">
        <v>665.99097456770005</v>
      </c>
      <c r="Q1902">
        <v>1</v>
      </c>
      <c r="R1902">
        <v>0</v>
      </c>
      <c r="S1902" s="11">
        <v>45940.666666666664</v>
      </c>
      <c r="T1902">
        <v>500</v>
      </c>
    </row>
    <row r="1903" spans="1:20">
      <c r="A1903" s="11">
        <v>45940.479166666664</v>
      </c>
      <c r="B1903" s="11">
        <v>45940.5</v>
      </c>
      <c r="C1903" s="10">
        <v>45940</v>
      </c>
      <c r="D1903" s="7">
        <v>661.52</v>
      </c>
      <c r="E1903" s="7">
        <v>15537008</v>
      </c>
      <c r="F1903" s="7">
        <v>15537008</v>
      </c>
      <c r="G1903" s="7">
        <v>56716653</v>
      </c>
      <c r="H1903" s="7">
        <v>673.17</v>
      </c>
      <c r="I1903" s="7">
        <v>671.16</v>
      </c>
      <c r="J1903" s="7">
        <v>14</v>
      </c>
      <c r="K1903" s="7">
        <v>2.9064760999999999E-3</v>
      </c>
      <c r="L1903" s="7">
        <v>675.12655251230001</v>
      </c>
      <c r="M1903" s="7">
        <v>669.20928950459995</v>
      </c>
      <c r="N1903" s="7">
        <v>664.76619200469997</v>
      </c>
      <c r="O1903" s="7">
        <v>675.12655251230001</v>
      </c>
      <c r="P1903" s="7">
        <v>664.76619200469997</v>
      </c>
      <c r="Q1903">
        <v>1</v>
      </c>
      <c r="R1903">
        <v>0</v>
      </c>
      <c r="S1903" s="11">
        <v>45940.666666666664</v>
      </c>
      <c r="T1903">
        <v>499</v>
      </c>
    </row>
    <row r="1904" spans="1:20">
      <c r="A1904" s="11">
        <v>45940.5</v>
      </c>
      <c r="B1904" s="11">
        <v>45940.520833333336</v>
      </c>
      <c r="C1904" s="10">
        <v>45940</v>
      </c>
      <c r="D1904" s="7">
        <v>661.5</v>
      </c>
      <c r="E1904" s="7">
        <v>7123150</v>
      </c>
      <c r="F1904" s="7">
        <v>7123150</v>
      </c>
      <c r="G1904" s="7">
        <v>63839803</v>
      </c>
      <c r="H1904" s="7">
        <v>673.17</v>
      </c>
      <c r="I1904" s="7">
        <v>671.16</v>
      </c>
      <c r="J1904" s="7">
        <v>14</v>
      </c>
      <c r="K1904" s="7">
        <v>2.7591129000000001E-3</v>
      </c>
      <c r="L1904" s="7">
        <v>675.02735200289999</v>
      </c>
      <c r="M1904" s="7">
        <v>669.30819381399999</v>
      </c>
      <c r="N1904" s="7">
        <v>664.40175517240004</v>
      </c>
      <c r="O1904" s="7">
        <v>675.02735200289999</v>
      </c>
      <c r="P1904" s="7">
        <v>664.40175517240004</v>
      </c>
      <c r="Q1904">
        <v>1</v>
      </c>
      <c r="R1904">
        <v>0</v>
      </c>
      <c r="S1904" s="11">
        <v>45940.666666666664</v>
      </c>
      <c r="T1904">
        <v>498</v>
      </c>
    </row>
    <row r="1905" spans="1:20">
      <c r="A1905" s="11">
        <v>45940.520833333336</v>
      </c>
      <c r="B1905" s="11">
        <v>45940.541666666664</v>
      </c>
      <c r="C1905" s="10">
        <v>45940</v>
      </c>
      <c r="D1905" s="7">
        <v>659.04</v>
      </c>
      <c r="E1905" s="7">
        <v>5907052</v>
      </c>
      <c r="F1905" s="7">
        <v>5907052</v>
      </c>
      <c r="G1905" s="7">
        <v>69746855</v>
      </c>
      <c r="H1905" s="7">
        <v>673.17</v>
      </c>
      <c r="I1905" s="7">
        <v>671.16</v>
      </c>
      <c r="J1905" s="7">
        <v>14</v>
      </c>
      <c r="K1905" s="7">
        <v>2.8676880000000002E-3</v>
      </c>
      <c r="L1905" s="7">
        <v>675.10044153030003</v>
      </c>
      <c r="M1905" s="7">
        <v>669.23532252259997</v>
      </c>
      <c r="N1905" s="7">
        <v>663.94765345530004</v>
      </c>
      <c r="O1905" s="7">
        <v>675.10044153030003</v>
      </c>
      <c r="P1905" s="7">
        <v>663.94765345530004</v>
      </c>
      <c r="Q1905">
        <v>1</v>
      </c>
      <c r="R1905">
        <v>0</v>
      </c>
      <c r="S1905" s="11">
        <v>45940.666666666664</v>
      </c>
      <c r="T1905">
        <v>497</v>
      </c>
    </row>
    <row r="1906" spans="1:20">
      <c r="A1906" s="11">
        <v>45940.541666666664</v>
      </c>
      <c r="B1906" s="11">
        <v>45940.5625</v>
      </c>
      <c r="C1906" s="10">
        <v>45940</v>
      </c>
      <c r="D1906" s="7">
        <v>659.84</v>
      </c>
      <c r="E1906" s="7">
        <v>5303657</v>
      </c>
      <c r="F1906" s="7">
        <v>5303657</v>
      </c>
      <c r="G1906" s="7">
        <v>75050512</v>
      </c>
      <c r="H1906" s="7">
        <v>673.17</v>
      </c>
      <c r="I1906" s="7">
        <v>671.16</v>
      </c>
      <c r="J1906" s="7">
        <v>14</v>
      </c>
      <c r="K1906" s="7">
        <v>2.9994618E-3</v>
      </c>
      <c r="L1906" s="7">
        <v>675.1891477163</v>
      </c>
      <c r="M1906" s="7">
        <v>669.14688120200003</v>
      </c>
      <c r="N1906" s="7">
        <v>663.65737448959999</v>
      </c>
      <c r="O1906" s="7">
        <v>675.1891477163</v>
      </c>
      <c r="P1906" s="7">
        <v>663.65737448959999</v>
      </c>
      <c r="Q1906">
        <v>1</v>
      </c>
      <c r="R1906">
        <v>0</v>
      </c>
      <c r="S1906" s="11">
        <v>45940.666666666664</v>
      </c>
      <c r="T1906">
        <v>496</v>
      </c>
    </row>
    <row r="1907" spans="1:20">
      <c r="A1907" s="11">
        <v>45940.5625</v>
      </c>
      <c r="B1907" s="11">
        <v>45940.583333333336</v>
      </c>
      <c r="C1907" s="10">
        <v>45940</v>
      </c>
      <c r="D1907" s="7">
        <v>659.64</v>
      </c>
      <c r="E1907" s="7">
        <v>4075539</v>
      </c>
      <c r="F1907" s="7">
        <v>4075539</v>
      </c>
      <c r="G1907" s="7">
        <v>79126051</v>
      </c>
      <c r="H1907" s="7">
        <v>673.17</v>
      </c>
      <c r="I1907" s="7">
        <v>671.16</v>
      </c>
      <c r="J1907" s="7">
        <v>14</v>
      </c>
      <c r="K1907" s="7">
        <v>3.0116362999999999E-3</v>
      </c>
      <c r="L1907" s="7">
        <v>675.19734322490001</v>
      </c>
      <c r="M1907" s="7">
        <v>669.13871016409996</v>
      </c>
      <c r="N1907" s="7">
        <v>663.45045191220004</v>
      </c>
      <c r="O1907" s="7">
        <v>675.19734322490001</v>
      </c>
      <c r="P1907" s="7">
        <v>663.45045191220004</v>
      </c>
      <c r="Q1907">
        <v>1</v>
      </c>
      <c r="R1907">
        <v>0</v>
      </c>
      <c r="S1907" s="11">
        <v>45940.666666666664</v>
      </c>
      <c r="T1907">
        <v>495</v>
      </c>
    </row>
    <row r="1908" spans="1:20">
      <c r="A1908" s="11">
        <v>45940.583333333336</v>
      </c>
      <c r="B1908" s="11">
        <v>45940.604166666664</v>
      </c>
      <c r="C1908" s="10">
        <v>45940</v>
      </c>
      <c r="D1908" s="7">
        <v>659.11</v>
      </c>
      <c r="E1908" s="7">
        <v>3678936</v>
      </c>
      <c r="F1908" s="7">
        <v>3678936</v>
      </c>
      <c r="G1908" s="7">
        <v>82804987</v>
      </c>
      <c r="H1908" s="7">
        <v>673.17</v>
      </c>
      <c r="I1908" s="7">
        <v>671.16</v>
      </c>
      <c r="J1908" s="7">
        <v>14</v>
      </c>
      <c r="K1908" s="7">
        <v>3.0448319999999999E-3</v>
      </c>
      <c r="L1908" s="7">
        <v>675.21968955119996</v>
      </c>
      <c r="M1908" s="7">
        <v>669.11643056109995</v>
      </c>
      <c r="N1908" s="7">
        <v>663.25761032900004</v>
      </c>
      <c r="O1908" s="7">
        <v>675.21968955119996</v>
      </c>
      <c r="P1908" s="7">
        <v>663.25761032900004</v>
      </c>
      <c r="Q1908">
        <v>1</v>
      </c>
      <c r="R1908">
        <v>0</v>
      </c>
      <c r="S1908" s="11">
        <v>45940.666666666664</v>
      </c>
      <c r="T1908">
        <v>494</v>
      </c>
    </row>
    <row r="1909" spans="1:20">
      <c r="A1909" s="11">
        <v>45940.604166666664</v>
      </c>
      <c r="B1909" s="11">
        <v>45940.625</v>
      </c>
      <c r="C1909" s="10">
        <v>45940</v>
      </c>
      <c r="D1909" s="7">
        <v>657.21500000000003</v>
      </c>
      <c r="E1909" s="7">
        <v>4528662</v>
      </c>
      <c r="F1909" s="7">
        <v>4528662</v>
      </c>
      <c r="G1909" s="7">
        <v>87333649</v>
      </c>
      <c r="H1909" s="7">
        <v>673.17</v>
      </c>
      <c r="I1909" s="7">
        <v>671.16</v>
      </c>
      <c r="J1909" s="7">
        <v>14</v>
      </c>
      <c r="K1909" s="7">
        <v>3.1797729999999999E-3</v>
      </c>
      <c r="L1909" s="7">
        <v>675.31052776130002</v>
      </c>
      <c r="M1909" s="7">
        <v>669.02586358229996</v>
      </c>
      <c r="N1909" s="7">
        <v>662.94427245639997</v>
      </c>
      <c r="O1909" s="7">
        <v>675.31052776130002</v>
      </c>
      <c r="P1909" s="7">
        <v>662.94427245639997</v>
      </c>
      <c r="Q1909">
        <v>1</v>
      </c>
      <c r="R1909">
        <v>0</v>
      </c>
      <c r="S1909" s="11">
        <v>45940.666666666664</v>
      </c>
      <c r="T1909">
        <v>493</v>
      </c>
    </row>
    <row r="1910" spans="1:20">
      <c r="A1910" s="11">
        <v>45940.625</v>
      </c>
      <c r="B1910" s="11">
        <v>45940.645833333336</v>
      </c>
      <c r="C1910" s="10">
        <v>45940</v>
      </c>
      <c r="D1910" s="7">
        <v>656.12</v>
      </c>
      <c r="E1910" s="7">
        <v>5154336</v>
      </c>
      <c r="F1910" s="7">
        <v>5154336</v>
      </c>
      <c r="G1910" s="7">
        <v>92487985</v>
      </c>
      <c r="H1910" s="7">
        <v>673.17</v>
      </c>
      <c r="I1910" s="7">
        <v>671.16</v>
      </c>
      <c r="J1910" s="7">
        <v>14</v>
      </c>
      <c r="K1910" s="7">
        <v>3.4319291999999999E-3</v>
      </c>
      <c r="L1910" s="7">
        <v>675.48027177899996</v>
      </c>
      <c r="M1910" s="7">
        <v>668.85662639869997</v>
      </c>
      <c r="N1910" s="7">
        <v>662.56395718420004</v>
      </c>
      <c r="O1910" s="7">
        <v>675.48027177899996</v>
      </c>
      <c r="P1910" s="7">
        <v>662.56395718420004</v>
      </c>
      <c r="Q1910">
        <v>1</v>
      </c>
      <c r="R1910">
        <v>0</v>
      </c>
      <c r="S1910" s="11">
        <v>45940.666666666664</v>
      </c>
      <c r="T1910">
        <v>492</v>
      </c>
    </row>
    <row r="1911" spans="1:20">
      <c r="A1911" s="11">
        <v>45940.645833333336</v>
      </c>
      <c r="B1911" s="11">
        <v>45940.666666666664</v>
      </c>
      <c r="C1911" s="10">
        <v>45940</v>
      </c>
      <c r="D1911" s="7">
        <v>653.02</v>
      </c>
      <c r="E1911" s="7">
        <v>19075100</v>
      </c>
      <c r="F1911" s="7">
        <v>19075100</v>
      </c>
      <c r="G1911" s="7">
        <v>111563085</v>
      </c>
      <c r="H1911" s="7">
        <v>673.17</v>
      </c>
      <c r="I1911" s="7">
        <v>671.16</v>
      </c>
      <c r="J1911" s="7">
        <v>14</v>
      </c>
      <c r="K1911" s="7">
        <v>3.1380437999999999E-3</v>
      </c>
      <c r="L1911" s="7">
        <v>675.28243696380002</v>
      </c>
      <c r="M1911" s="7">
        <v>669.05387050429999</v>
      </c>
      <c r="N1911" s="7">
        <v>660.93212764409998</v>
      </c>
      <c r="O1911" s="7">
        <v>675.28243696380002</v>
      </c>
      <c r="P1911" s="7">
        <v>660.93212764409998</v>
      </c>
      <c r="Q1911">
        <v>1</v>
      </c>
      <c r="R1911">
        <v>1</v>
      </c>
      <c r="S1911" s="11">
        <v>45940.666666666664</v>
      </c>
      <c r="T1911">
        <v>491</v>
      </c>
    </row>
    <row r="1912" spans="1:20">
      <c r="A1912" s="11">
        <v>45943.395833333336</v>
      </c>
      <c r="B1912" s="11">
        <v>45943.416666666664</v>
      </c>
      <c r="C1912" s="10">
        <v>45943</v>
      </c>
      <c r="D1912" s="7">
        <v>662.88</v>
      </c>
      <c r="E1912" s="7">
        <v>10964328</v>
      </c>
      <c r="F1912" s="7">
        <v>10964328</v>
      </c>
      <c r="G1912" s="7">
        <v>10964328</v>
      </c>
      <c r="H1912" s="7">
        <v>662.88</v>
      </c>
      <c r="I1912" s="7">
        <v>653.02</v>
      </c>
      <c r="J1912" s="7">
        <v>14</v>
      </c>
      <c r="K1912" s="7">
        <v>0</v>
      </c>
      <c r="L1912" s="7">
        <v>662.88</v>
      </c>
      <c r="M1912" s="7">
        <v>653.02</v>
      </c>
      <c r="N1912" s="7">
        <v>662.88</v>
      </c>
      <c r="O1912" s="7">
        <v>662.88</v>
      </c>
      <c r="P1912" s="7">
        <v>653.02</v>
      </c>
      <c r="Q1912">
        <v>1</v>
      </c>
      <c r="R1912">
        <v>0</v>
      </c>
      <c r="S1912" s="11">
        <v>45943.666666666664</v>
      </c>
      <c r="T1912">
        <v>489</v>
      </c>
    </row>
    <row r="1913" spans="1:20">
      <c r="A1913" s="11">
        <v>45943.416666666664</v>
      </c>
      <c r="B1913" s="11">
        <v>45943.4375</v>
      </c>
      <c r="C1913" s="10">
        <v>45943</v>
      </c>
      <c r="D1913" s="7">
        <v>660.87</v>
      </c>
      <c r="E1913" s="7">
        <v>6255059</v>
      </c>
      <c r="F1913" s="7">
        <v>6255059</v>
      </c>
      <c r="G1913" s="7">
        <v>17219387</v>
      </c>
      <c r="H1913" s="7">
        <v>662.88</v>
      </c>
      <c r="I1913" s="7">
        <v>653.02</v>
      </c>
      <c r="J1913" s="7">
        <v>14</v>
      </c>
      <c r="K1913" s="7">
        <v>1.4516231E-3</v>
      </c>
      <c r="L1913" s="7">
        <v>663.84225191610005</v>
      </c>
      <c r="M1913" s="7">
        <v>652.07206108759999</v>
      </c>
      <c r="N1913" s="7">
        <v>662.14985388100001</v>
      </c>
      <c r="O1913" s="7">
        <v>663.84225191610005</v>
      </c>
      <c r="P1913" s="7">
        <v>652.07206108759999</v>
      </c>
      <c r="Q1913">
        <v>1</v>
      </c>
      <c r="R1913">
        <v>0</v>
      </c>
      <c r="S1913" s="11">
        <v>45943.666666666664</v>
      </c>
      <c r="T1913">
        <v>488</v>
      </c>
    </row>
    <row r="1914" spans="1:20">
      <c r="A1914" s="11">
        <v>45943.4375</v>
      </c>
      <c r="B1914" s="11">
        <v>45943.458333333336</v>
      </c>
      <c r="C1914" s="10">
        <v>45943</v>
      </c>
      <c r="D1914" s="7">
        <v>660.21119999999996</v>
      </c>
      <c r="E1914" s="7">
        <v>3797946</v>
      </c>
      <c r="F1914" s="7">
        <v>3797946</v>
      </c>
      <c r="G1914" s="7">
        <v>21017333</v>
      </c>
      <c r="H1914" s="7">
        <v>662.88</v>
      </c>
      <c r="I1914" s="7">
        <v>653.02</v>
      </c>
      <c r="J1914" s="7">
        <v>14</v>
      </c>
      <c r="K1914" s="7">
        <v>2.1805273999999999E-3</v>
      </c>
      <c r="L1914" s="7">
        <v>664.325427988</v>
      </c>
      <c r="M1914" s="7">
        <v>651.59607201200004</v>
      </c>
      <c r="N1914" s="7">
        <v>661.79952861599998</v>
      </c>
      <c r="O1914" s="7">
        <v>664.325427988</v>
      </c>
      <c r="P1914" s="7">
        <v>651.59607201200004</v>
      </c>
      <c r="Q1914">
        <v>1</v>
      </c>
      <c r="R1914">
        <v>0</v>
      </c>
      <c r="S1914" s="11">
        <v>45943.666666666664</v>
      </c>
      <c r="T1914">
        <v>487</v>
      </c>
    </row>
    <row r="1915" spans="1:20">
      <c r="A1915" s="11">
        <v>45943.458333333336</v>
      </c>
      <c r="B1915" s="11">
        <v>45943.479166666664</v>
      </c>
      <c r="C1915" s="10">
        <v>45943</v>
      </c>
      <c r="D1915" s="7">
        <v>662.69500000000005</v>
      </c>
      <c r="E1915" s="7">
        <v>3556082</v>
      </c>
      <c r="F1915" s="7">
        <v>3556082</v>
      </c>
      <c r="G1915" s="7">
        <v>24573415</v>
      </c>
      <c r="H1915" s="7">
        <v>662.88</v>
      </c>
      <c r="I1915" s="7">
        <v>653.02</v>
      </c>
      <c r="J1915" s="7">
        <v>14</v>
      </c>
      <c r="K1915" s="7">
        <v>3.1810212000000001E-3</v>
      </c>
      <c r="L1915" s="7">
        <v>664.98863532669998</v>
      </c>
      <c r="M1915" s="7">
        <v>650.94272954220003</v>
      </c>
      <c r="N1915" s="7">
        <v>661.92911457989999</v>
      </c>
      <c r="O1915" s="7">
        <v>664.98863532669998</v>
      </c>
      <c r="P1915" s="7">
        <v>650.94272954220003</v>
      </c>
      <c r="Q1915">
        <v>1</v>
      </c>
      <c r="R1915">
        <v>0</v>
      </c>
      <c r="S1915" s="11">
        <v>45943.666666666664</v>
      </c>
      <c r="T1915">
        <v>486</v>
      </c>
    </row>
    <row r="1916" spans="1:20">
      <c r="A1916" s="11">
        <v>45943.479166666664</v>
      </c>
      <c r="B1916" s="11">
        <v>45943.5</v>
      </c>
      <c r="C1916" s="10">
        <v>45943</v>
      </c>
      <c r="D1916" s="7">
        <v>662.99</v>
      </c>
      <c r="E1916" s="7">
        <v>2591026</v>
      </c>
      <c r="F1916" s="7">
        <v>2591026</v>
      </c>
      <c r="G1916" s="7">
        <v>27164441</v>
      </c>
      <c r="H1916" s="7">
        <v>662.88</v>
      </c>
      <c r="I1916" s="7">
        <v>653.02</v>
      </c>
      <c r="J1916" s="7">
        <v>14</v>
      </c>
      <c r="K1916" s="7">
        <v>4.0182778999999997E-3</v>
      </c>
      <c r="L1916" s="7">
        <v>665.54363608400001</v>
      </c>
      <c r="M1916" s="7">
        <v>650.39598413650003</v>
      </c>
      <c r="N1916" s="7">
        <v>662.03030501880005</v>
      </c>
      <c r="O1916" s="7">
        <v>665.54363608400001</v>
      </c>
      <c r="P1916" s="7">
        <v>650.39598413650003</v>
      </c>
      <c r="Q1916">
        <v>1</v>
      </c>
      <c r="R1916">
        <v>0</v>
      </c>
      <c r="S1916" s="11">
        <v>45943.666666666664</v>
      </c>
      <c r="T1916">
        <v>485</v>
      </c>
    </row>
    <row r="1917" spans="1:20">
      <c r="A1917" s="11">
        <v>45943.5</v>
      </c>
      <c r="B1917" s="11">
        <v>45943.520833333336</v>
      </c>
      <c r="C1917" s="10">
        <v>45943</v>
      </c>
      <c r="D1917" s="7">
        <v>663.49</v>
      </c>
      <c r="E1917" s="7">
        <v>3658602</v>
      </c>
      <c r="F1917" s="7">
        <v>3658602</v>
      </c>
      <c r="G1917" s="7">
        <v>30823043</v>
      </c>
      <c r="H1917" s="7">
        <v>662.88</v>
      </c>
      <c r="I1917" s="7">
        <v>653.02</v>
      </c>
      <c r="J1917" s="7">
        <v>14</v>
      </c>
      <c r="K1917" s="7">
        <v>3.7363015999999998E-3</v>
      </c>
      <c r="L1917" s="7">
        <v>665.35671959540002</v>
      </c>
      <c r="M1917" s="7">
        <v>650.5801203382</v>
      </c>
      <c r="N1917" s="7">
        <v>662.20356639919999</v>
      </c>
      <c r="O1917" s="7">
        <v>665.35671959540002</v>
      </c>
      <c r="P1917" s="7">
        <v>650.5801203382</v>
      </c>
      <c r="Q1917">
        <v>1</v>
      </c>
      <c r="R1917">
        <v>0</v>
      </c>
      <c r="S1917" s="11">
        <v>45943.666666666664</v>
      </c>
      <c r="T1917">
        <v>484</v>
      </c>
    </row>
    <row r="1918" spans="1:20">
      <c r="A1918" s="11">
        <v>45943.520833333336</v>
      </c>
      <c r="B1918" s="11">
        <v>45943.541666666664</v>
      </c>
      <c r="C1918" s="10">
        <v>45943</v>
      </c>
      <c r="D1918" s="7">
        <v>664.27</v>
      </c>
      <c r="E1918" s="7">
        <v>2049361</v>
      </c>
      <c r="F1918" s="7">
        <v>2049361</v>
      </c>
      <c r="G1918" s="7">
        <v>32872404</v>
      </c>
      <c r="H1918" s="7">
        <v>662.88</v>
      </c>
      <c r="I1918" s="7">
        <v>653.02</v>
      </c>
      <c r="J1918" s="7">
        <v>14</v>
      </c>
      <c r="K1918" s="7">
        <v>4.0466857999999998E-3</v>
      </c>
      <c r="L1918" s="7">
        <v>665.56246707629998</v>
      </c>
      <c r="M1918" s="7">
        <v>650.37743324559995</v>
      </c>
      <c r="N1918" s="7">
        <v>662.33239386280002</v>
      </c>
      <c r="O1918" s="7">
        <v>665.56246707629998</v>
      </c>
      <c r="P1918" s="7">
        <v>650.37743324559995</v>
      </c>
      <c r="Q1918">
        <v>1</v>
      </c>
      <c r="R1918">
        <v>0</v>
      </c>
      <c r="S1918" s="11">
        <v>45943.666666666664</v>
      </c>
      <c r="T1918">
        <v>483</v>
      </c>
    </row>
    <row r="1919" spans="1:20">
      <c r="A1919" s="11">
        <v>45943.541666666664</v>
      </c>
      <c r="B1919" s="11">
        <v>45943.5625</v>
      </c>
      <c r="C1919" s="10">
        <v>45943</v>
      </c>
      <c r="D1919" s="7">
        <v>663.18</v>
      </c>
      <c r="E1919" s="7">
        <v>2069267</v>
      </c>
      <c r="F1919" s="7">
        <v>2069267</v>
      </c>
      <c r="G1919" s="7">
        <v>34941671</v>
      </c>
      <c r="H1919" s="7">
        <v>662.88</v>
      </c>
      <c r="I1919" s="7">
        <v>653.02</v>
      </c>
      <c r="J1919" s="7">
        <v>14</v>
      </c>
      <c r="K1919" s="7">
        <v>4.0844217999999998E-3</v>
      </c>
      <c r="L1919" s="7">
        <v>665.58748153650004</v>
      </c>
      <c r="M1919" s="7">
        <v>650.35279086269998</v>
      </c>
      <c r="N1919" s="7">
        <v>662.38258961359998</v>
      </c>
      <c r="O1919" s="7">
        <v>665.58748153650004</v>
      </c>
      <c r="P1919" s="7">
        <v>650.35279086269998</v>
      </c>
      <c r="Q1919">
        <v>1</v>
      </c>
      <c r="R1919">
        <v>0</v>
      </c>
      <c r="S1919" s="11">
        <v>45943.666666666664</v>
      </c>
      <c r="T1919">
        <v>482</v>
      </c>
    </row>
    <row r="1920" spans="1:20">
      <c r="A1920" s="11">
        <v>45943.5625</v>
      </c>
      <c r="B1920" s="11">
        <v>45943.583333333336</v>
      </c>
      <c r="C1920" s="10">
        <v>45943</v>
      </c>
      <c r="D1920" s="7">
        <v>663.26</v>
      </c>
      <c r="E1920" s="7">
        <v>1702041</v>
      </c>
      <c r="F1920" s="7">
        <v>1702041</v>
      </c>
      <c r="G1920" s="7">
        <v>36643712</v>
      </c>
      <c r="H1920" s="7">
        <v>662.88</v>
      </c>
      <c r="I1920" s="7">
        <v>653.02</v>
      </c>
      <c r="J1920" s="7">
        <v>14</v>
      </c>
      <c r="K1920" s="7">
        <v>4.1318144000000003E-3</v>
      </c>
      <c r="L1920" s="7">
        <v>665.61889713020003</v>
      </c>
      <c r="M1920" s="7">
        <v>650.32184255979996</v>
      </c>
      <c r="N1920" s="7">
        <v>662.42334390320002</v>
      </c>
      <c r="O1920" s="7">
        <v>665.61889713020003</v>
      </c>
      <c r="P1920" s="7">
        <v>650.32184255979996</v>
      </c>
      <c r="Q1920">
        <v>1</v>
      </c>
      <c r="R1920">
        <v>0</v>
      </c>
      <c r="S1920" s="11">
        <v>45943.666666666664</v>
      </c>
      <c r="T1920">
        <v>481</v>
      </c>
    </row>
    <row r="1921" spans="1:20">
      <c r="A1921" s="11">
        <v>45943.583333333336</v>
      </c>
      <c r="B1921" s="11">
        <v>45943.604166666664</v>
      </c>
      <c r="C1921" s="10">
        <v>45943</v>
      </c>
      <c r="D1921" s="7">
        <v>663.95</v>
      </c>
      <c r="E1921" s="7">
        <v>2070112</v>
      </c>
      <c r="F1921" s="7">
        <v>2070112</v>
      </c>
      <c r="G1921" s="7">
        <v>38713824</v>
      </c>
      <c r="H1921" s="7">
        <v>662.88</v>
      </c>
      <c r="I1921" s="7">
        <v>653.02</v>
      </c>
      <c r="J1921" s="7">
        <v>14</v>
      </c>
      <c r="K1921" s="7">
        <v>4.2007907000000001E-3</v>
      </c>
      <c r="L1921" s="7">
        <v>665.66462015850004</v>
      </c>
      <c r="M1921" s="7">
        <v>650.27679963809999</v>
      </c>
      <c r="N1921" s="7">
        <v>662.5049775105</v>
      </c>
      <c r="O1921" s="7">
        <v>665.66462015850004</v>
      </c>
      <c r="P1921" s="7">
        <v>650.27679963809999</v>
      </c>
      <c r="Q1921">
        <v>1</v>
      </c>
      <c r="R1921">
        <v>0</v>
      </c>
      <c r="S1921" s="11">
        <v>45943.666666666664</v>
      </c>
      <c r="T1921">
        <v>480</v>
      </c>
    </row>
    <row r="1922" spans="1:20">
      <c r="A1922" s="11">
        <v>45943.604166666664</v>
      </c>
      <c r="B1922" s="11">
        <v>45943.625</v>
      </c>
      <c r="C1922" s="10">
        <v>45943</v>
      </c>
      <c r="D1922" s="7">
        <v>662.21</v>
      </c>
      <c r="E1922" s="7">
        <v>3294501</v>
      </c>
      <c r="F1922" s="7">
        <v>3294501</v>
      </c>
      <c r="G1922" s="7">
        <v>42008325</v>
      </c>
      <c r="H1922" s="7">
        <v>662.88</v>
      </c>
      <c r="I1922" s="7">
        <v>653.02</v>
      </c>
      <c r="J1922" s="7">
        <v>14</v>
      </c>
      <c r="K1922" s="7">
        <v>4.5120428000000002E-3</v>
      </c>
      <c r="L1922" s="7">
        <v>665.87094296329997</v>
      </c>
      <c r="M1922" s="7">
        <v>650.0735457792</v>
      </c>
      <c r="N1922" s="7">
        <v>662.48184391250004</v>
      </c>
      <c r="O1922" s="7">
        <v>665.87094296329997</v>
      </c>
      <c r="P1922" s="7">
        <v>650.0735457792</v>
      </c>
      <c r="Q1922">
        <v>1</v>
      </c>
      <c r="R1922">
        <v>0</v>
      </c>
      <c r="S1922" s="11">
        <v>45943.666666666664</v>
      </c>
      <c r="T1922">
        <v>479</v>
      </c>
    </row>
    <row r="1923" spans="1:20">
      <c r="A1923" s="11">
        <v>45943.625</v>
      </c>
      <c r="B1923" s="11">
        <v>45943.645833333336</v>
      </c>
      <c r="C1923" s="10">
        <v>45943</v>
      </c>
      <c r="D1923" s="7">
        <v>662.72500000000002</v>
      </c>
      <c r="E1923" s="7">
        <v>3544635</v>
      </c>
      <c r="F1923" s="7">
        <v>3544635</v>
      </c>
      <c r="G1923" s="7">
        <v>45552960</v>
      </c>
      <c r="H1923" s="7">
        <v>662.88</v>
      </c>
      <c r="I1923" s="7">
        <v>653.02</v>
      </c>
      <c r="J1923" s="7">
        <v>14</v>
      </c>
      <c r="K1923" s="7">
        <v>4.8421658000000001E-3</v>
      </c>
      <c r="L1923" s="7">
        <v>666.08977488309995</v>
      </c>
      <c r="M1923" s="7">
        <v>649.85796887189997</v>
      </c>
      <c r="N1923" s="7">
        <v>662.5007647374</v>
      </c>
      <c r="O1923" s="7">
        <v>666.08977488309995</v>
      </c>
      <c r="P1923" s="7">
        <v>649.85796887189997</v>
      </c>
      <c r="Q1923">
        <v>1</v>
      </c>
      <c r="R1923">
        <v>0</v>
      </c>
      <c r="S1923" s="11">
        <v>45943.666666666664</v>
      </c>
      <c r="T1923">
        <v>478</v>
      </c>
    </row>
    <row r="1924" spans="1:20">
      <c r="A1924" s="11">
        <v>45943.645833333336</v>
      </c>
      <c r="B1924" s="11">
        <v>45943.666666666664</v>
      </c>
      <c r="C1924" s="10">
        <v>45943</v>
      </c>
      <c r="D1924" s="7">
        <v>663.04</v>
      </c>
      <c r="E1924" s="7">
        <v>8803629</v>
      </c>
      <c r="F1924" s="7">
        <v>8803629</v>
      </c>
      <c r="G1924" s="7">
        <v>54356589</v>
      </c>
      <c r="H1924" s="7">
        <v>662.88</v>
      </c>
      <c r="I1924" s="7">
        <v>653.02</v>
      </c>
      <c r="J1924" s="7">
        <v>14</v>
      </c>
      <c r="K1924" s="7">
        <v>4.9089759000000002E-3</v>
      </c>
      <c r="L1924" s="7">
        <v>666.13406194770005</v>
      </c>
      <c r="M1924" s="7">
        <v>649.81434055470004</v>
      </c>
      <c r="N1924" s="7">
        <v>662.58809963609997</v>
      </c>
      <c r="O1924" s="7">
        <v>666.13406194770005</v>
      </c>
      <c r="P1924" s="7">
        <v>649.81434055470004</v>
      </c>
      <c r="Q1924">
        <v>1</v>
      </c>
      <c r="R1924">
        <v>1</v>
      </c>
      <c r="S1924" s="11">
        <v>45943.666666666664</v>
      </c>
      <c r="T1924">
        <v>477</v>
      </c>
    </row>
    <row r="1925" spans="1:20">
      <c r="A1925" s="11">
        <v>45944.395833333336</v>
      </c>
      <c r="B1925" s="11">
        <v>45944.416666666664</v>
      </c>
      <c r="C1925" s="10">
        <v>45944</v>
      </c>
      <c r="D1925" s="7">
        <v>656.8</v>
      </c>
      <c r="E1925" s="7">
        <v>9808411</v>
      </c>
      <c r="F1925" s="7">
        <v>9808411</v>
      </c>
      <c r="G1925" s="7">
        <v>9808411</v>
      </c>
      <c r="H1925" s="7">
        <v>656.8</v>
      </c>
      <c r="I1925" s="7">
        <v>663.04</v>
      </c>
      <c r="J1925" s="7">
        <v>14</v>
      </c>
      <c r="K1925" s="7">
        <v>0</v>
      </c>
      <c r="L1925" s="7">
        <v>663.04</v>
      </c>
      <c r="M1925" s="7">
        <v>656.8</v>
      </c>
      <c r="N1925" s="7">
        <v>656.8</v>
      </c>
      <c r="O1925" s="7">
        <v>663.04</v>
      </c>
      <c r="P1925" s="7">
        <v>656.8</v>
      </c>
      <c r="Q1925">
        <v>1</v>
      </c>
      <c r="R1925">
        <v>0</v>
      </c>
      <c r="S1925" s="11">
        <v>45944.666666666664</v>
      </c>
      <c r="T1925">
        <v>475</v>
      </c>
    </row>
    <row r="1926" spans="1:20">
      <c r="A1926" s="11">
        <v>45944.416666666664</v>
      </c>
      <c r="B1926" s="11">
        <v>45944.4375</v>
      </c>
      <c r="C1926" s="10">
        <v>45944</v>
      </c>
      <c r="D1926" s="7">
        <v>659.77</v>
      </c>
      <c r="E1926" s="7">
        <v>6002223</v>
      </c>
      <c r="F1926" s="7">
        <v>6002223</v>
      </c>
      <c r="G1926" s="7">
        <v>15810634</v>
      </c>
      <c r="H1926" s="7">
        <v>656.8</v>
      </c>
      <c r="I1926" s="7">
        <v>663.04</v>
      </c>
      <c r="J1926" s="7">
        <v>14</v>
      </c>
      <c r="K1926" s="7">
        <v>1.6500099999999999E-3</v>
      </c>
      <c r="L1926" s="7">
        <v>664.13402261379997</v>
      </c>
      <c r="M1926" s="7">
        <v>655.71627344839999</v>
      </c>
      <c r="N1926" s="7">
        <v>657.92750711389999</v>
      </c>
      <c r="O1926" s="7">
        <v>664.13402261379997</v>
      </c>
      <c r="P1926" s="7">
        <v>655.71627344839999</v>
      </c>
      <c r="Q1926">
        <v>1</v>
      </c>
      <c r="R1926">
        <v>0</v>
      </c>
      <c r="S1926" s="11">
        <v>45944.666666666664</v>
      </c>
      <c r="T1926">
        <v>474</v>
      </c>
    </row>
    <row r="1927" spans="1:20">
      <c r="A1927" s="11">
        <v>45944.4375</v>
      </c>
      <c r="B1927" s="11">
        <v>45944.458333333336</v>
      </c>
      <c r="C1927" s="10">
        <v>45944</v>
      </c>
      <c r="D1927" s="7">
        <v>659.85</v>
      </c>
      <c r="E1927" s="7">
        <v>3320399</v>
      </c>
      <c r="F1927" s="7">
        <v>3320399</v>
      </c>
      <c r="G1927" s="7">
        <v>19131033</v>
      </c>
      <c r="H1927" s="7">
        <v>656.8</v>
      </c>
      <c r="I1927" s="7">
        <v>663.04</v>
      </c>
      <c r="J1927" s="7">
        <v>14</v>
      </c>
      <c r="K1927" s="7">
        <v>2.4220400999999999E-3</v>
      </c>
      <c r="L1927" s="7">
        <v>664.64590944810004</v>
      </c>
      <c r="M1927" s="7">
        <v>655.2092040819</v>
      </c>
      <c r="N1927" s="7">
        <v>658.26117667879998</v>
      </c>
      <c r="O1927" s="7">
        <v>664.64590944810004</v>
      </c>
      <c r="P1927" s="7">
        <v>655.2092040819</v>
      </c>
      <c r="Q1927">
        <v>1</v>
      </c>
      <c r="R1927">
        <v>0</v>
      </c>
      <c r="S1927" s="11">
        <v>45944.666666666664</v>
      </c>
      <c r="T1927">
        <v>473</v>
      </c>
    </row>
    <row r="1928" spans="1:20">
      <c r="A1928" s="11">
        <v>45944.458333333336</v>
      </c>
      <c r="B1928" s="11">
        <v>45944.479166666664</v>
      </c>
      <c r="C1928" s="10">
        <v>45944</v>
      </c>
      <c r="D1928" s="7">
        <v>659.68</v>
      </c>
      <c r="E1928" s="7">
        <v>2532506</v>
      </c>
      <c r="F1928" s="7">
        <v>2532506</v>
      </c>
      <c r="G1928" s="7">
        <v>21663539</v>
      </c>
      <c r="H1928" s="7">
        <v>656.8</v>
      </c>
      <c r="I1928" s="7">
        <v>663.04</v>
      </c>
      <c r="J1928" s="7">
        <v>14</v>
      </c>
      <c r="K1928" s="7">
        <v>3.1345385999999999E-3</v>
      </c>
      <c r="L1928" s="7">
        <v>665.1183244517</v>
      </c>
      <c r="M1928" s="7">
        <v>654.74123506900003</v>
      </c>
      <c r="N1928" s="7">
        <v>658.42703963279996</v>
      </c>
      <c r="O1928" s="7">
        <v>665.1183244517</v>
      </c>
      <c r="P1928" s="7">
        <v>654.74123506900003</v>
      </c>
      <c r="Q1928">
        <v>1</v>
      </c>
      <c r="R1928">
        <v>0</v>
      </c>
      <c r="S1928" s="11">
        <v>45944.666666666664</v>
      </c>
      <c r="T1928">
        <v>472</v>
      </c>
    </row>
    <row r="1929" spans="1:20">
      <c r="A1929" s="11">
        <v>45944.479166666664</v>
      </c>
      <c r="B1929" s="11">
        <v>45944.5</v>
      </c>
      <c r="C1929" s="10">
        <v>45944</v>
      </c>
      <c r="D1929" s="7">
        <v>662.46</v>
      </c>
      <c r="E1929" s="7">
        <v>4095883</v>
      </c>
      <c r="F1929" s="7">
        <v>4095883</v>
      </c>
      <c r="G1929" s="7">
        <v>25759422</v>
      </c>
      <c r="H1929" s="7">
        <v>656.8</v>
      </c>
      <c r="I1929" s="7">
        <v>663.04</v>
      </c>
      <c r="J1929" s="7">
        <v>14</v>
      </c>
      <c r="K1929" s="7">
        <v>3.9005850999999999E-3</v>
      </c>
      <c r="L1929" s="7">
        <v>665.62624397779996</v>
      </c>
      <c r="M1929" s="7">
        <v>654.23809567349997</v>
      </c>
      <c r="N1929" s="7">
        <v>659.06830145180004</v>
      </c>
      <c r="O1929" s="7">
        <v>665.62624397779996</v>
      </c>
      <c r="P1929" s="7">
        <v>654.23809567349997</v>
      </c>
      <c r="Q1929">
        <v>1</v>
      </c>
      <c r="R1929">
        <v>0</v>
      </c>
      <c r="S1929" s="11">
        <v>45944.666666666664</v>
      </c>
      <c r="T1929">
        <v>471</v>
      </c>
    </row>
    <row r="1930" spans="1:20">
      <c r="A1930" s="11">
        <v>45944.5</v>
      </c>
      <c r="B1930" s="11">
        <v>45944.520833333336</v>
      </c>
      <c r="C1930" s="10">
        <v>45944</v>
      </c>
      <c r="D1930" s="7">
        <v>663.67</v>
      </c>
      <c r="E1930" s="7">
        <v>3207004</v>
      </c>
      <c r="F1930" s="7">
        <v>3207004</v>
      </c>
      <c r="G1930" s="7">
        <v>28966426</v>
      </c>
      <c r="H1930" s="7">
        <v>656.8</v>
      </c>
      <c r="I1930" s="7">
        <v>663.04</v>
      </c>
      <c r="J1930" s="7">
        <v>14</v>
      </c>
      <c r="K1930" s="7">
        <v>3.6359889E-3</v>
      </c>
      <c r="L1930" s="7">
        <v>665.45080606500005</v>
      </c>
      <c r="M1930" s="7">
        <v>654.41188250560003</v>
      </c>
      <c r="N1930" s="7">
        <v>659.57777630559997</v>
      </c>
      <c r="O1930" s="7">
        <v>665.45080606500005</v>
      </c>
      <c r="P1930" s="7">
        <v>654.41188250560003</v>
      </c>
      <c r="Q1930">
        <v>1</v>
      </c>
      <c r="R1930">
        <v>0</v>
      </c>
      <c r="S1930" s="11">
        <v>45944.666666666664</v>
      </c>
      <c r="T1930">
        <v>470</v>
      </c>
    </row>
    <row r="1931" spans="1:20">
      <c r="A1931" s="11">
        <v>45944.520833333336</v>
      </c>
      <c r="B1931" s="11">
        <v>45944.541666666664</v>
      </c>
      <c r="C1931" s="10">
        <v>45944</v>
      </c>
      <c r="D1931" s="7">
        <v>664.35500000000002</v>
      </c>
      <c r="E1931" s="7">
        <v>3434340</v>
      </c>
      <c r="F1931" s="7">
        <v>3434340</v>
      </c>
      <c r="G1931" s="7">
        <v>32400766</v>
      </c>
      <c r="H1931" s="7">
        <v>656.8</v>
      </c>
      <c r="I1931" s="7">
        <v>663.04</v>
      </c>
      <c r="J1931" s="7">
        <v>14</v>
      </c>
      <c r="K1931" s="7">
        <v>4.0207806999999996E-3</v>
      </c>
      <c r="L1931" s="7">
        <v>665.70593842760002</v>
      </c>
      <c r="M1931" s="7">
        <v>654.15915124390006</v>
      </c>
      <c r="N1931" s="7">
        <v>660.08414119899999</v>
      </c>
      <c r="O1931" s="7">
        <v>665.70593842760002</v>
      </c>
      <c r="P1931" s="7">
        <v>654.15915124390006</v>
      </c>
      <c r="Q1931">
        <v>1</v>
      </c>
      <c r="R1931">
        <v>0</v>
      </c>
      <c r="S1931" s="11">
        <v>45944.666666666664</v>
      </c>
      <c r="T1931">
        <v>469</v>
      </c>
    </row>
    <row r="1932" spans="1:20">
      <c r="A1932" s="11">
        <v>45944.541666666664</v>
      </c>
      <c r="B1932" s="11">
        <v>45944.5625</v>
      </c>
      <c r="C1932" s="10">
        <v>45944</v>
      </c>
      <c r="D1932" s="7">
        <v>665.33</v>
      </c>
      <c r="E1932" s="7">
        <v>2261416</v>
      </c>
      <c r="F1932" s="7">
        <v>2261416</v>
      </c>
      <c r="G1932" s="7">
        <v>34662182</v>
      </c>
      <c r="H1932" s="7">
        <v>656.8</v>
      </c>
      <c r="I1932" s="7">
        <v>663.04</v>
      </c>
      <c r="J1932" s="7">
        <v>14</v>
      </c>
      <c r="K1932" s="7">
        <v>3.7771632000000001E-3</v>
      </c>
      <c r="L1932" s="7">
        <v>665.54441026459995</v>
      </c>
      <c r="M1932" s="7">
        <v>654.31915923350005</v>
      </c>
      <c r="N1932" s="7">
        <v>660.42638938829998</v>
      </c>
      <c r="O1932" s="7">
        <v>665.54441026459995</v>
      </c>
      <c r="P1932" s="7">
        <v>654.31915923350005</v>
      </c>
      <c r="Q1932">
        <v>1</v>
      </c>
      <c r="R1932">
        <v>0</v>
      </c>
      <c r="S1932" s="11">
        <v>45944.666666666664</v>
      </c>
      <c r="T1932">
        <v>468</v>
      </c>
    </row>
    <row r="1933" spans="1:20">
      <c r="A1933" s="11">
        <v>45944.5625</v>
      </c>
      <c r="B1933" s="11">
        <v>45944.583333333336</v>
      </c>
      <c r="C1933" s="10">
        <v>45944</v>
      </c>
      <c r="D1933" s="7">
        <v>665.20929999999998</v>
      </c>
      <c r="E1933" s="7">
        <v>2114072</v>
      </c>
      <c r="F1933" s="7">
        <v>2114072</v>
      </c>
      <c r="G1933" s="7">
        <v>36776254</v>
      </c>
      <c r="H1933" s="7">
        <v>656.8</v>
      </c>
      <c r="I1933" s="7">
        <v>663.04</v>
      </c>
      <c r="J1933" s="7">
        <v>14</v>
      </c>
      <c r="K1933" s="7">
        <v>3.7903263000000002E-3</v>
      </c>
      <c r="L1933" s="7">
        <v>665.55313793599998</v>
      </c>
      <c r="M1933" s="7">
        <v>654.3105137</v>
      </c>
      <c r="N1933" s="7">
        <v>660.70133357930001</v>
      </c>
      <c r="O1933" s="7">
        <v>665.55313793599998</v>
      </c>
      <c r="P1933" s="7">
        <v>654.3105137</v>
      </c>
      <c r="Q1933">
        <v>1</v>
      </c>
      <c r="R1933">
        <v>0</v>
      </c>
      <c r="S1933" s="11">
        <v>45944.666666666664</v>
      </c>
      <c r="T1933">
        <v>467</v>
      </c>
    </row>
    <row r="1934" spans="1:20">
      <c r="A1934" s="11">
        <v>45944.583333333336</v>
      </c>
      <c r="B1934" s="11">
        <v>45944.604166666664</v>
      </c>
      <c r="C1934" s="10">
        <v>45944</v>
      </c>
      <c r="D1934" s="7">
        <v>665.14</v>
      </c>
      <c r="E1934" s="7">
        <v>2220470</v>
      </c>
      <c r="F1934" s="7">
        <v>2220470</v>
      </c>
      <c r="G1934" s="7">
        <v>38996724</v>
      </c>
      <c r="H1934" s="7">
        <v>656.8</v>
      </c>
      <c r="I1934" s="7">
        <v>663.04</v>
      </c>
      <c r="J1934" s="7">
        <v>14</v>
      </c>
      <c r="K1934" s="7">
        <v>3.8758061999999999E-3</v>
      </c>
      <c r="L1934" s="7">
        <v>665.6098145313</v>
      </c>
      <c r="M1934" s="7">
        <v>654.25437049929997</v>
      </c>
      <c r="N1934" s="7">
        <v>660.95407085090005</v>
      </c>
      <c r="O1934" s="7">
        <v>665.6098145313</v>
      </c>
      <c r="P1934" s="7">
        <v>654.25437049929997</v>
      </c>
      <c r="Q1934">
        <v>1</v>
      </c>
      <c r="R1934">
        <v>0</v>
      </c>
      <c r="S1934" s="11">
        <v>45944.666666666664</v>
      </c>
      <c r="T1934">
        <v>466</v>
      </c>
    </row>
    <row r="1935" spans="1:20">
      <c r="A1935" s="11">
        <v>45944.604166666664</v>
      </c>
      <c r="B1935" s="11">
        <v>45944.625</v>
      </c>
      <c r="C1935" s="10">
        <v>45944</v>
      </c>
      <c r="D1935" s="7">
        <v>664.95</v>
      </c>
      <c r="E1935" s="7">
        <v>1820099</v>
      </c>
      <c r="F1935" s="7">
        <v>1820099</v>
      </c>
      <c r="G1935" s="7">
        <v>40816823</v>
      </c>
      <c r="H1935" s="7">
        <v>656.8</v>
      </c>
      <c r="I1935" s="7">
        <v>663.04</v>
      </c>
      <c r="J1935" s="7">
        <v>14</v>
      </c>
      <c r="K1935" s="7">
        <v>4.0850378E-3</v>
      </c>
      <c r="L1935" s="7">
        <v>665.74854345270001</v>
      </c>
      <c r="M1935" s="7">
        <v>654.11694718310002</v>
      </c>
      <c r="N1935" s="7">
        <v>661.13225685639998</v>
      </c>
      <c r="O1935" s="7">
        <v>665.74854345270001</v>
      </c>
      <c r="P1935" s="7">
        <v>654.11694718310002</v>
      </c>
      <c r="Q1935">
        <v>1</v>
      </c>
      <c r="R1935">
        <v>0</v>
      </c>
      <c r="S1935" s="11">
        <v>45944.666666666664</v>
      </c>
      <c r="T1935">
        <v>465</v>
      </c>
    </row>
    <row r="1936" spans="1:20">
      <c r="A1936" s="11">
        <v>45944.625</v>
      </c>
      <c r="B1936" s="11">
        <v>45944.645833333336</v>
      </c>
      <c r="C1936" s="10">
        <v>45944</v>
      </c>
      <c r="D1936" s="7">
        <v>664.75</v>
      </c>
      <c r="E1936" s="7">
        <v>2438846</v>
      </c>
      <c r="F1936" s="7">
        <v>2438846</v>
      </c>
      <c r="G1936" s="7">
        <v>43255669</v>
      </c>
      <c r="H1936" s="7">
        <v>656.8</v>
      </c>
      <c r="I1936" s="7">
        <v>663.04</v>
      </c>
      <c r="J1936" s="7">
        <v>14</v>
      </c>
      <c r="K1936" s="7">
        <v>4.3885905999999997E-3</v>
      </c>
      <c r="L1936" s="7">
        <v>665.94981113870006</v>
      </c>
      <c r="M1936" s="7">
        <v>653.91757366690001</v>
      </c>
      <c r="N1936" s="7">
        <v>661.3362328577</v>
      </c>
      <c r="O1936" s="7">
        <v>665.94981113870006</v>
      </c>
      <c r="P1936" s="7">
        <v>653.91757366690001</v>
      </c>
      <c r="Q1936">
        <v>1</v>
      </c>
      <c r="R1936">
        <v>0</v>
      </c>
      <c r="S1936" s="11">
        <v>45944.666666666664</v>
      </c>
      <c r="T1936">
        <v>464</v>
      </c>
    </row>
    <row r="1937" spans="1:20">
      <c r="A1937" s="11">
        <v>45944.645833333336</v>
      </c>
      <c r="B1937" s="11">
        <v>45944.666666666664</v>
      </c>
      <c r="C1937" s="10">
        <v>45944</v>
      </c>
      <c r="D1937" s="7">
        <v>662.23</v>
      </c>
      <c r="E1937" s="7">
        <v>15931589</v>
      </c>
      <c r="F1937" s="7">
        <v>15931589</v>
      </c>
      <c r="G1937" s="7">
        <v>59187258</v>
      </c>
      <c r="H1937" s="7">
        <v>656.8</v>
      </c>
      <c r="I1937" s="7">
        <v>663.04</v>
      </c>
      <c r="J1937" s="7">
        <v>14</v>
      </c>
      <c r="K1937" s="7">
        <v>4.5437817E-3</v>
      </c>
      <c r="L1937" s="7">
        <v>666.05270902059999</v>
      </c>
      <c r="M1937" s="7">
        <v>653.81564417720006</v>
      </c>
      <c r="N1937" s="7">
        <v>661.55796841339998</v>
      </c>
      <c r="O1937" s="7">
        <v>666.05270902059999</v>
      </c>
      <c r="P1937" s="7">
        <v>653.81564417720006</v>
      </c>
      <c r="Q1937">
        <v>1</v>
      </c>
      <c r="R1937">
        <v>1</v>
      </c>
      <c r="S1937" s="11">
        <v>45944.666666666664</v>
      </c>
      <c r="T1937">
        <v>463</v>
      </c>
    </row>
    <row r="1938" spans="1:20">
      <c r="A1938" s="11">
        <v>45945.395833333336</v>
      </c>
      <c r="B1938" s="11">
        <v>45945.416666666664</v>
      </c>
      <c r="C1938" s="10">
        <v>45945</v>
      </c>
      <c r="D1938" s="7">
        <v>668.41049999999996</v>
      </c>
      <c r="E1938" s="7">
        <v>7937964</v>
      </c>
      <c r="F1938" s="7">
        <v>7937964</v>
      </c>
      <c r="G1938" s="7">
        <v>7937964</v>
      </c>
      <c r="H1938" s="7">
        <v>668.41049999999996</v>
      </c>
      <c r="I1938" s="7">
        <v>662.23</v>
      </c>
      <c r="J1938" s="7">
        <v>14</v>
      </c>
      <c r="K1938" s="7">
        <v>0</v>
      </c>
      <c r="L1938" s="7">
        <v>668.41049999999996</v>
      </c>
      <c r="M1938" s="7">
        <v>662.23</v>
      </c>
      <c r="N1938" s="7">
        <v>668.41049999999996</v>
      </c>
      <c r="O1938" s="7">
        <v>668.41049999999996</v>
      </c>
      <c r="P1938" s="7">
        <v>662.23</v>
      </c>
      <c r="Q1938">
        <v>1</v>
      </c>
      <c r="R1938">
        <v>0</v>
      </c>
      <c r="S1938" s="11">
        <v>45945.666666666664</v>
      </c>
      <c r="T1938">
        <v>461</v>
      </c>
    </row>
    <row r="1939" spans="1:20">
      <c r="A1939" s="11">
        <v>45945.416666666664</v>
      </c>
      <c r="B1939" s="11">
        <v>45945.4375</v>
      </c>
      <c r="C1939" s="10">
        <v>45945</v>
      </c>
      <c r="D1939" s="7">
        <v>669.68</v>
      </c>
      <c r="E1939" s="7">
        <v>3676429</v>
      </c>
      <c r="F1939" s="7">
        <v>3676429</v>
      </c>
      <c r="G1939" s="7">
        <v>11614393</v>
      </c>
      <c r="H1939" s="7">
        <v>668.41049999999996</v>
      </c>
      <c r="I1939" s="7">
        <v>662.23</v>
      </c>
      <c r="J1939" s="7">
        <v>14</v>
      </c>
      <c r="K1939" s="7">
        <v>1.9563060000000001E-3</v>
      </c>
      <c r="L1939" s="7">
        <v>669.7181154525</v>
      </c>
      <c r="M1939" s="7">
        <v>660.93447549660004</v>
      </c>
      <c r="N1939" s="7">
        <v>668.81234851809995</v>
      </c>
      <c r="O1939" s="7">
        <v>669.7181154525</v>
      </c>
      <c r="P1939" s="7">
        <v>660.93447549660004</v>
      </c>
      <c r="Q1939">
        <v>1</v>
      </c>
      <c r="R1939">
        <v>0</v>
      </c>
      <c r="S1939" s="11">
        <v>45945.666666666664</v>
      </c>
      <c r="T1939">
        <v>460</v>
      </c>
    </row>
    <row r="1940" spans="1:20">
      <c r="A1940" s="11">
        <v>45945.4375</v>
      </c>
      <c r="B1940" s="11">
        <v>45945.458333333336</v>
      </c>
      <c r="C1940" s="10">
        <v>45945</v>
      </c>
      <c r="D1940" s="7">
        <v>669.02</v>
      </c>
      <c r="E1940" s="7">
        <v>2068803</v>
      </c>
      <c r="F1940" s="7">
        <v>2068803</v>
      </c>
      <c r="G1940" s="7">
        <v>13683196</v>
      </c>
      <c r="H1940" s="7">
        <v>668.41049999999996</v>
      </c>
      <c r="I1940" s="7">
        <v>662.23</v>
      </c>
      <c r="J1940" s="7">
        <v>14</v>
      </c>
      <c r="K1940" s="7">
        <v>2.7531961999999999E-3</v>
      </c>
      <c r="L1940" s="7">
        <v>670.25076525040004</v>
      </c>
      <c r="M1940" s="7">
        <v>660.4067508787</v>
      </c>
      <c r="N1940" s="7">
        <v>668.84374396170006</v>
      </c>
      <c r="O1940" s="7">
        <v>670.25076525040004</v>
      </c>
      <c r="P1940" s="7">
        <v>660.4067508787</v>
      </c>
      <c r="Q1940">
        <v>1</v>
      </c>
      <c r="R1940">
        <v>0</v>
      </c>
      <c r="S1940" s="11">
        <v>45945.666666666664</v>
      </c>
      <c r="T1940">
        <v>459</v>
      </c>
    </row>
    <row r="1941" spans="1:20">
      <c r="A1941" s="11">
        <v>45945.458333333336</v>
      </c>
      <c r="B1941" s="11">
        <v>45945.479166666664</v>
      </c>
      <c r="C1941" s="10">
        <v>45945</v>
      </c>
      <c r="D1941" s="7">
        <v>667.64120000000003</v>
      </c>
      <c r="E1941" s="7">
        <v>2049624</v>
      </c>
      <c r="F1941" s="7">
        <v>2049624</v>
      </c>
      <c r="G1941" s="7">
        <v>15732820</v>
      </c>
      <c r="H1941" s="7">
        <v>668.41049999999996</v>
      </c>
      <c r="I1941" s="7">
        <v>662.23</v>
      </c>
      <c r="J1941" s="7">
        <v>14</v>
      </c>
      <c r="K1941" s="7">
        <v>3.4100389000000001E-3</v>
      </c>
      <c r="L1941" s="7">
        <v>670.68980581979997</v>
      </c>
      <c r="M1941" s="7">
        <v>659.9717699258</v>
      </c>
      <c r="N1941" s="7">
        <v>668.68708018719997</v>
      </c>
      <c r="O1941" s="7">
        <v>670.68980581979997</v>
      </c>
      <c r="P1941" s="7">
        <v>659.9717699258</v>
      </c>
      <c r="Q1941">
        <v>1</v>
      </c>
      <c r="R1941">
        <v>0</v>
      </c>
      <c r="S1941" s="11">
        <v>45945.666666666664</v>
      </c>
      <c r="T1941">
        <v>458</v>
      </c>
    </row>
    <row r="1942" spans="1:20">
      <c r="A1942" s="11">
        <v>45945.479166666664</v>
      </c>
      <c r="B1942" s="11">
        <v>45945.5</v>
      </c>
      <c r="C1942" s="10">
        <v>45945</v>
      </c>
      <c r="D1942" s="7">
        <v>665.26</v>
      </c>
      <c r="E1942" s="7">
        <v>4392639</v>
      </c>
      <c r="F1942" s="7">
        <v>4392639</v>
      </c>
      <c r="G1942" s="7">
        <v>20125459</v>
      </c>
      <c r="H1942" s="7">
        <v>668.41049999999996</v>
      </c>
      <c r="I1942" s="7">
        <v>662.23</v>
      </c>
      <c r="J1942" s="7">
        <v>14</v>
      </c>
      <c r="K1942" s="7">
        <v>4.2322473000000003E-3</v>
      </c>
      <c r="L1942" s="7">
        <v>671.23937855429995</v>
      </c>
      <c r="M1942" s="7">
        <v>659.42727885039994</v>
      </c>
      <c r="N1942" s="7">
        <v>667.93907607530002</v>
      </c>
      <c r="O1942" s="7">
        <v>671.23937855429995</v>
      </c>
      <c r="P1942" s="7">
        <v>659.42727885039994</v>
      </c>
      <c r="Q1942">
        <v>1</v>
      </c>
      <c r="R1942">
        <v>0</v>
      </c>
      <c r="S1942" s="11">
        <v>45945.666666666664</v>
      </c>
      <c r="T1942">
        <v>457</v>
      </c>
    </row>
    <row r="1943" spans="1:20">
      <c r="A1943" s="11">
        <v>45945.5</v>
      </c>
      <c r="B1943" s="11">
        <v>45945.520833333336</v>
      </c>
      <c r="C1943" s="10">
        <v>45945</v>
      </c>
      <c r="D1943" s="7">
        <v>665.58</v>
      </c>
      <c r="E1943" s="7">
        <v>2782855</v>
      </c>
      <c r="F1943" s="7">
        <v>2782855</v>
      </c>
      <c r="G1943" s="7">
        <v>22908314</v>
      </c>
      <c r="H1943" s="7">
        <v>668.41049999999996</v>
      </c>
      <c r="I1943" s="7">
        <v>662.23</v>
      </c>
      <c r="J1943" s="7">
        <v>14</v>
      </c>
      <c r="K1943" s="7">
        <v>4.1574172999999997E-3</v>
      </c>
      <c r="L1943" s="7">
        <v>671.18936134499995</v>
      </c>
      <c r="M1943" s="7">
        <v>659.47683357239998</v>
      </c>
      <c r="N1943" s="7">
        <v>667.65250035209999</v>
      </c>
      <c r="O1943" s="7">
        <v>671.18936134499995</v>
      </c>
      <c r="P1943" s="7">
        <v>659.47683357239998</v>
      </c>
      <c r="Q1943">
        <v>1</v>
      </c>
      <c r="R1943">
        <v>0</v>
      </c>
      <c r="S1943" s="11">
        <v>45945.666666666664</v>
      </c>
      <c r="T1943">
        <v>456</v>
      </c>
    </row>
    <row r="1944" spans="1:20">
      <c r="A1944" s="11">
        <v>45945.520833333336</v>
      </c>
      <c r="B1944" s="11">
        <v>45945.541666666664</v>
      </c>
      <c r="C1944" s="10">
        <v>45945</v>
      </c>
      <c r="D1944" s="7">
        <v>664.1</v>
      </c>
      <c r="E1944" s="7">
        <v>1774952</v>
      </c>
      <c r="F1944" s="7">
        <v>1774952</v>
      </c>
      <c r="G1944" s="7">
        <v>24683266</v>
      </c>
      <c r="H1944" s="7">
        <v>668.41049999999996</v>
      </c>
      <c r="I1944" s="7">
        <v>662.23</v>
      </c>
      <c r="J1944" s="7">
        <v>14</v>
      </c>
      <c r="K1944" s="7">
        <v>4.5725339E-3</v>
      </c>
      <c r="L1944" s="7">
        <v>671.46682969589995</v>
      </c>
      <c r="M1944" s="7">
        <v>659.20193085009998</v>
      </c>
      <c r="N1944" s="7">
        <v>667.39704316890004</v>
      </c>
      <c r="O1944" s="7">
        <v>671.46682969589995</v>
      </c>
      <c r="P1944" s="7">
        <v>659.20193085009998</v>
      </c>
      <c r="Q1944">
        <v>1</v>
      </c>
      <c r="R1944">
        <v>0</v>
      </c>
      <c r="S1944" s="11">
        <v>45945.666666666664</v>
      </c>
      <c r="T1944">
        <v>455</v>
      </c>
    </row>
    <row r="1945" spans="1:20">
      <c r="A1945" s="11">
        <v>45945.541666666664</v>
      </c>
      <c r="B1945" s="11">
        <v>45945.5625</v>
      </c>
      <c r="C1945" s="10">
        <v>45945</v>
      </c>
      <c r="D1945" s="7">
        <v>660.78</v>
      </c>
      <c r="E1945" s="7">
        <v>7317288</v>
      </c>
      <c r="F1945" s="7">
        <v>7317288</v>
      </c>
      <c r="G1945" s="7">
        <v>32000554</v>
      </c>
      <c r="H1945" s="7">
        <v>668.41049999999996</v>
      </c>
      <c r="I1945" s="7">
        <v>662.23</v>
      </c>
      <c r="J1945" s="7">
        <v>14</v>
      </c>
      <c r="K1945" s="7">
        <v>4.5286776999999999E-3</v>
      </c>
      <c r="L1945" s="7">
        <v>671.43751570979998</v>
      </c>
      <c r="M1945" s="7">
        <v>659.23097378260002</v>
      </c>
      <c r="N1945" s="7">
        <v>665.88398153330002</v>
      </c>
      <c r="O1945" s="7">
        <v>671.43751570979998</v>
      </c>
      <c r="P1945" s="7">
        <v>659.23097378260002</v>
      </c>
      <c r="Q1945">
        <v>1</v>
      </c>
      <c r="R1945">
        <v>0</v>
      </c>
      <c r="S1945" s="11">
        <v>45945.666666666664</v>
      </c>
      <c r="T1945">
        <v>454</v>
      </c>
    </row>
    <row r="1946" spans="1:20">
      <c r="A1946" s="11">
        <v>45945.5625</v>
      </c>
      <c r="B1946" s="11">
        <v>45945.583333333336</v>
      </c>
      <c r="C1946" s="10">
        <v>45945</v>
      </c>
      <c r="D1946" s="7">
        <v>664.23</v>
      </c>
      <c r="E1946" s="7">
        <v>2972579</v>
      </c>
      <c r="F1946" s="7">
        <v>2972579</v>
      </c>
      <c r="G1946" s="7">
        <v>34973133</v>
      </c>
      <c r="H1946" s="7">
        <v>668.41049999999996</v>
      </c>
      <c r="I1946" s="7">
        <v>662.23</v>
      </c>
      <c r="J1946" s="7">
        <v>14</v>
      </c>
      <c r="K1946" s="7">
        <v>4.4382186999999997E-3</v>
      </c>
      <c r="L1946" s="7">
        <v>671.37705197139996</v>
      </c>
      <c r="M1946" s="7">
        <v>659.29087843920001</v>
      </c>
      <c r="N1946" s="7">
        <v>665.74339959650001</v>
      </c>
      <c r="O1946" s="7">
        <v>671.37705197139996</v>
      </c>
      <c r="P1946" s="7">
        <v>659.29087843920001</v>
      </c>
      <c r="Q1946">
        <v>1</v>
      </c>
      <c r="R1946">
        <v>0</v>
      </c>
      <c r="S1946" s="11">
        <v>45945.666666666664</v>
      </c>
      <c r="T1946">
        <v>453</v>
      </c>
    </row>
    <row r="1947" spans="1:20">
      <c r="A1947" s="11">
        <v>45945.583333333336</v>
      </c>
      <c r="B1947" s="11">
        <v>45945.604166666664</v>
      </c>
      <c r="C1947" s="10">
        <v>45945</v>
      </c>
      <c r="D1947" s="7">
        <v>664.26130000000001</v>
      </c>
      <c r="E1947" s="7">
        <v>2202558</v>
      </c>
      <c r="F1947" s="7">
        <v>2202558</v>
      </c>
      <c r="G1947" s="7">
        <v>37175691</v>
      </c>
      <c r="H1947" s="7">
        <v>668.41049999999996</v>
      </c>
      <c r="I1947" s="7">
        <v>662.23</v>
      </c>
      <c r="J1947" s="7">
        <v>14</v>
      </c>
      <c r="K1947" s="7">
        <v>4.5000020999999999E-3</v>
      </c>
      <c r="L1947" s="7">
        <v>671.41834865680005</v>
      </c>
      <c r="M1947" s="7">
        <v>659.24996360620003</v>
      </c>
      <c r="N1947" s="7">
        <v>665.65558924959998</v>
      </c>
      <c r="O1947" s="7">
        <v>671.41834865680005</v>
      </c>
      <c r="P1947" s="7">
        <v>659.24996360620003</v>
      </c>
      <c r="Q1947">
        <v>1</v>
      </c>
      <c r="R1947">
        <v>0</v>
      </c>
      <c r="S1947" s="11">
        <v>45945.666666666664</v>
      </c>
      <c r="T1947">
        <v>452</v>
      </c>
    </row>
    <row r="1948" spans="1:20">
      <c r="A1948" s="11">
        <v>45945.604166666664</v>
      </c>
      <c r="B1948" s="11">
        <v>45945.625</v>
      </c>
      <c r="C1948" s="10">
        <v>45945</v>
      </c>
      <c r="D1948" s="7">
        <v>665.7</v>
      </c>
      <c r="E1948" s="7">
        <v>1965786</v>
      </c>
      <c r="F1948" s="7">
        <v>1965786</v>
      </c>
      <c r="G1948" s="7">
        <v>39141477</v>
      </c>
      <c r="H1948" s="7">
        <v>668.41049999999996</v>
      </c>
      <c r="I1948" s="7">
        <v>662.23</v>
      </c>
      <c r="J1948" s="7">
        <v>14</v>
      </c>
      <c r="K1948" s="7">
        <v>4.7664077999999997E-3</v>
      </c>
      <c r="L1948" s="7">
        <v>671.59641703349996</v>
      </c>
      <c r="M1948" s="7">
        <v>659.07354175010005</v>
      </c>
      <c r="N1948" s="7">
        <v>665.6578196721</v>
      </c>
      <c r="O1948" s="7">
        <v>671.59641703349996</v>
      </c>
      <c r="P1948" s="7">
        <v>659.07354175010005</v>
      </c>
      <c r="Q1948">
        <v>1</v>
      </c>
      <c r="R1948">
        <v>0</v>
      </c>
      <c r="S1948" s="11">
        <v>45945.666666666664</v>
      </c>
      <c r="T1948">
        <v>451</v>
      </c>
    </row>
    <row r="1949" spans="1:20">
      <c r="A1949" s="11">
        <v>45945.625</v>
      </c>
      <c r="B1949" s="11">
        <v>45945.645833333336</v>
      </c>
      <c r="C1949" s="10">
        <v>45945</v>
      </c>
      <c r="D1949" s="7">
        <v>665.37</v>
      </c>
      <c r="E1949" s="7">
        <v>2494614</v>
      </c>
      <c r="F1949" s="7">
        <v>2494614</v>
      </c>
      <c r="G1949" s="7">
        <v>41636091</v>
      </c>
      <c r="H1949" s="7">
        <v>668.41049999999996</v>
      </c>
      <c r="I1949" s="7">
        <v>662.23</v>
      </c>
      <c r="J1949" s="7">
        <v>14</v>
      </c>
      <c r="K1949" s="7">
        <v>5.0148129999999999E-3</v>
      </c>
      <c r="L1949" s="7">
        <v>671.76245365010004</v>
      </c>
      <c r="M1949" s="7">
        <v>658.90904040149996</v>
      </c>
      <c r="N1949" s="7">
        <v>665.64057504209995</v>
      </c>
      <c r="O1949" s="7">
        <v>671.76245365010004</v>
      </c>
      <c r="P1949" s="7">
        <v>658.90904040149996</v>
      </c>
      <c r="Q1949">
        <v>1</v>
      </c>
      <c r="R1949">
        <v>0</v>
      </c>
      <c r="S1949" s="11">
        <v>45945.666666666664</v>
      </c>
      <c r="T1949">
        <v>450</v>
      </c>
    </row>
    <row r="1950" spans="1:20">
      <c r="A1950" s="11">
        <v>45945.645833333336</v>
      </c>
      <c r="B1950" s="11">
        <v>45945.666666666664</v>
      </c>
      <c r="C1950" s="10">
        <v>45945</v>
      </c>
      <c r="D1950" s="7">
        <v>665.17</v>
      </c>
      <c r="E1950" s="7">
        <v>11080478</v>
      </c>
      <c r="F1950" s="7">
        <v>11080478</v>
      </c>
      <c r="G1950" s="7">
        <v>52716569</v>
      </c>
      <c r="H1950" s="7">
        <v>668.41049999999996</v>
      </c>
      <c r="I1950" s="7">
        <v>662.23</v>
      </c>
      <c r="J1950" s="7">
        <v>14</v>
      </c>
      <c r="K1950" s="7">
        <v>4.9279985999999996E-3</v>
      </c>
      <c r="L1950" s="7">
        <v>671.70442598689999</v>
      </c>
      <c r="M1950" s="7">
        <v>658.96653150830002</v>
      </c>
      <c r="N1950" s="7">
        <v>665.54166503149997</v>
      </c>
      <c r="O1950" s="7">
        <v>671.70442598689999</v>
      </c>
      <c r="P1950" s="7">
        <v>658.96653150830002</v>
      </c>
      <c r="Q1950">
        <v>1</v>
      </c>
      <c r="R1950">
        <v>1</v>
      </c>
      <c r="S1950" s="11">
        <v>45945.666666666664</v>
      </c>
      <c r="T1950">
        <v>449</v>
      </c>
    </row>
    <row r="1951" spans="1:20">
      <c r="A1951" s="11">
        <v>45946.395833333336</v>
      </c>
      <c r="B1951" s="11">
        <v>45946.416666666664</v>
      </c>
      <c r="C1951" s="10">
        <v>45946</v>
      </c>
      <c r="D1951" s="7">
        <v>666.66499999999996</v>
      </c>
      <c r="E1951" s="7">
        <v>6188574</v>
      </c>
      <c r="F1951" s="7">
        <v>6188574</v>
      </c>
      <c r="G1951" s="7">
        <v>6188574</v>
      </c>
      <c r="H1951" s="7">
        <v>666.66499999999996</v>
      </c>
      <c r="I1951" s="7">
        <v>665.17</v>
      </c>
      <c r="J1951" s="7">
        <v>14</v>
      </c>
      <c r="K1951" s="7">
        <v>0</v>
      </c>
      <c r="L1951" s="7">
        <v>666.66499999999996</v>
      </c>
      <c r="M1951" s="7">
        <v>665.17</v>
      </c>
      <c r="N1951" s="7">
        <v>666.66499999999996</v>
      </c>
      <c r="O1951" s="7">
        <v>666.66499999999996</v>
      </c>
      <c r="P1951" s="7">
        <v>665.17</v>
      </c>
      <c r="Q1951">
        <v>1</v>
      </c>
      <c r="R1951">
        <v>0</v>
      </c>
      <c r="S1951" s="11">
        <v>45946.666666666664</v>
      </c>
      <c r="T1951">
        <v>447</v>
      </c>
    </row>
    <row r="1952" spans="1:20">
      <c r="A1952" s="11">
        <v>45946.416666666664</v>
      </c>
      <c r="B1952" s="11">
        <v>45946.4375</v>
      </c>
      <c r="C1952" s="10">
        <v>45946</v>
      </c>
      <c r="D1952" s="7">
        <v>666.93989999999997</v>
      </c>
      <c r="E1952" s="7">
        <v>5043538</v>
      </c>
      <c r="F1952" s="7">
        <v>5043538</v>
      </c>
      <c r="G1952" s="7">
        <v>11232112</v>
      </c>
      <c r="H1952" s="7">
        <v>666.66499999999996</v>
      </c>
      <c r="I1952" s="7">
        <v>665.17</v>
      </c>
      <c r="J1952" s="7">
        <v>14</v>
      </c>
      <c r="K1952" s="7">
        <v>1.8164857000000001E-3</v>
      </c>
      <c r="L1952" s="7">
        <v>667.87598742219996</v>
      </c>
      <c r="M1952" s="7">
        <v>663.96172822389997</v>
      </c>
      <c r="N1952" s="7">
        <v>666.78843792479995</v>
      </c>
      <c r="O1952" s="7">
        <v>667.87598742219996</v>
      </c>
      <c r="P1952" s="7">
        <v>663.96172822389997</v>
      </c>
      <c r="Q1952">
        <v>1</v>
      </c>
      <c r="R1952">
        <v>0</v>
      </c>
      <c r="S1952" s="11">
        <v>45946.666666666664</v>
      </c>
      <c r="T1952">
        <v>446</v>
      </c>
    </row>
    <row r="1953" spans="1:20">
      <c r="A1953" s="11">
        <v>45946.4375</v>
      </c>
      <c r="B1953" s="11">
        <v>45946.458333333336</v>
      </c>
      <c r="C1953" s="10">
        <v>45946</v>
      </c>
      <c r="D1953" s="7">
        <v>667.11</v>
      </c>
      <c r="E1953" s="7">
        <v>3840578</v>
      </c>
      <c r="F1953" s="7">
        <v>3840578</v>
      </c>
      <c r="G1953" s="7">
        <v>15072690</v>
      </c>
      <c r="H1953" s="7">
        <v>666.66499999999996</v>
      </c>
      <c r="I1953" s="7">
        <v>665.17</v>
      </c>
      <c r="J1953" s="7">
        <v>14</v>
      </c>
      <c r="K1953" s="7">
        <v>2.5145355999999998E-3</v>
      </c>
      <c r="L1953" s="7">
        <v>668.34135285729997</v>
      </c>
      <c r="M1953" s="7">
        <v>663.49740637340005</v>
      </c>
      <c r="N1953" s="7">
        <v>666.87037314880001</v>
      </c>
      <c r="O1953" s="7">
        <v>668.34135285729997</v>
      </c>
      <c r="P1953" s="7">
        <v>663.49740637340005</v>
      </c>
      <c r="Q1953">
        <v>1</v>
      </c>
      <c r="R1953">
        <v>0</v>
      </c>
      <c r="S1953" s="11">
        <v>45946.666666666664</v>
      </c>
      <c r="T1953">
        <v>445</v>
      </c>
    </row>
    <row r="1954" spans="1:20">
      <c r="A1954" s="11">
        <v>45946.458333333336</v>
      </c>
      <c r="B1954" s="11">
        <v>45946.479166666664</v>
      </c>
      <c r="C1954" s="10">
        <v>45946</v>
      </c>
      <c r="D1954" s="7">
        <v>665.75</v>
      </c>
      <c r="E1954" s="7">
        <v>3250979</v>
      </c>
      <c r="F1954" s="7">
        <v>3250979</v>
      </c>
      <c r="G1954" s="7">
        <v>18323669</v>
      </c>
      <c r="H1954" s="7">
        <v>666.66499999999996</v>
      </c>
      <c r="I1954" s="7">
        <v>665.17</v>
      </c>
      <c r="J1954" s="7">
        <v>14</v>
      </c>
      <c r="K1954" s="7">
        <v>3.3247484999999999E-3</v>
      </c>
      <c r="L1954" s="7">
        <v>668.88149346140005</v>
      </c>
      <c r="M1954" s="7">
        <v>662.95847703760001</v>
      </c>
      <c r="N1954" s="7">
        <v>666.67159693320002</v>
      </c>
      <c r="O1954" s="7">
        <v>668.88149346140005</v>
      </c>
      <c r="P1954" s="7">
        <v>662.95847703760001</v>
      </c>
      <c r="Q1954">
        <v>1</v>
      </c>
      <c r="R1954">
        <v>0</v>
      </c>
      <c r="S1954" s="11">
        <v>45946.666666666664</v>
      </c>
      <c r="T1954">
        <v>444</v>
      </c>
    </row>
    <row r="1955" spans="1:20">
      <c r="A1955" s="11">
        <v>45946.479166666664</v>
      </c>
      <c r="B1955" s="11">
        <v>45946.5</v>
      </c>
      <c r="C1955" s="10">
        <v>45946</v>
      </c>
      <c r="D1955" s="7">
        <v>664.44</v>
      </c>
      <c r="E1955" s="7">
        <v>5005656</v>
      </c>
      <c r="F1955" s="7">
        <v>5005656</v>
      </c>
      <c r="G1955" s="7">
        <v>23329325</v>
      </c>
      <c r="H1955" s="7">
        <v>666.66499999999996</v>
      </c>
      <c r="I1955" s="7">
        <v>665.17</v>
      </c>
      <c r="J1955" s="7">
        <v>14</v>
      </c>
      <c r="K1955" s="7">
        <v>4.2509712000000002E-3</v>
      </c>
      <c r="L1955" s="7">
        <v>669.49897368309996</v>
      </c>
      <c r="M1955" s="7">
        <v>662.34238151880004</v>
      </c>
      <c r="N1955" s="7">
        <v>666.19277439639995</v>
      </c>
      <c r="O1955" s="7">
        <v>669.49897368309996</v>
      </c>
      <c r="P1955" s="7">
        <v>662.34238151880004</v>
      </c>
      <c r="Q1955">
        <v>1</v>
      </c>
      <c r="R1955">
        <v>0</v>
      </c>
      <c r="S1955" s="11">
        <v>45946.666666666664</v>
      </c>
      <c r="T1955">
        <v>443</v>
      </c>
    </row>
    <row r="1956" spans="1:20">
      <c r="A1956" s="11">
        <v>45946.5</v>
      </c>
      <c r="B1956" s="11">
        <v>45946.520833333336</v>
      </c>
      <c r="C1956" s="10">
        <v>45946</v>
      </c>
      <c r="D1956" s="7">
        <v>662.46</v>
      </c>
      <c r="E1956" s="7">
        <v>4085611</v>
      </c>
      <c r="F1956" s="7">
        <v>4085611</v>
      </c>
      <c r="G1956" s="7">
        <v>27414936</v>
      </c>
      <c r="H1956" s="7">
        <v>666.66499999999996</v>
      </c>
      <c r="I1956" s="7">
        <v>665.17</v>
      </c>
      <c r="J1956" s="7">
        <v>14</v>
      </c>
      <c r="K1956" s="7">
        <v>4.2350429000000004E-3</v>
      </c>
      <c r="L1956" s="7">
        <v>669.48835488730003</v>
      </c>
      <c r="M1956" s="7">
        <v>662.3529765019</v>
      </c>
      <c r="N1956" s="7">
        <v>665.63648405399999</v>
      </c>
      <c r="O1956" s="7">
        <v>669.48835488730003</v>
      </c>
      <c r="P1956" s="7">
        <v>662.3529765019</v>
      </c>
      <c r="Q1956">
        <v>1</v>
      </c>
      <c r="R1956">
        <v>0</v>
      </c>
      <c r="S1956" s="11">
        <v>45946.666666666664</v>
      </c>
      <c r="T1956">
        <v>442</v>
      </c>
    </row>
    <row r="1957" spans="1:20">
      <c r="A1957" s="11">
        <v>45946.520833333336</v>
      </c>
      <c r="B1957" s="11">
        <v>45946.541666666664</v>
      </c>
      <c r="C1957" s="10">
        <v>45946</v>
      </c>
      <c r="D1957" s="7">
        <v>663.28</v>
      </c>
      <c r="E1957" s="7">
        <v>7881612</v>
      </c>
      <c r="F1957" s="7">
        <v>7881612</v>
      </c>
      <c r="G1957" s="7">
        <v>35296548</v>
      </c>
      <c r="H1957" s="7">
        <v>666.66499999999996</v>
      </c>
      <c r="I1957" s="7">
        <v>665.17</v>
      </c>
      <c r="J1957" s="7">
        <v>14</v>
      </c>
      <c r="K1957" s="7">
        <v>4.8388056E-3</v>
      </c>
      <c r="L1957" s="7">
        <v>669.89086233570004</v>
      </c>
      <c r="M1957" s="7">
        <v>661.95137167869996</v>
      </c>
      <c r="N1957" s="7">
        <v>665.11028831960004</v>
      </c>
      <c r="O1957" s="7">
        <v>669.89086233570004</v>
      </c>
      <c r="P1957" s="7">
        <v>661.95137167869996</v>
      </c>
      <c r="Q1957">
        <v>1</v>
      </c>
      <c r="R1957">
        <v>0</v>
      </c>
      <c r="S1957" s="11">
        <v>45946.666666666664</v>
      </c>
      <c r="T1957">
        <v>441</v>
      </c>
    </row>
    <row r="1958" spans="1:20">
      <c r="A1958" s="11">
        <v>45946.541666666664</v>
      </c>
      <c r="B1958" s="11">
        <v>45946.5625</v>
      </c>
      <c r="C1958" s="10">
        <v>45946</v>
      </c>
      <c r="D1958" s="7">
        <v>663.47</v>
      </c>
      <c r="E1958" s="7">
        <v>5136943</v>
      </c>
      <c r="F1958" s="7">
        <v>5136943</v>
      </c>
      <c r="G1958" s="7">
        <v>40433491</v>
      </c>
      <c r="H1958" s="7">
        <v>666.66499999999996</v>
      </c>
      <c r="I1958" s="7">
        <v>665.17</v>
      </c>
      <c r="J1958" s="7">
        <v>14</v>
      </c>
      <c r="K1958" s="7">
        <v>5.20799E-3</v>
      </c>
      <c r="L1958" s="7">
        <v>670.13698462959997</v>
      </c>
      <c r="M1958" s="7">
        <v>661.70580131539998</v>
      </c>
      <c r="N1958" s="7">
        <v>664.90189504479997</v>
      </c>
      <c r="O1958" s="7">
        <v>670.13698462959997</v>
      </c>
      <c r="P1958" s="7">
        <v>661.70580131539998</v>
      </c>
      <c r="Q1958">
        <v>1</v>
      </c>
      <c r="R1958">
        <v>0</v>
      </c>
      <c r="S1958" s="11">
        <v>45946.666666666664</v>
      </c>
      <c r="T1958">
        <v>440</v>
      </c>
    </row>
    <row r="1959" spans="1:20">
      <c r="A1959" s="11">
        <v>45946.5625</v>
      </c>
      <c r="B1959" s="11">
        <v>45946.583333333336</v>
      </c>
      <c r="C1959" s="10">
        <v>45946</v>
      </c>
      <c r="D1959" s="7">
        <v>661.81</v>
      </c>
      <c r="E1959" s="7">
        <v>3394562</v>
      </c>
      <c r="F1959" s="7">
        <v>3394562</v>
      </c>
      <c r="G1959" s="7">
        <v>43828053</v>
      </c>
      <c r="H1959" s="7">
        <v>666.66499999999996</v>
      </c>
      <c r="I1959" s="7">
        <v>665.17</v>
      </c>
      <c r="J1959" s="7">
        <v>14</v>
      </c>
      <c r="K1959" s="7">
        <v>4.8386840000000002E-3</v>
      </c>
      <c r="L1959" s="7">
        <v>669.89078126699997</v>
      </c>
      <c r="M1959" s="7">
        <v>661.95145256549995</v>
      </c>
      <c r="N1959" s="7">
        <v>664.66242217959996</v>
      </c>
      <c r="O1959" s="7">
        <v>669.89078126699997</v>
      </c>
      <c r="P1959" s="7">
        <v>661.95145256549995</v>
      </c>
      <c r="Q1959">
        <v>1</v>
      </c>
      <c r="R1959">
        <v>0</v>
      </c>
      <c r="S1959" s="11">
        <v>45946.666666666664</v>
      </c>
      <c r="T1959">
        <v>439</v>
      </c>
    </row>
    <row r="1960" spans="1:20">
      <c r="A1960" s="11">
        <v>45946.583333333336</v>
      </c>
      <c r="B1960" s="11">
        <v>45946.604166666664</v>
      </c>
      <c r="C1960" s="10">
        <v>45946</v>
      </c>
      <c r="D1960" s="7">
        <v>658.35</v>
      </c>
      <c r="E1960" s="7">
        <v>6322698</v>
      </c>
      <c r="F1960" s="7">
        <v>6322698</v>
      </c>
      <c r="G1960" s="7">
        <v>50150751</v>
      </c>
      <c r="H1960" s="7">
        <v>666.66499999999996</v>
      </c>
      <c r="I1960" s="7">
        <v>665.17</v>
      </c>
      <c r="J1960" s="7">
        <v>14</v>
      </c>
      <c r="K1960" s="7">
        <v>4.8367994000000003E-3</v>
      </c>
      <c r="L1960" s="7">
        <v>669.88952485469997</v>
      </c>
      <c r="M1960" s="7">
        <v>661.9527061604</v>
      </c>
      <c r="N1960" s="7">
        <v>663.86659084519999</v>
      </c>
      <c r="O1960" s="7">
        <v>669.88952485469997</v>
      </c>
      <c r="P1960" s="7">
        <v>661.9527061604</v>
      </c>
      <c r="Q1960">
        <v>1</v>
      </c>
      <c r="R1960">
        <v>0</v>
      </c>
      <c r="S1960" s="11">
        <v>45946.666666666664</v>
      </c>
      <c r="T1960">
        <v>438</v>
      </c>
    </row>
    <row r="1961" spans="1:20">
      <c r="A1961" s="11">
        <v>45946.604166666664</v>
      </c>
      <c r="B1961" s="11">
        <v>45946.625</v>
      </c>
      <c r="C1961" s="10">
        <v>45946</v>
      </c>
      <c r="D1961" s="7">
        <v>660.58</v>
      </c>
      <c r="E1961" s="7">
        <v>4905675</v>
      </c>
      <c r="F1961" s="7">
        <v>4905675</v>
      </c>
      <c r="G1961" s="7">
        <v>55056426</v>
      </c>
      <c r="H1961" s="7">
        <v>666.66499999999996</v>
      </c>
      <c r="I1961" s="7">
        <v>665.17</v>
      </c>
      <c r="J1961" s="7">
        <v>14</v>
      </c>
      <c r="K1961" s="7">
        <v>4.8589760000000001E-3</v>
      </c>
      <c r="L1961" s="7">
        <v>669.90430922660005</v>
      </c>
      <c r="M1961" s="7">
        <v>661.93795494250003</v>
      </c>
      <c r="N1961" s="7">
        <v>663.57374679930001</v>
      </c>
      <c r="O1961" s="7">
        <v>669.90430922660005</v>
      </c>
      <c r="P1961" s="7">
        <v>661.93795494250003</v>
      </c>
      <c r="Q1961">
        <v>1</v>
      </c>
      <c r="R1961">
        <v>0</v>
      </c>
      <c r="S1961" s="11">
        <v>45946.666666666664</v>
      </c>
      <c r="T1961">
        <v>437</v>
      </c>
    </row>
    <row r="1962" spans="1:20">
      <c r="A1962" s="11">
        <v>45946.625</v>
      </c>
      <c r="B1962" s="11">
        <v>45946.645833333336</v>
      </c>
      <c r="C1962" s="10">
        <v>45946</v>
      </c>
      <c r="D1962" s="7">
        <v>659.01</v>
      </c>
      <c r="E1962" s="7">
        <v>4483562</v>
      </c>
      <c r="F1962" s="7">
        <v>4483562</v>
      </c>
      <c r="G1962" s="7">
        <v>59539988</v>
      </c>
      <c r="H1962" s="7">
        <v>666.66499999999996</v>
      </c>
      <c r="I1962" s="7">
        <v>665.17</v>
      </c>
      <c r="J1962" s="7">
        <v>14</v>
      </c>
      <c r="K1962" s="7">
        <v>5.1785785999999999E-3</v>
      </c>
      <c r="L1962" s="7">
        <v>670.11737713479999</v>
      </c>
      <c r="M1962" s="7">
        <v>661.72536484030002</v>
      </c>
      <c r="N1962" s="7">
        <v>663.23008126599996</v>
      </c>
      <c r="O1962" s="7">
        <v>670.11737713479999</v>
      </c>
      <c r="P1962" s="7">
        <v>661.72536484030002</v>
      </c>
      <c r="Q1962">
        <v>1</v>
      </c>
      <c r="R1962">
        <v>0</v>
      </c>
      <c r="S1962" s="11">
        <v>45946.666666666664</v>
      </c>
      <c r="T1962">
        <v>436</v>
      </c>
    </row>
    <row r="1963" spans="1:20">
      <c r="A1963" s="11">
        <v>45946.645833333336</v>
      </c>
      <c r="B1963" s="11">
        <v>45946.666666666664</v>
      </c>
      <c r="C1963" s="10">
        <v>45946</v>
      </c>
      <c r="D1963" s="7">
        <v>660.64</v>
      </c>
      <c r="E1963" s="7">
        <v>11974899</v>
      </c>
      <c r="F1963" s="7">
        <v>11974899</v>
      </c>
      <c r="G1963" s="7">
        <v>71514887</v>
      </c>
      <c r="H1963" s="7">
        <v>666.66499999999996</v>
      </c>
      <c r="I1963" s="7">
        <v>665.17</v>
      </c>
      <c r="J1963" s="7">
        <v>14</v>
      </c>
      <c r="K1963" s="7">
        <v>5.0499825999999999E-3</v>
      </c>
      <c r="L1963" s="7">
        <v>670.03164667119995</v>
      </c>
      <c r="M1963" s="7">
        <v>661.81090305279997</v>
      </c>
      <c r="N1963" s="7">
        <v>662.80307974389996</v>
      </c>
      <c r="O1963" s="7">
        <v>670.03164667119995</v>
      </c>
      <c r="P1963" s="7">
        <v>661.81090305279997</v>
      </c>
      <c r="Q1963">
        <v>1</v>
      </c>
      <c r="R1963">
        <v>1</v>
      </c>
      <c r="S1963" s="11">
        <v>45946.666666666664</v>
      </c>
      <c r="T1963">
        <v>435</v>
      </c>
    </row>
    <row r="1964" spans="1:20">
      <c r="A1964" s="11">
        <v>45947.395833333336</v>
      </c>
      <c r="B1964" s="11">
        <v>45947.416666666664</v>
      </c>
      <c r="C1964" s="10">
        <v>45947</v>
      </c>
      <c r="D1964" s="7">
        <v>660.65</v>
      </c>
      <c r="E1964" s="7">
        <v>10317915</v>
      </c>
      <c r="F1964" s="7">
        <v>10317915</v>
      </c>
      <c r="G1964" s="7">
        <v>10317915</v>
      </c>
      <c r="H1964" s="7">
        <v>660.65</v>
      </c>
      <c r="I1964" s="7">
        <v>660.64</v>
      </c>
      <c r="J1964" s="7">
        <v>14</v>
      </c>
      <c r="K1964" s="7">
        <v>0</v>
      </c>
      <c r="L1964" s="7">
        <v>660.65</v>
      </c>
      <c r="M1964" s="7">
        <v>660.64</v>
      </c>
      <c r="N1964" s="7">
        <v>660.65</v>
      </c>
      <c r="O1964" s="7">
        <v>660.65</v>
      </c>
      <c r="P1964" s="7">
        <v>660.64</v>
      </c>
      <c r="Q1964">
        <v>1</v>
      </c>
      <c r="R1964">
        <v>0</v>
      </c>
      <c r="S1964" s="11">
        <v>45947.666666666664</v>
      </c>
      <c r="T1964">
        <v>433</v>
      </c>
    </row>
    <row r="1965" spans="1:20">
      <c r="A1965" s="11">
        <v>45947.416666666664</v>
      </c>
      <c r="B1965" s="11">
        <v>45947.4375</v>
      </c>
      <c r="C1965" s="10">
        <v>45947</v>
      </c>
      <c r="D1965" s="7">
        <v>662.4</v>
      </c>
      <c r="E1965" s="7">
        <v>5032286</v>
      </c>
      <c r="F1965" s="7">
        <v>5032286</v>
      </c>
      <c r="G1965" s="7">
        <v>15350201</v>
      </c>
      <c r="H1965" s="7">
        <v>660.65</v>
      </c>
      <c r="I1965" s="7">
        <v>660.64</v>
      </c>
      <c r="J1965" s="7">
        <v>14</v>
      </c>
      <c r="K1965" s="7">
        <v>1.5070521000000001E-3</v>
      </c>
      <c r="L1965" s="7">
        <v>661.64563398409996</v>
      </c>
      <c r="M1965" s="7">
        <v>659.64438108640002</v>
      </c>
      <c r="N1965" s="7">
        <v>661.22370587529997</v>
      </c>
      <c r="O1965" s="7">
        <v>661.64563398409996</v>
      </c>
      <c r="P1965" s="7">
        <v>659.64438108640002</v>
      </c>
      <c r="Q1965">
        <v>1</v>
      </c>
      <c r="R1965">
        <v>0</v>
      </c>
      <c r="S1965" s="11">
        <v>45947.666666666664</v>
      </c>
      <c r="T1965">
        <v>432</v>
      </c>
    </row>
    <row r="1966" spans="1:20">
      <c r="A1966" s="11">
        <v>45947.4375</v>
      </c>
      <c r="B1966" s="11">
        <v>45947.458333333336</v>
      </c>
      <c r="C1966" s="10">
        <v>45947</v>
      </c>
      <c r="D1966" s="7">
        <v>659.57</v>
      </c>
      <c r="E1966" s="7">
        <v>3799633</v>
      </c>
      <c r="F1966" s="7">
        <v>3799633</v>
      </c>
      <c r="G1966" s="7">
        <v>19149834</v>
      </c>
      <c r="H1966" s="7">
        <v>660.65</v>
      </c>
      <c r="I1966" s="7">
        <v>660.64</v>
      </c>
      <c r="J1966" s="7">
        <v>14</v>
      </c>
      <c r="K1966" s="7">
        <v>2.1974249000000002E-3</v>
      </c>
      <c r="L1966" s="7">
        <v>662.10172873279998</v>
      </c>
      <c r="M1966" s="7">
        <v>659.18829324139995</v>
      </c>
      <c r="N1966" s="7">
        <v>660.89558421029994</v>
      </c>
      <c r="O1966" s="7">
        <v>662.10172873279998</v>
      </c>
      <c r="P1966" s="7">
        <v>659.18829324139995</v>
      </c>
      <c r="Q1966">
        <v>1</v>
      </c>
      <c r="R1966">
        <v>0</v>
      </c>
      <c r="S1966" s="11">
        <v>45947.666666666664</v>
      </c>
      <c r="T1966">
        <v>431</v>
      </c>
    </row>
    <row r="1967" spans="1:20">
      <c r="A1967" s="11">
        <v>45947.458333333336</v>
      </c>
      <c r="B1967" s="11">
        <v>45947.479166666664</v>
      </c>
      <c r="C1967" s="10">
        <v>45947</v>
      </c>
      <c r="D1967" s="7">
        <v>659.41</v>
      </c>
      <c r="E1967" s="7">
        <v>3723178</v>
      </c>
      <c r="F1967" s="7">
        <v>3723178</v>
      </c>
      <c r="G1967" s="7">
        <v>22873012</v>
      </c>
      <c r="H1967" s="7">
        <v>660.65</v>
      </c>
      <c r="I1967" s="7">
        <v>660.64</v>
      </c>
      <c r="J1967" s="7">
        <v>14</v>
      </c>
      <c r="K1967" s="7">
        <v>3.2134083000000002E-3</v>
      </c>
      <c r="L1967" s="7">
        <v>662.77293819099998</v>
      </c>
      <c r="M1967" s="7">
        <v>658.51709394310001</v>
      </c>
      <c r="N1967" s="7">
        <v>660.65376671599995</v>
      </c>
      <c r="O1967" s="7">
        <v>662.77293819099998</v>
      </c>
      <c r="P1967" s="7">
        <v>658.51709394310001</v>
      </c>
      <c r="Q1967">
        <v>1</v>
      </c>
      <c r="R1967">
        <v>0</v>
      </c>
      <c r="S1967" s="11">
        <v>45947.666666666664</v>
      </c>
      <c r="T1967">
        <v>430</v>
      </c>
    </row>
    <row r="1968" spans="1:20">
      <c r="A1968" s="11">
        <v>45947.479166666664</v>
      </c>
      <c r="B1968" s="11">
        <v>45947.5</v>
      </c>
      <c r="C1968" s="10">
        <v>45947</v>
      </c>
      <c r="D1968" s="7">
        <v>661.73</v>
      </c>
      <c r="E1968" s="7">
        <v>3696034</v>
      </c>
      <c r="F1968" s="7">
        <v>3696034</v>
      </c>
      <c r="G1968" s="7">
        <v>26569046</v>
      </c>
      <c r="H1968" s="7">
        <v>660.65</v>
      </c>
      <c r="I1968" s="7">
        <v>660.64</v>
      </c>
      <c r="J1968" s="7">
        <v>14</v>
      </c>
      <c r="K1968" s="7">
        <v>4.1532403000000004E-3</v>
      </c>
      <c r="L1968" s="7">
        <v>663.39383821019999</v>
      </c>
      <c r="M1968" s="7">
        <v>657.89620332219999</v>
      </c>
      <c r="N1968" s="7">
        <v>660.80348209570002</v>
      </c>
      <c r="O1968" s="7">
        <v>663.39383821019999</v>
      </c>
      <c r="P1968" s="7">
        <v>657.89620332219999</v>
      </c>
      <c r="Q1968">
        <v>1</v>
      </c>
      <c r="R1968">
        <v>0</v>
      </c>
      <c r="S1968" s="11">
        <v>45947.666666666664</v>
      </c>
      <c r="T1968">
        <v>429</v>
      </c>
    </row>
    <row r="1969" spans="1:20">
      <c r="A1969" s="11">
        <v>45947.5</v>
      </c>
      <c r="B1969" s="11">
        <v>45947.520833333336</v>
      </c>
      <c r="C1969" s="10">
        <v>45947</v>
      </c>
      <c r="D1969" s="7">
        <v>663.12</v>
      </c>
      <c r="E1969" s="7">
        <v>2569079</v>
      </c>
      <c r="F1969" s="7">
        <v>2569079</v>
      </c>
      <c r="G1969" s="7">
        <v>29138125</v>
      </c>
      <c r="H1969" s="7">
        <v>660.65</v>
      </c>
      <c r="I1969" s="7">
        <v>660.64</v>
      </c>
      <c r="J1969" s="7">
        <v>14</v>
      </c>
      <c r="K1969" s="7">
        <v>4.5344835999999999E-3</v>
      </c>
      <c r="L1969" s="7">
        <v>663.64570656139995</v>
      </c>
      <c r="M1969" s="7">
        <v>657.64433878340003</v>
      </c>
      <c r="N1969" s="7">
        <v>661.00772713549998</v>
      </c>
      <c r="O1969" s="7">
        <v>663.64570656139995</v>
      </c>
      <c r="P1969" s="7">
        <v>657.64433878340003</v>
      </c>
      <c r="Q1969">
        <v>1</v>
      </c>
      <c r="R1969">
        <v>0</v>
      </c>
      <c r="S1969" s="11">
        <v>45947.666666666664</v>
      </c>
      <c r="T1969">
        <v>428</v>
      </c>
    </row>
    <row r="1970" spans="1:20">
      <c r="A1970" s="11">
        <v>45947.520833333336</v>
      </c>
      <c r="B1970" s="11">
        <v>45947.541666666664</v>
      </c>
      <c r="C1970" s="10">
        <v>45947</v>
      </c>
      <c r="D1970" s="7">
        <v>662</v>
      </c>
      <c r="E1970" s="7">
        <v>2699570</v>
      </c>
      <c r="F1970" s="7">
        <v>2699570</v>
      </c>
      <c r="G1970" s="7">
        <v>31837695</v>
      </c>
      <c r="H1970" s="7">
        <v>660.65</v>
      </c>
      <c r="I1970" s="7">
        <v>660.64</v>
      </c>
      <c r="J1970" s="7">
        <v>14</v>
      </c>
      <c r="K1970" s="7">
        <v>5.1432051000000001E-3</v>
      </c>
      <c r="L1970" s="7">
        <v>664.04785845900005</v>
      </c>
      <c r="M1970" s="7">
        <v>657.24219297299999</v>
      </c>
      <c r="N1970" s="7">
        <v>661.09186356739997</v>
      </c>
      <c r="O1970" s="7">
        <v>664.04785845900005</v>
      </c>
      <c r="P1970" s="7">
        <v>657.24219297299999</v>
      </c>
      <c r="Q1970">
        <v>1</v>
      </c>
      <c r="R1970">
        <v>0</v>
      </c>
      <c r="S1970" s="11">
        <v>45947.666666666664</v>
      </c>
      <c r="T1970">
        <v>427</v>
      </c>
    </row>
    <row r="1971" spans="1:20">
      <c r="A1971" s="11">
        <v>45947.541666666664</v>
      </c>
      <c r="B1971" s="11">
        <v>45947.5625</v>
      </c>
      <c r="C1971" s="10">
        <v>45947</v>
      </c>
      <c r="D1971" s="7">
        <v>661.19</v>
      </c>
      <c r="E1971" s="7">
        <v>2083470</v>
      </c>
      <c r="F1971" s="7">
        <v>2083470</v>
      </c>
      <c r="G1971" s="7">
        <v>33921165</v>
      </c>
      <c r="H1971" s="7">
        <v>660.65</v>
      </c>
      <c r="I1971" s="7">
        <v>660.64</v>
      </c>
      <c r="J1971" s="7">
        <v>14</v>
      </c>
      <c r="K1971" s="7">
        <v>5.5287271000000002E-3</v>
      </c>
      <c r="L1971" s="7">
        <v>664.30255354339999</v>
      </c>
      <c r="M1971" s="7">
        <v>656.9875017439</v>
      </c>
      <c r="N1971" s="7">
        <v>661.09789119979996</v>
      </c>
      <c r="O1971" s="7">
        <v>664.30255354339999</v>
      </c>
      <c r="P1971" s="7">
        <v>656.9875017439</v>
      </c>
      <c r="Q1971">
        <v>1</v>
      </c>
      <c r="R1971">
        <v>0</v>
      </c>
      <c r="S1971" s="11">
        <v>45947.666666666664</v>
      </c>
      <c r="T1971">
        <v>426</v>
      </c>
    </row>
    <row r="1972" spans="1:20">
      <c r="A1972" s="11">
        <v>45947.5625</v>
      </c>
      <c r="B1972" s="11">
        <v>45947.583333333336</v>
      </c>
      <c r="C1972" s="10">
        <v>45947</v>
      </c>
      <c r="D1972" s="7">
        <v>662.87</v>
      </c>
      <c r="E1972" s="7">
        <v>2575193</v>
      </c>
      <c r="F1972" s="7">
        <v>2575193</v>
      </c>
      <c r="G1972" s="7">
        <v>36496358</v>
      </c>
      <c r="H1972" s="7">
        <v>660.65</v>
      </c>
      <c r="I1972" s="7">
        <v>660.64</v>
      </c>
      <c r="J1972" s="7">
        <v>14</v>
      </c>
      <c r="K1972" s="7">
        <v>5.3049009000000003E-3</v>
      </c>
      <c r="L1972" s="7">
        <v>664.15468280569996</v>
      </c>
      <c r="M1972" s="7">
        <v>657.13537024330003</v>
      </c>
      <c r="N1972" s="7">
        <v>661.2229316813</v>
      </c>
      <c r="O1972" s="7">
        <v>664.15468280569996</v>
      </c>
      <c r="P1972" s="7">
        <v>657.13537024330003</v>
      </c>
      <c r="Q1972">
        <v>1</v>
      </c>
      <c r="R1972">
        <v>0</v>
      </c>
      <c r="S1972" s="11">
        <v>45947.666666666664</v>
      </c>
      <c r="T1972">
        <v>425</v>
      </c>
    </row>
    <row r="1973" spans="1:20">
      <c r="A1973" s="11">
        <v>45947.583333333336</v>
      </c>
      <c r="B1973" s="11">
        <v>45947.604166666664</v>
      </c>
      <c r="C1973" s="10">
        <v>45947</v>
      </c>
      <c r="D1973" s="7">
        <v>664.65</v>
      </c>
      <c r="E1973" s="7">
        <v>3279184</v>
      </c>
      <c r="F1973" s="7">
        <v>3279184</v>
      </c>
      <c r="G1973" s="7">
        <v>39775542</v>
      </c>
      <c r="H1973" s="7">
        <v>660.65</v>
      </c>
      <c r="I1973" s="7">
        <v>660.64</v>
      </c>
      <c r="J1973" s="7">
        <v>14</v>
      </c>
      <c r="K1973" s="7">
        <v>5.7212189E-3</v>
      </c>
      <c r="L1973" s="7">
        <v>664.42972327079997</v>
      </c>
      <c r="M1973" s="7">
        <v>656.86033394139997</v>
      </c>
      <c r="N1973" s="7">
        <v>661.50546680289995</v>
      </c>
      <c r="O1973" s="7">
        <v>664.42972327079997</v>
      </c>
      <c r="P1973" s="7">
        <v>656.86033394139997</v>
      </c>
      <c r="Q1973">
        <v>1</v>
      </c>
      <c r="R1973">
        <v>0</v>
      </c>
      <c r="S1973" s="11">
        <v>45947.666666666664</v>
      </c>
      <c r="T1973">
        <v>424</v>
      </c>
    </row>
    <row r="1974" spans="1:20">
      <c r="A1974" s="11">
        <v>45947.604166666664</v>
      </c>
      <c r="B1974" s="11">
        <v>45947.625</v>
      </c>
      <c r="C1974" s="10">
        <v>45947</v>
      </c>
      <c r="D1974" s="7">
        <v>664.37</v>
      </c>
      <c r="E1974" s="7">
        <v>2439929</v>
      </c>
      <c r="F1974" s="7">
        <v>2439929</v>
      </c>
      <c r="G1974" s="7">
        <v>42215471</v>
      </c>
      <c r="H1974" s="7">
        <v>660.65</v>
      </c>
      <c r="I1974" s="7">
        <v>660.64</v>
      </c>
      <c r="J1974" s="7">
        <v>14</v>
      </c>
      <c r="K1974" s="7">
        <v>5.5039266999999999E-3</v>
      </c>
      <c r="L1974" s="7">
        <v>664.28616918900002</v>
      </c>
      <c r="M1974" s="7">
        <v>657.00388585029998</v>
      </c>
      <c r="N1974" s="7">
        <v>661.67102832470005</v>
      </c>
      <c r="O1974" s="7">
        <v>664.28616918900002</v>
      </c>
      <c r="P1974" s="7">
        <v>657.00388585029998</v>
      </c>
      <c r="Q1974">
        <v>1</v>
      </c>
      <c r="R1974">
        <v>0</v>
      </c>
      <c r="S1974" s="11">
        <v>45947.666666666664</v>
      </c>
      <c r="T1974">
        <v>423</v>
      </c>
    </row>
    <row r="1975" spans="1:20">
      <c r="A1975" s="11">
        <v>45947.625</v>
      </c>
      <c r="B1975" s="11">
        <v>45947.645833333336</v>
      </c>
      <c r="C1975" s="10">
        <v>45947</v>
      </c>
      <c r="D1975" s="7">
        <v>665.11500000000001</v>
      </c>
      <c r="E1975" s="7">
        <v>3062281</v>
      </c>
      <c r="F1975" s="7">
        <v>3062281</v>
      </c>
      <c r="G1975" s="7">
        <v>45277752</v>
      </c>
      <c r="H1975" s="7">
        <v>660.65</v>
      </c>
      <c r="I1975" s="7">
        <v>660.64</v>
      </c>
      <c r="J1975" s="7">
        <v>14</v>
      </c>
      <c r="K1975" s="7">
        <v>5.9728571000000003E-3</v>
      </c>
      <c r="L1975" s="7">
        <v>664.59596801960004</v>
      </c>
      <c r="M1975" s="7">
        <v>656.69409170899996</v>
      </c>
      <c r="N1975" s="7">
        <v>661.90395528240003</v>
      </c>
      <c r="O1975" s="7">
        <v>664.59596801960004</v>
      </c>
      <c r="P1975" s="7">
        <v>656.69409170899996</v>
      </c>
      <c r="Q1975">
        <v>1</v>
      </c>
      <c r="R1975">
        <v>0</v>
      </c>
      <c r="S1975" s="11">
        <v>45947.666666666664</v>
      </c>
      <c r="T1975">
        <v>422</v>
      </c>
    </row>
    <row r="1976" spans="1:20">
      <c r="A1976" s="11">
        <v>45947.645833333336</v>
      </c>
      <c r="B1976" s="11">
        <v>45947.666666666664</v>
      </c>
      <c r="C1976" s="10">
        <v>45947</v>
      </c>
      <c r="D1976" s="7">
        <v>664.39</v>
      </c>
      <c r="E1976" s="7">
        <v>8441151</v>
      </c>
      <c r="F1976" s="7">
        <v>8441151</v>
      </c>
      <c r="G1976" s="7">
        <v>53718903</v>
      </c>
      <c r="H1976" s="7">
        <v>660.65</v>
      </c>
      <c r="I1976" s="7">
        <v>660.64</v>
      </c>
      <c r="J1976" s="7">
        <v>14</v>
      </c>
      <c r="K1976" s="7">
        <v>5.6944407000000001E-3</v>
      </c>
      <c r="L1976" s="7">
        <v>664.41203224929995</v>
      </c>
      <c r="M1976" s="7">
        <v>656.87802469509995</v>
      </c>
      <c r="N1976" s="7">
        <v>662.29460136190005</v>
      </c>
      <c r="O1976" s="7">
        <v>664.41203224929995</v>
      </c>
      <c r="P1976" s="7">
        <v>656.87802469509995</v>
      </c>
      <c r="Q1976">
        <v>1</v>
      </c>
      <c r="R1976">
        <v>1</v>
      </c>
      <c r="S1976" s="11">
        <v>45947.666666666664</v>
      </c>
      <c r="T1976">
        <v>421</v>
      </c>
    </row>
    <row r="1977" spans="1:20">
      <c r="A1977" s="11">
        <v>45950.395833333336</v>
      </c>
      <c r="B1977" s="11">
        <v>45950.416666666664</v>
      </c>
      <c r="C1977" s="10">
        <v>45950</v>
      </c>
      <c r="D1977" s="7">
        <v>668.76</v>
      </c>
      <c r="E1977" s="7">
        <v>5713520</v>
      </c>
      <c r="F1977" s="7">
        <v>5713520</v>
      </c>
      <c r="G1977" s="7">
        <v>5713520</v>
      </c>
      <c r="H1977" s="7">
        <v>668.76</v>
      </c>
      <c r="I1977" s="7">
        <v>664.39</v>
      </c>
      <c r="J1977" s="7">
        <v>14</v>
      </c>
      <c r="K1977" s="7">
        <v>0</v>
      </c>
      <c r="L1977" s="7">
        <v>668.76</v>
      </c>
      <c r="M1977" s="7">
        <v>664.39</v>
      </c>
      <c r="N1977" s="7">
        <v>668.76</v>
      </c>
      <c r="O1977" s="7">
        <v>668.76</v>
      </c>
      <c r="P1977" s="7">
        <v>664.39</v>
      </c>
      <c r="Q1977">
        <v>1</v>
      </c>
      <c r="R1977">
        <v>0</v>
      </c>
      <c r="S1977" s="11">
        <v>45950.666666666664</v>
      </c>
      <c r="T1977">
        <v>419</v>
      </c>
    </row>
    <row r="1978" spans="1:20">
      <c r="A1978" s="11">
        <v>45950.416666666664</v>
      </c>
      <c r="B1978" s="11">
        <v>45950.4375</v>
      </c>
      <c r="C1978" s="10">
        <v>45950</v>
      </c>
      <c r="D1978" s="7">
        <v>670.3</v>
      </c>
      <c r="E1978" s="7">
        <v>3575692</v>
      </c>
      <c r="F1978" s="7">
        <v>3575692</v>
      </c>
      <c r="G1978" s="7">
        <v>9289212</v>
      </c>
      <c r="H1978" s="7">
        <v>668.76</v>
      </c>
      <c r="I1978" s="7">
        <v>664.39</v>
      </c>
      <c r="J1978" s="7">
        <v>14</v>
      </c>
      <c r="K1978" s="7">
        <v>1.6801386000000001E-3</v>
      </c>
      <c r="L1978" s="7">
        <v>669.88360946190005</v>
      </c>
      <c r="M1978" s="7">
        <v>663.27373274360002</v>
      </c>
      <c r="N1978" s="7">
        <v>669.35279147469998</v>
      </c>
      <c r="O1978" s="7">
        <v>669.88360946190005</v>
      </c>
      <c r="P1978" s="7">
        <v>663.27373274360002</v>
      </c>
      <c r="Q1978">
        <v>1</v>
      </c>
      <c r="R1978">
        <v>0</v>
      </c>
      <c r="S1978" s="11">
        <v>45950.666666666664</v>
      </c>
      <c r="T1978">
        <v>418</v>
      </c>
    </row>
    <row r="1979" spans="1:20">
      <c r="A1979" s="11">
        <v>45950.4375</v>
      </c>
      <c r="B1979" s="11">
        <v>45950.458333333336</v>
      </c>
      <c r="C1979" s="10">
        <v>45950</v>
      </c>
      <c r="D1979" s="7">
        <v>671.22</v>
      </c>
      <c r="E1979" s="7">
        <v>2963140</v>
      </c>
      <c r="F1979" s="7">
        <v>2963140</v>
      </c>
      <c r="G1979" s="7">
        <v>12252352</v>
      </c>
      <c r="H1979" s="7">
        <v>668.76</v>
      </c>
      <c r="I1979" s="7">
        <v>664.39</v>
      </c>
      <c r="J1979" s="7">
        <v>14</v>
      </c>
      <c r="K1979" s="7">
        <v>2.2991465999999999E-3</v>
      </c>
      <c r="L1979" s="7">
        <v>670.29757725239995</v>
      </c>
      <c r="M1979" s="7">
        <v>662.8624700181</v>
      </c>
      <c r="N1979" s="7">
        <v>669.80436193800006</v>
      </c>
      <c r="O1979" s="7">
        <v>670.29757725239995</v>
      </c>
      <c r="P1979" s="7">
        <v>662.8624700181</v>
      </c>
      <c r="Q1979">
        <v>1</v>
      </c>
      <c r="R1979">
        <v>0</v>
      </c>
      <c r="S1979" s="11">
        <v>45950.666666666664</v>
      </c>
      <c r="T1979">
        <v>417</v>
      </c>
    </row>
    <row r="1980" spans="1:20">
      <c r="A1980" s="11">
        <v>45950.458333333336</v>
      </c>
      <c r="B1980" s="11">
        <v>45950.479166666664</v>
      </c>
      <c r="C1980" s="10">
        <v>45950</v>
      </c>
      <c r="D1980" s="7">
        <v>670.97</v>
      </c>
      <c r="E1980" s="7">
        <v>2161407</v>
      </c>
      <c r="F1980" s="7">
        <v>2161407</v>
      </c>
      <c r="G1980" s="7">
        <v>14413759</v>
      </c>
      <c r="H1980" s="7">
        <v>668.76</v>
      </c>
      <c r="I1980" s="7">
        <v>664.39</v>
      </c>
      <c r="J1980" s="7">
        <v>14</v>
      </c>
      <c r="K1980" s="7">
        <v>3.2308657000000001E-3</v>
      </c>
      <c r="L1980" s="7">
        <v>670.92067371459996</v>
      </c>
      <c r="M1980" s="7">
        <v>662.24344516830001</v>
      </c>
      <c r="N1980" s="7">
        <v>669.97915452799998</v>
      </c>
      <c r="O1980" s="7">
        <v>670.92067371459996</v>
      </c>
      <c r="P1980" s="7">
        <v>662.24344516830001</v>
      </c>
      <c r="Q1980">
        <v>1</v>
      </c>
      <c r="R1980">
        <v>0</v>
      </c>
      <c r="S1980" s="11">
        <v>45950.666666666664</v>
      </c>
      <c r="T1980">
        <v>416</v>
      </c>
    </row>
    <row r="1981" spans="1:20">
      <c r="A1981" s="11">
        <v>45950.479166666664</v>
      </c>
      <c r="B1981" s="11">
        <v>45950.5</v>
      </c>
      <c r="C1981" s="10">
        <v>45950</v>
      </c>
      <c r="D1981" s="7">
        <v>670.64</v>
      </c>
      <c r="E1981" s="7">
        <v>2427353</v>
      </c>
      <c r="F1981" s="7">
        <v>2427353</v>
      </c>
      <c r="G1981" s="7">
        <v>16841112</v>
      </c>
      <c r="H1981" s="7">
        <v>668.76</v>
      </c>
      <c r="I1981" s="7">
        <v>664.39</v>
      </c>
      <c r="J1981" s="7">
        <v>14</v>
      </c>
      <c r="K1981" s="7">
        <v>4.1324411999999998E-3</v>
      </c>
      <c r="L1981" s="7">
        <v>671.52361136019999</v>
      </c>
      <c r="M1981" s="7">
        <v>661.64444740780004</v>
      </c>
      <c r="N1981" s="7">
        <v>670.07440389390001</v>
      </c>
      <c r="O1981" s="7">
        <v>671.52361136019999</v>
      </c>
      <c r="P1981" s="7">
        <v>661.64444740780004</v>
      </c>
      <c r="Q1981">
        <v>1</v>
      </c>
      <c r="R1981">
        <v>0</v>
      </c>
      <c r="S1981" s="11">
        <v>45950.666666666664</v>
      </c>
      <c r="T1981">
        <v>415</v>
      </c>
    </row>
    <row r="1982" spans="1:20">
      <c r="A1982" s="11">
        <v>45950.5</v>
      </c>
      <c r="B1982" s="11">
        <v>45950.520833333336</v>
      </c>
      <c r="C1982" s="10">
        <v>45950</v>
      </c>
      <c r="D1982" s="7">
        <v>670.83</v>
      </c>
      <c r="E1982" s="7">
        <v>1558334</v>
      </c>
      <c r="F1982" s="7">
        <v>1558334</v>
      </c>
      <c r="G1982" s="7">
        <v>18399446</v>
      </c>
      <c r="H1982" s="7">
        <v>668.76</v>
      </c>
      <c r="I1982" s="7">
        <v>664.39</v>
      </c>
      <c r="J1982" s="7">
        <v>14</v>
      </c>
      <c r="K1982" s="7">
        <v>4.6795531E-3</v>
      </c>
      <c r="L1982" s="7">
        <v>671.88949793439997</v>
      </c>
      <c r="M1982" s="7">
        <v>661.28095171259997</v>
      </c>
      <c r="N1982" s="7">
        <v>670.13839881540002</v>
      </c>
      <c r="O1982" s="7">
        <v>671.88949793439997</v>
      </c>
      <c r="P1982" s="7">
        <v>661.28095171259997</v>
      </c>
      <c r="Q1982">
        <v>1</v>
      </c>
      <c r="R1982">
        <v>0</v>
      </c>
      <c r="S1982" s="11">
        <v>45950.666666666664</v>
      </c>
      <c r="T1982">
        <v>414</v>
      </c>
    </row>
    <row r="1983" spans="1:20">
      <c r="A1983" s="11">
        <v>45950.520833333336</v>
      </c>
      <c r="B1983" s="11">
        <v>45950.541666666664</v>
      </c>
      <c r="C1983" s="10">
        <v>45950</v>
      </c>
      <c r="D1983" s="7">
        <v>671.02</v>
      </c>
      <c r="E1983" s="7">
        <v>1349418</v>
      </c>
      <c r="F1983" s="7">
        <v>1349418</v>
      </c>
      <c r="G1983" s="7">
        <v>19748864</v>
      </c>
      <c r="H1983" s="7">
        <v>668.76</v>
      </c>
      <c r="I1983" s="7">
        <v>664.39</v>
      </c>
      <c r="J1983" s="7">
        <v>14</v>
      </c>
      <c r="K1983" s="7">
        <v>5.1231172999999996E-3</v>
      </c>
      <c r="L1983" s="7">
        <v>672.18613591880001</v>
      </c>
      <c r="M1983" s="7">
        <v>660.98625210379998</v>
      </c>
      <c r="N1983" s="7">
        <v>670.19863764770002</v>
      </c>
      <c r="O1983" s="7">
        <v>672.18613591880001</v>
      </c>
      <c r="P1983" s="7">
        <v>660.98625210379998</v>
      </c>
      <c r="Q1983">
        <v>1</v>
      </c>
      <c r="R1983">
        <v>0</v>
      </c>
      <c r="S1983" s="11">
        <v>45950.666666666664</v>
      </c>
      <c r="T1983">
        <v>413</v>
      </c>
    </row>
    <row r="1984" spans="1:20">
      <c r="A1984" s="11">
        <v>45950.541666666664</v>
      </c>
      <c r="B1984" s="11">
        <v>45950.5625</v>
      </c>
      <c r="C1984" s="10">
        <v>45950</v>
      </c>
      <c r="D1984" s="7">
        <v>671.61950000000002</v>
      </c>
      <c r="E1984" s="7">
        <v>1943256</v>
      </c>
      <c r="F1984" s="7">
        <v>1943256</v>
      </c>
      <c r="G1984" s="7">
        <v>21692120</v>
      </c>
      <c r="H1984" s="7">
        <v>668.76</v>
      </c>
      <c r="I1984" s="7">
        <v>664.39</v>
      </c>
      <c r="J1984" s="7">
        <v>14</v>
      </c>
      <c r="K1984" s="7">
        <v>5.3667886000000001E-3</v>
      </c>
      <c r="L1984" s="7">
        <v>672.34909353319995</v>
      </c>
      <c r="M1984" s="7">
        <v>660.82435933290003</v>
      </c>
      <c r="N1984" s="7">
        <v>670.32592346820002</v>
      </c>
      <c r="O1984" s="7">
        <v>672.34909353319995</v>
      </c>
      <c r="P1984" s="7">
        <v>660.82435933290003</v>
      </c>
      <c r="Q1984">
        <v>1</v>
      </c>
      <c r="R1984">
        <v>0</v>
      </c>
      <c r="S1984" s="11">
        <v>45950.666666666664</v>
      </c>
      <c r="T1984">
        <v>412</v>
      </c>
    </row>
    <row r="1985" spans="1:20">
      <c r="A1985" s="11">
        <v>45950.5625</v>
      </c>
      <c r="B1985" s="11">
        <v>45950.583333333336</v>
      </c>
      <c r="C1985" s="10">
        <v>45950</v>
      </c>
      <c r="D1985" s="7">
        <v>671.77</v>
      </c>
      <c r="E1985" s="7">
        <v>1236692</v>
      </c>
      <c r="F1985" s="7">
        <v>1236692</v>
      </c>
      <c r="G1985" s="7">
        <v>22928812</v>
      </c>
      <c r="H1985" s="7">
        <v>668.76</v>
      </c>
      <c r="I1985" s="7">
        <v>664.39</v>
      </c>
      <c r="J1985" s="7">
        <v>14</v>
      </c>
      <c r="K1985" s="7">
        <v>5.3675915000000003E-3</v>
      </c>
      <c r="L1985" s="7">
        <v>672.34963049639998</v>
      </c>
      <c r="M1985" s="7">
        <v>660.82382587849997</v>
      </c>
      <c r="N1985" s="7">
        <v>670.40381140650004</v>
      </c>
      <c r="O1985" s="7">
        <v>672.34963049639998</v>
      </c>
      <c r="P1985" s="7">
        <v>660.82382587849997</v>
      </c>
      <c r="Q1985">
        <v>1</v>
      </c>
      <c r="R1985">
        <v>0</v>
      </c>
      <c r="S1985" s="11">
        <v>45950.666666666664</v>
      </c>
      <c r="T1985">
        <v>411</v>
      </c>
    </row>
    <row r="1986" spans="1:20">
      <c r="A1986" s="11">
        <v>45950.583333333336</v>
      </c>
      <c r="B1986" s="11">
        <v>45950.604166666664</v>
      </c>
      <c r="C1986" s="10">
        <v>45950</v>
      </c>
      <c r="D1986" s="7">
        <v>671.88</v>
      </c>
      <c r="E1986" s="7">
        <v>1578409</v>
      </c>
      <c r="F1986" s="7">
        <v>1578409</v>
      </c>
      <c r="G1986" s="7">
        <v>24507221</v>
      </c>
      <c r="H1986" s="7">
        <v>668.76</v>
      </c>
      <c r="I1986" s="7">
        <v>664.39</v>
      </c>
      <c r="J1986" s="7">
        <v>14</v>
      </c>
      <c r="K1986" s="7">
        <v>6.0301086000000004E-3</v>
      </c>
      <c r="L1986" s="7">
        <v>672.79269541880001</v>
      </c>
      <c r="M1986" s="7">
        <v>660.38365615570001</v>
      </c>
      <c r="N1986" s="7">
        <v>670.49888662369995</v>
      </c>
      <c r="O1986" s="7">
        <v>672.79269541880001</v>
      </c>
      <c r="P1986" s="7">
        <v>660.38365615570001</v>
      </c>
      <c r="Q1986">
        <v>1</v>
      </c>
      <c r="R1986">
        <v>0</v>
      </c>
      <c r="S1986" s="11">
        <v>45950.666666666664</v>
      </c>
      <c r="T1986">
        <v>410</v>
      </c>
    </row>
    <row r="1987" spans="1:20">
      <c r="A1987" s="11">
        <v>45950.604166666664</v>
      </c>
      <c r="B1987" s="11">
        <v>45950.625</v>
      </c>
      <c r="C1987" s="10">
        <v>45950</v>
      </c>
      <c r="D1987" s="7">
        <v>671.65</v>
      </c>
      <c r="E1987" s="7">
        <v>2037653</v>
      </c>
      <c r="F1987" s="7">
        <v>2037653</v>
      </c>
      <c r="G1987" s="7">
        <v>26544874</v>
      </c>
      <c r="H1987" s="7">
        <v>668.76</v>
      </c>
      <c r="I1987" s="7">
        <v>664.39</v>
      </c>
      <c r="J1987" s="7">
        <v>14</v>
      </c>
      <c r="K1987" s="7">
        <v>5.7696355000000001E-3</v>
      </c>
      <c r="L1987" s="7">
        <v>672.61850144330003</v>
      </c>
      <c r="M1987" s="7">
        <v>660.55671186389998</v>
      </c>
      <c r="N1987" s="7">
        <v>670.58724905580004</v>
      </c>
      <c r="O1987" s="7">
        <v>672.61850144330003</v>
      </c>
      <c r="P1987" s="7">
        <v>660.55671186389998</v>
      </c>
      <c r="Q1987">
        <v>1</v>
      </c>
      <c r="R1987">
        <v>0</v>
      </c>
      <c r="S1987" s="11">
        <v>45950.666666666664</v>
      </c>
      <c r="T1987">
        <v>409</v>
      </c>
    </row>
    <row r="1988" spans="1:20">
      <c r="A1988" s="11">
        <v>45950.625</v>
      </c>
      <c r="B1988" s="11">
        <v>45950.645833333336</v>
      </c>
      <c r="C1988" s="10">
        <v>45950</v>
      </c>
      <c r="D1988" s="7">
        <v>671.72</v>
      </c>
      <c r="E1988" s="7">
        <v>2205112</v>
      </c>
      <c r="F1988" s="7">
        <v>2205112</v>
      </c>
      <c r="G1988" s="7">
        <v>28749986</v>
      </c>
      <c r="H1988" s="7">
        <v>668.76</v>
      </c>
      <c r="I1988" s="7">
        <v>664.39</v>
      </c>
      <c r="J1988" s="7">
        <v>14</v>
      </c>
      <c r="K1988" s="7">
        <v>6.2438820999999997E-3</v>
      </c>
      <c r="L1988" s="7">
        <v>672.93565861879995</v>
      </c>
      <c r="M1988" s="7">
        <v>660.24162714609997</v>
      </c>
      <c r="N1988" s="7">
        <v>670.67413058329998</v>
      </c>
      <c r="O1988" s="7">
        <v>672.93565861879995</v>
      </c>
      <c r="P1988" s="7">
        <v>660.24162714609997</v>
      </c>
      <c r="Q1988">
        <v>1</v>
      </c>
      <c r="R1988">
        <v>0</v>
      </c>
      <c r="S1988" s="11">
        <v>45950.666666666664</v>
      </c>
      <c r="T1988">
        <v>408</v>
      </c>
    </row>
    <row r="1989" spans="1:20">
      <c r="A1989" s="11">
        <v>45950.645833333336</v>
      </c>
      <c r="B1989" s="11">
        <v>45950.666666666664</v>
      </c>
      <c r="C1989" s="10">
        <v>45950</v>
      </c>
      <c r="D1989" s="7">
        <v>671.3</v>
      </c>
      <c r="E1989" s="7">
        <v>8173985</v>
      </c>
      <c r="F1989" s="7">
        <v>8173985</v>
      </c>
      <c r="G1989" s="7">
        <v>36923971</v>
      </c>
      <c r="H1989" s="7">
        <v>668.76</v>
      </c>
      <c r="I1989" s="7">
        <v>664.39</v>
      </c>
      <c r="J1989" s="7">
        <v>14</v>
      </c>
      <c r="K1989" s="7">
        <v>5.9988532000000002E-3</v>
      </c>
      <c r="L1989" s="7">
        <v>672.77179304089998</v>
      </c>
      <c r="M1989" s="7">
        <v>660.40442194740001</v>
      </c>
      <c r="N1989" s="7">
        <v>670.81268142399995</v>
      </c>
      <c r="O1989" s="7">
        <v>672.77179304089998</v>
      </c>
      <c r="P1989" s="7">
        <v>660.40442194740001</v>
      </c>
      <c r="Q1989">
        <v>1</v>
      </c>
      <c r="R1989">
        <v>1</v>
      </c>
      <c r="S1989" s="11">
        <v>45950.666666666664</v>
      </c>
      <c r="T1989">
        <v>407</v>
      </c>
    </row>
    <row r="1990" spans="1:20">
      <c r="A1990" s="11">
        <v>45951.395833333336</v>
      </c>
      <c r="B1990" s="11">
        <v>45951.416666666664</v>
      </c>
      <c r="C1990" s="10">
        <v>45951</v>
      </c>
      <c r="D1990" s="7">
        <v>670.58</v>
      </c>
      <c r="E1990" s="7">
        <v>4705520</v>
      </c>
      <c r="F1990" s="7">
        <v>4705520</v>
      </c>
      <c r="G1990" s="7">
        <v>4705520</v>
      </c>
      <c r="H1990" s="7">
        <v>670.58</v>
      </c>
      <c r="I1990" s="7">
        <v>671.3</v>
      </c>
      <c r="J1990" s="7">
        <v>14</v>
      </c>
      <c r="K1990" s="7">
        <v>0</v>
      </c>
      <c r="L1990" s="7">
        <v>671.3</v>
      </c>
      <c r="M1990" s="7">
        <v>670.58</v>
      </c>
      <c r="N1990" s="7">
        <v>670.58</v>
      </c>
      <c r="O1990" s="7">
        <v>671.3</v>
      </c>
      <c r="P1990" s="7">
        <v>670.58</v>
      </c>
      <c r="Q1990">
        <v>1</v>
      </c>
      <c r="R1990">
        <v>0</v>
      </c>
      <c r="S1990" s="11">
        <v>45951.666666666664</v>
      </c>
      <c r="T1990">
        <v>405</v>
      </c>
    </row>
    <row r="1991" spans="1:20">
      <c r="A1991" s="11">
        <v>45951.416666666664</v>
      </c>
      <c r="B1991" s="11">
        <v>45951.4375</v>
      </c>
      <c r="C1991" s="10">
        <v>45951</v>
      </c>
      <c r="D1991" s="7">
        <v>670.59</v>
      </c>
      <c r="E1991" s="7">
        <v>3684516</v>
      </c>
      <c r="F1991" s="7">
        <v>3684516</v>
      </c>
      <c r="G1991" s="7">
        <v>8390036</v>
      </c>
      <c r="H1991" s="7">
        <v>670.58</v>
      </c>
      <c r="I1991" s="7">
        <v>671.3</v>
      </c>
      <c r="J1991" s="7">
        <v>14</v>
      </c>
      <c r="K1991" s="7">
        <v>1.8257702000000001E-3</v>
      </c>
      <c r="L1991" s="7">
        <v>672.52563955699998</v>
      </c>
      <c r="M1991" s="7">
        <v>669.35567499750005</v>
      </c>
      <c r="N1991" s="7">
        <v>670.5843915378</v>
      </c>
      <c r="O1991" s="7">
        <v>672.52563955699998</v>
      </c>
      <c r="P1991" s="7">
        <v>669.35567499750005</v>
      </c>
      <c r="Q1991">
        <v>1</v>
      </c>
      <c r="R1991">
        <v>0</v>
      </c>
      <c r="S1991" s="11">
        <v>45951.666666666664</v>
      </c>
      <c r="T1991">
        <v>404</v>
      </c>
    </row>
    <row r="1992" spans="1:20">
      <c r="A1992" s="11">
        <v>45951.4375</v>
      </c>
      <c r="B1992" s="11">
        <v>45951.458333333336</v>
      </c>
      <c r="C1992" s="10">
        <v>45951</v>
      </c>
      <c r="D1992" s="7">
        <v>672.60500000000002</v>
      </c>
      <c r="E1992" s="7">
        <v>3072595</v>
      </c>
      <c r="F1992" s="7">
        <v>3072595</v>
      </c>
      <c r="G1992" s="7">
        <v>11462631</v>
      </c>
      <c r="H1992" s="7">
        <v>670.58</v>
      </c>
      <c r="I1992" s="7">
        <v>671.3</v>
      </c>
      <c r="J1992" s="7">
        <v>14</v>
      </c>
      <c r="K1992" s="7">
        <v>2.5441183999999999E-3</v>
      </c>
      <c r="L1992" s="7">
        <v>673.00786665810006</v>
      </c>
      <c r="M1992" s="7">
        <v>668.87396510710005</v>
      </c>
      <c r="N1992" s="7">
        <v>671.12602211609999</v>
      </c>
      <c r="O1992" s="7">
        <v>673.00786665810006</v>
      </c>
      <c r="P1992" s="7">
        <v>668.87396510710005</v>
      </c>
      <c r="Q1992">
        <v>1</v>
      </c>
      <c r="R1992">
        <v>0</v>
      </c>
      <c r="S1992" s="11">
        <v>45951.666666666664</v>
      </c>
      <c r="T1992">
        <v>403</v>
      </c>
    </row>
    <row r="1993" spans="1:20">
      <c r="A1993" s="11">
        <v>45951.458333333336</v>
      </c>
      <c r="B1993" s="11">
        <v>45951.479166666664</v>
      </c>
      <c r="C1993" s="10">
        <v>45951</v>
      </c>
      <c r="D1993" s="7">
        <v>671.95</v>
      </c>
      <c r="E1993" s="7">
        <v>2844499</v>
      </c>
      <c r="F1993" s="7">
        <v>2844499</v>
      </c>
      <c r="G1993" s="7">
        <v>14307130</v>
      </c>
      <c r="H1993" s="7">
        <v>670.58</v>
      </c>
      <c r="I1993" s="7">
        <v>671.3</v>
      </c>
      <c r="J1993" s="7">
        <v>14</v>
      </c>
      <c r="K1993" s="7">
        <v>3.3726509999999999E-3</v>
      </c>
      <c r="L1993" s="7">
        <v>673.5640605845</v>
      </c>
      <c r="M1993" s="7">
        <v>668.31836772409997</v>
      </c>
      <c r="N1993" s="7">
        <v>671.28984283119996</v>
      </c>
      <c r="O1993" s="7">
        <v>673.5640605845</v>
      </c>
      <c r="P1993" s="7">
        <v>668.31836772409997</v>
      </c>
      <c r="Q1993">
        <v>1</v>
      </c>
      <c r="R1993">
        <v>0</v>
      </c>
      <c r="S1993" s="11">
        <v>45951.666666666664</v>
      </c>
      <c r="T1993">
        <v>402</v>
      </c>
    </row>
    <row r="1994" spans="1:20">
      <c r="A1994" s="11">
        <v>45951.479166666664</v>
      </c>
      <c r="B1994" s="11">
        <v>45951.5</v>
      </c>
      <c r="C1994" s="10">
        <v>45951</v>
      </c>
      <c r="D1994" s="7">
        <v>672.21799999999996</v>
      </c>
      <c r="E1994" s="7">
        <v>2090613</v>
      </c>
      <c r="F1994" s="7">
        <v>2090613</v>
      </c>
      <c r="G1994" s="7">
        <v>16397743</v>
      </c>
      <c r="H1994" s="7">
        <v>670.58</v>
      </c>
      <c r="I1994" s="7">
        <v>671.3</v>
      </c>
      <c r="J1994" s="7">
        <v>14</v>
      </c>
      <c r="K1994" s="7">
        <v>4.3264417999999997E-3</v>
      </c>
      <c r="L1994" s="7">
        <v>674.20434038240001</v>
      </c>
      <c r="M1994" s="7">
        <v>667.67877465569995</v>
      </c>
      <c r="N1994" s="7">
        <v>671.40817725340003</v>
      </c>
      <c r="O1994" s="7">
        <v>674.20434038240001</v>
      </c>
      <c r="P1994" s="7">
        <v>667.67877465569995</v>
      </c>
      <c r="Q1994">
        <v>1</v>
      </c>
      <c r="R1994">
        <v>0</v>
      </c>
      <c r="S1994" s="11">
        <v>45951.666666666664</v>
      </c>
      <c r="T1994">
        <v>401</v>
      </c>
    </row>
    <row r="1995" spans="1:20">
      <c r="A1995" s="11">
        <v>45951.5</v>
      </c>
      <c r="B1995" s="11">
        <v>45951.520833333336</v>
      </c>
      <c r="C1995" s="10">
        <v>45951</v>
      </c>
      <c r="D1995" s="7">
        <v>672.65</v>
      </c>
      <c r="E1995" s="7">
        <v>1893536</v>
      </c>
      <c r="F1995" s="7">
        <v>1893536</v>
      </c>
      <c r="G1995" s="7">
        <v>18291279</v>
      </c>
      <c r="H1995" s="7">
        <v>670.58</v>
      </c>
      <c r="I1995" s="7">
        <v>671.3</v>
      </c>
      <c r="J1995" s="7">
        <v>14</v>
      </c>
      <c r="K1995" s="7">
        <v>4.8634795000000001E-3</v>
      </c>
      <c r="L1995" s="7">
        <v>674.56485380310005</v>
      </c>
      <c r="M1995" s="7">
        <v>667.31864790220004</v>
      </c>
      <c r="N1995" s="7">
        <v>671.53673229189997</v>
      </c>
      <c r="O1995" s="7">
        <v>674.56485380310005</v>
      </c>
      <c r="P1995" s="7">
        <v>667.31864790220004</v>
      </c>
      <c r="Q1995">
        <v>1</v>
      </c>
      <c r="R1995">
        <v>0</v>
      </c>
      <c r="S1995" s="11">
        <v>45951.666666666664</v>
      </c>
      <c r="T1995">
        <v>400</v>
      </c>
    </row>
    <row r="1996" spans="1:20">
      <c r="A1996" s="11">
        <v>45951.520833333336</v>
      </c>
      <c r="B1996" s="11">
        <v>45951.541666666664</v>
      </c>
      <c r="C1996" s="10">
        <v>45951</v>
      </c>
      <c r="D1996" s="7">
        <v>671.42</v>
      </c>
      <c r="E1996" s="7">
        <v>3263327</v>
      </c>
      <c r="F1996" s="7">
        <v>3263327</v>
      </c>
      <c r="G1996" s="7">
        <v>21554606</v>
      </c>
      <c r="H1996" s="7">
        <v>670.58</v>
      </c>
      <c r="I1996" s="7">
        <v>671.3</v>
      </c>
      <c r="J1996" s="7">
        <v>14</v>
      </c>
      <c r="K1996" s="7">
        <v>5.3338005999999999E-3</v>
      </c>
      <c r="L1996" s="7">
        <v>674.88058035539996</v>
      </c>
      <c r="M1996" s="7">
        <v>667.00325998100004</v>
      </c>
      <c r="N1996" s="7">
        <v>671.51905924139999</v>
      </c>
      <c r="O1996" s="7">
        <v>674.88058035539996</v>
      </c>
      <c r="P1996" s="7">
        <v>667.00325998100004</v>
      </c>
      <c r="Q1996">
        <v>1</v>
      </c>
      <c r="R1996">
        <v>0</v>
      </c>
      <c r="S1996" s="11">
        <v>45951.666666666664</v>
      </c>
      <c r="T1996">
        <v>399</v>
      </c>
    </row>
    <row r="1997" spans="1:20">
      <c r="A1997" s="11">
        <v>45951.541666666664</v>
      </c>
      <c r="B1997" s="11">
        <v>45951.5625</v>
      </c>
      <c r="C1997" s="10">
        <v>45951</v>
      </c>
      <c r="D1997" s="7">
        <v>671.6</v>
      </c>
      <c r="E1997" s="7">
        <v>2819711</v>
      </c>
      <c r="F1997" s="7">
        <v>2819711</v>
      </c>
      <c r="G1997" s="7">
        <v>24374317</v>
      </c>
      <c r="H1997" s="7">
        <v>670.58</v>
      </c>
      <c r="I1997" s="7">
        <v>671.3</v>
      </c>
      <c r="J1997" s="7">
        <v>14</v>
      </c>
      <c r="K1997" s="7">
        <v>5.5639410999999998E-3</v>
      </c>
      <c r="L1997" s="7">
        <v>675.03507366890005</v>
      </c>
      <c r="M1997" s="7">
        <v>666.84893236870005</v>
      </c>
      <c r="N1997" s="7">
        <v>671.52842276729996</v>
      </c>
      <c r="O1997" s="7">
        <v>675.03507366890005</v>
      </c>
      <c r="P1997" s="7">
        <v>666.84893236870005</v>
      </c>
      <c r="Q1997">
        <v>1</v>
      </c>
      <c r="R1997">
        <v>0</v>
      </c>
      <c r="S1997" s="11">
        <v>45951.666666666664</v>
      </c>
      <c r="T1997">
        <v>398</v>
      </c>
    </row>
    <row r="1998" spans="1:20">
      <c r="A1998" s="11">
        <v>45951.5625</v>
      </c>
      <c r="B1998" s="11">
        <v>45951.583333333336</v>
      </c>
      <c r="C1998" s="10">
        <v>45951</v>
      </c>
      <c r="D1998" s="7">
        <v>672.2</v>
      </c>
      <c r="E1998" s="7">
        <v>1455300</v>
      </c>
      <c r="F1998" s="7">
        <v>1455300</v>
      </c>
      <c r="G1998" s="7">
        <v>25829617</v>
      </c>
      <c r="H1998" s="7">
        <v>670.58</v>
      </c>
      <c r="I1998" s="7">
        <v>671.3</v>
      </c>
      <c r="J1998" s="7">
        <v>14</v>
      </c>
      <c r="K1998" s="7">
        <v>5.6292946999999998E-3</v>
      </c>
      <c r="L1998" s="7">
        <v>675.0789455593</v>
      </c>
      <c r="M1998" s="7">
        <v>666.80510753290002</v>
      </c>
      <c r="N1998" s="7">
        <v>671.56626097239996</v>
      </c>
      <c r="O1998" s="7">
        <v>675.0789455593</v>
      </c>
      <c r="P1998" s="7">
        <v>666.80510753290002</v>
      </c>
      <c r="Q1998">
        <v>1</v>
      </c>
      <c r="R1998">
        <v>0</v>
      </c>
      <c r="S1998" s="11">
        <v>45951.666666666664</v>
      </c>
      <c r="T1998">
        <v>397</v>
      </c>
    </row>
    <row r="1999" spans="1:20">
      <c r="A1999" s="11">
        <v>45951.583333333336</v>
      </c>
      <c r="B1999" s="11">
        <v>45951.604166666664</v>
      </c>
      <c r="C1999" s="10">
        <v>45951</v>
      </c>
      <c r="D1999" s="7">
        <v>672.28579999999999</v>
      </c>
      <c r="E1999" s="7">
        <v>1883249</v>
      </c>
      <c r="F1999" s="7">
        <v>1883249</v>
      </c>
      <c r="G1999" s="7">
        <v>27712866</v>
      </c>
      <c r="H1999" s="7">
        <v>670.58</v>
      </c>
      <c r="I1999" s="7">
        <v>671.3</v>
      </c>
      <c r="J1999" s="7">
        <v>14</v>
      </c>
      <c r="K1999" s="7">
        <v>6.2787946999999997E-3</v>
      </c>
      <c r="L1999" s="7">
        <v>675.51495488390003</v>
      </c>
      <c r="M1999" s="7">
        <v>666.3695658483</v>
      </c>
      <c r="N1999" s="7">
        <v>671.61515779720003</v>
      </c>
      <c r="O1999" s="7">
        <v>675.51495488390003</v>
      </c>
      <c r="P1999" s="7">
        <v>666.3695658483</v>
      </c>
      <c r="Q1999">
        <v>1</v>
      </c>
      <c r="R1999">
        <v>0</v>
      </c>
      <c r="S1999" s="11">
        <v>45951.666666666664</v>
      </c>
      <c r="T1999">
        <v>396</v>
      </c>
    </row>
    <row r="2000" spans="1:20">
      <c r="A2000" s="11">
        <v>45951.604166666664</v>
      </c>
      <c r="B2000" s="11">
        <v>45951.625</v>
      </c>
      <c r="C2000" s="10">
        <v>45951</v>
      </c>
      <c r="D2000" s="7">
        <v>671.93</v>
      </c>
      <c r="E2000" s="7">
        <v>1451423</v>
      </c>
      <c r="F2000" s="7">
        <v>1451423</v>
      </c>
      <c r="G2000" s="7">
        <v>29164289</v>
      </c>
      <c r="H2000" s="7">
        <v>670.58</v>
      </c>
      <c r="I2000" s="7">
        <v>671.3</v>
      </c>
      <c r="J2000" s="7">
        <v>14</v>
      </c>
      <c r="K2000" s="7">
        <v>5.9312647000000001E-3</v>
      </c>
      <c r="L2000" s="7">
        <v>675.28165800919999</v>
      </c>
      <c r="M2000" s="7">
        <v>666.60261250140002</v>
      </c>
      <c r="N2000" s="7">
        <v>671.63082659049996</v>
      </c>
      <c r="O2000" s="7">
        <v>675.28165800919999</v>
      </c>
      <c r="P2000" s="7">
        <v>666.60261250140002</v>
      </c>
      <c r="Q2000">
        <v>1</v>
      </c>
      <c r="R2000">
        <v>0</v>
      </c>
      <c r="S2000" s="11">
        <v>45951.666666666664</v>
      </c>
      <c r="T2000">
        <v>395</v>
      </c>
    </row>
    <row r="2001" spans="1:20">
      <c r="A2001" s="11">
        <v>45951.625</v>
      </c>
      <c r="B2001" s="11">
        <v>45951.645833333336</v>
      </c>
      <c r="C2001" s="10">
        <v>45951</v>
      </c>
      <c r="D2001" s="7">
        <v>671.88499999999999</v>
      </c>
      <c r="E2001" s="7">
        <v>2055411</v>
      </c>
      <c r="F2001" s="7">
        <v>2055411</v>
      </c>
      <c r="G2001" s="7">
        <v>31219700</v>
      </c>
      <c r="H2001" s="7">
        <v>670.58</v>
      </c>
      <c r="I2001" s="7">
        <v>671.3</v>
      </c>
      <c r="J2001" s="7">
        <v>14</v>
      </c>
      <c r="K2001" s="7">
        <v>6.3079562E-3</v>
      </c>
      <c r="L2001" s="7">
        <v>675.53453096819999</v>
      </c>
      <c r="M2001" s="7">
        <v>666.35001076020001</v>
      </c>
      <c r="N2001" s="7">
        <v>671.64756060210004</v>
      </c>
      <c r="O2001" s="7">
        <v>675.53453096819999</v>
      </c>
      <c r="P2001" s="7">
        <v>666.35001076020001</v>
      </c>
      <c r="Q2001">
        <v>1</v>
      </c>
      <c r="R2001">
        <v>0</v>
      </c>
      <c r="S2001" s="11">
        <v>45951.666666666664</v>
      </c>
      <c r="T2001">
        <v>394</v>
      </c>
    </row>
    <row r="2002" spans="1:20">
      <c r="A2002" s="11">
        <v>45951.645833333336</v>
      </c>
      <c r="B2002" s="11">
        <v>45951.666666666664</v>
      </c>
      <c r="C2002" s="10">
        <v>45951</v>
      </c>
      <c r="D2002" s="7">
        <v>671.29</v>
      </c>
      <c r="E2002" s="7">
        <v>6088426</v>
      </c>
      <c r="F2002" s="7">
        <v>6088426</v>
      </c>
      <c r="G2002" s="7">
        <v>37308126</v>
      </c>
      <c r="H2002" s="7">
        <v>670.58</v>
      </c>
      <c r="I2002" s="7">
        <v>671.3</v>
      </c>
      <c r="J2002" s="7">
        <v>14</v>
      </c>
      <c r="K2002" s="7">
        <v>5.9345813000000001E-3</v>
      </c>
      <c r="L2002" s="7">
        <v>675.28388441829998</v>
      </c>
      <c r="M2002" s="7">
        <v>666.60038848030001</v>
      </c>
      <c r="N2002" s="7">
        <v>671.58920920519995</v>
      </c>
      <c r="O2002" s="7">
        <v>675.28388441829998</v>
      </c>
      <c r="P2002" s="7">
        <v>666.60038848030001</v>
      </c>
      <c r="Q2002">
        <v>1</v>
      </c>
      <c r="R2002">
        <v>1</v>
      </c>
      <c r="S2002" s="11">
        <v>45951.666666666664</v>
      </c>
      <c r="T2002">
        <v>393</v>
      </c>
    </row>
    <row r="2003" spans="1:20">
      <c r="A2003" s="11">
        <v>45952.395833333336</v>
      </c>
      <c r="B2003" s="11">
        <v>45952.416666666664</v>
      </c>
      <c r="C2003" s="10">
        <v>45952</v>
      </c>
      <c r="D2003" s="7">
        <v>671.21500000000003</v>
      </c>
      <c r="E2003" s="7">
        <v>4047917</v>
      </c>
      <c r="F2003" s="7">
        <v>4047917</v>
      </c>
      <c r="G2003" s="7">
        <v>4047917</v>
      </c>
      <c r="H2003" s="7">
        <v>671.21500000000003</v>
      </c>
      <c r="I2003" s="7">
        <v>671.29</v>
      </c>
      <c r="J2003" s="7">
        <v>14</v>
      </c>
      <c r="K2003" s="7">
        <v>0</v>
      </c>
      <c r="L2003" s="7">
        <v>671.29</v>
      </c>
      <c r="M2003" s="7">
        <v>671.21500000000003</v>
      </c>
      <c r="N2003" s="7">
        <v>671.21500000000003</v>
      </c>
      <c r="O2003" s="7">
        <v>671.29</v>
      </c>
      <c r="P2003" s="7">
        <v>671.21500000000003</v>
      </c>
      <c r="Q2003">
        <v>1</v>
      </c>
      <c r="R2003">
        <v>0</v>
      </c>
      <c r="S2003" s="11">
        <v>45952.666666666664</v>
      </c>
      <c r="T2003">
        <v>391</v>
      </c>
    </row>
    <row r="2004" spans="1:20">
      <c r="A2004" s="11">
        <v>45952.416666666664</v>
      </c>
      <c r="B2004" s="11">
        <v>45952.4375</v>
      </c>
      <c r="C2004" s="10">
        <v>45952</v>
      </c>
      <c r="D2004" s="7">
        <v>669.33749999999998</v>
      </c>
      <c r="E2004" s="7">
        <v>3117723</v>
      </c>
      <c r="F2004" s="7">
        <v>3117723</v>
      </c>
      <c r="G2004" s="7">
        <v>7165640</v>
      </c>
      <c r="H2004" s="7">
        <v>671.21500000000003</v>
      </c>
      <c r="I2004" s="7">
        <v>671.29</v>
      </c>
      <c r="J2004" s="7">
        <v>14</v>
      </c>
      <c r="K2004" s="7">
        <v>1.6220688E-3</v>
      </c>
      <c r="L2004" s="7">
        <v>672.37887855880001</v>
      </c>
      <c r="M2004" s="7">
        <v>670.1262430964</v>
      </c>
      <c r="N2004" s="7">
        <v>670.39811205520004</v>
      </c>
      <c r="O2004" s="7">
        <v>672.37887855880001</v>
      </c>
      <c r="P2004" s="7">
        <v>670.1262430964</v>
      </c>
      <c r="Q2004">
        <v>1</v>
      </c>
      <c r="R2004">
        <v>0</v>
      </c>
      <c r="S2004" s="11">
        <v>45952.666666666664</v>
      </c>
      <c r="T2004">
        <v>390</v>
      </c>
    </row>
    <row r="2005" spans="1:20">
      <c r="A2005" s="11">
        <v>45952.4375</v>
      </c>
      <c r="B2005" s="11">
        <v>45952.458333333336</v>
      </c>
      <c r="C2005" s="10">
        <v>45952</v>
      </c>
      <c r="D2005" s="7">
        <v>670.08</v>
      </c>
      <c r="E2005" s="7">
        <v>5137910</v>
      </c>
      <c r="F2005" s="7">
        <v>5137910</v>
      </c>
      <c r="G2005" s="7">
        <v>12303550</v>
      </c>
      <c r="H2005" s="7">
        <v>671.21500000000003</v>
      </c>
      <c r="I2005" s="7">
        <v>671.29</v>
      </c>
      <c r="J2005" s="7">
        <v>14</v>
      </c>
      <c r="K2005" s="7">
        <v>2.5308343000000001E-3</v>
      </c>
      <c r="L2005" s="7">
        <v>672.98892378649998</v>
      </c>
      <c r="M2005" s="7">
        <v>669.51626602609997</v>
      </c>
      <c r="N2005" s="7">
        <v>670.26526981790005</v>
      </c>
      <c r="O2005" s="7">
        <v>672.98892378649998</v>
      </c>
      <c r="P2005" s="7">
        <v>669.51626602609997</v>
      </c>
      <c r="Q2005">
        <v>1</v>
      </c>
      <c r="R2005">
        <v>0</v>
      </c>
      <c r="S2005" s="11">
        <v>45952.666666666664</v>
      </c>
      <c r="T2005">
        <v>389</v>
      </c>
    </row>
    <row r="2006" spans="1:20">
      <c r="A2006" s="11">
        <v>45952.458333333336</v>
      </c>
      <c r="B2006" s="11">
        <v>45952.479166666664</v>
      </c>
      <c r="C2006" s="10">
        <v>45952</v>
      </c>
      <c r="D2006" s="7">
        <v>667.89</v>
      </c>
      <c r="E2006" s="7">
        <v>3657272</v>
      </c>
      <c r="F2006" s="7">
        <v>3657272</v>
      </c>
      <c r="G2006" s="7">
        <v>15960822</v>
      </c>
      <c r="H2006" s="7">
        <v>671.21500000000003</v>
      </c>
      <c r="I2006" s="7">
        <v>671.29</v>
      </c>
      <c r="J2006" s="7">
        <v>14</v>
      </c>
      <c r="K2006" s="7">
        <v>3.2338483000000002E-3</v>
      </c>
      <c r="L2006" s="7">
        <v>673.46085005700002</v>
      </c>
      <c r="M2006" s="7">
        <v>669.04439248159997</v>
      </c>
      <c r="N2006" s="7">
        <v>669.72099911570001</v>
      </c>
      <c r="O2006" s="7">
        <v>673.46085005700002</v>
      </c>
      <c r="P2006" s="7">
        <v>669.04439248159997</v>
      </c>
      <c r="Q2006">
        <v>1</v>
      </c>
      <c r="R2006">
        <v>0</v>
      </c>
      <c r="S2006" s="11">
        <v>45952.666666666664</v>
      </c>
      <c r="T2006">
        <v>388</v>
      </c>
    </row>
    <row r="2007" spans="1:20">
      <c r="A2007" s="11">
        <v>45952.479166666664</v>
      </c>
      <c r="B2007" s="11">
        <v>45952.5</v>
      </c>
      <c r="C2007" s="10">
        <v>45952</v>
      </c>
      <c r="D2007" s="7">
        <v>669.00800000000004</v>
      </c>
      <c r="E2007" s="7">
        <v>2985556</v>
      </c>
      <c r="F2007" s="7">
        <v>2985556</v>
      </c>
      <c r="G2007" s="7">
        <v>18946378</v>
      </c>
      <c r="H2007" s="7">
        <v>671.21500000000003</v>
      </c>
      <c r="I2007" s="7">
        <v>671.29</v>
      </c>
      <c r="J2007" s="7">
        <v>14</v>
      </c>
      <c r="K2007" s="7">
        <v>4.1438622E-3</v>
      </c>
      <c r="L2007" s="7">
        <v>674.07173323209997</v>
      </c>
      <c r="M2007" s="7">
        <v>668.43357755759996</v>
      </c>
      <c r="N2007" s="7">
        <v>669.60864525110003</v>
      </c>
      <c r="O2007" s="7">
        <v>674.07173323209997</v>
      </c>
      <c r="P2007" s="7">
        <v>668.43357755759996</v>
      </c>
      <c r="Q2007">
        <v>1</v>
      </c>
      <c r="R2007">
        <v>0</v>
      </c>
      <c r="S2007" s="11">
        <v>45952.666666666664</v>
      </c>
      <c r="T2007">
        <v>387</v>
      </c>
    </row>
    <row r="2008" spans="1:20">
      <c r="A2008" s="11">
        <v>45952.5</v>
      </c>
      <c r="B2008" s="11">
        <v>45952.520833333336</v>
      </c>
      <c r="C2008" s="10">
        <v>45952</v>
      </c>
      <c r="D2008" s="7">
        <v>667.63</v>
      </c>
      <c r="E2008" s="7">
        <v>2084920</v>
      </c>
      <c r="F2008" s="7">
        <v>2084920</v>
      </c>
      <c r="G2008" s="7">
        <v>21031298</v>
      </c>
      <c r="H2008" s="7">
        <v>671.21500000000003</v>
      </c>
      <c r="I2008" s="7">
        <v>671.29</v>
      </c>
      <c r="J2008" s="7">
        <v>14</v>
      </c>
      <c r="K2008" s="7">
        <v>4.7376778999999999E-3</v>
      </c>
      <c r="L2008" s="7">
        <v>674.47035583000002</v>
      </c>
      <c r="M2008" s="7">
        <v>668.03499949590002</v>
      </c>
      <c r="N2008" s="7">
        <v>669.41249392190002</v>
      </c>
      <c r="O2008" s="7">
        <v>674.47035583000002</v>
      </c>
      <c r="P2008" s="7">
        <v>668.03499949590002</v>
      </c>
      <c r="Q2008">
        <v>1</v>
      </c>
      <c r="R2008">
        <v>0</v>
      </c>
      <c r="S2008" s="11">
        <v>45952.666666666664</v>
      </c>
      <c r="T2008">
        <v>386</v>
      </c>
    </row>
    <row r="2009" spans="1:20">
      <c r="A2009" s="11">
        <v>45952.520833333336</v>
      </c>
      <c r="B2009" s="11">
        <v>45952.541666666664</v>
      </c>
      <c r="C2009" s="10">
        <v>45952</v>
      </c>
      <c r="D2009" s="7">
        <v>667.19</v>
      </c>
      <c r="E2009" s="7">
        <v>8470844</v>
      </c>
      <c r="F2009" s="7">
        <v>8470844</v>
      </c>
      <c r="G2009" s="7">
        <v>29502142</v>
      </c>
      <c r="H2009" s="7">
        <v>671.21500000000003</v>
      </c>
      <c r="I2009" s="7">
        <v>671.29</v>
      </c>
      <c r="J2009" s="7">
        <v>14</v>
      </c>
      <c r="K2009" s="7">
        <v>5.0759061999999999E-3</v>
      </c>
      <c r="L2009" s="7">
        <v>674.69740504109996</v>
      </c>
      <c r="M2009" s="7">
        <v>667.80797565190005</v>
      </c>
      <c r="N2009" s="7">
        <v>668.77435722990003</v>
      </c>
      <c r="O2009" s="7">
        <v>674.69740504109996</v>
      </c>
      <c r="P2009" s="7">
        <v>667.80797565190005</v>
      </c>
      <c r="Q2009">
        <v>1</v>
      </c>
      <c r="R2009">
        <v>0</v>
      </c>
      <c r="S2009" s="11">
        <v>45952.666666666664</v>
      </c>
      <c r="T2009">
        <v>385</v>
      </c>
    </row>
    <row r="2010" spans="1:20">
      <c r="A2010" s="11">
        <v>45952.541666666664</v>
      </c>
      <c r="B2010" s="11">
        <v>45952.5625</v>
      </c>
      <c r="C2010" s="10">
        <v>45952</v>
      </c>
      <c r="D2010" s="7">
        <v>665.31010000000003</v>
      </c>
      <c r="E2010" s="7">
        <v>2904815</v>
      </c>
      <c r="F2010" s="7">
        <v>2904815</v>
      </c>
      <c r="G2010" s="7">
        <v>32406957</v>
      </c>
      <c r="H2010" s="7">
        <v>671.21500000000003</v>
      </c>
      <c r="I2010" s="7">
        <v>671.29</v>
      </c>
      <c r="J2010" s="7">
        <v>14</v>
      </c>
      <c r="K2010" s="7">
        <v>5.2080488999999997E-3</v>
      </c>
      <c r="L2010" s="7">
        <v>674.78611113370005</v>
      </c>
      <c r="M2010" s="7">
        <v>667.71927946999995</v>
      </c>
      <c r="N2010" s="7">
        <v>668.4638366721</v>
      </c>
      <c r="O2010" s="7">
        <v>674.78611113370005</v>
      </c>
      <c r="P2010" s="7">
        <v>667.71927946999995</v>
      </c>
      <c r="Q2010">
        <v>1</v>
      </c>
      <c r="R2010">
        <v>0</v>
      </c>
      <c r="S2010" s="11">
        <v>45952.666666666664</v>
      </c>
      <c r="T2010">
        <v>384</v>
      </c>
    </row>
    <row r="2011" spans="1:20">
      <c r="A2011" s="11">
        <v>45952.5625</v>
      </c>
      <c r="B2011" s="11">
        <v>45952.583333333336</v>
      </c>
      <c r="C2011" s="10">
        <v>45952</v>
      </c>
      <c r="D2011" s="7">
        <v>664.78</v>
      </c>
      <c r="E2011" s="7">
        <v>3811183</v>
      </c>
      <c r="F2011" s="7">
        <v>3811183</v>
      </c>
      <c r="G2011" s="7">
        <v>36218140</v>
      </c>
      <c r="H2011" s="7">
        <v>671.21500000000003</v>
      </c>
      <c r="I2011" s="7">
        <v>671.29</v>
      </c>
      <c r="J2011" s="7">
        <v>14</v>
      </c>
      <c r="K2011" s="7">
        <v>5.3423391000000002E-3</v>
      </c>
      <c r="L2011" s="7">
        <v>674.87625884040006</v>
      </c>
      <c r="M2011" s="7">
        <v>667.62914183500004</v>
      </c>
      <c r="N2011" s="7">
        <v>668.07619181509995</v>
      </c>
      <c r="O2011" s="7">
        <v>674.87625884040006</v>
      </c>
      <c r="P2011" s="7">
        <v>667.62914183500004</v>
      </c>
      <c r="Q2011">
        <v>1</v>
      </c>
      <c r="R2011">
        <v>0</v>
      </c>
      <c r="S2011" s="11">
        <v>45952.666666666664</v>
      </c>
      <c r="T2011">
        <v>383</v>
      </c>
    </row>
    <row r="2012" spans="1:20">
      <c r="A2012" s="11">
        <v>45952.583333333336</v>
      </c>
      <c r="B2012" s="11">
        <v>45952.604166666664</v>
      </c>
      <c r="C2012" s="10">
        <v>45952</v>
      </c>
      <c r="D2012" s="7">
        <v>665.64</v>
      </c>
      <c r="E2012" s="7">
        <v>3283899</v>
      </c>
      <c r="F2012" s="7">
        <v>3283899</v>
      </c>
      <c r="G2012" s="7">
        <v>39502039</v>
      </c>
      <c r="H2012" s="7">
        <v>671.21500000000003</v>
      </c>
      <c r="I2012" s="7">
        <v>671.29</v>
      </c>
      <c r="J2012" s="7">
        <v>14</v>
      </c>
      <c r="K2012" s="7">
        <v>5.9140175999999999E-3</v>
      </c>
      <c r="L2012" s="7">
        <v>675.2600208824</v>
      </c>
      <c r="M2012" s="7">
        <v>667.24542266900005</v>
      </c>
      <c r="N2012" s="7">
        <v>667.87366536160005</v>
      </c>
      <c r="O2012" s="7">
        <v>675.2600208824</v>
      </c>
      <c r="P2012" s="7">
        <v>667.24542266900005</v>
      </c>
      <c r="Q2012">
        <v>1</v>
      </c>
      <c r="R2012">
        <v>0</v>
      </c>
      <c r="S2012" s="11">
        <v>45952.666666666664</v>
      </c>
      <c r="T2012">
        <v>382</v>
      </c>
    </row>
    <row r="2013" spans="1:20">
      <c r="A2013" s="11">
        <v>45952.604166666664</v>
      </c>
      <c r="B2013" s="11">
        <v>45952.625</v>
      </c>
      <c r="C2013" s="10">
        <v>45952</v>
      </c>
      <c r="D2013" s="7">
        <v>666.49</v>
      </c>
      <c r="E2013" s="7">
        <v>2465559</v>
      </c>
      <c r="F2013" s="7">
        <v>2465559</v>
      </c>
      <c r="G2013" s="7">
        <v>41967598</v>
      </c>
      <c r="H2013" s="7">
        <v>671.21500000000003</v>
      </c>
      <c r="I2013" s="7">
        <v>671.29</v>
      </c>
      <c r="J2013" s="7">
        <v>14</v>
      </c>
      <c r="K2013" s="7">
        <v>5.4919963000000004E-3</v>
      </c>
      <c r="L2013" s="7">
        <v>674.97672219469996</v>
      </c>
      <c r="M2013" s="7">
        <v>667.52868970509996</v>
      </c>
      <c r="N2013" s="7">
        <v>667.79237625409996</v>
      </c>
      <c r="O2013" s="7">
        <v>674.97672219469996</v>
      </c>
      <c r="P2013" s="7">
        <v>667.52868970509996</v>
      </c>
      <c r="Q2013">
        <v>1</v>
      </c>
      <c r="R2013">
        <v>0</v>
      </c>
      <c r="S2013" s="11">
        <v>45952.666666666664</v>
      </c>
      <c r="T2013">
        <v>381</v>
      </c>
    </row>
    <row r="2014" spans="1:20">
      <c r="A2014" s="11">
        <v>45952.625</v>
      </c>
      <c r="B2014" s="11">
        <v>45952.645833333336</v>
      </c>
      <c r="C2014" s="10">
        <v>45952</v>
      </c>
      <c r="D2014" s="7">
        <v>667.46</v>
      </c>
      <c r="E2014" s="7">
        <v>4694892</v>
      </c>
      <c r="F2014" s="7">
        <v>4694892</v>
      </c>
      <c r="G2014" s="7">
        <v>46662490</v>
      </c>
      <c r="H2014" s="7">
        <v>671.21500000000003</v>
      </c>
      <c r="I2014" s="7">
        <v>671.29</v>
      </c>
      <c r="J2014" s="7">
        <v>14</v>
      </c>
      <c r="K2014" s="7">
        <v>5.8638943999999998E-3</v>
      </c>
      <c r="L2014" s="7">
        <v>675.2263736978</v>
      </c>
      <c r="M2014" s="7">
        <v>667.27906609429999</v>
      </c>
      <c r="N2014" s="7">
        <v>667.75893460500004</v>
      </c>
      <c r="O2014" s="7">
        <v>675.2263736978</v>
      </c>
      <c r="P2014" s="7">
        <v>667.27906609429999</v>
      </c>
      <c r="Q2014">
        <v>1</v>
      </c>
      <c r="R2014">
        <v>0</v>
      </c>
      <c r="S2014" s="11">
        <v>45952.666666666664</v>
      </c>
      <c r="T2014">
        <v>380</v>
      </c>
    </row>
    <row r="2015" spans="1:20">
      <c r="A2015" s="11">
        <v>45952.645833333336</v>
      </c>
      <c r="B2015" s="11">
        <v>45952.666666666664</v>
      </c>
      <c r="C2015" s="10">
        <v>45952</v>
      </c>
      <c r="D2015" s="7">
        <v>667.8</v>
      </c>
      <c r="E2015" s="7">
        <v>8790732</v>
      </c>
      <c r="F2015" s="7">
        <v>8790732</v>
      </c>
      <c r="G2015" s="7">
        <v>55453222</v>
      </c>
      <c r="H2015" s="7">
        <v>671.21500000000003</v>
      </c>
      <c r="I2015" s="7">
        <v>671.29</v>
      </c>
      <c r="J2015" s="7">
        <v>14</v>
      </c>
      <c r="K2015" s="7">
        <v>5.4970975999999996E-3</v>
      </c>
      <c r="L2015" s="7">
        <v>674.98014665189999</v>
      </c>
      <c r="M2015" s="7">
        <v>667.52526563039999</v>
      </c>
      <c r="N2015" s="7">
        <v>667.7749560149</v>
      </c>
      <c r="O2015" s="7">
        <v>674.98014665189999</v>
      </c>
      <c r="P2015" s="7">
        <v>667.52526563039999</v>
      </c>
      <c r="Q2015">
        <v>1</v>
      </c>
      <c r="R2015">
        <v>1</v>
      </c>
      <c r="S2015" s="11">
        <v>45952.666666666664</v>
      </c>
      <c r="T2015">
        <v>379</v>
      </c>
    </row>
    <row r="2016" spans="1:20">
      <c r="A2016" s="11">
        <v>45953.395833333336</v>
      </c>
      <c r="B2016" s="11">
        <v>45953.416666666664</v>
      </c>
      <c r="C2016" s="10">
        <v>45953</v>
      </c>
      <c r="D2016" s="7">
        <v>670.11839999999995</v>
      </c>
      <c r="E2016" s="7">
        <v>5483750</v>
      </c>
      <c r="F2016" s="7">
        <v>5483750</v>
      </c>
      <c r="G2016" s="7">
        <v>5483750</v>
      </c>
      <c r="H2016" s="7">
        <v>670.11839999999995</v>
      </c>
      <c r="I2016" s="7">
        <v>667.8</v>
      </c>
      <c r="J2016" s="7">
        <v>14</v>
      </c>
      <c r="K2016" s="7">
        <v>0</v>
      </c>
      <c r="L2016" s="7">
        <v>670.11839999999995</v>
      </c>
      <c r="M2016" s="7">
        <v>667.8</v>
      </c>
      <c r="N2016" s="7">
        <v>670.11839999999995</v>
      </c>
      <c r="O2016" s="7">
        <v>670.11839999999995</v>
      </c>
      <c r="P2016" s="7">
        <v>667.8</v>
      </c>
      <c r="Q2016">
        <v>1</v>
      </c>
      <c r="R2016">
        <v>0</v>
      </c>
      <c r="S2016" s="11">
        <v>45953.666666666664</v>
      </c>
      <c r="T2016">
        <v>377</v>
      </c>
    </row>
    <row r="2017" spans="1:20">
      <c r="A2017" s="11">
        <v>45953.416666666664</v>
      </c>
      <c r="B2017" s="11">
        <v>45953.4375</v>
      </c>
      <c r="C2017" s="10">
        <v>45953</v>
      </c>
      <c r="D2017" s="7">
        <v>669.37</v>
      </c>
      <c r="E2017" s="7">
        <v>3941819</v>
      </c>
      <c r="F2017" s="7">
        <v>3941819</v>
      </c>
      <c r="G2017" s="7">
        <v>9425569</v>
      </c>
      <c r="H2017" s="7">
        <v>670.11839999999995</v>
      </c>
      <c r="I2017" s="7">
        <v>667.8</v>
      </c>
      <c r="J2017" s="7">
        <v>14</v>
      </c>
      <c r="K2017" s="7">
        <v>1.7615688000000001E-3</v>
      </c>
      <c r="L2017" s="7">
        <v>671.29885969739996</v>
      </c>
      <c r="M2017" s="7">
        <v>666.62362432379996</v>
      </c>
      <c r="N2017" s="7">
        <v>669.80541546400002</v>
      </c>
      <c r="O2017" s="7">
        <v>671.29885969739996</v>
      </c>
      <c r="P2017" s="7">
        <v>666.62362432379996</v>
      </c>
      <c r="Q2017">
        <v>1</v>
      </c>
      <c r="R2017">
        <v>0</v>
      </c>
      <c r="S2017" s="11">
        <v>45953.666666666664</v>
      </c>
      <c r="T2017">
        <v>376</v>
      </c>
    </row>
    <row r="2018" spans="1:20">
      <c r="A2018" s="11">
        <v>45953.4375</v>
      </c>
      <c r="B2018" s="11">
        <v>45953.458333333336</v>
      </c>
      <c r="C2018" s="10">
        <v>45953</v>
      </c>
      <c r="D2018" s="7">
        <v>670.22</v>
      </c>
      <c r="E2018" s="7">
        <v>2511700</v>
      </c>
      <c r="F2018" s="7">
        <v>2511700</v>
      </c>
      <c r="G2018" s="7">
        <v>11937269</v>
      </c>
      <c r="H2018" s="7">
        <v>670.11839999999995</v>
      </c>
      <c r="I2018" s="7">
        <v>667.8</v>
      </c>
      <c r="J2018" s="7">
        <v>14</v>
      </c>
      <c r="K2018" s="7">
        <v>2.4659223999999999E-3</v>
      </c>
      <c r="L2018" s="7">
        <v>671.7708599517</v>
      </c>
      <c r="M2018" s="7">
        <v>666.15325704270003</v>
      </c>
      <c r="N2018" s="7">
        <v>669.89264747489995</v>
      </c>
      <c r="O2018" s="7">
        <v>671.7708599517</v>
      </c>
      <c r="P2018" s="7">
        <v>666.15325704270003</v>
      </c>
      <c r="Q2018">
        <v>1</v>
      </c>
      <c r="R2018">
        <v>0</v>
      </c>
      <c r="S2018" s="11">
        <v>45953.666666666664</v>
      </c>
      <c r="T2018">
        <v>375</v>
      </c>
    </row>
    <row r="2019" spans="1:20">
      <c r="A2019" s="11">
        <v>45953.458333333336</v>
      </c>
      <c r="B2019" s="11">
        <v>45953.479166666664</v>
      </c>
      <c r="C2019" s="10">
        <v>45953</v>
      </c>
      <c r="D2019" s="7">
        <v>670.09</v>
      </c>
      <c r="E2019" s="7">
        <v>1962058</v>
      </c>
      <c r="F2019" s="7">
        <v>1962058</v>
      </c>
      <c r="G2019" s="7">
        <v>13899327</v>
      </c>
      <c r="H2019" s="7">
        <v>670.11839999999995</v>
      </c>
      <c r="I2019" s="7">
        <v>667.8</v>
      </c>
      <c r="J2019" s="7">
        <v>14</v>
      </c>
      <c r="K2019" s="7">
        <v>3.4073253000000002E-3</v>
      </c>
      <c r="L2019" s="7">
        <v>672.4017113722</v>
      </c>
      <c r="M2019" s="7">
        <v>665.52458817069999</v>
      </c>
      <c r="N2019" s="7">
        <v>669.92050616910001</v>
      </c>
      <c r="O2019" s="7">
        <v>672.4017113722</v>
      </c>
      <c r="P2019" s="7">
        <v>665.52458817069999</v>
      </c>
      <c r="Q2019">
        <v>1</v>
      </c>
      <c r="R2019">
        <v>0</v>
      </c>
      <c r="S2019" s="11">
        <v>45953.666666666664</v>
      </c>
      <c r="T2019">
        <v>374</v>
      </c>
    </row>
    <row r="2020" spans="1:20">
      <c r="A2020" s="11">
        <v>45953.479166666664</v>
      </c>
      <c r="B2020" s="11">
        <v>45953.5</v>
      </c>
      <c r="C2020" s="10">
        <v>45953</v>
      </c>
      <c r="D2020" s="7">
        <v>670.24</v>
      </c>
      <c r="E2020" s="7">
        <v>2016869</v>
      </c>
      <c r="F2020" s="7">
        <v>2016869</v>
      </c>
      <c r="G2020" s="7">
        <v>15916196</v>
      </c>
      <c r="H2020" s="7">
        <v>670.11839999999995</v>
      </c>
      <c r="I2020" s="7">
        <v>667.8</v>
      </c>
      <c r="J2020" s="7">
        <v>14</v>
      </c>
      <c r="K2020" s="7">
        <v>4.2725363999999997E-3</v>
      </c>
      <c r="L2020" s="7">
        <v>672.98150525810001</v>
      </c>
      <c r="M2020" s="7">
        <v>664.9468001903</v>
      </c>
      <c r="N2020" s="7">
        <v>669.96099179789996</v>
      </c>
      <c r="O2020" s="7">
        <v>672.98150525810001</v>
      </c>
      <c r="P2020" s="7">
        <v>664.9468001903</v>
      </c>
      <c r="Q2020">
        <v>1</v>
      </c>
      <c r="R2020">
        <v>0</v>
      </c>
      <c r="S2020" s="11">
        <v>45953.666666666664</v>
      </c>
      <c r="T2020">
        <v>373</v>
      </c>
    </row>
    <row r="2021" spans="1:20">
      <c r="A2021" s="11">
        <v>45953.5</v>
      </c>
      <c r="B2021" s="11">
        <v>45953.520833333336</v>
      </c>
      <c r="C2021" s="10">
        <v>45953</v>
      </c>
      <c r="D2021" s="7">
        <v>670.52</v>
      </c>
      <c r="E2021" s="7">
        <v>1890097</v>
      </c>
      <c r="F2021" s="7">
        <v>1890097</v>
      </c>
      <c r="G2021" s="7">
        <v>17806293</v>
      </c>
      <c r="H2021" s="7">
        <v>670.11839999999995</v>
      </c>
      <c r="I2021" s="7">
        <v>667.8</v>
      </c>
      <c r="J2021" s="7">
        <v>14</v>
      </c>
      <c r="K2021" s="7">
        <v>4.9948839999999998E-3</v>
      </c>
      <c r="L2021" s="7">
        <v>673.46556365449999</v>
      </c>
      <c r="M2021" s="7">
        <v>664.46441648450002</v>
      </c>
      <c r="N2021" s="7">
        <v>670.02032923139996</v>
      </c>
      <c r="O2021" s="7">
        <v>673.46556365449999</v>
      </c>
      <c r="P2021" s="7">
        <v>664.46441648450002</v>
      </c>
      <c r="Q2021">
        <v>1</v>
      </c>
      <c r="R2021">
        <v>0</v>
      </c>
      <c r="S2021" s="11">
        <v>45953.666666666664</v>
      </c>
      <c r="T2021">
        <v>372</v>
      </c>
    </row>
    <row r="2022" spans="1:20">
      <c r="A2022" s="11">
        <v>45953.520833333336</v>
      </c>
      <c r="B2022" s="11">
        <v>45953.541666666664</v>
      </c>
      <c r="C2022" s="10">
        <v>45953</v>
      </c>
      <c r="D2022" s="7">
        <v>671.46</v>
      </c>
      <c r="E2022" s="7">
        <v>1936419</v>
      </c>
      <c r="F2022" s="7">
        <v>1936419</v>
      </c>
      <c r="G2022" s="7">
        <v>19742712</v>
      </c>
      <c r="H2022" s="7">
        <v>670.11839999999995</v>
      </c>
      <c r="I2022" s="7">
        <v>667.8</v>
      </c>
      <c r="J2022" s="7">
        <v>14</v>
      </c>
      <c r="K2022" s="7">
        <v>5.4049831E-3</v>
      </c>
      <c r="L2022" s="7">
        <v>673.74037860689998</v>
      </c>
      <c r="M2022" s="7">
        <v>664.1905523058</v>
      </c>
      <c r="N2022" s="7">
        <v>670.16153606399996</v>
      </c>
      <c r="O2022" s="7">
        <v>673.74037860689998</v>
      </c>
      <c r="P2022" s="7">
        <v>664.1905523058</v>
      </c>
      <c r="Q2022">
        <v>1</v>
      </c>
      <c r="R2022">
        <v>0</v>
      </c>
      <c r="S2022" s="11">
        <v>45953.666666666664</v>
      </c>
      <c r="T2022">
        <v>371</v>
      </c>
    </row>
    <row r="2023" spans="1:20">
      <c r="A2023" s="11">
        <v>45953.541666666664</v>
      </c>
      <c r="B2023" s="11">
        <v>45953.5625</v>
      </c>
      <c r="C2023" s="10">
        <v>45953</v>
      </c>
      <c r="D2023" s="7">
        <v>670.99030000000005</v>
      </c>
      <c r="E2023" s="7">
        <v>2712728</v>
      </c>
      <c r="F2023" s="7">
        <v>2712728</v>
      </c>
      <c r="G2023" s="7">
        <v>22455440</v>
      </c>
      <c r="H2023" s="7">
        <v>670.11839999999995</v>
      </c>
      <c r="I2023" s="7">
        <v>667.8</v>
      </c>
      <c r="J2023" s="7">
        <v>14</v>
      </c>
      <c r="K2023" s="7">
        <v>5.7505189999999999E-3</v>
      </c>
      <c r="L2023" s="7">
        <v>673.9719285635</v>
      </c>
      <c r="M2023" s="7">
        <v>663.95980343969995</v>
      </c>
      <c r="N2023" s="7">
        <v>670.26165483859995</v>
      </c>
      <c r="O2023" s="7">
        <v>673.9719285635</v>
      </c>
      <c r="P2023" s="7">
        <v>663.95980343969995</v>
      </c>
      <c r="Q2023">
        <v>1</v>
      </c>
      <c r="R2023">
        <v>0</v>
      </c>
      <c r="S2023" s="11">
        <v>45953.666666666664</v>
      </c>
      <c r="T2023">
        <v>370</v>
      </c>
    </row>
    <row r="2024" spans="1:20">
      <c r="A2024" s="11">
        <v>45953.5625</v>
      </c>
      <c r="B2024" s="11">
        <v>45953.583333333336</v>
      </c>
      <c r="C2024" s="10">
        <v>45953</v>
      </c>
      <c r="D2024" s="7">
        <v>672.38699999999994</v>
      </c>
      <c r="E2024" s="7">
        <v>2548084</v>
      </c>
      <c r="F2024" s="7">
        <v>2548084</v>
      </c>
      <c r="G2024" s="7">
        <v>25003524</v>
      </c>
      <c r="H2024" s="7">
        <v>670.11839999999995</v>
      </c>
      <c r="I2024" s="7">
        <v>667.8</v>
      </c>
      <c r="J2024" s="7">
        <v>14</v>
      </c>
      <c r="K2024" s="7">
        <v>5.9839092999999996E-3</v>
      </c>
      <c r="L2024" s="7">
        <v>674.12832772540003</v>
      </c>
      <c r="M2024" s="7">
        <v>663.80394536990002</v>
      </c>
      <c r="N2024" s="7">
        <v>670.47824662779999</v>
      </c>
      <c r="O2024" s="7">
        <v>674.12832772540003</v>
      </c>
      <c r="P2024" s="7">
        <v>663.80394536990002</v>
      </c>
      <c r="Q2024">
        <v>1</v>
      </c>
      <c r="R2024">
        <v>0</v>
      </c>
      <c r="S2024" s="11">
        <v>45953.666666666664</v>
      </c>
      <c r="T2024">
        <v>369</v>
      </c>
    </row>
    <row r="2025" spans="1:20">
      <c r="A2025" s="11">
        <v>45953.583333333336</v>
      </c>
      <c r="B2025" s="11">
        <v>45953.604166666664</v>
      </c>
      <c r="C2025" s="10">
        <v>45953</v>
      </c>
      <c r="D2025" s="7">
        <v>672.48</v>
      </c>
      <c r="E2025" s="7">
        <v>1954329</v>
      </c>
      <c r="F2025" s="7">
        <v>1954329</v>
      </c>
      <c r="G2025" s="7">
        <v>26957853</v>
      </c>
      <c r="H2025" s="7">
        <v>670.11839999999995</v>
      </c>
      <c r="I2025" s="7">
        <v>667.8</v>
      </c>
      <c r="J2025" s="7">
        <v>14</v>
      </c>
      <c r="K2025" s="7">
        <v>6.4795438999999998E-3</v>
      </c>
      <c r="L2025" s="7">
        <v>674.4604615838</v>
      </c>
      <c r="M2025" s="7">
        <v>663.47296059070004</v>
      </c>
      <c r="N2025" s="7">
        <v>670.62336518250004</v>
      </c>
      <c r="O2025" s="7">
        <v>674.4604615838</v>
      </c>
      <c r="P2025" s="7">
        <v>663.47296059070004</v>
      </c>
      <c r="Q2025">
        <v>1</v>
      </c>
      <c r="R2025">
        <v>0</v>
      </c>
      <c r="S2025" s="11">
        <v>45953.666666666664</v>
      </c>
      <c r="T2025">
        <v>368</v>
      </c>
    </row>
    <row r="2026" spans="1:20">
      <c r="A2026" s="11">
        <v>45953.604166666664</v>
      </c>
      <c r="B2026" s="11">
        <v>45953.625</v>
      </c>
      <c r="C2026" s="10">
        <v>45953</v>
      </c>
      <c r="D2026" s="7">
        <v>672.59</v>
      </c>
      <c r="E2026" s="7">
        <v>1522696</v>
      </c>
      <c r="F2026" s="7">
        <v>1522696</v>
      </c>
      <c r="G2026" s="7">
        <v>28480549</v>
      </c>
      <c r="H2026" s="7">
        <v>670.11839999999995</v>
      </c>
      <c r="I2026" s="7">
        <v>667.8</v>
      </c>
      <c r="J2026" s="7">
        <v>14</v>
      </c>
      <c r="K2026" s="7">
        <v>5.9820092999999996E-3</v>
      </c>
      <c r="L2026" s="7">
        <v>674.12705447049996</v>
      </c>
      <c r="M2026" s="7">
        <v>663.80521421979995</v>
      </c>
      <c r="N2026" s="7">
        <v>670.72851017009998</v>
      </c>
      <c r="O2026" s="7">
        <v>674.12705447049996</v>
      </c>
      <c r="P2026" s="7">
        <v>663.80521421979995</v>
      </c>
      <c r="Q2026">
        <v>1</v>
      </c>
      <c r="R2026">
        <v>0</v>
      </c>
      <c r="S2026" s="11">
        <v>45953.666666666664</v>
      </c>
      <c r="T2026">
        <v>367</v>
      </c>
    </row>
    <row r="2027" spans="1:20">
      <c r="A2027" s="11">
        <v>45953.625</v>
      </c>
      <c r="B2027" s="11">
        <v>45953.645833333336</v>
      </c>
      <c r="C2027" s="10">
        <v>45953</v>
      </c>
      <c r="D2027" s="7">
        <v>672.43499999999995</v>
      </c>
      <c r="E2027" s="7">
        <v>2355927</v>
      </c>
      <c r="F2027" s="7">
        <v>2355927</v>
      </c>
      <c r="G2027" s="7">
        <v>30836476</v>
      </c>
      <c r="H2027" s="7">
        <v>670.11839999999995</v>
      </c>
      <c r="I2027" s="7">
        <v>667.8</v>
      </c>
      <c r="J2027" s="7">
        <v>14</v>
      </c>
      <c r="K2027" s="7">
        <v>6.2474814000000002E-3</v>
      </c>
      <c r="L2027" s="7">
        <v>674.30495226180005</v>
      </c>
      <c r="M2027" s="7">
        <v>663.62793189909996</v>
      </c>
      <c r="N2027" s="7">
        <v>670.85888711279995</v>
      </c>
      <c r="O2027" s="7">
        <v>674.30495226180005</v>
      </c>
      <c r="P2027" s="7">
        <v>663.62793189909996</v>
      </c>
      <c r="Q2027">
        <v>1</v>
      </c>
      <c r="R2027">
        <v>0</v>
      </c>
      <c r="S2027" s="11">
        <v>45953.666666666664</v>
      </c>
      <c r="T2027">
        <v>366</v>
      </c>
    </row>
    <row r="2028" spans="1:20">
      <c r="A2028" s="11">
        <v>45953.645833333336</v>
      </c>
      <c r="B2028" s="11">
        <v>45953.666666666664</v>
      </c>
      <c r="C2028" s="10">
        <v>45953</v>
      </c>
      <c r="D2028" s="7">
        <v>671.76</v>
      </c>
      <c r="E2028" s="7">
        <v>10284979</v>
      </c>
      <c r="F2028" s="7">
        <v>10284979</v>
      </c>
      <c r="G2028" s="7">
        <v>41121455</v>
      </c>
      <c r="H2028" s="7">
        <v>670.11839999999995</v>
      </c>
      <c r="I2028" s="7">
        <v>667.8</v>
      </c>
      <c r="J2028" s="7">
        <v>14</v>
      </c>
      <c r="K2028" s="7">
        <v>5.8519734E-3</v>
      </c>
      <c r="L2028" s="7">
        <v>674.0399150316</v>
      </c>
      <c r="M2028" s="7">
        <v>663.89205218339998</v>
      </c>
      <c r="N2028" s="7">
        <v>671.05925524719999</v>
      </c>
      <c r="O2028" s="7">
        <v>674.0399150316</v>
      </c>
      <c r="P2028" s="7">
        <v>663.89205218339998</v>
      </c>
      <c r="Q2028">
        <v>1</v>
      </c>
      <c r="R2028">
        <v>1</v>
      </c>
      <c r="S2028" s="11">
        <v>45953.666666666664</v>
      </c>
      <c r="T2028">
        <v>365</v>
      </c>
    </row>
    <row r="2029" spans="1:20">
      <c r="A2029" s="11">
        <v>45954.395833333336</v>
      </c>
      <c r="B2029" s="11">
        <v>45954.416666666664</v>
      </c>
      <c r="C2029" s="10">
        <v>45954</v>
      </c>
      <c r="D2029" s="7">
        <v>677.47</v>
      </c>
      <c r="E2029" s="7">
        <v>6623301</v>
      </c>
      <c r="F2029" s="7">
        <v>6623301</v>
      </c>
      <c r="G2029" s="7">
        <v>6623301</v>
      </c>
      <c r="H2029" s="7">
        <v>677.47</v>
      </c>
      <c r="I2029" s="7">
        <v>671.76</v>
      </c>
      <c r="J2029" s="7">
        <v>14</v>
      </c>
      <c r="K2029" s="7">
        <v>0</v>
      </c>
      <c r="L2029" s="7">
        <v>677.47</v>
      </c>
      <c r="M2029" s="7">
        <v>671.76</v>
      </c>
      <c r="N2029" s="7">
        <v>677.47</v>
      </c>
      <c r="O2029" s="7">
        <v>677.47</v>
      </c>
      <c r="P2029" s="7">
        <v>671.76</v>
      </c>
      <c r="Q2029">
        <v>1</v>
      </c>
      <c r="R2029">
        <v>0</v>
      </c>
      <c r="S2029" s="11">
        <v>45954.666666666664</v>
      </c>
      <c r="T2029">
        <v>363</v>
      </c>
    </row>
    <row r="2030" spans="1:20">
      <c r="A2030" s="11">
        <v>45954.416666666664</v>
      </c>
      <c r="B2030" s="11">
        <v>45954.4375</v>
      </c>
      <c r="C2030" s="10">
        <v>45954</v>
      </c>
      <c r="D2030" s="7">
        <v>676.74</v>
      </c>
      <c r="E2030" s="7">
        <v>3416477</v>
      </c>
      <c r="F2030" s="7">
        <v>3416477</v>
      </c>
      <c r="G2030" s="7">
        <v>10039778</v>
      </c>
      <c r="H2030" s="7">
        <v>677.47</v>
      </c>
      <c r="I2030" s="7">
        <v>671.76</v>
      </c>
      <c r="J2030" s="7">
        <v>14</v>
      </c>
      <c r="K2030" s="7">
        <v>1.7673217000000001E-3</v>
      </c>
      <c r="L2030" s="7">
        <v>678.66730745489997</v>
      </c>
      <c r="M2030" s="7">
        <v>670.57278395219998</v>
      </c>
      <c r="N2030" s="7">
        <v>677.22158532289995</v>
      </c>
      <c r="O2030" s="7">
        <v>678.66730745489997</v>
      </c>
      <c r="P2030" s="7">
        <v>670.57278395219998</v>
      </c>
      <c r="Q2030">
        <v>1</v>
      </c>
      <c r="R2030">
        <v>0</v>
      </c>
      <c r="S2030" s="11">
        <v>45954.666666666664</v>
      </c>
      <c r="T2030">
        <v>362</v>
      </c>
    </row>
    <row r="2031" spans="1:20">
      <c r="A2031" s="11">
        <v>45954.4375</v>
      </c>
      <c r="B2031" s="11">
        <v>45954.458333333336</v>
      </c>
      <c r="C2031" s="10">
        <v>45954</v>
      </c>
      <c r="D2031" s="7">
        <v>676.68</v>
      </c>
      <c r="E2031" s="7">
        <v>2813888</v>
      </c>
      <c r="F2031" s="7">
        <v>2813888</v>
      </c>
      <c r="G2031" s="7">
        <v>12853666</v>
      </c>
      <c r="H2031" s="7">
        <v>677.47</v>
      </c>
      <c r="I2031" s="7">
        <v>671.76</v>
      </c>
      <c r="J2031" s="7">
        <v>14</v>
      </c>
      <c r="K2031" s="7">
        <v>2.3244523E-3</v>
      </c>
      <c r="L2031" s="7">
        <v>679.04474668939997</v>
      </c>
      <c r="M2031" s="7">
        <v>670.19852593320002</v>
      </c>
      <c r="N2031" s="7">
        <v>677.10302300449996</v>
      </c>
      <c r="O2031" s="7">
        <v>679.04474668939997</v>
      </c>
      <c r="P2031" s="7">
        <v>670.19852593320002</v>
      </c>
      <c r="Q2031">
        <v>1</v>
      </c>
      <c r="R2031">
        <v>0</v>
      </c>
      <c r="S2031" s="11">
        <v>45954.666666666664</v>
      </c>
      <c r="T2031">
        <v>361</v>
      </c>
    </row>
    <row r="2032" spans="1:20">
      <c r="A2032" s="11">
        <v>45954.458333333336</v>
      </c>
      <c r="B2032" s="11">
        <v>45954.479166666664</v>
      </c>
      <c r="C2032" s="10">
        <v>45954</v>
      </c>
      <c r="D2032" s="7">
        <v>678.19</v>
      </c>
      <c r="E2032" s="7">
        <v>3199351</v>
      </c>
      <c r="F2032" s="7">
        <v>3199351</v>
      </c>
      <c r="G2032" s="7">
        <v>16053017</v>
      </c>
      <c r="H2032" s="7">
        <v>677.47</v>
      </c>
      <c r="I2032" s="7">
        <v>671.76</v>
      </c>
      <c r="J2032" s="7">
        <v>14</v>
      </c>
      <c r="K2032" s="7">
        <v>3.2942638999999998E-3</v>
      </c>
      <c r="L2032" s="7">
        <v>679.70176494559996</v>
      </c>
      <c r="M2032" s="7">
        <v>669.5470453012</v>
      </c>
      <c r="N2032" s="7">
        <v>677.3196564845</v>
      </c>
      <c r="O2032" s="7">
        <v>679.70176494559996</v>
      </c>
      <c r="P2032" s="7">
        <v>669.5470453012</v>
      </c>
      <c r="Q2032">
        <v>1</v>
      </c>
      <c r="R2032">
        <v>0</v>
      </c>
      <c r="S2032" s="11">
        <v>45954.666666666664</v>
      </c>
      <c r="T2032">
        <v>360</v>
      </c>
    </row>
    <row r="2033" spans="1:20">
      <c r="A2033" s="11">
        <v>45954.479166666664</v>
      </c>
      <c r="B2033" s="11">
        <v>45954.5</v>
      </c>
      <c r="C2033" s="10">
        <v>45954</v>
      </c>
      <c r="D2033" s="7">
        <v>677.96</v>
      </c>
      <c r="E2033" s="7">
        <v>2499033</v>
      </c>
      <c r="F2033" s="7">
        <v>2499033</v>
      </c>
      <c r="G2033" s="7">
        <v>18552050</v>
      </c>
      <c r="H2033" s="7">
        <v>677.47</v>
      </c>
      <c r="I2033" s="7">
        <v>671.76</v>
      </c>
      <c r="J2033" s="7">
        <v>14</v>
      </c>
      <c r="K2033" s="7">
        <v>4.0895317999999998E-3</v>
      </c>
      <c r="L2033" s="7">
        <v>680.24053509769999</v>
      </c>
      <c r="M2033" s="7">
        <v>669.01281612879995</v>
      </c>
      <c r="N2033" s="7">
        <v>677.40591323650006</v>
      </c>
      <c r="O2033" s="7">
        <v>680.24053509769999</v>
      </c>
      <c r="P2033" s="7">
        <v>669.01281612879995</v>
      </c>
      <c r="Q2033">
        <v>1</v>
      </c>
      <c r="R2033">
        <v>0</v>
      </c>
      <c r="S2033" s="11">
        <v>45954.666666666664</v>
      </c>
      <c r="T2033">
        <v>359</v>
      </c>
    </row>
    <row r="2034" spans="1:20">
      <c r="A2034" s="11">
        <v>45954.5</v>
      </c>
      <c r="B2034" s="11">
        <v>45954.520833333336</v>
      </c>
      <c r="C2034" s="10">
        <v>45954</v>
      </c>
      <c r="D2034" s="7">
        <v>677.88</v>
      </c>
      <c r="E2034" s="7">
        <v>1810182</v>
      </c>
      <c r="F2034" s="7">
        <v>1810182</v>
      </c>
      <c r="G2034" s="7">
        <v>20362232</v>
      </c>
      <c r="H2034" s="7">
        <v>677.47</v>
      </c>
      <c r="I2034" s="7">
        <v>671.76</v>
      </c>
      <c r="J2034" s="7">
        <v>14</v>
      </c>
      <c r="K2034" s="7">
        <v>4.8502451E-3</v>
      </c>
      <c r="L2034" s="7">
        <v>680.75589553999998</v>
      </c>
      <c r="M2034" s="7">
        <v>668.50179935940002</v>
      </c>
      <c r="N2034" s="7">
        <v>677.44805907429998</v>
      </c>
      <c r="O2034" s="7">
        <v>680.75589553999998</v>
      </c>
      <c r="P2034" s="7">
        <v>668.50179935940002</v>
      </c>
      <c r="Q2034">
        <v>1</v>
      </c>
      <c r="R2034">
        <v>0</v>
      </c>
      <c r="S2034" s="11">
        <v>45954.666666666664</v>
      </c>
      <c r="T2034">
        <v>358</v>
      </c>
    </row>
    <row r="2035" spans="1:20">
      <c r="A2035" s="11">
        <v>45954.520833333336</v>
      </c>
      <c r="B2035" s="11">
        <v>45954.541666666664</v>
      </c>
      <c r="C2035" s="10">
        <v>45954</v>
      </c>
      <c r="D2035" s="7">
        <v>677.90800000000002</v>
      </c>
      <c r="E2035" s="7">
        <v>1848955</v>
      </c>
      <c r="F2035" s="7">
        <v>1848955</v>
      </c>
      <c r="G2035" s="7">
        <v>22211187</v>
      </c>
      <c r="H2035" s="7">
        <v>677.47</v>
      </c>
      <c r="I2035" s="7">
        <v>671.76</v>
      </c>
      <c r="J2035" s="7">
        <v>14</v>
      </c>
      <c r="K2035" s="7">
        <v>5.3850355000000004E-3</v>
      </c>
      <c r="L2035" s="7">
        <v>681.11819997400005</v>
      </c>
      <c r="M2035" s="7">
        <v>668.14254857850005</v>
      </c>
      <c r="N2035" s="7">
        <v>677.48634654060004</v>
      </c>
      <c r="O2035" s="7">
        <v>681.11819997400005</v>
      </c>
      <c r="P2035" s="7">
        <v>668.14254857850005</v>
      </c>
      <c r="Q2035">
        <v>1</v>
      </c>
      <c r="R2035">
        <v>0</v>
      </c>
      <c r="S2035" s="11">
        <v>45954.666666666664</v>
      </c>
      <c r="T2035">
        <v>357</v>
      </c>
    </row>
    <row r="2036" spans="1:20">
      <c r="A2036" s="11">
        <v>45954.541666666664</v>
      </c>
      <c r="B2036" s="11">
        <v>45954.5625</v>
      </c>
      <c r="C2036" s="10">
        <v>45954</v>
      </c>
      <c r="D2036" s="7">
        <v>678.04</v>
      </c>
      <c r="E2036" s="7">
        <v>1039575</v>
      </c>
      <c r="F2036" s="7">
        <v>1039575</v>
      </c>
      <c r="G2036" s="7">
        <v>23250762</v>
      </c>
      <c r="H2036" s="7">
        <v>677.47</v>
      </c>
      <c r="I2036" s="7">
        <v>671.76</v>
      </c>
      <c r="J2036" s="7">
        <v>14</v>
      </c>
      <c r="K2036" s="7">
        <v>5.8003218E-3</v>
      </c>
      <c r="L2036" s="7">
        <v>681.3995440018</v>
      </c>
      <c r="M2036" s="7">
        <v>667.86357583569998</v>
      </c>
      <c r="N2036" s="7">
        <v>677.51110118279996</v>
      </c>
      <c r="O2036" s="7">
        <v>681.3995440018</v>
      </c>
      <c r="P2036" s="7">
        <v>667.86357583569998</v>
      </c>
      <c r="Q2036">
        <v>1</v>
      </c>
      <c r="R2036">
        <v>0</v>
      </c>
      <c r="S2036" s="11">
        <v>45954.666666666664</v>
      </c>
      <c r="T2036">
        <v>356</v>
      </c>
    </row>
    <row r="2037" spans="1:20">
      <c r="A2037" s="11">
        <v>45954.5625</v>
      </c>
      <c r="B2037" s="11">
        <v>45954.583333333336</v>
      </c>
      <c r="C2037" s="10">
        <v>45954</v>
      </c>
      <c r="D2037" s="7">
        <v>678.06</v>
      </c>
      <c r="E2037" s="7">
        <v>1372238</v>
      </c>
      <c r="F2037" s="7">
        <v>1372238</v>
      </c>
      <c r="G2037" s="7">
        <v>24623000</v>
      </c>
      <c r="H2037" s="7">
        <v>677.47</v>
      </c>
      <c r="I2037" s="7">
        <v>671.76</v>
      </c>
      <c r="J2037" s="7">
        <v>14</v>
      </c>
      <c r="K2037" s="7">
        <v>6.0734218999999997E-3</v>
      </c>
      <c r="L2037" s="7">
        <v>681.58456110199995</v>
      </c>
      <c r="M2037" s="7">
        <v>667.6801181367</v>
      </c>
      <c r="N2037" s="7">
        <v>677.54169127399996</v>
      </c>
      <c r="O2037" s="7">
        <v>681.58456110199995</v>
      </c>
      <c r="P2037" s="7">
        <v>667.6801181367</v>
      </c>
      <c r="Q2037">
        <v>1</v>
      </c>
      <c r="R2037">
        <v>0</v>
      </c>
      <c r="S2037" s="11">
        <v>45954.666666666664</v>
      </c>
      <c r="T2037">
        <v>355</v>
      </c>
    </row>
    <row r="2038" spans="1:20">
      <c r="A2038" s="11">
        <v>45954.583333333336</v>
      </c>
      <c r="B2038" s="11">
        <v>45954.604166666664</v>
      </c>
      <c r="C2038" s="10">
        <v>45954</v>
      </c>
      <c r="D2038" s="7">
        <v>678.15</v>
      </c>
      <c r="E2038" s="7">
        <v>1271205</v>
      </c>
      <c r="F2038" s="7">
        <v>1271205</v>
      </c>
      <c r="G2038" s="7">
        <v>25894205</v>
      </c>
      <c r="H2038" s="7">
        <v>677.47</v>
      </c>
      <c r="I2038" s="7">
        <v>671.76</v>
      </c>
      <c r="J2038" s="7">
        <v>14</v>
      </c>
      <c r="K2038" s="7">
        <v>6.7184886999999997E-3</v>
      </c>
      <c r="L2038" s="7">
        <v>682.02157456099997</v>
      </c>
      <c r="M2038" s="7">
        <v>667.24678800970003</v>
      </c>
      <c r="N2038" s="7">
        <v>677.57155452309996</v>
      </c>
      <c r="O2038" s="7">
        <v>682.02157456099997</v>
      </c>
      <c r="P2038" s="7">
        <v>667.24678800970003</v>
      </c>
      <c r="Q2038">
        <v>1</v>
      </c>
      <c r="R2038">
        <v>0</v>
      </c>
      <c r="S2038" s="11">
        <v>45954.666666666664</v>
      </c>
      <c r="T2038">
        <v>354</v>
      </c>
    </row>
    <row r="2039" spans="1:20">
      <c r="A2039" s="11">
        <v>45954.604166666664</v>
      </c>
      <c r="B2039" s="11">
        <v>45954.625</v>
      </c>
      <c r="C2039" s="10">
        <v>45954</v>
      </c>
      <c r="D2039" s="7">
        <v>678.2</v>
      </c>
      <c r="E2039" s="7">
        <v>1669400</v>
      </c>
      <c r="F2039" s="7">
        <v>1669400</v>
      </c>
      <c r="G2039" s="7">
        <v>27563605</v>
      </c>
      <c r="H2039" s="7">
        <v>677.47</v>
      </c>
      <c r="I2039" s="7">
        <v>671.76</v>
      </c>
      <c r="J2039" s="7">
        <v>14</v>
      </c>
      <c r="K2039" s="7">
        <v>6.1634519999999998E-3</v>
      </c>
      <c r="L2039" s="7">
        <v>681.64555379640001</v>
      </c>
      <c r="M2039" s="7">
        <v>667.61963951430005</v>
      </c>
      <c r="N2039" s="7">
        <v>677.60961655740005</v>
      </c>
      <c r="O2039" s="7">
        <v>681.64555379640001</v>
      </c>
      <c r="P2039" s="7">
        <v>667.61963951430005</v>
      </c>
      <c r="Q2039">
        <v>1</v>
      </c>
      <c r="R2039">
        <v>0</v>
      </c>
      <c r="S2039" s="11">
        <v>45954.666666666664</v>
      </c>
      <c r="T2039">
        <v>353</v>
      </c>
    </row>
    <row r="2040" spans="1:20">
      <c r="A2040" s="11">
        <v>45954.625</v>
      </c>
      <c r="B2040" s="11">
        <v>45954.645833333336</v>
      </c>
      <c r="C2040" s="10">
        <v>45954</v>
      </c>
      <c r="D2040" s="7">
        <v>678.22</v>
      </c>
      <c r="E2040" s="7">
        <v>2374989</v>
      </c>
      <c r="F2040" s="7">
        <v>2374989</v>
      </c>
      <c r="G2040" s="7">
        <v>29938594</v>
      </c>
      <c r="H2040" s="7">
        <v>677.47</v>
      </c>
      <c r="I2040" s="7">
        <v>671.76</v>
      </c>
      <c r="J2040" s="7">
        <v>14</v>
      </c>
      <c r="K2040" s="7">
        <v>6.3825816000000002E-3</v>
      </c>
      <c r="L2040" s="7">
        <v>681.7940075619</v>
      </c>
      <c r="M2040" s="7">
        <v>667.47243697900001</v>
      </c>
      <c r="N2040" s="7">
        <v>677.65803746730001</v>
      </c>
      <c r="O2040" s="7">
        <v>681.7940075619</v>
      </c>
      <c r="P2040" s="7">
        <v>667.47243697900001</v>
      </c>
      <c r="Q2040">
        <v>1</v>
      </c>
      <c r="R2040">
        <v>0</v>
      </c>
      <c r="S2040" s="11">
        <v>45954.666666666664</v>
      </c>
      <c r="T2040">
        <v>352</v>
      </c>
    </row>
    <row r="2041" spans="1:20">
      <c r="A2041" s="11">
        <v>45954.645833333336</v>
      </c>
      <c r="B2041" s="11">
        <v>45954.666666666664</v>
      </c>
      <c r="C2041" s="10">
        <v>45954</v>
      </c>
      <c r="D2041" s="7">
        <v>677.25</v>
      </c>
      <c r="E2041" s="7">
        <v>11619461</v>
      </c>
      <c r="F2041" s="7">
        <v>11619461</v>
      </c>
      <c r="G2041" s="7">
        <v>41558055</v>
      </c>
      <c r="H2041" s="7">
        <v>677.47</v>
      </c>
      <c r="I2041" s="7">
        <v>671.76</v>
      </c>
      <c r="J2041" s="7">
        <v>14</v>
      </c>
      <c r="K2041" s="7">
        <v>5.8714583000000001E-3</v>
      </c>
      <c r="L2041" s="7">
        <v>681.44773684389997</v>
      </c>
      <c r="M2041" s="7">
        <v>667.81578918289995</v>
      </c>
      <c r="N2041" s="7">
        <v>677.54674783099995</v>
      </c>
      <c r="O2041" s="7">
        <v>681.44773684389997</v>
      </c>
      <c r="P2041" s="7">
        <v>667.81578918289995</v>
      </c>
      <c r="Q2041">
        <v>1</v>
      </c>
      <c r="R2041">
        <v>1</v>
      </c>
      <c r="S2041" s="11">
        <v>45954.666666666664</v>
      </c>
      <c r="T2041">
        <v>351</v>
      </c>
    </row>
    <row r="2042" spans="1:20">
      <c r="A2042" s="11">
        <v>45957.395833333336</v>
      </c>
      <c r="B2042" s="11">
        <v>45957.416666666664</v>
      </c>
      <c r="C2042" s="10">
        <v>45957</v>
      </c>
      <c r="D2042" s="7">
        <v>683.14499999999998</v>
      </c>
      <c r="E2042" s="7">
        <v>5765971</v>
      </c>
      <c r="F2042" s="7">
        <v>5765971</v>
      </c>
      <c r="G2042" s="7">
        <v>5765971</v>
      </c>
      <c r="H2042" s="7">
        <v>683.14499999999998</v>
      </c>
      <c r="I2042" s="7">
        <v>677.25</v>
      </c>
      <c r="J2042" s="7">
        <v>14</v>
      </c>
      <c r="K2042" s="7">
        <v>0</v>
      </c>
      <c r="L2042" s="7">
        <v>683.14499999999998</v>
      </c>
      <c r="M2042" s="7">
        <v>677.25</v>
      </c>
      <c r="N2042" s="7">
        <v>683.14499999999998</v>
      </c>
      <c r="O2042" s="7">
        <v>683.14499999999998</v>
      </c>
      <c r="P2042" s="7">
        <v>677.25</v>
      </c>
      <c r="Q2042">
        <v>1</v>
      </c>
      <c r="R2042">
        <v>0</v>
      </c>
      <c r="S2042" s="11">
        <v>45957.666666666664</v>
      </c>
      <c r="T2042">
        <v>349</v>
      </c>
    </row>
    <row r="2043" spans="1:20">
      <c r="A2043" s="11">
        <v>45957.416666666664</v>
      </c>
      <c r="B2043" s="11">
        <v>45957.4375</v>
      </c>
      <c r="C2043" s="10">
        <v>45957</v>
      </c>
      <c r="D2043" s="7">
        <v>683.02</v>
      </c>
      <c r="E2043" s="7">
        <v>4079001</v>
      </c>
      <c r="F2043" s="7">
        <v>4079001</v>
      </c>
      <c r="G2043" s="7">
        <v>9844972</v>
      </c>
      <c r="H2043" s="7">
        <v>683.14499999999998</v>
      </c>
      <c r="I2043" s="7">
        <v>677.25</v>
      </c>
      <c r="J2043" s="7">
        <v>14</v>
      </c>
      <c r="K2043" s="7">
        <v>1.785649E-3</v>
      </c>
      <c r="L2043" s="7">
        <v>684.36485718480003</v>
      </c>
      <c r="M2043" s="7">
        <v>676.04066921610001</v>
      </c>
      <c r="N2043" s="7">
        <v>683.09320959110005</v>
      </c>
      <c r="O2043" s="7">
        <v>684.36485718480003</v>
      </c>
      <c r="P2043" s="7">
        <v>676.04066921610001</v>
      </c>
      <c r="Q2043">
        <v>1</v>
      </c>
      <c r="R2043">
        <v>0</v>
      </c>
      <c r="S2043" s="11">
        <v>45957.666666666664</v>
      </c>
      <c r="T2043">
        <v>348</v>
      </c>
    </row>
    <row r="2044" spans="1:20">
      <c r="A2044" s="11">
        <v>45957.4375</v>
      </c>
      <c r="B2044" s="11">
        <v>45957.458333333336</v>
      </c>
      <c r="C2044" s="10">
        <v>45957</v>
      </c>
      <c r="D2044" s="7">
        <v>682.65</v>
      </c>
      <c r="E2044" s="7">
        <v>2593194</v>
      </c>
      <c r="F2044" s="7">
        <v>2593194</v>
      </c>
      <c r="G2044" s="7">
        <v>12438166</v>
      </c>
      <c r="H2044" s="7">
        <v>683.14499999999998</v>
      </c>
      <c r="I2044" s="7">
        <v>677.25</v>
      </c>
      <c r="J2044" s="7">
        <v>14</v>
      </c>
      <c r="K2044" s="7">
        <v>2.3203187999999999E-3</v>
      </c>
      <c r="L2044" s="7">
        <v>684.73011419370005</v>
      </c>
      <c r="M2044" s="7">
        <v>675.67856408570003</v>
      </c>
      <c r="N2044" s="7">
        <v>683.00080622140001</v>
      </c>
      <c r="O2044" s="7">
        <v>684.73011419370005</v>
      </c>
      <c r="P2044" s="7">
        <v>675.67856408570003</v>
      </c>
      <c r="Q2044">
        <v>1</v>
      </c>
      <c r="R2044">
        <v>0</v>
      </c>
      <c r="S2044" s="11">
        <v>45957.666666666664</v>
      </c>
      <c r="T2044">
        <v>347</v>
      </c>
    </row>
    <row r="2045" spans="1:20">
      <c r="A2045" s="11">
        <v>45957.458333333336</v>
      </c>
      <c r="B2045" s="11">
        <v>45957.479166666664</v>
      </c>
      <c r="C2045" s="10">
        <v>45957</v>
      </c>
      <c r="D2045" s="7">
        <v>683.36500000000001</v>
      </c>
      <c r="E2045" s="7">
        <v>1950768</v>
      </c>
      <c r="F2045" s="7">
        <v>1950768</v>
      </c>
      <c r="G2045" s="7">
        <v>14388934</v>
      </c>
      <c r="H2045" s="7">
        <v>683.14499999999998</v>
      </c>
      <c r="I2045" s="7">
        <v>677.25</v>
      </c>
      <c r="J2045" s="7">
        <v>14</v>
      </c>
      <c r="K2045" s="7">
        <v>3.2401028999999998E-3</v>
      </c>
      <c r="L2045" s="7">
        <v>685.35846008969997</v>
      </c>
      <c r="M2045" s="7">
        <v>675.05564031680001</v>
      </c>
      <c r="N2045" s="7">
        <v>683.05018149609998</v>
      </c>
      <c r="O2045" s="7">
        <v>685.35846008969997</v>
      </c>
      <c r="P2045" s="7">
        <v>675.05564031680001</v>
      </c>
      <c r="Q2045">
        <v>1</v>
      </c>
      <c r="R2045">
        <v>0</v>
      </c>
      <c r="S2045" s="11">
        <v>45957.666666666664</v>
      </c>
      <c r="T2045">
        <v>346</v>
      </c>
    </row>
    <row r="2046" spans="1:20">
      <c r="A2046" s="11">
        <v>45957.479166666664</v>
      </c>
      <c r="B2046" s="11">
        <v>45957.5</v>
      </c>
      <c r="C2046" s="10">
        <v>45957</v>
      </c>
      <c r="D2046" s="7">
        <v>683.41800000000001</v>
      </c>
      <c r="E2046" s="7">
        <v>1861660</v>
      </c>
      <c r="F2046" s="7">
        <v>1861660</v>
      </c>
      <c r="G2046" s="7">
        <v>16250594</v>
      </c>
      <c r="H2046" s="7">
        <v>683.14499999999998</v>
      </c>
      <c r="I2046" s="7">
        <v>677.25</v>
      </c>
      <c r="J2046" s="7">
        <v>14</v>
      </c>
      <c r="K2046" s="7">
        <v>3.9407532E-3</v>
      </c>
      <c r="L2046" s="7">
        <v>685.83710583849995</v>
      </c>
      <c r="M2046" s="7">
        <v>674.58112490159999</v>
      </c>
      <c r="N2046" s="7">
        <v>683.09231860169996</v>
      </c>
      <c r="O2046" s="7">
        <v>685.83710583849995</v>
      </c>
      <c r="P2046" s="7">
        <v>674.58112490159999</v>
      </c>
      <c r="Q2046">
        <v>1</v>
      </c>
      <c r="R2046">
        <v>0</v>
      </c>
      <c r="S2046" s="11">
        <v>45957.666666666664</v>
      </c>
      <c r="T2046">
        <v>345</v>
      </c>
    </row>
    <row r="2047" spans="1:20">
      <c r="A2047" s="11">
        <v>45957.5</v>
      </c>
      <c r="B2047" s="11">
        <v>45957.520833333336</v>
      </c>
      <c r="C2047" s="10">
        <v>45957</v>
      </c>
      <c r="D2047" s="7">
        <v>683.53</v>
      </c>
      <c r="E2047" s="7">
        <v>1838711</v>
      </c>
      <c r="F2047" s="7">
        <v>1838711</v>
      </c>
      <c r="G2047" s="7">
        <v>18089305</v>
      </c>
      <c r="H2047" s="7">
        <v>683.14499999999998</v>
      </c>
      <c r="I2047" s="7">
        <v>677.25</v>
      </c>
      <c r="J2047" s="7">
        <v>14</v>
      </c>
      <c r="K2047" s="7">
        <v>4.6962302999999997E-3</v>
      </c>
      <c r="L2047" s="7">
        <v>686.35320623769996</v>
      </c>
      <c r="M2047" s="7">
        <v>674.06947803989999</v>
      </c>
      <c r="N2047" s="7">
        <v>683.13680729830003</v>
      </c>
      <c r="O2047" s="7">
        <v>686.35320623769996</v>
      </c>
      <c r="P2047" s="7">
        <v>674.06947803989999</v>
      </c>
      <c r="Q2047">
        <v>1</v>
      </c>
      <c r="R2047">
        <v>0</v>
      </c>
      <c r="S2047" s="11">
        <v>45957.666666666664</v>
      </c>
      <c r="T2047">
        <v>344</v>
      </c>
    </row>
    <row r="2048" spans="1:20">
      <c r="A2048" s="11">
        <v>45957.520833333336</v>
      </c>
      <c r="B2048" s="11">
        <v>45957.541666666664</v>
      </c>
      <c r="C2048" s="10">
        <v>45957</v>
      </c>
      <c r="D2048" s="7">
        <v>683.77</v>
      </c>
      <c r="E2048" s="7">
        <v>1534923</v>
      </c>
      <c r="F2048" s="7">
        <v>1534923</v>
      </c>
      <c r="G2048" s="7">
        <v>19624228</v>
      </c>
      <c r="H2048" s="7">
        <v>683.14499999999998</v>
      </c>
      <c r="I2048" s="7">
        <v>677.25</v>
      </c>
      <c r="J2048" s="7">
        <v>14</v>
      </c>
      <c r="K2048" s="7">
        <v>5.2435683999999998E-3</v>
      </c>
      <c r="L2048" s="7">
        <v>686.7271175459</v>
      </c>
      <c r="M2048" s="7">
        <v>673.69879328989998</v>
      </c>
      <c r="N2048" s="7">
        <v>683.18633291740002</v>
      </c>
      <c r="O2048" s="7">
        <v>686.7271175459</v>
      </c>
      <c r="P2048" s="7">
        <v>673.69879328989998</v>
      </c>
      <c r="Q2048">
        <v>1</v>
      </c>
      <c r="R2048">
        <v>0</v>
      </c>
      <c r="S2048" s="11">
        <v>45957.666666666664</v>
      </c>
      <c r="T2048">
        <v>343</v>
      </c>
    </row>
    <row r="2049" spans="1:20">
      <c r="A2049" s="11">
        <v>45957.541666666664</v>
      </c>
      <c r="B2049" s="11">
        <v>45957.5625</v>
      </c>
      <c r="C2049" s="10">
        <v>45957</v>
      </c>
      <c r="D2049" s="7">
        <v>683.46</v>
      </c>
      <c r="E2049" s="7">
        <v>1871031</v>
      </c>
      <c r="F2049" s="7">
        <v>1871031</v>
      </c>
      <c r="G2049" s="7">
        <v>21495259</v>
      </c>
      <c r="H2049" s="7">
        <v>683.14499999999998</v>
      </c>
      <c r="I2049" s="7">
        <v>677.25</v>
      </c>
      <c r="J2049" s="7">
        <v>14</v>
      </c>
      <c r="K2049" s="7">
        <v>5.6333234999999997E-3</v>
      </c>
      <c r="L2049" s="7">
        <v>686.99337678049994</v>
      </c>
      <c r="M2049" s="7">
        <v>673.43483166160001</v>
      </c>
      <c r="N2049" s="7">
        <v>683.21015396530004</v>
      </c>
      <c r="O2049" s="7">
        <v>686.99337678049994</v>
      </c>
      <c r="P2049" s="7">
        <v>673.43483166160001</v>
      </c>
      <c r="Q2049">
        <v>1</v>
      </c>
      <c r="R2049">
        <v>0</v>
      </c>
      <c r="S2049" s="11">
        <v>45957.666666666664</v>
      </c>
      <c r="T2049">
        <v>342</v>
      </c>
    </row>
    <row r="2050" spans="1:20">
      <c r="A2050" s="11">
        <v>45957.5625</v>
      </c>
      <c r="B2050" s="11">
        <v>45957.583333333336</v>
      </c>
      <c r="C2050" s="10">
        <v>45957</v>
      </c>
      <c r="D2050" s="7">
        <v>683.9</v>
      </c>
      <c r="E2050" s="7">
        <v>2521634</v>
      </c>
      <c r="F2050" s="7">
        <v>2521634</v>
      </c>
      <c r="G2050" s="7">
        <v>24016893</v>
      </c>
      <c r="H2050" s="7">
        <v>683.14499999999998</v>
      </c>
      <c r="I2050" s="7">
        <v>677.25</v>
      </c>
      <c r="J2050" s="7">
        <v>14</v>
      </c>
      <c r="K2050" s="7">
        <v>5.8872087000000003E-3</v>
      </c>
      <c r="L2050" s="7">
        <v>687.16681718330005</v>
      </c>
      <c r="M2050" s="7">
        <v>673.262887912</v>
      </c>
      <c r="N2050" s="7">
        <v>683.28258378450005</v>
      </c>
      <c r="O2050" s="7">
        <v>687.16681718330005</v>
      </c>
      <c r="P2050" s="7">
        <v>673.262887912</v>
      </c>
      <c r="Q2050">
        <v>1</v>
      </c>
      <c r="R2050">
        <v>0</v>
      </c>
      <c r="S2050" s="11">
        <v>45957.666666666664</v>
      </c>
      <c r="T2050">
        <v>341</v>
      </c>
    </row>
    <row r="2051" spans="1:20">
      <c r="A2051" s="11">
        <v>45957.583333333336</v>
      </c>
      <c r="B2051" s="11">
        <v>45957.604166666664</v>
      </c>
      <c r="C2051" s="10">
        <v>45957</v>
      </c>
      <c r="D2051" s="7">
        <v>683.86</v>
      </c>
      <c r="E2051" s="7">
        <v>1265480</v>
      </c>
      <c r="F2051" s="7">
        <v>1265480</v>
      </c>
      <c r="G2051" s="7">
        <v>25282373</v>
      </c>
      <c r="H2051" s="7">
        <v>683.14499999999998</v>
      </c>
      <c r="I2051" s="7">
        <v>677.25</v>
      </c>
      <c r="J2051" s="7">
        <v>14</v>
      </c>
      <c r="K2051" s="7">
        <v>6.5460294000000002E-3</v>
      </c>
      <c r="L2051" s="7">
        <v>687.6168872344</v>
      </c>
      <c r="M2051" s="7">
        <v>672.81670160869999</v>
      </c>
      <c r="N2051" s="7">
        <v>683.31148568670005</v>
      </c>
      <c r="O2051" s="7">
        <v>687.6168872344</v>
      </c>
      <c r="P2051" s="7">
        <v>672.81670160869999</v>
      </c>
      <c r="Q2051">
        <v>1</v>
      </c>
      <c r="R2051">
        <v>0</v>
      </c>
      <c r="S2051" s="11">
        <v>45957.666666666664</v>
      </c>
      <c r="T2051">
        <v>340</v>
      </c>
    </row>
    <row r="2052" spans="1:20">
      <c r="A2052" s="11">
        <v>45957.604166666664</v>
      </c>
      <c r="B2052" s="11">
        <v>45957.625</v>
      </c>
      <c r="C2052" s="10">
        <v>45957</v>
      </c>
      <c r="D2052" s="7">
        <v>684.13400000000001</v>
      </c>
      <c r="E2052" s="7">
        <v>2460274</v>
      </c>
      <c r="F2052" s="7">
        <v>2460274</v>
      </c>
      <c r="G2052" s="7">
        <v>27742647</v>
      </c>
      <c r="H2052" s="7">
        <v>683.14499999999998</v>
      </c>
      <c r="I2052" s="7">
        <v>677.25</v>
      </c>
      <c r="J2052" s="7">
        <v>14</v>
      </c>
      <c r="K2052" s="7">
        <v>6.0101245999999997E-3</v>
      </c>
      <c r="L2052" s="7">
        <v>687.25078658279995</v>
      </c>
      <c r="M2052" s="7">
        <v>673.17964310189996</v>
      </c>
      <c r="N2052" s="7">
        <v>683.3844279182</v>
      </c>
      <c r="O2052" s="7">
        <v>687.25078658279995</v>
      </c>
      <c r="P2052" s="7">
        <v>673.17964310189996</v>
      </c>
      <c r="Q2052">
        <v>1</v>
      </c>
      <c r="R2052">
        <v>0</v>
      </c>
      <c r="S2052" s="11">
        <v>45957.666666666664</v>
      </c>
      <c r="T2052">
        <v>339</v>
      </c>
    </row>
    <row r="2053" spans="1:20">
      <c r="A2053" s="11">
        <v>45957.625</v>
      </c>
      <c r="B2053" s="11">
        <v>45957.645833333336</v>
      </c>
      <c r="C2053" s="10">
        <v>45957</v>
      </c>
      <c r="D2053" s="7">
        <v>684.24</v>
      </c>
      <c r="E2053" s="7">
        <v>2567590</v>
      </c>
      <c r="F2053" s="7">
        <v>2567590</v>
      </c>
      <c r="G2053" s="7">
        <v>30310237</v>
      </c>
      <c r="H2053" s="7">
        <v>683.14499999999998</v>
      </c>
      <c r="I2053" s="7">
        <v>677.25</v>
      </c>
      <c r="J2053" s="7">
        <v>14</v>
      </c>
      <c r="K2053" s="7">
        <v>6.2718777000000002E-3</v>
      </c>
      <c r="L2053" s="7">
        <v>687.42960189660005</v>
      </c>
      <c r="M2053" s="7">
        <v>673.00237082249998</v>
      </c>
      <c r="N2053" s="7">
        <v>683.45690370650004</v>
      </c>
      <c r="O2053" s="7">
        <v>687.42960189660005</v>
      </c>
      <c r="P2053" s="7">
        <v>673.00237082249998</v>
      </c>
      <c r="Q2053">
        <v>1</v>
      </c>
      <c r="R2053">
        <v>0</v>
      </c>
      <c r="S2053" s="11">
        <v>45957.666666666664</v>
      </c>
      <c r="T2053">
        <v>338</v>
      </c>
    </row>
    <row r="2054" spans="1:20">
      <c r="A2054" s="11">
        <v>45957.645833333336</v>
      </c>
      <c r="B2054" s="11">
        <v>45957.666666666664</v>
      </c>
      <c r="C2054" s="10">
        <v>45957</v>
      </c>
      <c r="D2054" s="7">
        <v>685.24</v>
      </c>
      <c r="E2054" s="7">
        <v>11765461</v>
      </c>
      <c r="F2054" s="7">
        <v>11765461</v>
      </c>
      <c r="G2054" s="7">
        <v>42075698</v>
      </c>
      <c r="H2054" s="7">
        <v>683.14499999999998</v>
      </c>
      <c r="I2054" s="7">
        <v>677.25</v>
      </c>
      <c r="J2054" s="7">
        <v>14</v>
      </c>
      <c r="K2054" s="7">
        <v>5.7176683000000001E-3</v>
      </c>
      <c r="L2054" s="7">
        <v>687.05099653800005</v>
      </c>
      <c r="M2054" s="7">
        <v>673.37770911689995</v>
      </c>
      <c r="N2054" s="7">
        <v>683.95550387000003</v>
      </c>
      <c r="O2054" s="7">
        <v>687.05099653800005</v>
      </c>
      <c r="P2054" s="7">
        <v>673.37770911689995</v>
      </c>
      <c r="Q2054">
        <v>1</v>
      </c>
      <c r="R2054">
        <v>1</v>
      </c>
      <c r="S2054" s="11">
        <v>45957.666666666664</v>
      </c>
      <c r="T2054">
        <v>337</v>
      </c>
    </row>
    <row r="2055" spans="1:20">
      <c r="A2055" s="11">
        <v>45958.395833333336</v>
      </c>
      <c r="B2055" s="11">
        <v>45958.416666666664</v>
      </c>
      <c r="C2055" s="10">
        <v>45958</v>
      </c>
      <c r="D2055" s="7">
        <v>685.73</v>
      </c>
      <c r="E2055" s="7">
        <v>5824642</v>
      </c>
      <c r="F2055" s="7">
        <v>5824642</v>
      </c>
      <c r="G2055" s="7">
        <v>5824642</v>
      </c>
      <c r="H2055" s="7">
        <v>685.73</v>
      </c>
      <c r="I2055" s="7">
        <v>685.24</v>
      </c>
      <c r="J2055" s="7">
        <v>14</v>
      </c>
      <c r="K2055" s="7">
        <v>0</v>
      </c>
      <c r="L2055" s="7">
        <v>685.73</v>
      </c>
      <c r="M2055" s="7">
        <v>685.24</v>
      </c>
      <c r="N2055" s="7">
        <v>685.73</v>
      </c>
      <c r="O2055" s="7">
        <v>685.73</v>
      </c>
      <c r="P2055" s="7">
        <v>685.24</v>
      </c>
      <c r="Q2055">
        <v>1</v>
      </c>
      <c r="R2055">
        <v>0</v>
      </c>
      <c r="S2055" s="11">
        <v>45958.666666666664</v>
      </c>
      <c r="T2055">
        <v>335</v>
      </c>
    </row>
    <row r="2056" spans="1:20">
      <c r="A2056" s="11">
        <v>45958.416666666664</v>
      </c>
      <c r="B2056" s="11">
        <v>45958.4375</v>
      </c>
      <c r="C2056" s="10">
        <v>45958</v>
      </c>
      <c r="D2056" s="7">
        <v>686.11</v>
      </c>
      <c r="E2056" s="7">
        <v>2245732</v>
      </c>
      <c r="F2056" s="7">
        <v>2245732</v>
      </c>
      <c r="G2056" s="7">
        <v>8070374</v>
      </c>
      <c r="H2056" s="7">
        <v>685.73</v>
      </c>
      <c r="I2056" s="7">
        <v>685.24</v>
      </c>
      <c r="J2056" s="7">
        <v>14</v>
      </c>
      <c r="K2056" s="7">
        <v>1.7142282E-3</v>
      </c>
      <c r="L2056" s="7">
        <v>686.90549770059999</v>
      </c>
      <c r="M2056" s="7">
        <v>684.06534227120005</v>
      </c>
      <c r="N2056" s="7">
        <v>685.83574208330003</v>
      </c>
      <c r="O2056" s="7">
        <v>686.90549770059999</v>
      </c>
      <c r="P2056" s="7">
        <v>684.06534227120005</v>
      </c>
      <c r="Q2056">
        <v>1</v>
      </c>
      <c r="R2056">
        <v>0</v>
      </c>
      <c r="S2056" s="11">
        <v>45958.666666666664</v>
      </c>
      <c r="T2056">
        <v>334</v>
      </c>
    </row>
    <row r="2057" spans="1:20">
      <c r="A2057" s="11">
        <v>45958.4375</v>
      </c>
      <c r="B2057" s="11">
        <v>45958.458333333336</v>
      </c>
      <c r="C2057" s="10">
        <v>45958</v>
      </c>
      <c r="D2057" s="7">
        <v>685.82</v>
      </c>
      <c r="E2057" s="7">
        <v>2472484</v>
      </c>
      <c r="F2057" s="7">
        <v>2472484</v>
      </c>
      <c r="G2057" s="7">
        <v>10542858</v>
      </c>
      <c r="H2057" s="7">
        <v>685.73</v>
      </c>
      <c r="I2057" s="7">
        <v>685.24</v>
      </c>
      <c r="J2057" s="7">
        <v>14</v>
      </c>
      <c r="K2057" s="7">
        <v>2.2461363999999998E-3</v>
      </c>
      <c r="L2057" s="7">
        <v>687.27024311790001</v>
      </c>
      <c r="M2057" s="7">
        <v>683.70085748890006</v>
      </c>
      <c r="N2057" s="7">
        <v>685.8320502903</v>
      </c>
      <c r="O2057" s="7">
        <v>687.27024311790001</v>
      </c>
      <c r="P2057" s="7">
        <v>683.70085748890006</v>
      </c>
      <c r="Q2057">
        <v>1</v>
      </c>
      <c r="R2057">
        <v>0</v>
      </c>
      <c r="S2057" s="11">
        <v>45958.666666666664</v>
      </c>
      <c r="T2057">
        <v>333</v>
      </c>
    </row>
    <row r="2058" spans="1:20">
      <c r="A2058" s="11">
        <v>45958.458333333336</v>
      </c>
      <c r="B2058" s="11">
        <v>45958.479166666664</v>
      </c>
      <c r="C2058" s="10">
        <v>45958</v>
      </c>
      <c r="D2058" s="7">
        <v>685.52</v>
      </c>
      <c r="E2058" s="7">
        <v>1297690</v>
      </c>
      <c r="F2058" s="7">
        <v>1297690</v>
      </c>
      <c r="G2058" s="7">
        <v>11840548</v>
      </c>
      <c r="H2058" s="7">
        <v>685.73</v>
      </c>
      <c r="I2058" s="7">
        <v>685.24</v>
      </c>
      <c r="J2058" s="7">
        <v>14</v>
      </c>
      <c r="K2058" s="7">
        <v>2.9586207000000002E-3</v>
      </c>
      <c r="L2058" s="7">
        <v>687.75881499349998</v>
      </c>
      <c r="M2058" s="7">
        <v>683.21263473069996</v>
      </c>
      <c r="N2058" s="7">
        <v>685.79785047619998</v>
      </c>
      <c r="O2058" s="7">
        <v>687.75881499349998</v>
      </c>
      <c r="P2058" s="7">
        <v>683.21263473069996</v>
      </c>
      <c r="Q2058">
        <v>1</v>
      </c>
      <c r="R2058">
        <v>0</v>
      </c>
      <c r="S2058" s="11">
        <v>45958.666666666664</v>
      </c>
      <c r="T2058">
        <v>332</v>
      </c>
    </row>
    <row r="2059" spans="1:20">
      <c r="A2059" s="11">
        <v>45958.479166666664</v>
      </c>
      <c r="B2059" s="11">
        <v>45958.5</v>
      </c>
      <c r="C2059" s="10">
        <v>45958</v>
      </c>
      <c r="D2059" s="7">
        <v>685.58500000000004</v>
      </c>
      <c r="E2059" s="7">
        <v>1978277</v>
      </c>
      <c r="F2059" s="7">
        <v>1978277</v>
      </c>
      <c r="G2059" s="7">
        <v>13818825</v>
      </c>
      <c r="H2059" s="7">
        <v>685.73</v>
      </c>
      <c r="I2059" s="7">
        <v>685.24</v>
      </c>
      <c r="J2059" s="7">
        <v>14</v>
      </c>
      <c r="K2059" s="7">
        <v>3.5585350999999999E-3</v>
      </c>
      <c r="L2059" s="7">
        <v>688.17019429749996</v>
      </c>
      <c r="M2059" s="7">
        <v>682.80154938470002</v>
      </c>
      <c r="N2059" s="7">
        <v>685.76737920230005</v>
      </c>
      <c r="O2059" s="7">
        <v>688.17019429749996</v>
      </c>
      <c r="P2059" s="7">
        <v>682.80154938470002</v>
      </c>
      <c r="Q2059">
        <v>1</v>
      </c>
      <c r="R2059">
        <v>0</v>
      </c>
      <c r="S2059" s="11">
        <v>45958.666666666664</v>
      </c>
      <c r="T2059">
        <v>331</v>
      </c>
    </row>
    <row r="2060" spans="1:20">
      <c r="A2060" s="11">
        <v>45958.5</v>
      </c>
      <c r="B2060" s="11">
        <v>45958.520833333336</v>
      </c>
      <c r="C2060" s="10">
        <v>45958</v>
      </c>
      <c r="D2060" s="7">
        <v>686.18</v>
      </c>
      <c r="E2060" s="7">
        <v>1540607</v>
      </c>
      <c r="F2060" s="7">
        <v>1540607</v>
      </c>
      <c r="G2060" s="7">
        <v>15359432</v>
      </c>
      <c r="H2060" s="7">
        <v>685.73</v>
      </c>
      <c r="I2060" s="7">
        <v>685.24</v>
      </c>
      <c r="J2060" s="7">
        <v>14</v>
      </c>
      <c r="K2060" s="7">
        <v>4.3427272000000003E-3</v>
      </c>
      <c r="L2060" s="7">
        <v>688.70793830310004</v>
      </c>
      <c r="M2060" s="7">
        <v>682.26418963319998</v>
      </c>
      <c r="N2060" s="7">
        <v>685.80876657190004</v>
      </c>
      <c r="O2060" s="7">
        <v>688.70793830310004</v>
      </c>
      <c r="P2060" s="7">
        <v>682.26418963319998</v>
      </c>
      <c r="Q2060">
        <v>1</v>
      </c>
      <c r="R2060">
        <v>0</v>
      </c>
      <c r="S2060" s="11">
        <v>45958.666666666664</v>
      </c>
      <c r="T2060">
        <v>330</v>
      </c>
    </row>
    <row r="2061" spans="1:20">
      <c r="A2061" s="11">
        <v>45958.520833333336</v>
      </c>
      <c r="B2061" s="11">
        <v>45958.541666666664</v>
      </c>
      <c r="C2061" s="10">
        <v>45958</v>
      </c>
      <c r="D2061" s="7">
        <v>686.87</v>
      </c>
      <c r="E2061" s="7">
        <v>3525361</v>
      </c>
      <c r="F2061" s="7">
        <v>3525361</v>
      </c>
      <c r="G2061" s="7">
        <v>18884793</v>
      </c>
      <c r="H2061" s="7">
        <v>685.73</v>
      </c>
      <c r="I2061" s="7">
        <v>685.24</v>
      </c>
      <c r="J2061" s="7">
        <v>14</v>
      </c>
      <c r="K2061" s="7">
        <v>4.9119710000000002E-3</v>
      </c>
      <c r="L2061" s="7">
        <v>689.09828587569996</v>
      </c>
      <c r="M2061" s="7">
        <v>681.87412099009998</v>
      </c>
      <c r="N2061" s="7">
        <v>686.00687469729996</v>
      </c>
      <c r="O2061" s="7">
        <v>689.09828587569996</v>
      </c>
      <c r="P2061" s="7">
        <v>681.87412099009998</v>
      </c>
      <c r="Q2061">
        <v>1</v>
      </c>
      <c r="R2061">
        <v>0</v>
      </c>
      <c r="S2061" s="11">
        <v>45958.666666666664</v>
      </c>
      <c r="T2061">
        <v>329</v>
      </c>
    </row>
    <row r="2062" spans="1:20">
      <c r="A2062" s="11">
        <v>45958.541666666664</v>
      </c>
      <c r="B2062" s="11">
        <v>45958.5625</v>
      </c>
      <c r="C2062" s="10">
        <v>45958</v>
      </c>
      <c r="D2062" s="7">
        <v>686.98</v>
      </c>
      <c r="E2062" s="7">
        <v>1712700</v>
      </c>
      <c r="F2062" s="7">
        <v>1712700</v>
      </c>
      <c r="G2062" s="7">
        <v>20597493</v>
      </c>
      <c r="H2062" s="7">
        <v>685.73</v>
      </c>
      <c r="I2062" s="7">
        <v>685.24</v>
      </c>
      <c r="J2062" s="7">
        <v>14</v>
      </c>
      <c r="K2062" s="7">
        <v>5.3288284E-3</v>
      </c>
      <c r="L2062" s="7">
        <v>689.38413747449999</v>
      </c>
      <c r="M2062" s="7">
        <v>681.58847365140002</v>
      </c>
      <c r="N2062" s="7">
        <v>686.08779093819999</v>
      </c>
      <c r="O2062" s="7">
        <v>689.38413747449999</v>
      </c>
      <c r="P2062" s="7">
        <v>681.58847365140002</v>
      </c>
      <c r="Q2062">
        <v>1</v>
      </c>
      <c r="R2062">
        <v>0</v>
      </c>
      <c r="S2062" s="11">
        <v>45958.666666666664</v>
      </c>
      <c r="T2062">
        <v>328</v>
      </c>
    </row>
    <row r="2063" spans="1:20">
      <c r="A2063" s="11">
        <v>45958.5625</v>
      </c>
      <c r="B2063" s="11">
        <v>45958.583333333336</v>
      </c>
      <c r="C2063" s="10">
        <v>45958</v>
      </c>
      <c r="D2063" s="7">
        <v>687.625</v>
      </c>
      <c r="E2063" s="7">
        <v>2014364</v>
      </c>
      <c r="F2063" s="7">
        <v>2014364</v>
      </c>
      <c r="G2063" s="7">
        <v>22611857</v>
      </c>
      <c r="H2063" s="7">
        <v>685.73</v>
      </c>
      <c r="I2063" s="7">
        <v>685.24</v>
      </c>
      <c r="J2063" s="7">
        <v>14</v>
      </c>
      <c r="K2063" s="7">
        <v>5.5660155999999999E-3</v>
      </c>
      <c r="L2063" s="7">
        <v>689.54678384440001</v>
      </c>
      <c r="M2063" s="7">
        <v>681.4259435033</v>
      </c>
      <c r="N2063" s="7">
        <v>686.22473230460002</v>
      </c>
      <c r="O2063" s="7">
        <v>689.54678384440001</v>
      </c>
      <c r="P2063" s="7">
        <v>681.4259435033</v>
      </c>
      <c r="Q2063">
        <v>1</v>
      </c>
      <c r="R2063">
        <v>0</v>
      </c>
      <c r="S2063" s="11">
        <v>45958.666666666664</v>
      </c>
      <c r="T2063">
        <v>327</v>
      </c>
    </row>
    <row r="2064" spans="1:20">
      <c r="A2064" s="11">
        <v>45958.583333333336</v>
      </c>
      <c r="B2064" s="11">
        <v>45958.604166666664</v>
      </c>
      <c r="C2064" s="10">
        <v>45958</v>
      </c>
      <c r="D2064" s="7">
        <v>688.04</v>
      </c>
      <c r="E2064" s="7">
        <v>2421132</v>
      </c>
      <c r="F2064" s="7">
        <v>2421132</v>
      </c>
      <c r="G2064" s="7">
        <v>25032989</v>
      </c>
      <c r="H2064" s="7">
        <v>685.73</v>
      </c>
      <c r="I2064" s="7">
        <v>685.24</v>
      </c>
      <c r="J2064" s="7">
        <v>14</v>
      </c>
      <c r="K2064" s="7">
        <v>6.2535999000000002E-3</v>
      </c>
      <c r="L2064" s="7">
        <v>690.01828106899995</v>
      </c>
      <c r="M2064" s="7">
        <v>680.954783195</v>
      </c>
      <c r="N2064" s="7">
        <v>686.40030073979995</v>
      </c>
      <c r="O2064" s="7">
        <v>690.01828106899995</v>
      </c>
      <c r="P2064" s="7">
        <v>680.954783195</v>
      </c>
      <c r="Q2064">
        <v>1</v>
      </c>
      <c r="R2064">
        <v>0</v>
      </c>
      <c r="S2064" s="11">
        <v>45958.666666666664</v>
      </c>
      <c r="T2064">
        <v>326</v>
      </c>
    </row>
    <row r="2065" spans="1:20">
      <c r="A2065" s="11">
        <v>45958.604166666664</v>
      </c>
      <c r="B2065" s="11">
        <v>45958.625</v>
      </c>
      <c r="C2065" s="10">
        <v>45958</v>
      </c>
      <c r="D2065" s="7">
        <v>688.13</v>
      </c>
      <c r="E2065" s="7">
        <v>1860159</v>
      </c>
      <c r="F2065" s="7">
        <v>1860159</v>
      </c>
      <c r="G2065" s="7">
        <v>26893148</v>
      </c>
      <c r="H2065" s="7">
        <v>685.73</v>
      </c>
      <c r="I2065" s="7">
        <v>685.24</v>
      </c>
      <c r="J2065" s="7">
        <v>14</v>
      </c>
      <c r="K2065" s="7">
        <v>5.7846041000000001E-3</v>
      </c>
      <c r="L2065" s="7">
        <v>689.69667654919999</v>
      </c>
      <c r="M2065" s="7">
        <v>681.27615790679999</v>
      </c>
      <c r="N2065" s="7">
        <v>686.51994146189998</v>
      </c>
      <c r="O2065" s="7">
        <v>689.69667654919999</v>
      </c>
      <c r="P2065" s="7">
        <v>681.27615790679999</v>
      </c>
      <c r="Q2065">
        <v>1</v>
      </c>
      <c r="R2065">
        <v>0</v>
      </c>
      <c r="S2065" s="11">
        <v>45958.666666666664</v>
      </c>
      <c r="T2065">
        <v>325</v>
      </c>
    </row>
    <row r="2066" spans="1:20">
      <c r="A2066" s="11">
        <v>45958.625</v>
      </c>
      <c r="B2066" s="11">
        <v>45958.645833333336</v>
      </c>
      <c r="C2066" s="10">
        <v>45958</v>
      </c>
      <c r="D2066" s="7">
        <v>688.69500000000005</v>
      </c>
      <c r="E2066" s="7">
        <v>3110467</v>
      </c>
      <c r="F2066" s="7">
        <v>3110467</v>
      </c>
      <c r="G2066" s="7">
        <v>30003615</v>
      </c>
      <c r="H2066" s="7">
        <v>685.73</v>
      </c>
      <c r="I2066" s="7">
        <v>685.24</v>
      </c>
      <c r="J2066" s="7">
        <v>14</v>
      </c>
      <c r="K2066" s="7">
        <v>6.0117410000000001E-3</v>
      </c>
      <c r="L2066" s="7">
        <v>689.85243117740004</v>
      </c>
      <c r="M2066" s="7">
        <v>681.12051457569999</v>
      </c>
      <c r="N2066" s="7">
        <v>686.74542921739999</v>
      </c>
      <c r="O2066" s="7">
        <v>689.85243117740004</v>
      </c>
      <c r="P2066" s="7">
        <v>681.12051457569999</v>
      </c>
      <c r="Q2066">
        <v>1</v>
      </c>
      <c r="R2066">
        <v>0</v>
      </c>
      <c r="S2066" s="11">
        <v>45958.666666666664</v>
      </c>
      <c r="T2066">
        <v>324</v>
      </c>
    </row>
    <row r="2067" spans="1:20">
      <c r="A2067" s="11">
        <v>45958.645833333336</v>
      </c>
      <c r="B2067" s="11">
        <v>45958.666666666664</v>
      </c>
      <c r="C2067" s="10">
        <v>45958</v>
      </c>
      <c r="D2067" s="7">
        <v>687.06</v>
      </c>
      <c r="E2067" s="7">
        <v>9451838</v>
      </c>
      <c r="F2067" s="7">
        <v>9451838</v>
      </c>
      <c r="G2067" s="7">
        <v>39455453</v>
      </c>
      <c r="H2067" s="7">
        <v>685.73</v>
      </c>
      <c r="I2067" s="7">
        <v>685.24</v>
      </c>
      <c r="J2067" s="7">
        <v>14</v>
      </c>
      <c r="K2067" s="7">
        <v>5.6205426999999999E-3</v>
      </c>
      <c r="L2067" s="7">
        <v>689.58417475830004</v>
      </c>
      <c r="M2067" s="7">
        <v>681.38857930760003</v>
      </c>
      <c r="N2067" s="7">
        <v>686.81839134250004</v>
      </c>
      <c r="O2067" s="7">
        <v>689.58417475830004</v>
      </c>
      <c r="P2067" s="7">
        <v>681.38857930760003</v>
      </c>
      <c r="Q2067">
        <v>1</v>
      </c>
      <c r="R2067">
        <v>1</v>
      </c>
      <c r="S2067" s="11">
        <v>45958.666666666664</v>
      </c>
      <c r="T2067">
        <v>323</v>
      </c>
    </row>
    <row r="2068" spans="1:20">
      <c r="A2068" s="11">
        <v>45959.395833333336</v>
      </c>
      <c r="B2068" s="11">
        <v>45959.416666666664</v>
      </c>
      <c r="C2068" s="10">
        <v>45959</v>
      </c>
      <c r="D2068" s="7">
        <v>689.64</v>
      </c>
      <c r="E2068" s="7">
        <v>6167277</v>
      </c>
      <c r="F2068" s="7">
        <v>6167277</v>
      </c>
      <c r="G2068" s="7">
        <v>6167277</v>
      </c>
      <c r="H2068" s="7">
        <v>689.64</v>
      </c>
      <c r="I2068" s="7">
        <v>687.06</v>
      </c>
      <c r="J2068" s="7">
        <v>14</v>
      </c>
      <c r="K2068" s="7">
        <v>0</v>
      </c>
      <c r="L2068" s="7">
        <v>689.64</v>
      </c>
      <c r="M2068" s="7">
        <v>687.06</v>
      </c>
      <c r="N2068" s="7">
        <v>689.64</v>
      </c>
      <c r="O2068" s="7">
        <v>689.64</v>
      </c>
      <c r="P2068" s="7">
        <v>687.06</v>
      </c>
      <c r="Q2068">
        <v>1</v>
      </c>
      <c r="R2068">
        <v>0</v>
      </c>
      <c r="S2068" s="11">
        <v>45959.666666666664</v>
      </c>
      <c r="T2068">
        <v>321</v>
      </c>
    </row>
    <row r="2069" spans="1:20">
      <c r="A2069" s="11">
        <v>45959.416666666664</v>
      </c>
      <c r="B2069" s="11">
        <v>45959.4375</v>
      </c>
      <c r="C2069" s="10">
        <v>45959</v>
      </c>
      <c r="D2069" s="7">
        <v>688.99</v>
      </c>
      <c r="E2069" s="7">
        <v>3642926</v>
      </c>
      <c r="F2069" s="7">
        <v>3642926</v>
      </c>
      <c r="G2069" s="7">
        <v>9810203</v>
      </c>
      <c r="H2069" s="7">
        <v>689.64</v>
      </c>
      <c r="I2069" s="7">
        <v>687.06</v>
      </c>
      <c r="J2069" s="7">
        <v>14</v>
      </c>
      <c r="K2069" s="7">
        <v>1.5913240000000001E-3</v>
      </c>
      <c r="L2069" s="7">
        <v>690.73744070659995</v>
      </c>
      <c r="M2069" s="7">
        <v>685.96666490940004</v>
      </c>
      <c r="N2069" s="7">
        <v>689.39862865429996</v>
      </c>
      <c r="O2069" s="7">
        <v>690.73744070659995</v>
      </c>
      <c r="P2069" s="7">
        <v>685.96666490940004</v>
      </c>
      <c r="Q2069">
        <v>1</v>
      </c>
      <c r="R2069">
        <v>0</v>
      </c>
      <c r="S2069" s="11">
        <v>45959.666666666664</v>
      </c>
      <c r="T2069">
        <v>320</v>
      </c>
    </row>
    <row r="2070" spans="1:20">
      <c r="A2070" s="11">
        <v>45959.4375</v>
      </c>
      <c r="B2070" s="11">
        <v>45959.458333333336</v>
      </c>
      <c r="C2070" s="10">
        <v>45959</v>
      </c>
      <c r="D2070" s="7">
        <v>688.375</v>
      </c>
      <c r="E2070" s="7">
        <v>3991548</v>
      </c>
      <c r="F2070" s="7">
        <v>3991548</v>
      </c>
      <c r="G2070" s="7">
        <v>13801751</v>
      </c>
      <c r="H2070" s="7">
        <v>689.64</v>
      </c>
      <c r="I2070" s="7">
        <v>687.06</v>
      </c>
      <c r="J2070" s="7">
        <v>14</v>
      </c>
      <c r="K2070" s="7">
        <v>2.1100723999999999E-3</v>
      </c>
      <c r="L2070" s="7">
        <v>691.09519031369996</v>
      </c>
      <c r="M2070" s="7">
        <v>685.61025367299999</v>
      </c>
      <c r="N2070" s="7">
        <v>689.10258919470004</v>
      </c>
      <c r="O2070" s="7">
        <v>691.09519031369996</v>
      </c>
      <c r="P2070" s="7">
        <v>685.61025367299999</v>
      </c>
      <c r="Q2070">
        <v>1</v>
      </c>
      <c r="R2070">
        <v>0</v>
      </c>
      <c r="S2070" s="11">
        <v>45959.666666666664</v>
      </c>
      <c r="T2070">
        <v>319</v>
      </c>
    </row>
    <row r="2071" spans="1:20">
      <c r="A2071" s="11">
        <v>45959.458333333336</v>
      </c>
      <c r="B2071" s="11">
        <v>45959.479166666664</v>
      </c>
      <c r="C2071" s="10">
        <v>45959</v>
      </c>
      <c r="D2071" s="7">
        <v>688.24</v>
      </c>
      <c r="E2071" s="7">
        <v>3555989</v>
      </c>
      <c r="F2071" s="7">
        <v>3555989</v>
      </c>
      <c r="G2071" s="7">
        <v>17357740</v>
      </c>
      <c r="H2071" s="7">
        <v>689.64</v>
      </c>
      <c r="I2071" s="7">
        <v>687.06</v>
      </c>
      <c r="J2071" s="7">
        <v>14</v>
      </c>
      <c r="K2071" s="7">
        <v>2.7519484999999999E-3</v>
      </c>
      <c r="L2071" s="7">
        <v>691.53785377719998</v>
      </c>
      <c r="M2071" s="7">
        <v>685.16924625000001</v>
      </c>
      <c r="N2071" s="7">
        <v>688.92587507819997</v>
      </c>
      <c r="O2071" s="7">
        <v>691.53785377719998</v>
      </c>
      <c r="P2071" s="7">
        <v>685.16924625000001</v>
      </c>
      <c r="Q2071">
        <v>1</v>
      </c>
      <c r="R2071">
        <v>0</v>
      </c>
      <c r="S2071" s="11">
        <v>45959.666666666664</v>
      </c>
      <c r="T2071">
        <v>318</v>
      </c>
    </row>
    <row r="2072" spans="1:20">
      <c r="A2072" s="11">
        <v>45959.479166666664</v>
      </c>
      <c r="B2072" s="11">
        <v>45959.5</v>
      </c>
      <c r="C2072" s="10">
        <v>45959</v>
      </c>
      <c r="D2072" s="7">
        <v>688</v>
      </c>
      <c r="E2072" s="7">
        <v>2874439</v>
      </c>
      <c r="F2072" s="7">
        <v>2874439</v>
      </c>
      <c r="G2072" s="7">
        <v>20232179</v>
      </c>
      <c r="H2072" s="7">
        <v>689.64</v>
      </c>
      <c r="I2072" s="7">
        <v>687.06</v>
      </c>
      <c r="J2072" s="7">
        <v>14</v>
      </c>
      <c r="K2072" s="7">
        <v>3.3163240999999999E-3</v>
      </c>
      <c r="L2072" s="7">
        <v>691.92706977169996</v>
      </c>
      <c r="M2072" s="7">
        <v>684.78148634460001</v>
      </c>
      <c r="N2072" s="7">
        <v>688.79433356540005</v>
      </c>
      <c r="O2072" s="7">
        <v>691.92706977169996</v>
      </c>
      <c r="P2072" s="7">
        <v>684.78148634460001</v>
      </c>
      <c r="Q2072">
        <v>1</v>
      </c>
      <c r="R2072">
        <v>0</v>
      </c>
      <c r="S2072" s="11">
        <v>45959.666666666664</v>
      </c>
      <c r="T2072">
        <v>317</v>
      </c>
    </row>
    <row r="2073" spans="1:20">
      <c r="A2073" s="11">
        <v>45959.5</v>
      </c>
      <c r="B2073" s="11">
        <v>45959.520833333336</v>
      </c>
      <c r="C2073" s="10">
        <v>45959</v>
      </c>
      <c r="D2073" s="7">
        <v>688.48</v>
      </c>
      <c r="E2073" s="7">
        <v>1773432</v>
      </c>
      <c r="F2073" s="7">
        <v>1773432</v>
      </c>
      <c r="G2073" s="7">
        <v>22005611</v>
      </c>
      <c r="H2073" s="7">
        <v>689.64</v>
      </c>
      <c r="I2073" s="7">
        <v>687.06</v>
      </c>
      <c r="J2073" s="7">
        <v>14</v>
      </c>
      <c r="K2073" s="7">
        <v>4.1488013000000002E-3</v>
      </c>
      <c r="L2073" s="7">
        <v>692.50117932909995</v>
      </c>
      <c r="M2073" s="7">
        <v>684.20952457830003</v>
      </c>
      <c r="N2073" s="7">
        <v>688.76900142600005</v>
      </c>
      <c r="O2073" s="7">
        <v>692.50117932909995</v>
      </c>
      <c r="P2073" s="7">
        <v>684.20952457830003</v>
      </c>
      <c r="Q2073">
        <v>1</v>
      </c>
      <c r="R2073">
        <v>0</v>
      </c>
      <c r="S2073" s="11">
        <v>45959.666666666664</v>
      </c>
      <c r="T2073">
        <v>316</v>
      </c>
    </row>
    <row r="2074" spans="1:20">
      <c r="A2074" s="11">
        <v>45959.520833333336</v>
      </c>
      <c r="B2074" s="11">
        <v>45959.541666666664</v>
      </c>
      <c r="C2074" s="10">
        <v>45959</v>
      </c>
      <c r="D2074" s="7">
        <v>688.5675</v>
      </c>
      <c r="E2074" s="7">
        <v>1340541</v>
      </c>
      <c r="F2074" s="7">
        <v>1340541</v>
      </c>
      <c r="G2074" s="7">
        <v>23346152</v>
      </c>
      <c r="H2074" s="7">
        <v>689.64</v>
      </c>
      <c r="I2074" s="7">
        <v>687.06</v>
      </c>
      <c r="J2074" s="7">
        <v>14</v>
      </c>
      <c r="K2074" s="7">
        <v>4.7819272999999997E-3</v>
      </c>
      <c r="L2074" s="7">
        <v>692.93780837179997</v>
      </c>
      <c r="M2074" s="7">
        <v>683.77452900080004</v>
      </c>
      <c r="N2074" s="7">
        <v>688.75743117139996</v>
      </c>
      <c r="O2074" s="7">
        <v>692.93780837179997</v>
      </c>
      <c r="P2074" s="7">
        <v>683.77452900080004</v>
      </c>
      <c r="Q2074">
        <v>1</v>
      </c>
      <c r="R2074">
        <v>0</v>
      </c>
      <c r="S2074" s="11">
        <v>45959.666666666664</v>
      </c>
      <c r="T2074">
        <v>315</v>
      </c>
    </row>
    <row r="2075" spans="1:20">
      <c r="A2075" s="11">
        <v>45959.541666666664</v>
      </c>
      <c r="B2075" s="11">
        <v>45959.5625</v>
      </c>
      <c r="C2075" s="10">
        <v>45959</v>
      </c>
      <c r="D2075" s="7">
        <v>687.86</v>
      </c>
      <c r="E2075" s="7">
        <v>1285040</v>
      </c>
      <c r="F2075" s="7">
        <v>1285040</v>
      </c>
      <c r="G2075" s="7">
        <v>24631192</v>
      </c>
      <c r="H2075" s="7">
        <v>689.64</v>
      </c>
      <c r="I2075" s="7">
        <v>687.06</v>
      </c>
      <c r="J2075" s="7">
        <v>14</v>
      </c>
      <c r="K2075" s="7">
        <v>5.1894658000000001E-3</v>
      </c>
      <c r="L2075" s="7">
        <v>693.21886319470002</v>
      </c>
      <c r="M2075" s="7">
        <v>683.49452562700003</v>
      </c>
      <c r="N2075" s="7">
        <v>688.71061106820002</v>
      </c>
      <c r="O2075" s="7">
        <v>693.21886319470002</v>
      </c>
      <c r="P2075" s="7">
        <v>683.49452562700003</v>
      </c>
      <c r="Q2075">
        <v>1</v>
      </c>
      <c r="R2075">
        <v>0</v>
      </c>
      <c r="S2075" s="11">
        <v>45959.666666666664</v>
      </c>
      <c r="T2075">
        <v>314</v>
      </c>
    </row>
    <row r="2076" spans="1:20">
      <c r="A2076" s="11">
        <v>45959.5625</v>
      </c>
      <c r="B2076" s="11">
        <v>45959.583333333336</v>
      </c>
      <c r="C2076" s="10">
        <v>45959</v>
      </c>
      <c r="D2076" s="7">
        <v>688.17</v>
      </c>
      <c r="E2076" s="7">
        <v>1722399</v>
      </c>
      <c r="F2076" s="7">
        <v>1722399</v>
      </c>
      <c r="G2076" s="7">
        <v>26353591</v>
      </c>
      <c r="H2076" s="7">
        <v>689.64</v>
      </c>
      <c r="I2076" s="7">
        <v>687.06</v>
      </c>
      <c r="J2076" s="7">
        <v>14</v>
      </c>
      <c r="K2076" s="7">
        <v>5.5220742999999997E-3</v>
      </c>
      <c r="L2076" s="7">
        <v>693.4482433357</v>
      </c>
      <c r="M2076" s="7">
        <v>683.26600361600003</v>
      </c>
      <c r="N2076" s="7">
        <v>688.6752781998</v>
      </c>
      <c r="O2076" s="7">
        <v>693.4482433357</v>
      </c>
      <c r="P2076" s="7">
        <v>683.26600361600003</v>
      </c>
      <c r="Q2076">
        <v>1</v>
      </c>
      <c r="R2076">
        <v>0</v>
      </c>
      <c r="S2076" s="11">
        <v>45959.666666666664</v>
      </c>
      <c r="T2076">
        <v>313</v>
      </c>
    </row>
    <row r="2077" spans="1:20">
      <c r="A2077" s="11">
        <v>45959.583333333336</v>
      </c>
      <c r="B2077" s="11">
        <v>45959.604166666664</v>
      </c>
      <c r="C2077" s="10">
        <v>45959</v>
      </c>
      <c r="D2077" s="7">
        <v>688.04</v>
      </c>
      <c r="E2077" s="7">
        <v>3168449</v>
      </c>
      <c r="F2077" s="7">
        <v>3168449</v>
      </c>
      <c r="G2077" s="7">
        <v>29522040</v>
      </c>
      <c r="H2077" s="7">
        <v>689.64</v>
      </c>
      <c r="I2077" s="7">
        <v>687.06</v>
      </c>
      <c r="J2077" s="7">
        <v>14</v>
      </c>
      <c r="K2077" s="7">
        <v>6.2315770999999999E-3</v>
      </c>
      <c r="L2077" s="7">
        <v>693.93754486160003</v>
      </c>
      <c r="M2077" s="7">
        <v>682.77853260740005</v>
      </c>
      <c r="N2077" s="7">
        <v>688.6070970518</v>
      </c>
      <c r="O2077" s="7">
        <v>693.93754486160003</v>
      </c>
      <c r="P2077" s="7">
        <v>682.77853260740005</v>
      </c>
      <c r="Q2077">
        <v>1</v>
      </c>
      <c r="R2077">
        <v>0</v>
      </c>
      <c r="S2077" s="11">
        <v>45959.666666666664</v>
      </c>
      <c r="T2077">
        <v>312</v>
      </c>
    </row>
    <row r="2078" spans="1:20">
      <c r="A2078" s="11">
        <v>45959.604166666664</v>
      </c>
      <c r="B2078" s="11">
        <v>45959.625</v>
      </c>
      <c r="C2078" s="10">
        <v>45959</v>
      </c>
      <c r="D2078" s="7">
        <v>686.12</v>
      </c>
      <c r="E2078" s="7">
        <v>11901486</v>
      </c>
      <c r="F2078" s="7">
        <v>11901486</v>
      </c>
      <c r="G2078" s="7">
        <v>41423526</v>
      </c>
      <c r="H2078" s="7">
        <v>689.64</v>
      </c>
      <c r="I2078" s="7">
        <v>687.06</v>
      </c>
      <c r="J2078" s="7">
        <v>14</v>
      </c>
      <c r="K2078" s="7">
        <v>5.8368761E-3</v>
      </c>
      <c r="L2078" s="7">
        <v>693.66534325910004</v>
      </c>
      <c r="M2078" s="7">
        <v>683.04971588139995</v>
      </c>
      <c r="N2078" s="7">
        <v>687.89252362939999</v>
      </c>
      <c r="O2078" s="7">
        <v>693.66534325910004</v>
      </c>
      <c r="P2078" s="7">
        <v>683.04971588139995</v>
      </c>
      <c r="Q2078">
        <v>1</v>
      </c>
      <c r="R2078">
        <v>0</v>
      </c>
      <c r="S2078" s="11">
        <v>45959.666666666664</v>
      </c>
      <c r="T2078">
        <v>311</v>
      </c>
    </row>
    <row r="2079" spans="1:20">
      <c r="A2079" s="11">
        <v>45959.625</v>
      </c>
      <c r="B2079" s="11">
        <v>45959.645833333336</v>
      </c>
      <c r="C2079" s="10">
        <v>45959</v>
      </c>
      <c r="D2079" s="7">
        <v>685.45</v>
      </c>
      <c r="E2079" s="7">
        <v>4660243</v>
      </c>
      <c r="F2079" s="7">
        <v>4660243</v>
      </c>
      <c r="G2079" s="7">
        <v>46083769</v>
      </c>
      <c r="H2079" s="7">
        <v>689.64</v>
      </c>
      <c r="I2079" s="7">
        <v>687.06</v>
      </c>
      <c r="J2079" s="7">
        <v>14</v>
      </c>
      <c r="K2079" s="7">
        <v>6.0552821999999996E-3</v>
      </c>
      <c r="L2079" s="7">
        <v>693.81596478189999</v>
      </c>
      <c r="M2079" s="7">
        <v>682.89965784599997</v>
      </c>
      <c r="N2079" s="7">
        <v>687.64552226880005</v>
      </c>
      <c r="O2079" s="7">
        <v>693.81596478189999</v>
      </c>
      <c r="P2079" s="7">
        <v>682.89965784599997</v>
      </c>
      <c r="Q2079">
        <v>1</v>
      </c>
      <c r="R2079">
        <v>0</v>
      </c>
      <c r="S2079" s="11">
        <v>45959.666666666664</v>
      </c>
      <c r="T2079">
        <v>310</v>
      </c>
    </row>
    <row r="2080" spans="1:20">
      <c r="A2080" s="11">
        <v>45959.645833333336</v>
      </c>
      <c r="B2080" s="11">
        <v>45959.666666666664</v>
      </c>
      <c r="C2080" s="10">
        <v>45959</v>
      </c>
      <c r="D2080" s="7">
        <v>687.39</v>
      </c>
      <c r="E2080" s="7">
        <v>9228824</v>
      </c>
      <c r="F2080" s="7">
        <v>9228824</v>
      </c>
      <c r="G2080" s="7">
        <v>55312593</v>
      </c>
      <c r="H2080" s="7">
        <v>689.64</v>
      </c>
      <c r="I2080" s="7">
        <v>687.06</v>
      </c>
      <c r="J2080" s="7">
        <v>14</v>
      </c>
      <c r="K2080" s="7">
        <v>5.4687362999999998E-3</v>
      </c>
      <c r="L2080" s="7">
        <v>693.41145931790004</v>
      </c>
      <c r="M2080" s="7">
        <v>683.30265002179999</v>
      </c>
      <c r="N2080" s="7">
        <v>687.60288875770004</v>
      </c>
      <c r="O2080" s="7">
        <v>693.41145931790004</v>
      </c>
      <c r="P2080" s="7">
        <v>683.30265002179999</v>
      </c>
      <c r="Q2080">
        <v>1</v>
      </c>
      <c r="R2080">
        <v>1</v>
      </c>
      <c r="S2080" s="11">
        <v>45959.666666666664</v>
      </c>
      <c r="T2080">
        <v>309</v>
      </c>
    </row>
    <row r="2081" spans="1:20">
      <c r="A2081" s="11">
        <v>45960.395833333336</v>
      </c>
      <c r="B2081" s="11">
        <v>45960.416666666664</v>
      </c>
      <c r="C2081" s="10">
        <v>45960</v>
      </c>
      <c r="D2081" s="7">
        <v>685.05</v>
      </c>
      <c r="E2081" s="7">
        <v>8460491</v>
      </c>
      <c r="F2081" s="7">
        <v>8460491</v>
      </c>
      <c r="G2081" s="7">
        <v>8460491</v>
      </c>
      <c r="H2081" s="7">
        <v>685.05</v>
      </c>
      <c r="I2081" s="7">
        <v>687.39</v>
      </c>
      <c r="J2081" s="7">
        <v>14</v>
      </c>
      <c r="K2081" s="7">
        <v>0</v>
      </c>
      <c r="L2081" s="7">
        <v>687.39</v>
      </c>
      <c r="M2081" s="7">
        <v>685.05</v>
      </c>
      <c r="N2081" s="7">
        <v>685.05</v>
      </c>
      <c r="O2081" s="7">
        <v>687.39</v>
      </c>
      <c r="P2081" s="7">
        <v>685.05</v>
      </c>
      <c r="Q2081">
        <v>1</v>
      </c>
      <c r="R2081">
        <v>0</v>
      </c>
      <c r="S2081" s="11">
        <v>45960.666666666664</v>
      </c>
      <c r="T2081">
        <v>307</v>
      </c>
    </row>
    <row r="2082" spans="1:20">
      <c r="A2082" s="11">
        <v>45960.416666666664</v>
      </c>
      <c r="B2082" s="11">
        <v>45960.4375</v>
      </c>
      <c r="C2082" s="10">
        <v>45960</v>
      </c>
      <c r="D2082" s="7">
        <v>683.44</v>
      </c>
      <c r="E2082" s="7">
        <v>4549223</v>
      </c>
      <c r="F2082" s="7">
        <v>4549223</v>
      </c>
      <c r="G2082" s="7">
        <v>13009714</v>
      </c>
      <c r="H2082" s="7">
        <v>685.05</v>
      </c>
      <c r="I2082" s="7">
        <v>687.39</v>
      </c>
      <c r="J2082" s="7">
        <v>14</v>
      </c>
      <c r="K2082" s="7">
        <v>1.6001626E-3</v>
      </c>
      <c r="L2082" s="7">
        <v>688.48993574270003</v>
      </c>
      <c r="M2082" s="7">
        <v>683.95380863770004</v>
      </c>
      <c r="N2082" s="7">
        <v>684.48701690680002</v>
      </c>
      <c r="O2082" s="7">
        <v>688.48993574270003</v>
      </c>
      <c r="P2082" s="7">
        <v>683.95380863770004</v>
      </c>
      <c r="Q2082">
        <v>1</v>
      </c>
      <c r="R2082">
        <v>0</v>
      </c>
      <c r="S2082" s="11">
        <v>45960.666666666664</v>
      </c>
      <c r="T2082">
        <v>306</v>
      </c>
    </row>
    <row r="2083" spans="1:20">
      <c r="A2083" s="11">
        <v>45960.4375</v>
      </c>
      <c r="B2083" s="11">
        <v>45960.458333333336</v>
      </c>
      <c r="C2083" s="10">
        <v>45960</v>
      </c>
      <c r="D2083" s="7">
        <v>684.49</v>
      </c>
      <c r="E2083" s="7">
        <v>3106609</v>
      </c>
      <c r="F2083" s="7">
        <v>3106609</v>
      </c>
      <c r="G2083" s="7">
        <v>16116323</v>
      </c>
      <c r="H2083" s="7">
        <v>685.05</v>
      </c>
      <c r="I2083" s="7">
        <v>687.39</v>
      </c>
      <c r="J2083" s="7">
        <v>14</v>
      </c>
      <c r="K2083" s="7">
        <v>2.2060025E-3</v>
      </c>
      <c r="L2083" s="7">
        <v>688.90638404929996</v>
      </c>
      <c r="M2083" s="7">
        <v>683.53877799659995</v>
      </c>
      <c r="N2083" s="7">
        <v>684.48759193269996</v>
      </c>
      <c r="O2083" s="7">
        <v>688.90638404929996</v>
      </c>
      <c r="P2083" s="7">
        <v>683.53877799659995</v>
      </c>
      <c r="Q2083">
        <v>1</v>
      </c>
      <c r="R2083">
        <v>0</v>
      </c>
      <c r="S2083" s="11">
        <v>45960.666666666664</v>
      </c>
      <c r="T2083">
        <v>305</v>
      </c>
    </row>
    <row r="2084" spans="1:20">
      <c r="A2084" s="11">
        <v>45960.458333333336</v>
      </c>
      <c r="B2084" s="11">
        <v>45960.479166666664</v>
      </c>
      <c r="C2084" s="10">
        <v>45960</v>
      </c>
      <c r="D2084" s="7">
        <v>684.8</v>
      </c>
      <c r="E2084" s="7">
        <v>1808362</v>
      </c>
      <c r="F2084" s="7">
        <v>1808362</v>
      </c>
      <c r="G2084" s="7">
        <v>17924685</v>
      </c>
      <c r="H2084" s="7">
        <v>685.05</v>
      </c>
      <c r="I2084" s="7">
        <v>687.39</v>
      </c>
      <c r="J2084" s="7">
        <v>14</v>
      </c>
      <c r="K2084" s="7">
        <v>2.7927431999999999E-3</v>
      </c>
      <c r="L2084" s="7">
        <v>689.3097037302</v>
      </c>
      <c r="M2084" s="7">
        <v>683.1368312889</v>
      </c>
      <c r="N2084" s="7">
        <v>684.51910974609996</v>
      </c>
      <c r="O2084" s="7">
        <v>689.3097037302</v>
      </c>
      <c r="P2084" s="7">
        <v>683.1368312889</v>
      </c>
      <c r="Q2084">
        <v>1</v>
      </c>
      <c r="R2084">
        <v>0</v>
      </c>
      <c r="S2084" s="11">
        <v>45960.666666666664</v>
      </c>
      <c r="T2084">
        <v>304</v>
      </c>
    </row>
    <row r="2085" spans="1:20">
      <c r="A2085" s="11">
        <v>45960.479166666664</v>
      </c>
      <c r="B2085" s="11">
        <v>45960.5</v>
      </c>
      <c r="C2085" s="10">
        <v>45960</v>
      </c>
      <c r="D2085" s="7">
        <v>683.35</v>
      </c>
      <c r="E2085" s="7">
        <v>2474038</v>
      </c>
      <c r="F2085" s="7">
        <v>2474038</v>
      </c>
      <c r="G2085" s="7">
        <v>20398723</v>
      </c>
      <c r="H2085" s="7">
        <v>685.05</v>
      </c>
      <c r="I2085" s="7">
        <v>687.39</v>
      </c>
      <c r="J2085" s="7">
        <v>14</v>
      </c>
      <c r="K2085" s="7">
        <v>3.4436508999999998E-3</v>
      </c>
      <c r="L2085" s="7">
        <v>689.7571312</v>
      </c>
      <c r="M2085" s="7">
        <v>682.69092694309995</v>
      </c>
      <c r="N2085" s="7">
        <v>684.37731548099998</v>
      </c>
      <c r="O2085" s="7">
        <v>689.7571312</v>
      </c>
      <c r="P2085" s="7">
        <v>682.69092694309995</v>
      </c>
      <c r="Q2085">
        <v>1</v>
      </c>
      <c r="R2085">
        <v>0</v>
      </c>
      <c r="S2085" s="11">
        <v>45960.666666666664</v>
      </c>
      <c r="T2085">
        <v>303</v>
      </c>
    </row>
    <row r="2086" spans="1:20">
      <c r="A2086" s="11">
        <v>45960.5</v>
      </c>
      <c r="B2086" s="11">
        <v>45960.520833333336</v>
      </c>
      <c r="C2086" s="10">
        <v>45960</v>
      </c>
      <c r="D2086" s="7">
        <v>684.9</v>
      </c>
      <c r="E2086" s="7">
        <v>1839499</v>
      </c>
      <c r="F2086" s="7">
        <v>1839499</v>
      </c>
      <c r="G2086" s="7">
        <v>22238222</v>
      </c>
      <c r="H2086" s="7">
        <v>685.05</v>
      </c>
      <c r="I2086" s="7">
        <v>687.39</v>
      </c>
      <c r="J2086" s="7">
        <v>14</v>
      </c>
      <c r="K2086" s="7">
        <v>4.1876003000000002E-3</v>
      </c>
      <c r="L2086" s="7">
        <v>690.26851459889997</v>
      </c>
      <c r="M2086" s="7">
        <v>682.18128438589997</v>
      </c>
      <c r="N2086" s="7">
        <v>684.42055084619994</v>
      </c>
      <c r="O2086" s="7">
        <v>690.26851459889997</v>
      </c>
      <c r="P2086" s="7">
        <v>682.18128438589997</v>
      </c>
      <c r="Q2086">
        <v>1</v>
      </c>
      <c r="R2086">
        <v>0</v>
      </c>
      <c r="S2086" s="11">
        <v>45960.666666666664</v>
      </c>
      <c r="T2086">
        <v>302</v>
      </c>
    </row>
    <row r="2087" spans="1:20">
      <c r="A2087" s="11">
        <v>45960.520833333336</v>
      </c>
      <c r="B2087" s="11">
        <v>45960.541666666664</v>
      </c>
      <c r="C2087" s="10">
        <v>45960</v>
      </c>
      <c r="D2087" s="7">
        <v>684.41</v>
      </c>
      <c r="E2087" s="7">
        <v>1756649</v>
      </c>
      <c r="F2087" s="7">
        <v>1756649</v>
      </c>
      <c r="G2087" s="7">
        <v>23994871</v>
      </c>
      <c r="H2087" s="7">
        <v>685.05</v>
      </c>
      <c r="I2087" s="7">
        <v>687.39</v>
      </c>
      <c r="J2087" s="7">
        <v>14</v>
      </c>
      <c r="K2087" s="7">
        <v>4.6835297000000003E-3</v>
      </c>
      <c r="L2087" s="7">
        <v>690.60941149259997</v>
      </c>
      <c r="M2087" s="7">
        <v>681.84154796689995</v>
      </c>
      <c r="N2087" s="7">
        <v>684.41977842560004</v>
      </c>
      <c r="O2087" s="7">
        <v>690.60941149259997</v>
      </c>
      <c r="P2087" s="7">
        <v>681.84154796689995</v>
      </c>
      <c r="Q2087">
        <v>1</v>
      </c>
      <c r="R2087">
        <v>0</v>
      </c>
      <c r="S2087" s="11">
        <v>45960.666666666664</v>
      </c>
      <c r="T2087">
        <v>301</v>
      </c>
    </row>
    <row r="2088" spans="1:20">
      <c r="A2088" s="11">
        <v>45960.541666666664</v>
      </c>
      <c r="B2088" s="11">
        <v>45960.5625</v>
      </c>
      <c r="C2088" s="10">
        <v>45960</v>
      </c>
      <c r="D2088" s="7">
        <v>684.33</v>
      </c>
      <c r="E2088" s="7">
        <v>1848790</v>
      </c>
      <c r="F2088" s="7">
        <v>1848790</v>
      </c>
      <c r="G2088" s="7">
        <v>25843661</v>
      </c>
      <c r="H2088" s="7">
        <v>685.05</v>
      </c>
      <c r="I2088" s="7">
        <v>687.39</v>
      </c>
      <c r="J2088" s="7">
        <v>14</v>
      </c>
      <c r="K2088" s="7">
        <v>5.1335093999999998E-3</v>
      </c>
      <c r="L2088" s="7">
        <v>690.9187229954</v>
      </c>
      <c r="M2088" s="7">
        <v>681.5332894165</v>
      </c>
      <c r="N2088" s="7">
        <v>684.41335590460005</v>
      </c>
      <c r="O2088" s="7">
        <v>690.9187229954</v>
      </c>
      <c r="P2088" s="7">
        <v>681.5332894165</v>
      </c>
      <c r="Q2088">
        <v>1</v>
      </c>
      <c r="R2088">
        <v>0</v>
      </c>
      <c r="S2088" s="11">
        <v>45960.666666666664</v>
      </c>
      <c r="T2088">
        <v>300</v>
      </c>
    </row>
    <row r="2089" spans="1:20">
      <c r="A2089" s="11">
        <v>45960.5625</v>
      </c>
      <c r="B2089" s="11">
        <v>45960.583333333336</v>
      </c>
      <c r="C2089" s="10">
        <v>45960</v>
      </c>
      <c r="D2089" s="7">
        <v>684.38</v>
      </c>
      <c r="E2089" s="7">
        <v>1617928</v>
      </c>
      <c r="F2089" s="7">
        <v>1617928</v>
      </c>
      <c r="G2089" s="7">
        <v>27461589</v>
      </c>
      <c r="H2089" s="7">
        <v>685.05</v>
      </c>
      <c r="I2089" s="7">
        <v>687.39</v>
      </c>
      <c r="J2089" s="7">
        <v>14</v>
      </c>
      <c r="K2089" s="7">
        <v>5.5095079999999998E-3</v>
      </c>
      <c r="L2089" s="7">
        <v>691.17718073740002</v>
      </c>
      <c r="M2089" s="7">
        <v>681.2757115114</v>
      </c>
      <c r="N2089" s="7">
        <v>684.41139070689997</v>
      </c>
      <c r="O2089" s="7">
        <v>691.17718073740002</v>
      </c>
      <c r="P2089" s="7">
        <v>681.2757115114</v>
      </c>
      <c r="Q2089">
        <v>1</v>
      </c>
      <c r="R2089">
        <v>0</v>
      </c>
      <c r="S2089" s="11">
        <v>45960.666666666664</v>
      </c>
      <c r="T2089">
        <v>299</v>
      </c>
    </row>
    <row r="2090" spans="1:20">
      <c r="A2090" s="11">
        <v>45960.583333333336</v>
      </c>
      <c r="B2090" s="11">
        <v>45960.604166666664</v>
      </c>
      <c r="C2090" s="10">
        <v>45960</v>
      </c>
      <c r="D2090" s="7">
        <v>682.96</v>
      </c>
      <c r="E2090" s="7">
        <v>2785709</v>
      </c>
      <c r="F2090" s="7">
        <v>2785709</v>
      </c>
      <c r="G2090" s="7">
        <v>30247298</v>
      </c>
      <c r="H2090" s="7">
        <v>685.05</v>
      </c>
      <c r="I2090" s="7">
        <v>687.39</v>
      </c>
      <c r="J2090" s="7">
        <v>14</v>
      </c>
      <c r="K2090" s="7">
        <v>6.1936630999999999E-3</v>
      </c>
      <c r="L2090" s="7">
        <v>691.64746207079997</v>
      </c>
      <c r="M2090" s="7">
        <v>680.80703110089996</v>
      </c>
      <c r="N2090" s="7">
        <v>684.27772084469996</v>
      </c>
      <c r="O2090" s="7">
        <v>691.64746207079997</v>
      </c>
      <c r="P2090" s="7">
        <v>680.80703110089996</v>
      </c>
      <c r="Q2090">
        <v>1</v>
      </c>
      <c r="R2090">
        <v>0</v>
      </c>
      <c r="S2090" s="11">
        <v>45960.666666666664</v>
      </c>
      <c r="T2090">
        <v>298</v>
      </c>
    </row>
    <row r="2091" spans="1:20">
      <c r="A2091" s="11">
        <v>45960.604166666664</v>
      </c>
      <c r="B2091" s="11">
        <v>45960.625</v>
      </c>
      <c r="C2091" s="10">
        <v>45960</v>
      </c>
      <c r="D2091" s="7">
        <v>682.35</v>
      </c>
      <c r="E2091" s="7">
        <v>2604523</v>
      </c>
      <c r="F2091" s="7">
        <v>2604523</v>
      </c>
      <c r="G2091" s="7">
        <v>32851821</v>
      </c>
      <c r="H2091" s="7">
        <v>685.05</v>
      </c>
      <c r="I2091" s="7">
        <v>687.39</v>
      </c>
      <c r="J2091" s="7">
        <v>14</v>
      </c>
      <c r="K2091" s="7">
        <v>6.0089888000000001E-3</v>
      </c>
      <c r="L2091" s="7">
        <v>691.52051881130001</v>
      </c>
      <c r="M2091" s="7">
        <v>680.93354222250002</v>
      </c>
      <c r="N2091" s="7">
        <v>684.12488933869997</v>
      </c>
      <c r="O2091" s="7">
        <v>691.52051881130001</v>
      </c>
      <c r="P2091" s="7">
        <v>680.93354222250002</v>
      </c>
      <c r="Q2091">
        <v>1</v>
      </c>
      <c r="R2091">
        <v>0</v>
      </c>
      <c r="S2091" s="11">
        <v>45960.666666666664</v>
      </c>
      <c r="T2091">
        <v>297</v>
      </c>
    </row>
    <row r="2092" spans="1:20">
      <c r="A2092" s="11">
        <v>45960.625</v>
      </c>
      <c r="B2092" s="11">
        <v>45960.645833333336</v>
      </c>
      <c r="C2092" s="10">
        <v>45960</v>
      </c>
      <c r="D2092" s="7">
        <v>681.31</v>
      </c>
      <c r="E2092" s="7">
        <v>3945813</v>
      </c>
      <c r="F2092" s="7">
        <v>3945813</v>
      </c>
      <c r="G2092" s="7">
        <v>36797634</v>
      </c>
      <c r="H2092" s="7">
        <v>685.05</v>
      </c>
      <c r="I2092" s="7">
        <v>687.39</v>
      </c>
      <c r="J2092" s="7">
        <v>14</v>
      </c>
      <c r="K2092" s="7">
        <v>6.3563368999999996E-3</v>
      </c>
      <c r="L2092" s="7">
        <v>691.7592824436</v>
      </c>
      <c r="M2092" s="7">
        <v>680.69559138479997</v>
      </c>
      <c r="N2092" s="7">
        <v>683.82304854790004</v>
      </c>
      <c r="O2092" s="7">
        <v>691.7592824436</v>
      </c>
      <c r="P2092" s="7">
        <v>680.69559138479997</v>
      </c>
      <c r="Q2092">
        <v>1</v>
      </c>
      <c r="R2092">
        <v>0</v>
      </c>
      <c r="S2092" s="11">
        <v>45960.666666666664</v>
      </c>
      <c r="T2092">
        <v>296</v>
      </c>
    </row>
    <row r="2093" spans="1:20">
      <c r="A2093" s="11">
        <v>45960.645833333336</v>
      </c>
      <c r="B2093" s="11">
        <v>45960.666666666664</v>
      </c>
      <c r="C2093" s="10">
        <v>45960</v>
      </c>
      <c r="D2093" s="7">
        <v>679.83</v>
      </c>
      <c r="E2093" s="7">
        <v>10199511</v>
      </c>
      <c r="F2093" s="7">
        <v>10199511</v>
      </c>
      <c r="G2093" s="7">
        <v>46997145</v>
      </c>
      <c r="H2093" s="7">
        <v>685.05</v>
      </c>
      <c r="I2093" s="7">
        <v>687.39</v>
      </c>
      <c r="J2093" s="7">
        <v>14</v>
      </c>
      <c r="K2093" s="7">
        <v>5.6411661E-3</v>
      </c>
      <c r="L2093" s="7">
        <v>691.26768114970002</v>
      </c>
      <c r="M2093" s="7">
        <v>681.18551917900004</v>
      </c>
      <c r="N2093" s="7">
        <v>682.95646095860002</v>
      </c>
      <c r="O2093" s="7">
        <v>691.26768114970002</v>
      </c>
      <c r="P2093" s="7">
        <v>681.18551917900004</v>
      </c>
      <c r="Q2093">
        <v>1</v>
      </c>
      <c r="R2093">
        <v>1</v>
      </c>
      <c r="S2093" s="11">
        <v>45960.666666666664</v>
      </c>
      <c r="T2093">
        <v>295</v>
      </c>
    </row>
    <row r="2094" spans="1:20">
      <c r="A2094" s="11">
        <v>45961.395833333336</v>
      </c>
      <c r="B2094" s="11">
        <v>45961.416666666664</v>
      </c>
      <c r="C2094" s="10">
        <v>45961</v>
      </c>
      <c r="D2094" s="7">
        <v>683.55</v>
      </c>
      <c r="E2094" s="7">
        <v>5536158</v>
      </c>
      <c r="F2094" s="7">
        <v>5536158</v>
      </c>
      <c r="G2094" s="7">
        <v>5536158</v>
      </c>
      <c r="H2094" s="7">
        <v>683.55</v>
      </c>
      <c r="I2094" s="7">
        <v>679.83</v>
      </c>
      <c r="J2094" s="7">
        <v>14</v>
      </c>
      <c r="K2094" s="7">
        <v>0</v>
      </c>
      <c r="L2094" s="7">
        <v>683.55</v>
      </c>
      <c r="M2094" s="7">
        <v>679.83</v>
      </c>
      <c r="N2094" s="7">
        <v>683.55</v>
      </c>
      <c r="O2094" s="7">
        <v>683.55</v>
      </c>
      <c r="P2094" s="7">
        <v>679.83</v>
      </c>
      <c r="Q2094">
        <v>1</v>
      </c>
      <c r="R2094">
        <v>0</v>
      </c>
      <c r="S2094" s="11">
        <v>45961.666666666664</v>
      </c>
      <c r="T2094">
        <v>293</v>
      </c>
    </row>
    <row r="2095" spans="1:20">
      <c r="A2095" s="11">
        <v>45961.416666666664</v>
      </c>
      <c r="B2095" s="11">
        <v>45961.4375</v>
      </c>
      <c r="C2095" s="10">
        <v>45961</v>
      </c>
      <c r="D2095" s="7">
        <v>683.24</v>
      </c>
      <c r="E2095" s="7">
        <v>3218244</v>
      </c>
      <c r="F2095" s="7">
        <v>3218244</v>
      </c>
      <c r="G2095" s="7">
        <v>8754402</v>
      </c>
      <c r="H2095" s="7">
        <v>683.55</v>
      </c>
      <c r="I2095" s="7">
        <v>679.83</v>
      </c>
      <c r="J2095" s="7">
        <v>14</v>
      </c>
      <c r="K2095" s="7">
        <v>1.7038382999999999E-3</v>
      </c>
      <c r="L2095" s="7">
        <v>684.7146586801</v>
      </c>
      <c r="M2095" s="7">
        <v>678.67167959840003</v>
      </c>
      <c r="N2095" s="7">
        <v>683.43603954440005</v>
      </c>
      <c r="O2095" s="7">
        <v>684.7146586801</v>
      </c>
      <c r="P2095" s="7">
        <v>678.67167959840003</v>
      </c>
      <c r="Q2095">
        <v>1</v>
      </c>
      <c r="R2095">
        <v>0</v>
      </c>
      <c r="S2095" s="11">
        <v>45961.666666666664</v>
      </c>
      <c r="T2095">
        <v>292</v>
      </c>
    </row>
    <row r="2096" spans="1:20">
      <c r="A2096" s="11">
        <v>45961.4375</v>
      </c>
      <c r="B2096" s="11">
        <v>45961.458333333336</v>
      </c>
      <c r="C2096" s="10">
        <v>45961</v>
      </c>
      <c r="D2096" s="7">
        <v>684.48</v>
      </c>
      <c r="E2096" s="7">
        <v>2579272</v>
      </c>
      <c r="F2096" s="7">
        <v>2579272</v>
      </c>
      <c r="G2096" s="7">
        <v>11333674</v>
      </c>
      <c r="H2096" s="7">
        <v>683.55</v>
      </c>
      <c r="I2096" s="7">
        <v>679.83</v>
      </c>
      <c r="J2096" s="7">
        <v>14</v>
      </c>
      <c r="K2096" s="7">
        <v>1.7927433E-3</v>
      </c>
      <c r="L2096" s="7">
        <v>684.77542969759998</v>
      </c>
      <c r="M2096" s="7">
        <v>678.61123930760004</v>
      </c>
      <c r="N2096" s="7">
        <v>683.6736198712</v>
      </c>
      <c r="O2096" s="7">
        <v>684.77542969759998</v>
      </c>
      <c r="P2096" s="7">
        <v>678.61123930760004</v>
      </c>
      <c r="Q2096">
        <v>1</v>
      </c>
      <c r="R2096">
        <v>0</v>
      </c>
      <c r="S2096" s="11">
        <v>45961.666666666664</v>
      </c>
      <c r="T2096">
        <v>291</v>
      </c>
    </row>
    <row r="2097" spans="1:20">
      <c r="A2097" s="11">
        <v>45961.458333333336</v>
      </c>
      <c r="B2097" s="11">
        <v>45961.479166666664</v>
      </c>
      <c r="C2097" s="10">
        <v>45961</v>
      </c>
      <c r="D2097" s="7">
        <v>683.75990000000002</v>
      </c>
      <c r="E2097" s="7">
        <v>2291699</v>
      </c>
      <c r="F2097" s="7">
        <v>2291699</v>
      </c>
      <c r="G2097" s="7">
        <v>13625373</v>
      </c>
      <c r="H2097" s="7">
        <v>683.55</v>
      </c>
      <c r="I2097" s="7">
        <v>679.83</v>
      </c>
      <c r="J2097" s="7">
        <v>14</v>
      </c>
      <c r="K2097" s="7">
        <v>1.6781515000000001E-3</v>
      </c>
      <c r="L2097" s="7">
        <v>684.69710045980003</v>
      </c>
      <c r="M2097" s="7">
        <v>678.68914226369998</v>
      </c>
      <c r="N2097" s="7">
        <v>683.68813162690003</v>
      </c>
      <c r="O2097" s="7">
        <v>684.69710045980003</v>
      </c>
      <c r="P2097" s="7">
        <v>678.68914226369998</v>
      </c>
      <c r="Q2097">
        <v>1</v>
      </c>
      <c r="R2097">
        <v>0</v>
      </c>
      <c r="S2097" s="11">
        <v>45961.666666666664</v>
      </c>
      <c r="T2097">
        <v>290</v>
      </c>
    </row>
    <row r="2098" spans="1:20">
      <c r="A2098" s="11">
        <v>45961.479166666664</v>
      </c>
      <c r="B2098" s="11">
        <v>45961.5</v>
      </c>
      <c r="C2098" s="10">
        <v>45961</v>
      </c>
      <c r="D2098" s="7">
        <v>682.06</v>
      </c>
      <c r="E2098" s="7">
        <v>3610522</v>
      </c>
      <c r="F2098" s="7">
        <v>3610522</v>
      </c>
      <c r="G2098" s="7">
        <v>17235895</v>
      </c>
      <c r="H2098" s="7">
        <v>683.55</v>
      </c>
      <c r="I2098" s="7">
        <v>679.83</v>
      </c>
      <c r="J2098" s="7">
        <v>14</v>
      </c>
      <c r="K2098" s="7">
        <v>2.3847503999999999E-3</v>
      </c>
      <c r="L2098" s="7">
        <v>685.18009611720004</v>
      </c>
      <c r="M2098" s="7">
        <v>678.20877515409995</v>
      </c>
      <c r="N2098" s="7">
        <v>683.34707564710004</v>
      </c>
      <c r="O2098" s="7">
        <v>685.18009611720004</v>
      </c>
      <c r="P2098" s="7">
        <v>678.20877515409995</v>
      </c>
      <c r="Q2098">
        <v>1</v>
      </c>
      <c r="R2098">
        <v>0</v>
      </c>
      <c r="S2098" s="11">
        <v>45961.666666666664</v>
      </c>
      <c r="T2098">
        <v>289</v>
      </c>
    </row>
    <row r="2099" spans="1:20">
      <c r="A2099" s="11">
        <v>45961.5</v>
      </c>
      <c r="B2099" s="11">
        <v>45961.520833333336</v>
      </c>
      <c r="C2099" s="10">
        <v>45961</v>
      </c>
      <c r="D2099" s="7">
        <v>681.77</v>
      </c>
      <c r="E2099" s="7">
        <v>3861851</v>
      </c>
      <c r="F2099" s="7">
        <v>3861851</v>
      </c>
      <c r="G2099" s="7">
        <v>21097746</v>
      </c>
      <c r="H2099" s="7">
        <v>683.55</v>
      </c>
      <c r="I2099" s="7">
        <v>679.83</v>
      </c>
      <c r="J2099" s="7">
        <v>14</v>
      </c>
      <c r="K2099" s="7">
        <v>2.9649627E-3</v>
      </c>
      <c r="L2099" s="7">
        <v>685.57670028760003</v>
      </c>
      <c r="M2099" s="7">
        <v>677.81432937390002</v>
      </c>
      <c r="N2099" s="7">
        <v>683.05839878250003</v>
      </c>
      <c r="O2099" s="7">
        <v>685.57670028760003</v>
      </c>
      <c r="P2099" s="7">
        <v>677.81432937390002</v>
      </c>
      <c r="Q2099">
        <v>1</v>
      </c>
      <c r="R2099">
        <v>0</v>
      </c>
      <c r="S2099" s="11">
        <v>45961.666666666664</v>
      </c>
      <c r="T2099">
        <v>288</v>
      </c>
    </row>
    <row r="2100" spans="1:20">
      <c r="A2100" s="11">
        <v>45961.520833333336</v>
      </c>
      <c r="B2100" s="11">
        <v>45961.541666666664</v>
      </c>
      <c r="C2100" s="10">
        <v>45961</v>
      </c>
      <c r="D2100" s="7">
        <v>680.36500000000001</v>
      </c>
      <c r="E2100" s="7">
        <v>2283647</v>
      </c>
      <c r="F2100" s="7">
        <v>2283647</v>
      </c>
      <c r="G2100" s="7">
        <v>23381393</v>
      </c>
      <c r="H2100" s="7">
        <v>683.55</v>
      </c>
      <c r="I2100" s="7">
        <v>679.83</v>
      </c>
      <c r="J2100" s="7">
        <v>14</v>
      </c>
      <c r="K2100" s="7">
        <v>3.2509582E-3</v>
      </c>
      <c r="L2100" s="7">
        <v>685.77219244920002</v>
      </c>
      <c r="M2100" s="7">
        <v>677.61990111520004</v>
      </c>
      <c r="N2100" s="7">
        <v>682.79533609630005</v>
      </c>
      <c r="O2100" s="7">
        <v>685.77219244920002</v>
      </c>
      <c r="P2100" s="7">
        <v>677.61990111520004</v>
      </c>
      <c r="Q2100">
        <v>1</v>
      </c>
      <c r="R2100">
        <v>0</v>
      </c>
      <c r="S2100" s="11">
        <v>45961.666666666664</v>
      </c>
      <c r="T2100">
        <v>287</v>
      </c>
    </row>
    <row r="2101" spans="1:20">
      <c r="A2101" s="11">
        <v>45961.541666666664</v>
      </c>
      <c r="B2101" s="11">
        <v>45961.5625</v>
      </c>
      <c r="C2101" s="10">
        <v>45961</v>
      </c>
      <c r="D2101" s="7">
        <v>679.79</v>
      </c>
      <c r="E2101" s="7">
        <v>3339748</v>
      </c>
      <c r="F2101" s="7">
        <v>3339748</v>
      </c>
      <c r="G2101" s="7">
        <v>26721141</v>
      </c>
      <c r="H2101" s="7">
        <v>683.55</v>
      </c>
      <c r="I2101" s="7">
        <v>679.83</v>
      </c>
      <c r="J2101" s="7">
        <v>14</v>
      </c>
      <c r="K2101" s="7">
        <v>3.7941654000000001E-3</v>
      </c>
      <c r="L2101" s="7">
        <v>686.14350177979998</v>
      </c>
      <c r="M2101" s="7">
        <v>677.25061251559998</v>
      </c>
      <c r="N2101" s="7">
        <v>682.41971346790001</v>
      </c>
      <c r="O2101" s="7">
        <v>686.14350177979998</v>
      </c>
      <c r="P2101" s="7">
        <v>677.25061251559998</v>
      </c>
      <c r="Q2101">
        <v>1</v>
      </c>
      <c r="R2101">
        <v>0</v>
      </c>
      <c r="S2101" s="11">
        <v>45961.666666666664</v>
      </c>
      <c r="T2101">
        <v>286</v>
      </c>
    </row>
    <row r="2102" spans="1:20">
      <c r="A2102" s="11">
        <v>45961.5625</v>
      </c>
      <c r="B2102" s="11">
        <v>45961.583333333336</v>
      </c>
      <c r="C2102" s="10">
        <v>45961</v>
      </c>
      <c r="D2102" s="7">
        <v>680.84929999999997</v>
      </c>
      <c r="E2102" s="7">
        <v>2210722</v>
      </c>
      <c r="F2102" s="7">
        <v>2210722</v>
      </c>
      <c r="G2102" s="7">
        <v>28931863</v>
      </c>
      <c r="H2102" s="7">
        <v>683.55</v>
      </c>
      <c r="I2102" s="7">
        <v>679.83</v>
      </c>
      <c r="J2102" s="7">
        <v>14</v>
      </c>
      <c r="K2102" s="7">
        <v>4.1437291999999997E-3</v>
      </c>
      <c r="L2102" s="7">
        <v>686.38244608440004</v>
      </c>
      <c r="M2102" s="7">
        <v>677.01296858820001</v>
      </c>
      <c r="N2102" s="7">
        <v>682.29971609330005</v>
      </c>
      <c r="O2102" s="7">
        <v>686.38244608440004</v>
      </c>
      <c r="P2102" s="7">
        <v>677.01296858820001</v>
      </c>
      <c r="Q2102">
        <v>1</v>
      </c>
      <c r="R2102">
        <v>0</v>
      </c>
      <c r="S2102" s="11">
        <v>45961.666666666664</v>
      </c>
      <c r="T2102">
        <v>285</v>
      </c>
    </row>
    <row r="2103" spans="1:20">
      <c r="A2103" s="11">
        <v>45961.583333333336</v>
      </c>
      <c r="B2103" s="11">
        <v>45961.604166666664</v>
      </c>
      <c r="C2103" s="10">
        <v>45961</v>
      </c>
      <c r="D2103" s="7">
        <v>682.298</v>
      </c>
      <c r="E2103" s="7">
        <v>2712924</v>
      </c>
      <c r="F2103" s="7">
        <v>2712924</v>
      </c>
      <c r="G2103" s="7">
        <v>31644787</v>
      </c>
      <c r="H2103" s="7">
        <v>683.55</v>
      </c>
      <c r="I2103" s="7">
        <v>679.83</v>
      </c>
      <c r="J2103" s="7">
        <v>14</v>
      </c>
      <c r="K2103" s="7">
        <v>4.9197071999999998E-3</v>
      </c>
      <c r="L2103" s="7">
        <v>686.91286585950002</v>
      </c>
      <c r="M2103" s="7">
        <v>676.48543545129996</v>
      </c>
      <c r="N2103" s="7">
        <v>682.29956897169996</v>
      </c>
      <c r="O2103" s="7">
        <v>686.91286585950002</v>
      </c>
      <c r="P2103" s="7">
        <v>676.48543545129996</v>
      </c>
      <c r="Q2103">
        <v>1</v>
      </c>
      <c r="R2103">
        <v>0</v>
      </c>
      <c r="S2103" s="11">
        <v>45961.666666666664</v>
      </c>
      <c r="T2103">
        <v>284</v>
      </c>
    </row>
    <row r="2104" spans="1:20">
      <c r="A2104" s="11">
        <v>45961.604166666664</v>
      </c>
      <c r="B2104" s="11">
        <v>45961.625</v>
      </c>
      <c r="C2104" s="10">
        <v>45961</v>
      </c>
      <c r="D2104" s="7">
        <v>682.59</v>
      </c>
      <c r="E2104" s="7">
        <v>2451090</v>
      </c>
      <c r="F2104" s="7">
        <v>2451090</v>
      </c>
      <c r="G2104" s="7">
        <v>34095877</v>
      </c>
      <c r="H2104" s="7">
        <v>683.55</v>
      </c>
      <c r="I2104" s="7">
        <v>679.83</v>
      </c>
      <c r="J2104" s="7">
        <v>14</v>
      </c>
      <c r="K2104" s="7">
        <v>4.5975620000000003E-3</v>
      </c>
      <c r="L2104" s="7">
        <v>686.69266347940004</v>
      </c>
      <c r="M2104" s="7">
        <v>676.70443945110003</v>
      </c>
      <c r="N2104" s="7">
        <v>682.32044752510001</v>
      </c>
      <c r="O2104" s="7">
        <v>686.69266347940004</v>
      </c>
      <c r="P2104" s="7">
        <v>676.70443945110003</v>
      </c>
      <c r="Q2104">
        <v>1</v>
      </c>
      <c r="R2104">
        <v>0</v>
      </c>
      <c r="S2104" s="11">
        <v>45961.666666666664</v>
      </c>
      <c r="T2104">
        <v>283</v>
      </c>
    </row>
    <row r="2105" spans="1:20">
      <c r="A2105" s="11">
        <v>45961.625</v>
      </c>
      <c r="B2105" s="11">
        <v>45961.645833333336</v>
      </c>
      <c r="C2105" s="10">
        <v>45961</v>
      </c>
      <c r="D2105" s="7">
        <v>684.08</v>
      </c>
      <c r="E2105" s="7">
        <v>3549439</v>
      </c>
      <c r="F2105" s="7">
        <v>3549439</v>
      </c>
      <c r="G2105" s="7">
        <v>37645316</v>
      </c>
      <c r="H2105" s="7">
        <v>683.55</v>
      </c>
      <c r="I2105" s="7">
        <v>679.83</v>
      </c>
      <c r="J2105" s="7">
        <v>14</v>
      </c>
      <c r="K2105" s="7">
        <v>4.9371605000000001E-3</v>
      </c>
      <c r="L2105" s="7">
        <v>686.92479603439995</v>
      </c>
      <c r="M2105" s="7">
        <v>676.47357020250001</v>
      </c>
      <c r="N2105" s="7">
        <v>682.48634928499996</v>
      </c>
      <c r="O2105" s="7">
        <v>686.92479603439995</v>
      </c>
      <c r="P2105" s="7">
        <v>676.47357020250001</v>
      </c>
      <c r="Q2105">
        <v>1</v>
      </c>
      <c r="R2105">
        <v>0</v>
      </c>
      <c r="S2105" s="11">
        <v>45961.666666666664</v>
      </c>
      <c r="T2105">
        <v>282</v>
      </c>
    </row>
    <row r="2106" spans="1:20">
      <c r="A2106" s="11">
        <v>45961.645833333336</v>
      </c>
      <c r="B2106" s="11">
        <v>45961.666666666664</v>
      </c>
      <c r="C2106" s="10">
        <v>45961</v>
      </c>
      <c r="D2106" s="7">
        <v>682.06</v>
      </c>
      <c r="E2106" s="7">
        <v>15130306</v>
      </c>
      <c r="F2106" s="7">
        <v>15130306</v>
      </c>
      <c r="G2106" s="7">
        <v>52775622</v>
      </c>
      <c r="H2106" s="7">
        <v>683.55</v>
      </c>
      <c r="I2106" s="7">
        <v>679.83</v>
      </c>
      <c r="J2106" s="7">
        <v>14</v>
      </c>
      <c r="K2106" s="7">
        <v>4.0473716999999999E-3</v>
      </c>
      <c r="L2106" s="7">
        <v>686.31658090049996</v>
      </c>
      <c r="M2106" s="7">
        <v>677.07847532209996</v>
      </c>
      <c r="N2106" s="7">
        <v>682.36411870009999</v>
      </c>
      <c r="O2106" s="7">
        <v>686.31658090049996</v>
      </c>
      <c r="P2106" s="7">
        <v>677.07847532209996</v>
      </c>
      <c r="Q2106">
        <v>1</v>
      </c>
      <c r="R2106">
        <v>1</v>
      </c>
      <c r="S2106" s="11">
        <v>45961.666666666664</v>
      </c>
      <c r="T2106">
        <v>281</v>
      </c>
    </row>
    <row r="2107" spans="1:20">
      <c r="A2107" s="11">
        <v>45964.395833333336</v>
      </c>
      <c r="B2107" s="11">
        <v>45964.416666666664</v>
      </c>
      <c r="C2107" s="10">
        <v>45964</v>
      </c>
      <c r="D2107" s="7">
        <v>682.52</v>
      </c>
      <c r="E2107" s="7">
        <v>6966296</v>
      </c>
      <c r="F2107" s="7">
        <v>6966296</v>
      </c>
      <c r="G2107" s="7">
        <v>6966296</v>
      </c>
      <c r="H2107" s="7">
        <v>682.52</v>
      </c>
      <c r="I2107" s="7">
        <v>682.06</v>
      </c>
      <c r="J2107" s="7">
        <v>14</v>
      </c>
      <c r="K2107" s="7">
        <v>0</v>
      </c>
      <c r="L2107" s="7">
        <v>682.52</v>
      </c>
      <c r="M2107" s="7">
        <v>682.06</v>
      </c>
      <c r="N2107" s="7">
        <v>682.52</v>
      </c>
      <c r="O2107" s="7">
        <v>682.52</v>
      </c>
      <c r="P2107" s="7">
        <v>682.06</v>
      </c>
      <c r="Q2107">
        <v>1</v>
      </c>
      <c r="R2107">
        <v>0</v>
      </c>
      <c r="S2107" s="11">
        <v>45964.666666666664</v>
      </c>
      <c r="T2107">
        <v>279</v>
      </c>
    </row>
    <row r="2108" spans="1:20">
      <c r="A2108" s="11">
        <v>45964.416666666664</v>
      </c>
      <c r="B2108" s="11">
        <v>45964.4375</v>
      </c>
      <c r="C2108" s="10">
        <v>45964</v>
      </c>
      <c r="D2108" s="7">
        <v>680.38990000000001</v>
      </c>
      <c r="E2108" s="7">
        <v>4981801</v>
      </c>
      <c r="F2108" s="7">
        <v>4981801</v>
      </c>
      <c r="G2108" s="7">
        <v>11948097</v>
      </c>
      <c r="H2108" s="7">
        <v>682.52</v>
      </c>
      <c r="I2108" s="7">
        <v>682.06</v>
      </c>
      <c r="J2108" s="7">
        <v>14</v>
      </c>
      <c r="K2108" s="7">
        <v>1.5196449E-3</v>
      </c>
      <c r="L2108" s="7">
        <v>683.55718801370006</v>
      </c>
      <c r="M2108" s="7">
        <v>681.02351102290004</v>
      </c>
      <c r="N2108" s="7">
        <v>681.63184732510001</v>
      </c>
      <c r="O2108" s="7">
        <v>683.55718801370006</v>
      </c>
      <c r="P2108" s="7">
        <v>681.02351102290004</v>
      </c>
      <c r="Q2108">
        <v>1</v>
      </c>
      <c r="R2108">
        <v>0</v>
      </c>
      <c r="S2108" s="11">
        <v>45964.666666666664</v>
      </c>
      <c r="T2108">
        <v>278</v>
      </c>
    </row>
    <row r="2109" spans="1:20">
      <c r="A2109" s="11">
        <v>45964.4375</v>
      </c>
      <c r="B2109" s="11">
        <v>45964.458333333336</v>
      </c>
      <c r="C2109" s="10">
        <v>45964</v>
      </c>
      <c r="D2109" s="7">
        <v>682.42</v>
      </c>
      <c r="E2109" s="7">
        <v>3985107</v>
      </c>
      <c r="F2109" s="7">
        <v>3985107</v>
      </c>
      <c r="G2109" s="7">
        <v>15933204</v>
      </c>
      <c r="H2109" s="7">
        <v>682.52</v>
      </c>
      <c r="I2109" s="7">
        <v>682.06</v>
      </c>
      <c r="J2109" s="7">
        <v>14</v>
      </c>
      <c r="K2109" s="7">
        <v>1.6023488E-3</v>
      </c>
      <c r="L2109" s="7">
        <v>683.61363507639999</v>
      </c>
      <c r="M2109" s="7">
        <v>680.96710200400003</v>
      </c>
      <c r="N2109" s="7">
        <v>681.8289748295</v>
      </c>
      <c r="O2109" s="7">
        <v>683.61363507639999</v>
      </c>
      <c r="P2109" s="7">
        <v>680.96710200400003</v>
      </c>
      <c r="Q2109">
        <v>1</v>
      </c>
      <c r="R2109">
        <v>0</v>
      </c>
      <c r="S2109" s="11">
        <v>45964.666666666664</v>
      </c>
      <c r="T2109">
        <v>277</v>
      </c>
    </row>
    <row r="2110" spans="1:20">
      <c r="A2110" s="11">
        <v>45964.458333333336</v>
      </c>
      <c r="B2110" s="11">
        <v>45964.479166666664</v>
      </c>
      <c r="C2110" s="10">
        <v>45964</v>
      </c>
      <c r="D2110" s="7">
        <v>682.05</v>
      </c>
      <c r="E2110" s="7">
        <v>2041916</v>
      </c>
      <c r="F2110" s="7">
        <v>2041916</v>
      </c>
      <c r="G2110" s="7">
        <v>17975120</v>
      </c>
      <c r="H2110" s="7">
        <v>682.52</v>
      </c>
      <c r="I2110" s="7">
        <v>682.06</v>
      </c>
      <c r="J2110" s="7">
        <v>14</v>
      </c>
      <c r="K2110" s="7">
        <v>1.6801507000000001E-3</v>
      </c>
      <c r="L2110" s="7">
        <v>683.66673642670003</v>
      </c>
      <c r="M2110" s="7">
        <v>680.91403644260004</v>
      </c>
      <c r="N2110" s="7">
        <v>681.85408258020004</v>
      </c>
      <c r="O2110" s="7">
        <v>683.66673642670003</v>
      </c>
      <c r="P2110" s="7">
        <v>680.91403644260004</v>
      </c>
      <c r="Q2110">
        <v>1</v>
      </c>
      <c r="R2110">
        <v>0</v>
      </c>
      <c r="S2110" s="11">
        <v>45964.666666666664</v>
      </c>
      <c r="T2110">
        <v>276</v>
      </c>
    </row>
    <row r="2111" spans="1:20">
      <c r="A2111" s="11">
        <v>45964.479166666664</v>
      </c>
      <c r="B2111" s="11">
        <v>45964.5</v>
      </c>
      <c r="C2111" s="10">
        <v>45964</v>
      </c>
      <c r="D2111" s="7">
        <v>683.43</v>
      </c>
      <c r="E2111" s="7">
        <v>2289146</v>
      </c>
      <c r="F2111" s="7">
        <v>2289146</v>
      </c>
      <c r="G2111" s="7">
        <v>20264266</v>
      </c>
      <c r="H2111" s="7">
        <v>682.52</v>
      </c>
      <c r="I2111" s="7">
        <v>682.06</v>
      </c>
      <c r="J2111" s="7">
        <v>14</v>
      </c>
      <c r="K2111" s="7">
        <v>2.5285971000000001E-3</v>
      </c>
      <c r="L2111" s="7">
        <v>684.24581808849996</v>
      </c>
      <c r="M2111" s="7">
        <v>680.33534506620003</v>
      </c>
      <c r="N2111" s="7">
        <v>682.03210556210001</v>
      </c>
      <c r="O2111" s="7">
        <v>684.24581808849996</v>
      </c>
      <c r="P2111" s="7">
        <v>680.33534506620003</v>
      </c>
      <c r="Q2111">
        <v>1</v>
      </c>
      <c r="R2111">
        <v>0</v>
      </c>
      <c r="S2111" s="11">
        <v>45964.666666666664</v>
      </c>
      <c r="T2111">
        <v>275</v>
      </c>
    </row>
    <row r="2112" spans="1:20">
      <c r="A2112" s="11">
        <v>45964.5</v>
      </c>
      <c r="B2112" s="11">
        <v>45964.520833333336</v>
      </c>
      <c r="C2112" s="10">
        <v>45964</v>
      </c>
      <c r="D2112" s="7">
        <v>682.755</v>
      </c>
      <c r="E2112" s="7">
        <v>2149125</v>
      </c>
      <c r="F2112" s="7">
        <v>2149125</v>
      </c>
      <c r="G2112" s="7">
        <v>22413391</v>
      </c>
      <c r="H2112" s="7">
        <v>682.52</v>
      </c>
      <c r="I2112" s="7">
        <v>682.06</v>
      </c>
      <c r="J2112" s="7">
        <v>14</v>
      </c>
      <c r="K2112" s="7">
        <v>3.0852359999999999E-3</v>
      </c>
      <c r="L2112" s="7">
        <v>684.62573527380005</v>
      </c>
      <c r="M2112" s="7">
        <v>679.95568393480005</v>
      </c>
      <c r="N2112" s="7">
        <v>682.1014208437</v>
      </c>
      <c r="O2112" s="7">
        <v>684.62573527380005</v>
      </c>
      <c r="P2112" s="7">
        <v>679.95568393480005</v>
      </c>
      <c r="Q2112">
        <v>1</v>
      </c>
      <c r="R2112">
        <v>0</v>
      </c>
      <c r="S2112" s="11">
        <v>45964.666666666664</v>
      </c>
      <c r="T2112">
        <v>274</v>
      </c>
    </row>
    <row r="2113" spans="1:20">
      <c r="A2113" s="11">
        <v>45964.520833333336</v>
      </c>
      <c r="B2113" s="11">
        <v>45964.541666666664</v>
      </c>
      <c r="C2113" s="10">
        <v>45964</v>
      </c>
      <c r="D2113" s="7">
        <v>683.85500000000002</v>
      </c>
      <c r="E2113" s="7">
        <v>1554945</v>
      </c>
      <c r="F2113" s="7">
        <v>1554945</v>
      </c>
      <c r="G2113" s="7">
        <v>23968336</v>
      </c>
      <c r="H2113" s="7">
        <v>682.52</v>
      </c>
      <c r="I2113" s="7">
        <v>682.06</v>
      </c>
      <c r="J2113" s="7">
        <v>14</v>
      </c>
      <c r="K2113" s="7">
        <v>3.4340001E-3</v>
      </c>
      <c r="L2113" s="7">
        <v>684.86377377619999</v>
      </c>
      <c r="M2113" s="7">
        <v>679.71780586379998</v>
      </c>
      <c r="N2113" s="7">
        <v>682.21518423309999</v>
      </c>
      <c r="O2113" s="7">
        <v>684.86377377619999</v>
      </c>
      <c r="P2113" s="7">
        <v>679.71780586379998</v>
      </c>
      <c r="Q2113">
        <v>1</v>
      </c>
      <c r="R2113">
        <v>0</v>
      </c>
      <c r="S2113" s="11">
        <v>45964.666666666664</v>
      </c>
      <c r="T2113">
        <v>273</v>
      </c>
    </row>
    <row r="2114" spans="1:20">
      <c r="A2114" s="11">
        <v>45964.541666666664</v>
      </c>
      <c r="B2114" s="11">
        <v>45964.5625</v>
      </c>
      <c r="C2114" s="10">
        <v>45964</v>
      </c>
      <c r="D2114" s="7">
        <v>683.64</v>
      </c>
      <c r="E2114" s="7">
        <v>1472354</v>
      </c>
      <c r="F2114" s="7">
        <v>1472354</v>
      </c>
      <c r="G2114" s="7">
        <v>25440690</v>
      </c>
      <c r="H2114" s="7">
        <v>682.52</v>
      </c>
      <c r="I2114" s="7">
        <v>682.06</v>
      </c>
      <c r="J2114" s="7">
        <v>14</v>
      </c>
      <c r="K2114" s="7">
        <v>4.1547457000000003E-3</v>
      </c>
      <c r="L2114" s="7">
        <v>685.35569706069998</v>
      </c>
      <c r="M2114" s="7">
        <v>679.22621412240005</v>
      </c>
      <c r="N2114" s="7">
        <v>682.2976439931</v>
      </c>
      <c r="O2114" s="7">
        <v>685.35569706069998</v>
      </c>
      <c r="P2114" s="7">
        <v>679.22621412240005</v>
      </c>
      <c r="Q2114">
        <v>1</v>
      </c>
      <c r="R2114">
        <v>0</v>
      </c>
      <c r="S2114" s="11">
        <v>45964.666666666664</v>
      </c>
      <c r="T2114">
        <v>272</v>
      </c>
    </row>
    <row r="2115" spans="1:20">
      <c r="A2115" s="11">
        <v>45964.5625</v>
      </c>
      <c r="B2115" s="11">
        <v>45964.583333333336</v>
      </c>
      <c r="C2115" s="10">
        <v>45964</v>
      </c>
      <c r="D2115" s="7">
        <v>683.82</v>
      </c>
      <c r="E2115" s="7">
        <v>1364008</v>
      </c>
      <c r="F2115" s="7">
        <v>1364008</v>
      </c>
      <c r="G2115" s="7">
        <v>26804698</v>
      </c>
      <c r="H2115" s="7">
        <v>682.52</v>
      </c>
      <c r="I2115" s="7">
        <v>682.06</v>
      </c>
      <c r="J2115" s="7">
        <v>14</v>
      </c>
      <c r="K2115" s="7">
        <v>4.3849960000000004E-3</v>
      </c>
      <c r="L2115" s="7">
        <v>685.51284745249995</v>
      </c>
      <c r="M2115" s="7">
        <v>679.06916964560003</v>
      </c>
      <c r="N2115" s="7">
        <v>682.37511197180004</v>
      </c>
      <c r="O2115" s="7">
        <v>685.51284745249995</v>
      </c>
      <c r="P2115" s="7">
        <v>679.06916964560003</v>
      </c>
      <c r="Q2115">
        <v>1</v>
      </c>
      <c r="R2115">
        <v>0</v>
      </c>
      <c r="S2115" s="11">
        <v>45964.666666666664</v>
      </c>
      <c r="T2115">
        <v>271</v>
      </c>
    </row>
    <row r="2116" spans="1:20">
      <c r="A2116" s="11">
        <v>45964.583333333336</v>
      </c>
      <c r="B2116" s="11">
        <v>45964.604166666664</v>
      </c>
      <c r="C2116" s="10">
        <v>45964</v>
      </c>
      <c r="D2116" s="7">
        <v>683.25070000000005</v>
      </c>
      <c r="E2116" s="7">
        <v>2197413</v>
      </c>
      <c r="F2116" s="7">
        <v>2197413</v>
      </c>
      <c r="G2116" s="7">
        <v>29002111</v>
      </c>
      <c r="H2116" s="7">
        <v>682.52</v>
      </c>
      <c r="I2116" s="7">
        <v>682.06</v>
      </c>
      <c r="J2116" s="7">
        <v>14</v>
      </c>
      <c r="K2116" s="7">
        <v>4.9352390999999997E-3</v>
      </c>
      <c r="L2116" s="7">
        <v>685.88839935880003</v>
      </c>
      <c r="M2116" s="7">
        <v>678.69387085120002</v>
      </c>
      <c r="N2116" s="7">
        <v>682.44145295349995</v>
      </c>
      <c r="O2116" s="7">
        <v>685.88839935880003</v>
      </c>
      <c r="P2116" s="7">
        <v>678.69387085120002</v>
      </c>
      <c r="Q2116">
        <v>1</v>
      </c>
      <c r="R2116">
        <v>0</v>
      </c>
      <c r="S2116" s="11">
        <v>45964.666666666664</v>
      </c>
      <c r="T2116">
        <v>270</v>
      </c>
    </row>
    <row r="2117" spans="1:20">
      <c r="A2117" s="11">
        <v>45964.604166666664</v>
      </c>
      <c r="B2117" s="11">
        <v>45964.625</v>
      </c>
      <c r="C2117" s="10">
        <v>45964</v>
      </c>
      <c r="D2117" s="7">
        <v>683.47</v>
      </c>
      <c r="E2117" s="7">
        <v>2389341</v>
      </c>
      <c r="F2117" s="7">
        <v>2389341</v>
      </c>
      <c r="G2117" s="7">
        <v>31391452</v>
      </c>
      <c r="H2117" s="7">
        <v>682.52</v>
      </c>
      <c r="I2117" s="7">
        <v>682.06</v>
      </c>
      <c r="J2117" s="7">
        <v>14</v>
      </c>
      <c r="K2117" s="7">
        <v>4.6256828000000002E-3</v>
      </c>
      <c r="L2117" s="7">
        <v>685.67712102500002</v>
      </c>
      <c r="M2117" s="7">
        <v>678.90500678909996</v>
      </c>
      <c r="N2117" s="7">
        <v>682.51974017730004</v>
      </c>
      <c r="O2117" s="7">
        <v>685.67712102500002</v>
      </c>
      <c r="P2117" s="7">
        <v>678.90500678909996</v>
      </c>
      <c r="Q2117">
        <v>1</v>
      </c>
      <c r="R2117">
        <v>0</v>
      </c>
      <c r="S2117" s="11">
        <v>45964.666666666664</v>
      </c>
      <c r="T2117">
        <v>269</v>
      </c>
    </row>
    <row r="2118" spans="1:20">
      <c r="A2118" s="11">
        <v>45964.625</v>
      </c>
      <c r="B2118" s="11">
        <v>45964.645833333336</v>
      </c>
      <c r="C2118" s="10">
        <v>45964</v>
      </c>
      <c r="D2118" s="7">
        <v>683.13</v>
      </c>
      <c r="E2118" s="7">
        <v>2236635</v>
      </c>
      <c r="F2118" s="7">
        <v>2236635</v>
      </c>
      <c r="G2118" s="7">
        <v>33628087</v>
      </c>
      <c r="H2118" s="7">
        <v>682.52</v>
      </c>
      <c r="I2118" s="7">
        <v>682.06</v>
      </c>
      <c r="J2118" s="7">
        <v>14</v>
      </c>
      <c r="K2118" s="7">
        <v>4.9758416000000001E-3</v>
      </c>
      <c r="L2118" s="7">
        <v>685.91611140129999</v>
      </c>
      <c r="M2118" s="7">
        <v>678.66617748579995</v>
      </c>
      <c r="N2118" s="7">
        <v>682.56032911950001</v>
      </c>
      <c r="O2118" s="7">
        <v>685.91611140129999</v>
      </c>
      <c r="P2118" s="7">
        <v>678.66617748579995</v>
      </c>
      <c r="Q2118">
        <v>1</v>
      </c>
      <c r="R2118">
        <v>0</v>
      </c>
      <c r="S2118" s="11">
        <v>45964.666666666664</v>
      </c>
      <c r="T2118">
        <v>268</v>
      </c>
    </row>
    <row r="2119" spans="1:20">
      <c r="A2119" s="11">
        <v>45964.645833333336</v>
      </c>
      <c r="B2119" s="11">
        <v>45964.666666666664</v>
      </c>
      <c r="C2119" s="10">
        <v>45964</v>
      </c>
      <c r="D2119" s="7">
        <v>683.34</v>
      </c>
      <c r="E2119" s="7">
        <v>8066997</v>
      </c>
      <c r="F2119" s="7">
        <v>8066997</v>
      </c>
      <c r="G2119" s="7">
        <v>41695084</v>
      </c>
      <c r="H2119" s="7">
        <v>682.52</v>
      </c>
      <c r="I2119" s="7">
        <v>682.06</v>
      </c>
      <c r="J2119" s="7">
        <v>14</v>
      </c>
      <c r="K2119" s="7">
        <v>4.1858306E-3</v>
      </c>
      <c r="L2119" s="7">
        <v>685.37691312790002</v>
      </c>
      <c r="M2119" s="7">
        <v>679.20501235409995</v>
      </c>
      <c r="N2119" s="7">
        <v>682.71117670269996</v>
      </c>
      <c r="O2119" s="7">
        <v>685.37691312790002</v>
      </c>
      <c r="P2119" s="7">
        <v>679.20501235409995</v>
      </c>
      <c r="Q2119">
        <v>1</v>
      </c>
      <c r="R2119">
        <v>1</v>
      </c>
      <c r="S2119" s="11">
        <v>45964.666666666664</v>
      </c>
      <c r="T2119">
        <v>267</v>
      </c>
    </row>
    <row r="2120" spans="1:20">
      <c r="A2120" s="11">
        <v>45965.395833333336</v>
      </c>
      <c r="B2120" s="11">
        <v>45965.416666666664</v>
      </c>
      <c r="C2120" s="10">
        <v>45965</v>
      </c>
      <c r="D2120" s="7">
        <v>678.8</v>
      </c>
      <c r="E2120" s="7">
        <v>9412625</v>
      </c>
      <c r="F2120" s="7">
        <v>9412625</v>
      </c>
      <c r="G2120" s="7">
        <v>9412625</v>
      </c>
      <c r="H2120" s="7">
        <v>678.8</v>
      </c>
      <c r="I2120" s="7">
        <v>683.34</v>
      </c>
      <c r="J2120" s="7">
        <v>14</v>
      </c>
      <c r="K2120" s="7">
        <v>0</v>
      </c>
      <c r="L2120" s="7">
        <v>683.34</v>
      </c>
      <c r="M2120" s="7">
        <v>678.8</v>
      </c>
      <c r="N2120" s="7">
        <v>678.8</v>
      </c>
      <c r="O2120" s="7">
        <v>683.34</v>
      </c>
      <c r="P2120" s="7">
        <v>678.8</v>
      </c>
      <c r="Q2120">
        <v>1</v>
      </c>
      <c r="R2120">
        <v>0</v>
      </c>
      <c r="S2120" s="11">
        <v>45965.666666666664</v>
      </c>
      <c r="T2120">
        <v>265</v>
      </c>
    </row>
    <row r="2121" spans="1:20">
      <c r="A2121" s="11">
        <v>45965.416666666664</v>
      </c>
      <c r="B2121" s="11">
        <v>45965.4375</v>
      </c>
      <c r="C2121" s="10">
        <v>45965</v>
      </c>
      <c r="D2121" s="7">
        <v>679.24</v>
      </c>
      <c r="E2121" s="7">
        <v>4089751</v>
      </c>
      <c r="F2121" s="7">
        <v>4089751</v>
      </c>
      <c r="G2121" s="7">
        <v>13502376</v>
      </c>
      <c r="H2121" s="7">
        <v>678.8</v>
      </c>
      <c r="I2121" s="7">
        <v>683.34</v>
      </c>
      <c r="J2121" s="7">
        <v>14</v>
      </c>
      <c r="K2121" s="7">
        <v>1.4195741000000001E-3</v>
      </c>
      <c r="L2121" s="7">
        <v>684.31005178609996</v>
      </c>
      <c r="M2121" s="7">
        <v>677.83639308039994</v>
      </c>
      <c r="N2121" s="7">
        <v>678.93327213229998</v>
      </c>
      <c r="O2121" s="7">
        <v>684.31005178609996</v>
      </c>
      <c r="P2121" s="7">
        <v>677.83639308039994</v>
      </c>
      <c r="Q2121">
        <v>1</v>
      </c>
      <c r="R2121">
        <v>0</v>
      </c>
      <c r="S2121" s="11">
        <v>45965.666666666664</v>
      </c>
      <c r="T2121">
        <v>264</v>
      </c>
    </row>
    <row r="2122" spans="1:20">
      <c r="A2122" s="11">
        <v>45965.4375</v>
      </c>
      <c r="B2122" s="11">
        <v>45965.458333333336</v>
      </c>
      <c r="C2122" s="10">
        <v>45965</v>
      </c>
      <c r="D2122" s="7">
        <v>678.13</v>
      </c>
      <c r="E2122" s="7">
        <v>3320847</v>
      </c>
      <c r="F2122" s="7">
        <v>3320847</v>
      </c>
      <c r="G2122" s="7">
        <v>16823223</v>
      </c>
      <c r="H2122" s="7">
        <v>678.8</v>
      </c>
      <c r="I2122" s="7">
        <v>683.34</v>
      </c>
      <c r="J2122" s="7">
        <v>14</v>
      </c>
      <c r="K2122" s="7">
        <v>1.2811194E-3</v>
      </c>
      <c r="L2122" s="7">
        <v>684.21544011840001</v>
      </c>
      <c r="M2122" s="7">
        <v>677.93037616360004</v>
      </c>
      <c r="N2122" s="7">
        <v>678.77470894550004</v>
      </c>
      <c r="O2122" s="7">
        <v>684.21544011840001</v>
      </c>
      <c r="P2122" s="7">
        <v>677.93037616360004</v>
      </c>
      <c r="Q2122">
        <v>1</v>
      </c>
      <c r="R2122">
        <v>0</v>
      </c>
      <c r="S2122" s="11">
        <v>45965.666666666664</v>
      </c>
      <c r="T2122">
        <v>263</v>
      </c>
    </row>
    <row r="2123" spans="1:20">
      <c r="A2123" s="11">
        <v>45965.458333333336</v>
      </c>
      <c r="B2123" s="11">
        <v>45965.479166666664</v>
      </c>
      <c r="C2123" s="10">
        <v>45965</v>
      </c>
      <c r="D2123" s="7">
        <v>678.15</v>
      </c>
      <c r="E2123" s="7">
        <v>3029974</v>
      </c>
      <c r="F2123" s="7">
        <v>3029974</v>
      </c>
      <c r="G2123" s="7">
        <v>19853197</v>
      </c>
      <c r="H2123" s="7">
        <v>678.8</v>
      </c>
      <c r="I2123" s="7">
        <v>683.34</v>
      </c>
      <c r="J2123" s="7">
        <v>14</v>
      </c>
      <c r="K2123" s="7">
        <v>1.4161312E-3</v>
      </c>
      <c r="L2123" s="7">
        <v>684.30769911599998</v>
      </c>
      <c r="M2123" s="7">
        <v>677.83873011979995</v>
      </c>
      <c r="N2123" s="7">
        <v>678.67936652469996</v>
      </c>
      <c r="O2123" s="7">
        <v>684.30769911599998</v>
      </c>
      <c r="P2123" s="7">
        <v>677.83873011979995</v>
      </c>
      <c r="Q2123">
        <v>1</v>
      </c>
      <c r="R2123">
        <v>0</v>
      </c>
      <c r="S2123" s="11">
        <v>45965.666666666664</v>
      </c>
      <c r="T2123">
        <v>262</v>
      </c>
    </row>
    <row r="2124" spans="1:20">
      <c r="A2124" s="11">
        <v>45965.479166666664</v>
      </c>
      <c r="B2124" s="11">
        <v>45965.5</v>
      </c>
      <c r="C2124" s="10">
        <v>45965</v>
      </c>
      <c r="D2124" s="7">
        <v>678.13</v>
      </c>
      <c r="E2124" s="7">
        <v>2767591</v>
      </c>
      <c r="F2124" s="7">
        <v>2767591</v>
      </c>
      <c r="G2124" s="7">
        <v>22620788</v>
      </c>
      <c r="H2124" s="7">
        <v>678.8</v>
      </c>
      <c r="I2124" s="7">
        <v>683.34</v>
      </c>
      <c r="J2124" s="7">
        <v>14</v>
      </c>
      <c r="K2124" s="7">
        <v>2.0082938999999998E-3</v>
      </c>
      <c r="L2124" s="7">
        <v>684.71234752390001</v>
      </c>
      <c r="M2124" s="7">
        <v>677.43677013019999</v>
      </c>
      <c r="N2124" s="7">
        <v>678.61215304610005</v>
      </c>
      <c r="O2124" s="7">
        <v>684.71234752390001</v>
      </c>
      <c r="P2124" s="7">
        <v>677.43677013019999</v>
      </c>
      <c r="Q2124">
        <v>1</v>
      </c>
      <c r="R2124">
        <v>0</v>
      </c>
      <c r="S2124" s="11">
        <v>45965.666666666664</v>
      </c>
      <c r="T2124">
        <v>261</v>
      </c>
    </row>
    <row r="2125" spans="1:20">
      <c r="A2125" s="11">
        <v>45965.5</v>
      </c>
      <c r="B2125" s="11">
        <v>45965.520833333336</v>
      </c>
      <c r="C2125" s="10">
        <v>45965</v>
      </c>
      <c r="D2125" s="7">
        <v>676.94</v>
      </c>
      <c r="E2125" s="7">
        <v>3533177</v>
      </c>
      <c r="F2125" s="7">
        <v>3533177</v>
      </c>
      <c r="G2125" s="7">
        <v>26153965</v>
      </c>
      <c r="H2125" s="7">
        <v>678.8</v>
      </c>
      <c r="I2125" s="7">
        <v>683.34</v>
      </c>
      <c r="J2125" s="7">
        <v>14</v>
      </c>
      <c r="K2125" s="7">
        <v>2.3627008E-3</v>
      </c>
      <c r="L2125" s="7">
        <v>684.95452796070003</v>
      </c>
      <c r="M2125" s="7">
        <v>677.19619870090003</v>
      </c>
      <c r="N2125" s="7">
        <v>678.38625947000003</v>
      </c>
      <c r="O2125" s="7">
        <v>684.95452796070003</v>
      </c>
      <c r="P2125" s="7">
        <v>677.19619870090003</v>
      </c>
      <c r="Q2125">
        <v>1</v>
      </c>
      <c r="R2125">
        <v>0</v>
      </c>
      <c r="S2125" s="11">
        <v>45965.666666666664</v>
      </c>
      <c r="T2125">
        <v>260</v>
      </c>
    </row>
    <row r="2126" spans="1:20">
      <c r="A2126" s="11">
        <v>45965.520833333336</v>
      </c>
      <c r="B2126" s="11">
        <v>45965.541666666664</v>
      </c>
      <c r="C2126" s="10">
        <v>45965</v>
      </c>
      <c r="D2126" s="7">
        <v>675.92</v>
      </c>
      <c r="E2126" s="7">
        <v>2734638</v>
      </c>
      <c r="F2126" s="7">
        <v>2734638</v>
      </c>
      <c r="G2126" s="7">
        <v>28888603</v>
      </c>
      <c r="H2126" s="7">
        <v>678.8</v>
      </c>
      <c r="I2126" s="7">
        <v>683.34</v>
      </c>
      <c r="J2126" s="7">
        <v>14</v>
      </c>
      <c r="K2126" s="7">
        <v>2.7520891000000001E-3</v>
      </c>
      <c r="L2126" s="7">
        <v>685.22061259739996</v>
      </c>
      <c r="M2126" s="7">
        <v>676.93188188730005</v>
      </c>
      <c r="N2126" s="7">
        <v>678.15279969129995</v>
      </c>
      <c r="O2126" s="7">
        <v>685.22061259739996</v>
      </c>
      <c r="P2126" s="7">
        <v>676.93188188730005</v>
      </c>
      <c r="Q2126">
        <v>1</v>
      </c>
      <c r="R2126">
        <v>0</v>
      </c>
      <c r="S2126" s="11">
        <v>45965.666666666664</v>
      </c>
      <c r="T2126">
        <v>259</v>
      </c>
    </row>
    <row r="2127" spans="1:20">
      <c r="A2127" s="11">
        <v>45965.541666666664</v>
      </c>
      <c r="B2127" s="11">
        <v>45965.5625</v>
      </c>
      <c r="C2127" s="10">
        <v>45965</v>
      </c>
      <c r="D2127" s="7">
        <v>675.22</v>
      </c>
      <c r="E2127" s="7">
        <v>2422527</v>
      </c>
      <c r="F2127" s="7">
        <v>2422527</v>
      </c>
      <c r="G2127" s="7">
        <v>31311130</v>
      </c>
      <c r="H2127" s="7">
        <v>678.8</v>
      </c>
      <c r="I2127" s="7">
        <v>683.34</v>
      </c>
      <c r="J2127" s="7">
        <v>14</v>
      </c>
      <c r="K2127" s="7">
        <v>3.3443004999999999E-3</v>
      </c>
      <c r="L2127" s="7">
        <v>685.62529431140001</v>
      </c>
      <c r="M2127" s="7">
        <v>676.52988881290003</v>
      </c>
      <c r="N2127" s="7">
        <v>677.92589039619997</v>
      </c>
      <c r="O2127" s="7">
        <v>685.62529431140001</v>
      </c>
      <c r="P2127" s="7">
        <v>676.52988881290003</v>
      </c>
      <c r="Q2127">
        <v>1</v>
      </c>
      <c r="R2127">
        <v>0</v>
      </c>
      <c r="S2127" s="11">
        <v>45965.666666666664</v>
      </c>
      <c r="T2127">
        <v>258</v>
      </c>
    </row>
    <row r="2128" spans="1:20">
      <c r="A2128" s="11">
        <v>45965.5625</v>
      </c>
      <c r="B2128" s="11">
        <v>45965.583333333336</v>
      </c>
      <c r="C2128" s="10">
        <v>45965</v>
      </c>
      <c r="D2128" s="7">
        <v>676.08</v>
      </c>
      <c r="E2128" s="7">
        <v>3342166</v>
      </c>
      <c r="F2128" s="7">
        <v>3342166</v>
      </c>
      <c r="G2128" s="7">
        <v>34653296</v>
      </c>
      <c r="H2128" s="7">
        <v>678.8</v>
      </c>
      <c r="I2128" s="7">
        <v>683.34</v>
      </c>
      <c r="J2128" s="7">
        <v>14</v>
      </c>
      <c r="K2128" s="7">
        <v>3.6065149000000002E-3</v>
      </c>
      <c r="L2128" s="7">
        <v>685.80447590189999</v>
      </c>
      <c r="M2128" s="7">
        <v>676.35189767580005</v>
      </c>
      <c r="N2128" s="7">
        <v>677.74786195920001</v>
      </c>
      <c r="O2128" s="7">
        <v>685.80447590189999</v>
      </c>
      <c r="P2128" s="7">
        <v>676.35189767580005</v>
      </c>
      <c r="Q2128">
        <v>1</v>
      </c>
      <c r="R2128">
        <v>0</v>
      </c>
      <c r="S2128" s="11">
        <v>45965.666666666664</v>
      </c>
      <c r="T2128">
        <v>257</v>
      </c>
    </row>
    <row r="2129" spans="1:20">
      <c r="A2129" s="11">
        <v>45965.583333333336</v>
      </c>
      <c r="B2129" s="11">
        <v>45965.604166666664</v>
      </c>
      <c r="C2129" s="10">
        <v>45965</v>
      </c>
      <c r="D2129" s="7">
        <v>676.23</v>
      </c>
      <c r="E2129" s="7">
        <v>3699800</v>
      </c>
      <c r="F2129" s="7">
        <v>3699800</v>
      </c>
      <c r="G2129" s="7">
        <v>38353096</v>
      </c>
      <c r="H2129" s="7">
        <v>678.8</v>
      </c>
      <c r="I2129" s="7">
        <v>683.34</v>
      </c>
      <c r="J2129" s="7">
        <v>14</v>
      </c>
      <c r="K2129" s="7">
        <v>4.1047148999999996E-3</v>
      </c>
      <c r="L2129" s="7">
        <v>686.14491588620001</v>
      </c>
      <c r="M2129" s="7">
        <v>676.0137195195</v>
      </c>
      <c r="N2129" s="7">
        <v>677.60143869060005</v>
      </c>
      <c r="O2129" s="7">
        <v>686.14491588620001</v>
      </c>
      <c r="P2129" s="7">
        <v>676.0137195195</v>
      </c>
      <c r="Q2129">
        <v>1</v>
      </c>
      <c r="R2129">
        <v>0</v>
      </c>
      <c r="S2129" s="11">
        <v>45965.666666666664</v>
      </c>
      <c r="T2129">
        <v>256</v>
      </c>
    </row>
    <row r="2130" spans="1:20">
      <c r="A2130" s="11">
        <v>45965.604166666664</v>
      </c>
      <c r="B2130" s="11">
        <v>45965.625</v>
      </c>
      <c r="C2130" s="10">
        <v>45965</v>
      </c>
      <c r="D2130" s="7">
        <v>675.22500000000002</v>
      </c>
      <c r="E2130" s="7">
        <v>3402308</v>
      </c>
      <c r="F2130" s="7">
        <v>3402308</v>
      </c>
      <c r="G2130" s="7">
        <v>41755404</v>
      </c>
      <c r="H2130" s="7">
        <v>678.8</v>
      </c>
      <c r="I2130" s="7">
        <v>683.34</v>
      </c>
      <c r="J2130" s="7">
        <v>14</v>
      </c>
      <c r="K2130" s="7">
        <v>3.8387722999999999E-3</v>
      </c>
      <c r="L2130" s="7">
        <v>685.96318664490002</v>
      </c>
      <c r="M2130" s="7">
        <v>676.19424138119996</v>
      </c>
      <c r="N2130" s="7">
        <v>677.40780204500004</v>
      </c>
      <c r="O2130" s="7">
        <v>685.96318664490002</v>
      </c>
      <c r="P2130" s="7">
        <v>676.19424138119996</v>
      </c>
      <c r="Q2130">
        <v>1</v>
      </c>
      <c r="R2130">
        <v>0</v>
      </c>
      <c r="S2130" s="11">
        <v>45965.666666666664</v>
      </c>
      <c r="T2130">
        <v>255</v>
      </c>
    </row>
    <row r="2131" spans="1:20">
      <c r="A2131" s="11">
        <v>45965.625</v>
      </c>
      <c r="B2131" s="11">
        <v>45965.645833333336</v>
      </c>
      <c r="C2131" s="10">
        <v>45965</v>
      </c>
      <c r="D2131" s="7">
        <v>675.98500000000001</v>
      </c>
      <c r="E2131" s="7">
        <v>3616653</v>
      </c>
      <c r="F2131" s="7">
        <v>3616653</v>
      </c>
      <c r="G2131" s="7">
        <v>45372057</v>
      </c>
      <c r="H2131" s="7">
        <v>678.8</v>
      </c>
      <c r="I2131" s="7">
        <v>683.34</v>
      </c>
      <c r="J2131" s="7">
        <v>14</v>
      </c>
      <c r="K2131" s="7">
        <v>4.1750991000000003E-3</v>
      </c>
      <c r="L2131" s="7">
        <v>686.19301223160005</v>
      </c>
      <c r="M2131" s="7">
        <v>675.96594271840002</v>
      </c>
      <c r="N2131" s="7">
        <v>677.2943890409</v>
      </c>
      <c r="O2131" s="7">
        <v>686.19301223160005</v>
      </c>
      <c r="P2131" s="7">
        <v>675.96594271840002</v>
      </c>
      <c r="Q2131">
        <v>1</v>
      </c>
      <c r="R2131">
        <v>0</v>
      </c>
      <c r="S2131" s="11">
        <v>45965.666666666664</v>
      </c>
      <c r="T2131">
        <v>254</v>
      </c>
    </row>
    <row r="2132" spans="1:20">
      <c r="A2132" s="11">
        <v>45965.645833333336</v>
      </c>
      <c r="B2132" s="11">
        <v>45965.666666666664</v>
      </c>
      <c r="C2132" s="10">
        <v>45965</v>
      </c>
      <c r="D2132" s="7">
        <v>675.24</v>
      </c>
      <c r="E2132" s="7">
        <v>11500869</v>
      </c>
      <c r="F2132" s="7">
        <v>11500869</v>
      </c>
      <c r="G2132" s="7">
        <v>56872926</v>
      </c>
      <c r="H2132" s="7">
        <v>678.8</v>
      </c>
      <c r="I2132" s="7">
        <v>683.34</v>
      </c>
      <c r="J2132" s="7">
        <v>14</v>
      </c>
      <c r="K2132" s="7">
        <v>3.6811216000000001E-3</v>
      </c>
      <c r="L2132" s="7">
        <v>685.85545761770004</v>
      </c>
      <c r="M2132" s="7">
        <v>676.30125467419998</v>
      </c>
      <c r="N2132" s="7">
        <v>676.8789495533</v>
      </c>
      <c r="O2132" s="7">
        <v>685.85545761770004</v>
      </c>
      <c r="P2132" s="7">
        <v>676.30125467419998</v>
      </c>
      <c r="Q2132">
        <v>1</v>
      </c>
      <c r="R2132">
        <v>1</v>
      </c>
      <c r="S2132" s="11">
        <v>45965.666666666664</v>
      </c>
      <c r="T2132">
        <v>253</v>
      </c>
    </row>
    <row r="2133" spans="1:20">
      <c r="A2133" s="11">
        <v>45966.395833333336</v>
      </c>
      <c r="B2133" s="11">
        <v>45966.416666666664</v>
      </c>
      <c r="C2133" s="10">
        <v>45966</v>
      </c>
      <c r="D2133" s="7">
        <v>677.17</v>
      </c>
      <c r="E2133" s="7">
        <v>6889394</v>
      </c>
      <c r="F2133" s="7">
        <v>6889394</v>
      </c>
      <c r="G2133" s="7">
        <v>6889394</v>
      </c>
      <c r="H2133" s="7">
        <v>677.17</v>
      </c>
      <c r="I2133" s="7">
        <v>675.24</v>
      </c>
      <c r="J2133" s="7">
        <v>14</v>
      </c>
      <c r="K2133" s="7">
        <v>0</v>
      </c>
      <c r="L2133" s="7">
        <v>677.17</v>
      </c>
      <c r="M2133" s="7">
        <v>675.24</v>
      </c>
      <c r="N2133" s="7">
        <v>677.17</v>
      </c>
      <c r="O2133" s="7">
        <v>677.17</v>
      </c>
      <c r="P2133" s="7">
        <v>675.24</v>
      </c>
      <c r="Q2133">
        <v>1</v>
      </c>
      <c r="R2133">
        <v>0</v>
      </c>
      <c r="S2133" s="11">
        <v>45966.666666666664</v>
      </c>
      <c r="T2133">
        <v>251</v>
      </c>
    </row>
    <row r="2134" spans="1:20">
      <c r="A2134" s="11">
        <v>45966.416666666664</v>
      </c>
      <c r="B2134" s="11">
        <v>45966.4375</v>
      </c>
      <c r="C2134" s="10">
        <v>45966</v>
      </c>
      <c r="D2134" s="7">
        <v>677.41</v>
      </c>
      <c r="E2134" s="7">
        <v>6154960</v>
      </c>
      <c r="F2134" s="7">
        <v>6154960</v>
      </c>
      <c r="G2134" s="7">
        <v>13044354</v>
      </c>
      <c r="H2134" s="7">
        <v>677.17</v>
      </c>
      <c r="I2134" s="7">
        <v>675.24</v>
      </c>
      <c r="J2134" s="7">
        <v>14</v>
      </c>
      <c r="K2134" s="7">
        <v>1.3302113000000001E-3</v>
      </c>
      <c r="L2134" s="7">
        <v>678.07077920439997</v>
      </c>
      <c r="M2134" s="7">
        <v>674.34178810349999</v>
      </c>
      <c r="N2134" s="7">
        <v>677.28324366080005</v>
      </c>
      <c r="O2134" s="7">
        <v>678.07077920439997</v>
      </c>
      <c r="P2134" s="7">
        <v>674.34178810349999</v>
      </c>
      <c r="Q2134">
        <v>1</v>
      </c>
      <c r="R2134">
        <v>0</v>
      </c>
      <c r="S2134" s="11">
        <v>45966.666666666664</v>
      </c>
      <c r="T2134">
        <v>250</v>
      </c>
    </row>
    <row r="2135" spans="1:20">
      <c r="A2135" s="11">
        <v>45966.4375</v>
      </c>
      <c r="B2135" s="11">
        <v>45966.458333333336</v>
      </c>
      <c r="C2135" s="10">
        <v>45966</v>
      </c>
      <c r="D2135" s="7">
        <v>677.85</v>
      </c>
      <c r="E2135" s="7">
        <v>3188136</v>
      </c>
      <c r="F2135" s="7">
        <v>3188136</v>
      </c>
      <c r="G2135" s="7">
        <v>16232490</v>
      </c>
      <c r="H2135" s="7">
        <v>677.17</v>
      </c>
      <c r="I2135" s="7">
        <v>675.24</v>
      </c>
      <c r="J2135" s="7">
        <v>14</v>
      </c>
      <c r="K2135" s="7">
        <v>1.2864888E-3</v>
      </c>
      <c r="L2135" s="7">
        <v>678.04117158700001</v>
      </c>
      <c r="M2135" s="7">
        <v>674.37131133629998</v>
      </c>
      <c r="N2135" s="7">
        <v>677.39455722319997</v>
      </c>
      <c r="O2135" s="7">
        <v>678.04117158700001</v>
      </c>
      <c r="P2135" s="7">
        <v>674.37131133629998</v>
      </c>
      <c r="Q2135">
        <v>1</v>
      </c>
      <c r="R2135">
        <v>0</v>
      </c>
      <c r="S2135" s="11">
        <v>45966.666666666664</v>
      </c>
      <c r="T2135">
        <v>249</v>
      </c>
    </row>
    <row r="2136" spans="1:20">
      <c r="A2136" s="11">
        <v>45966.458333333336</v>
      </c>
      <c r="B2136" s="11">
        <v>45966.479166666664</v>
      </c>
      <c r="C2136" s="10">
        <v>45966</v>
      </c>
      <c r="D2136" s="7">
        <v>678.34</v>
      </c>
      <c r="E2136" s="7">
        <v>3203921</v>
      </c>
      <c r="F2136" s="7">
        <v>3203921</v>
      </c>
      <c r="G2136" s="7">
        <v>19436411</v>
      </c>
      <c r="H2136" s="7">
        <v>677.17</v>
      </c>
      <c r="I2136" s="7">
        <v>675.24</v>
      </c>
      <c r="J2136" s="7">
        <v>14</v>
      </c>
      <c r="K2136" s="7">
        <v>1.4023193000000001E-3</v>
      </c>
      <c r="L2136" s="7">
        <v>678.11960855079997</v>
      </c>
      <c r="M2136" s="7">
        <v>674.29309792540005</v>
      </c>
      <c r="N2136" s="7">
        <v>677.55040512979997</v>
      </c>
      <c r="O2136" s="7">
        <v>678.11960855079997</v>
      </c>
      <c r="P2136" s="7">
        <v>674.29309792540005</v>
      </c>
      <c r="Q2136">
        <v>1</v>
      </c>
      <c r="R2136">
        <v>0</v>
      </c>
      <c r="S2136" s="11">
        <v>45966.666666666664</v>
      </c>
      <c r="T2136">
        <v>248</v>
      </c>
    </row>
    <row r="2137" spans="1:20">
      <c r="A2137" s="11">
        <v>45966.479166666664</v>
      </c>
      <c r="B2137" s="11">
        <v>45966.5</v>
      </c>
      <c r="C2137" s="10">
        <v>45966</v>
      </c>
      <c r="D2137" s="7">
        <v>679.3682</v>
      </c>
      <c r="E2137" s="7">
        <v>3556790</v>
      </c>
      <c r="F2137" s="7">
        <v>3556790</v>
      </c>
      <c r="G2137" s="7">
        <v>22993201</v>
      </c>
      <c r="H2137" s="7">
        <v>677.17</v>
      </c>
      <c r="I2137" s="7">
        <v>675.24</v>
      </c>
      <c r="J2137" s="7">
        <v>14</v>
      </c>
      <c r="K2137" s="7">
        <v>1.7421235000000001E-3</v>
      </c>
      <c r="L2137" s="7">
        <v>678.34971377370005</v>
      </c>
      <c r="M2137" s="7">
        <v>674.06364852460001</v>
      </c>
      <c r="N2137" s="7">
        <v>677.83159758390002</v>
      </c>
      <c r="O2137" s="7">
        <v>678.34971377370005</v>
      </c>
      <c r="P2137" s="7">
        <v>674.06364852460001</v>
      </c>
      <c r="Q2137">
        <v>1</v>
      </c>
      <c r="R2137">
        <v>0</v>
      </c>
      <c r="S2137" s="11">
        <v>45966.666666666664</v>
      </c>
      <c r="T2137">
        <v>247</v>
      </c>
    </row>
    <row r="2138" spans="1:20">
      <c r="A2138" s="11">
        <v>45966.5</v>
      </c>
      <c r="B2138" s="11">
        <v>45966.520833333336</v>
      </c>
      <c r="C2138" s="10">
        <v>45966</v>
      </c>
      <c r="D2138" s="7">
        <v>680.0299</v>
      </c>
      <c r="E2138" s="7">
        <v>2379887</v>
      </c>
      <c r="F2138" s="7">
        <v>2379887</v>
      </c>
      <c r="G2138" s="7">
        <v>25373088</v>
      </c>
      <c r="H2138" s="7">
        <v>677.17</v>
      </c>
      <c r="I2138" s="7">
        <v>675.24</v>
      </c>
      <c r="J2138" s="7">
        <v>14</v>
      </c>
      <c r="K2138" s="7">
        <v>2.2559477000000001E-3</v>
      </c>
      <c r="L2138" s="7">
        <v>678.6976600946</v>
      </c>
      <c r="M2138" s="7">
        <v>673.7166938844</v>
      </c>
      <c r="N2138" s="7">
        <v>678.03778893679998</v>
      </c>
      <c r="O2138" s="7">
        <v>678.6976600946</v>
      </c>
      <c r="P2138" s="7">
        <v>673.7166938844</v>
      </c>
      <c r="Q2138">
        <v>1</v>
      </c>
      <c r="R2138">
        <v>0</v>
      </c>
      <c r="S2138" s="11">
        <v>45966.666666666664</v>
      </c>
      <c r="T2138">
        <v>246</v>
      </c>
    </row>
    <row r="2139" spans="1:20">
      <c r="A2139" s="11">
        <v>45966.520833333336</v>
      </c>
      <c r="B2139" s="11">
        <v>45966.541666666664</v>
      </c>
      <c r="C2139" s="10">
        <v>45966</v>
      </c>
      <c r="D2139" s="7">
        <v>680.19799999999998</v>
      </c>
      <c r="E2139" s="7">
        <v>2781963</v>
      </c>
      <c r="F2139" s="7">
        <v>2781963</v>
      </c>
      <c r="G2139" s="7">
        <v>28155051</v>
      </c>
      <c r="H2139" s="7">
        <v>677.17</v>
      </c>
      <c r="I2139" s="7">
        <v>675.24</v>
      </c>
      <c r="J2139" s="7">
        <v>14</v>
      </c>
      <c r="K2139" s="7">
        <v>2.5945106000000002E-3</v>
      </c>
      <c r="L2139" s="7">
        <v>678.92692472809995</v>
      </c>
      <c r="M2139" s="7">
        <v>673.48808267729999</v>
      </c>
      <c r="N2139" s="7">
        <v>678.25123650789999</v>
      </c>
      <c r="O2139" s="7">
        <v>678.92692472809995</v>
      </c>
      <c r="P2139" s="7">
        <v>673.48808267729999</v>
      </c>
      <c r="Q2139">
        <v>1</v>
      </c>
      <c r="R2139">
        <v>0</v>
      </c>
      <c r="S2139" s="11">
        <v>45966.666666666664</v>
      </c>
      <c r="T2139">
        <v>245</v>
      </c>
    </row>
    <row r="2140" spans="1:20">
      <c r="A2140" s="11">
        <v>45966.541666666664</v>
      </c>
      <c r="B2140" s="11">
        <v>45966.5625</v>
      </c>
      <c r="C2140" s="10">
        <v>45966</v>
      </c>
      <c r="D2140" s="7">
        <v>680.38</v>
      </c>
      <c r="E2140" s="7">
        <v>1872566</v>
      </c>
      <c r="F2140" s="7">
        <v>1872566</v>
      </c>
      <c r="G2140" s="7">
        <v>30027617</v>
      </c>
      <c r="H2140" s="7">
        <v>677.17</v>
      </c>
      <c r="I2140" s="7">
        <v>675.24</v>
      </c>
      <c r="J2140" s="7">
        <v>14</v>
      </c>
      <c r="K2140" s="7">
        <v>2.9055951E-3</v>
      </c>
      <c r="L2140" s="7">
        <v>679.1375818258</v>
      </c>
      <c r="M2140" s="7">
        <v>673.27802597269999</v>
      </c>
      <c r="N2140" s="7">
        <v>678.38398930469998</v>
      </c>
      <c r="O2140" s="7">
        <v>679.1375818258</v>
      </c>
      <c r="P2140" s="7">
        <v>673.27802597269999</v>
      </c>
      <c r="Q2140">
        <v>1</v>
      </c>
      <c r="R2140">
        <v>0</v>
      </c>
      <c r="S2140" s="11">
        <v>45966.666666666664</v>
      </c>
      <c r="T2140">
        <v>244</v>
      </c>
    </row>
    <row r="2141" spans="1:20">
      <c r="A2141" s="11">
        <v>45966.5625</v>
      </c>
      <c r="B2141" s="11">
        <v>45966.583333333336</v>
      </c>
      <c r="C2141" s="10">
        <v>45966</v>
      </c>
      <c r="D2141" s="7">
        <v>680.59500000000003</v>
      </c>
      <c r="E2141" s="7">
        <v>1672864</v>
      </c>
      <c r="F2141" s="7">
        <v>1672864</v>
      </c>
      <c r="G2141" s="7">
        <v>31700481</v>
      </c>
      <c r="H2141" s="7">
        <v>677.17</v>
      </c>
      <c r="I2141" s="7">
        <v>675.24</v>
      </c>
      <c r="J2141" s="7">
        <v>14</v>
      </c>
      <c r="K2141" s="7">
        <v>3.4459921000000002E-3</v>
      </c>
      <c r="L2141" s="7">
        <v>679.50352250080005</v>
      </c>
      <c r="M2141" s="7">
        <v>672.91312826399997</v>
      </c>
      <c r="N2141" s="7">
        <v>678.50066640479997</v>
      </c>
      <c r="O2141" s="7">
        <v>679.50352250080005</v>
      </c>
      <c r="P2141" s="7">
        <v>672.91312826399997</v>
      </c>
      <c r="Q2141">
        <v>1</v>
      </c>
      <c r="R2141">
        <v>0</v>
      </c>
      <c r="S2141" s="11">
        <v>45966.666666666664</v>
      </c>
      <c r="T2141">
        <v>243</v>
      </c>
    </row>
    <row r="2142" spans="1:20">
      <c r="A2142" s="11">
        <v>45966.583333333336</v>
      </c>
      <c r="B2142" s="11">
        <v>45966.604166666664</v>
      </c>
      <c r="C2142" s="10">
        <v>45966</v>
      </c>
      <c r="D2142" s="7">
        <v>680.2</v>
      </c>
      <c r="E2142" s="7">
        <v>2558259</v>
      </c>
      <c r="F2142" s="7">
        <v>2558259</v>
      </c>
      <c r="G2142" s="7">
        <v>34258740</v>
      </c>
      <c r="H2142" s="7">
        <v>677.17</v>
      </c>
      <c r="I2142" s="7">
        <v>675.24</v>
      </c>
      <c r="J2142" s="7">
        <v>14</v>
      </c>
      <c r="K2142" s="7">
        <v>3.9317527999999996E-3</v>
      </c>
      <c r="L2142" s="7">
        <v>679.83246504689998</v>
      </c>
      <c r="M2142" s="7">
        <v>672.58512323599996</v>
      </c>
      <c r="N2142" s="7">
        <v>678.62756352550002</v>
      </c>
      <c r="O2142" s="7">
        <v>679.83246504689998</v>
      </c>
      <c r="P2142" s="7">
        <v>672.58512323599996</v>
      </c>
      <c r="Q2142">
        <v>1</v>
      </c>
      <c r="R2142">
        <v>0</v>
      </c>
      <c r="S2142" s="11">
        <v>45966.666666666664</v>
      </c>
      <c r="T2142">
        <v>242</v>
      </c>
    </row>
    <row r="2143" spans="1:20">
      <c r="A2143" s="11">
        <v>45966.604166666664</v>
      </c>
      <c r="B2143" s="11">
        <v>45966.625</v>
      </c>
      <c r="C2143" s="10">
        <v>45966</v>
      </c>
      <c r="D2143" s="7">
        <v>680.21500000000003</v>
      </c>
      <c r="E2143" s="7">
        <v>1800669</v>
      </c>
      <c r="F2143" s="7">
        <v>1800669</v>
      </c>
      <c r="G2143" s="7">
        <v>36059409</v>
      </c>
      <c r="H2143" s="7">
        <v>677.17</v>
      </c>
      <c r="I2143" s="7">
        <v>675.24</v>
      </c>
      <c r="J2143" s="7">
        <v>14</v>
      </c>
      <c r="K2143" s="7">
        <v>3.9253083000000003E-3</v>
      </c>
      <c r="L2143" s="7">
        <v>679.82810101589996</v>
      </c>
      <c r="M2143" s="7">
        <v>672.58947482910003</v>
      </c>
      <c r="N2143" s="7">
        <v>678.70683403290002</v>
      </c>
      <c r="O2143" s="7">
        <v>679.82810101589996</v>
      </c>
      <c r="P2143" s="7">
        <v>672.58947482910003</v>
      </c>
      <c r="Q2143">
        <v>1</v>
      </c>
      <c r="R2143">
        <v>0</v>
      </c>
      <c r="S2143" s="11">
        <v>45966.666666666664</v>
      </c>
      <c r="T2143">
        <v>241</v>
      </c>
    </row>
    <row r="2144" spans="1:20">
      <c r="A2144" s="11">
        <v>45966.625</v>
      </c>
      <c r="B2144" s="11">
        <v>45966.645833333336</v>
      </c>
      <c r="C2144" s="10">
        <v>45966</v>
      </c>
      <c r="D2144" s="7">
        <v>679.76</v>
      </c>
      <c r="E2144" s="7">
        <v>2805710</v>
      </c>
      <c r="F2144" s="7">
        <v>2805710</v>
      </c>
      <c r="G2144" s="7">
        <v>38865119</v>
      </c>
      <c r="H2144" s="7">
        <v>677.17</v>
      </c>
      <c r="I2144" s="7">
        <v>675.24</v>
      </c>
      <c r="J2144" s="7">
        <v>14</v>
      </c>
      <c r="K2144" s="7">
        <v>4.1463971999999997E-3</v>
      </c>
      <c r="L2144" s="7">
        <v>679.97781577620003</v>
      </c>
      <c r="M2144" s="7">
        <v>672.44018677029999</v>
      </c>
      <c r="N2144" s="7">
        <v>678.78286308830002</v>
      </c>
      <c r="O2144" s="7">
        <v>679.97781577620003</v>
      </c>
      <c r="P2144" s="7">
        <v>672.44018677029999</v>
      </c>
      <c r="Q2144">
        <v>1</v>
      </c>
      <c r="R2144">
        <v>0</v>
      </c>
      <c r="S2144" s="11">
        <v>45966.666666666664</v>
      </c>
      <c r="T2144">
        <v>240</v>
      </c>
    </row>
    <row r="2145" spans="1:20">
      <c r="A2145" s="11">
        <v>45966.645833333336</v>
      </c>
      <c r="B2145" s="11">
        <v>45966.666666666664</v>
      </c>
      <c r="C2145" s="10">
        <v>45966</v>
      </c>
      <c r="D2145" s="7">
        <v>677.58</v>
      </c>
      <c r="E2145" s="7">
        <v>12882110</v>
      </c>
      <c r="F2145" s="7">
        <v>12882110</v>
      </c>
      <c r="G2145" s="7">
        <v>51747229</v>
      </c>
      <c r="H2145" s="7">
        <v>677.17</v>
      </c>
      <c r="I2145" s="7">
        <v>675.24</v>
      </c>
      <c r="J2145" s="7">
        <v>14</v>
      </c>
      <c r="K2145" s="7">
        <v>3.7094416000000002E-3</v>
      </c>
      <c r="L2145" s="7">
        <v>679.68192257810006</v>
      </c>
      <c r="M2145" s="7">
        <v>672.73523664419997</v>
      </c>
      <c r="N2145" s="7">
        <v>678.47470574780004</v>
      </c>
      <c r="O2145" s="7">
        <v>679.68192257810006</v>
      </c>
      <c r="P2145" s="7">
        <v>672.73523664419997</v>
      </c>
      <c r="Q2145">
        <v>1</v>
      </c>
      <c r="R2145">
        <v>1</v>
      </c>
      <c r="S2145" s="11">
        <v>45966.666666666664</v>
      </c>
      <c r="T2145">
        <v>239</v>
      </c>
    </row>
    <row r="2146" spans="1:20">
      <c r="A2146" s="11">
        <v>45967.395833333336</v>
      </c>
      <c r="B2146" s="11">
        <v>45967.416666666664</v>
      </c>
      <c r="C2146" s="10">
        <v>45967</v>
      </c>
      <c r="D2146" s="7">
        <v>674.05</v>
      </c>
      <c r="E2146" s="7">
        <v>6341946</v>
      </c>
      <c r="F2146" s="7">
        <v>6341946</v>
      </c>
      <c r="G2146" s="7">
        <v>6341946</v>
      </c>
      <c r="H2146" s="7">
        <v>674.05</v>
      </c>
      <c r="I2146" s="7">
        <v>677.58</v>
      </c>
      <c r="J2146" s="7">
        <v>14</v>
      </c>
      <c r="K2146" s="7">
        <v>0</v>
      </c>
      <c r="L2146" s="7">
        <v>677.58</v>
      </c>
      <c r="M2146" s="7">
        <v>674.05</v>
      </c>
      <c r="N2146" s="7">
        <v>674.05</v>
      </c>
      <c r="O2146" s="7">
        <v>677.58</v>
      </c>
      <c r="P2146" s="7">
        <v>674.05</v>
      </c>
      <c r="Q2146">
        <v>1</v>
      </c>
      <c r="R2146">
        <v>0</v>
      </c>
      <c r="S2146" s="11">
        <v>45967.666666666664</v>
      </c>
      <c r="T2146">
        <v>237</v>
      </c>
    </row>
    <row r="2147" spans="1:20">
      <c r="A2147" s="11">
        <v>45967.416666666664</v>
      </c>
      <c r="B2147" s="11">
        <v>45967.4375</v>
      </c>
      <c r="C2147" s="10">
        <v>45967</v>
      </c>
      <c r="D2147" s="7">
        <v>674.61</v>
      </c>
      <c r="E2147" s="7">
        <v>7322498</v>
      </c>
      <c r="F2147" s="7">
        <v>7322498</v>
      </c>
      <c r="G2147" s="7">
        <v>13664444</v>
      </c>
      <c r="H2147" s="7">
        <v>674.05</v>
      </c>
      <c r="I2147" s="7">
        <v>677.58</v>
      </c>
      <c r="J2147" s="7">
        <v>14</v>
      </c>
      <c r="K2147" s="7">
        <v>1.3260730999999999E-3</v>
      </c>
      <c r="L2147" s="7">
        <v>678.47852062669995</v>
      </c>
      <c r="M2147" s="7">
        <v>673.15616041140004</v>
      </c>
      <c r="N2147" s="7">
        <v>674.35009262580002</v>
      </c>
      <c r="O2147" s="7">
        <v>678.47852062669995</v>
      </c>
      <c r="P2147" s="7">
        <v>673.15616041140004</v>
      </c>
      <c r="Q2147">
        <v>1</v>
      </c>
      <c r="R2147">
        <v>0</v>
      </c>
      <c r="S2147" s="11">
        <v>45967.666666666664</v>
      </c>
      <c r="T2147">
        <v>236</v>
      </c>
    </row>
    <row r="2148" spans="1:20">
      <c r="A2148" s="11">
        <v>45967.4375</v>
      </c>
      <c r="B2148" s="11">
        <v>45967.458333333336</v>
      </c>
      <c r="C2148" s="10">
        <v>45967</v>
      </c>
      <c r="D2148" s="7">
        <v>670.91</v>
      </c>
      <c r="E2148" s="7">
        <v>7033850</v>
      </c>
      <c r="F2148" s="7">
        <v>7033850</v>
      </c>
      <c r="G2148" s="7">
        <v>20698294</v>
      </c>
      <c r="H2148" s="7">
        <v>674.05</v>
      </c>
      <c r="I2148" s="7">
        <v>677.58</v>
      </c>
      <c r="J2148" s="7">
        <v>14</v>
      </c>
      <c r="K2148" s="7">
        <v>1.3105371000000001E-3</v>
      </c>
      <c r="L2148" s="7">
        <v>678.46799375679996</v>
      </c>
      <c r="M2148" s="7">
        <v>673.16663243929997</v>
      </c>
      <c r="N2148" s="7">
        <v>673.18105446660002</v>
      </c>
      <c r="O2148" s="7">
        <v>678.46799375679996</v>
      </c>
      <c r="P2148" s="7">
        <v>673.16663243929997</v>
      </c>
      <c r="Q2148">
        <v>1</v>
      </c>
      <c r="R2148">
        <v>0</v>
      </c>
      <c r="S2148" s="11">
        <v>45967.666666666664</v>
      </c>
      <c r="T2148">
        <v>235</v>
      </c>
    </row>
    <row r="2149" spans="1:20">
      <c r="A2149" s="11">
        <v>45967.458333333336</v>
      </c>
      <c r="B2149" s="11">
        <v>45967.479166666664</v>
      </c>
      <c r="C2149" s="10">
        <v>45967</v>
      </c>
      <c r="D2149" s="7">
        <v>671.34</v>
      </c>
      <c r="E2149" s="7">
        <v>4312779</v>
      </c>
      <c r="F2149" s="7">
        <v>4312779</v>
      </c>
      <c r="G2149" s="7">
        <v>25011073</v>
      </c>
      <c r="H2149" s="7">
        <v>674.05</v>
      </c>
      <c r="I2149" s="7">
        <v>677.58</v>
      </c>
      <c r="J2149" s="7">
        <v>14</v>
      </c>
      <c r="K2149" s="7">
        <v>1.4276961E-3</v>
      </c>
      <c r="L2149" s="7">
        <v>678.54737832420005</v>
      </c>
      <c r="M2149" s="7">
        <v>673.08766144310005</v>
      </c>
      <c r="N2149" s="7">
        <v>672.86359263509996</v>
      </c>
      <c r="O2149" s="7">
        <v>678.54737832420005</v>
      </c>
      <c r="P2149" s="7">
        <v>672.86359263509996</v>
      </c>
      <c r="Q2149">
        <v>1</v>
      </c>
      <c r="R2149">
        <v>0</v>
      </c>
      <c r="S2149" s="11">
        <v>45967.666666666664</v>
      </c>
      <c r="T2149">
        <v>234</v>
      </c>
    </row>
    <row r="2150" spans="1:20">
      <c r="A2150" s="11">
        <v>45967.479166666664</v>
      </c>
      <c r="B2150" s="11">
        <v>45967.5</v>
      </c>
      <c r="C2150" s="10">
        <v>45967</v>
      </c>
      <c r="D2150" s="7">
        <v>669.44</v>
      </c>
      <c r="E2150" s="7">
        <v>3829637</v>
      </c>
      <c r="F2150" s="7">
        <v>3829637</v>
      </c>
      <c r="G2150" s="7">
        <v>28840710</v>
      </c>
      <c r="H2150" s="7">
        <v>674.05</v>
      </c>
      <c r="I2150" s="7">
        <v>677.58</v>
      </c>
      <c r="J2150" s="7">
        <v>14</v>
      </c>
      <c r="K2150" s="7">
        <v>1.7355984E-3</v>
      </c>
      <c r="L2150" s="7">
        <v>678.75600676010004</v>
      </c>
      <c r="M2150" s="7">
        <v>672.88011990220002</v>
      </c>
      <c r="N2150" s="7">
        <v>672.40898811850002</v>
      </c>
      <c r="O2150" s="7">
        <v>678.75600676010004</v>
      </c>
      <c r="P2150" s="7">
        <v>672.40898811850002</v>
      </c>
      <c r="Q2150">
        <v>1</v>
      </c>
      <c r="R2150">
        <v>0</v>
      </c>
      <c r="S2150" s="11">
        <v>45967.666666666664</v>
      </c>
      <c r="T2150">
        <v>233</v>
      </c>
    </row>
    <row r="2151" spans="1:20">
      <c r="A2151" s="11">
        <v>45967.5</v>
      </c>
      <c r="B2151" s="11">
        <v>45967.520833333336</v>
      </c>
      <c r="C2151" s="10">
        <v>45967</v>
      </c>
      <c r="D2151" s="7">
        <v>669.54</v>
      </c>
      <c r="E2151" s="7">
        <v>3785228</v>
      </c>
      <c r="F2151" s="7">
        <v>3785228</v>
      </c>
      <c r="G2151" s="7">
        <v>32625938</v>
      </c>
      <c r="H2151" s="7">
        <v>674.05</v>
      </c>
      <c r="I2151" s="7">
        <v>677.58</v>
      </c>
      <c r="J2151" s="7">
        <v>14</v>
      </c>
      <c r="K2151" s="7">
        <v>2.1070759999999998E-3</v>
      </c>
      <c r="L2151" s="7">
        <v>679.00771253489995</v>
      </c>
      <c r="M2151" s="7">
        <v>672.6297254433</v>
      </c>
      <c r="N2151" s="7">
        <v>672.07613104760003</v>
      </c>
      <c r="O2151" s="7">
        <v>679.00771253489995</v>
      </c>
      <c r="P2151" s="7">
        <v>672.07613104760003</v>
      </c>
      <c r="Q2151">
        <v>1</v>
      </c>
      <c r="R2151">
        <v>0</v>
      </c>
      <c r="S2151" s="11">
        <v>45967.666666666664</v>
      </c>
      <c r="T2151">
        <v>232</v>
      </c>
    </row>
    <row r="2152" spans="1:20">
      <c r="A2152" s="11">
        <v>45967.520833333336</v>
      </c>
      <c r="B2152" s="11">
        <v>45967.541666666664</v>
      </c>
      <c r="C2152" s="10">
        <v>45967</v>
      </c>
      <c r="D2152" s="7">
        <v>671.04</v>
      </c>
      <c r="E2152" s="7">
        <v>3235021</v>
      </c>
      <c r="F2152" s="7">
        <v>3235021</v>
      </c>
      <c r="G2152" s="7">
        <v>35860959</v>
      </c>
      <c r="H2152" s="7">
        <v>674.05</v>
      </c>
      <c r="I2152" s="7">
        <v>677.58</v>
      </c>
      <c r="J2152" s="7">
        <v>14</v>
      </c>
      <c r="K2152" s="7">
        <v>2.5512275999999999E-3</v>
      </c>
      <c r="L2152" s="7">
        <v>679.30866078350004</v>
      </c>
      <c r="M2152" s="7">
        <v>672.33034504989996</v>
      </c>
      <c r="N2152" s="7">
        <v>671.98266155349995</v>
      </c>
      <c r="O2152" s="7">
        <v>679.30866078350004</v>
      </c>
      <c r="P2152" s="7">
        <v>671.98266155349995</v>
      </c>
      <c r="Q2152">
        <v>1</v>
      </c>
      <c r="R2152">
        <v>0</v>
      </c>
      <c r="S2152" s="11">
        <v>45967.666666666664</v>
      </c>
      <c r="T2152">
        <v>231</v>
      </c>
    </row>
    <row r="2153" spans="1:20">
      <c r="A2153" s="11">
        <v>45967.541666666664</v>
      </c>
      <c r="B2153" s="11">
        <v>45967.5625</v>
      </c>
      <c r="C2153" s="10">
        <v>45967</v>
      </c>
      <c r="D2153" s="7">
        <v>670.95</v>
      </c>
      <c r="E2153" s="7">
        <v>3525997</v>
      </c>
      <c r="F2153" s="7">
        <v>3525997</v>
      </c>
      <c r="G2153" s="7">
        <v>39386956</v>
      </c>
      <c r="H2153" s="7">
        <v>674.05</v>
      </c>
      <c r="I2153" s="7">
        <v>677.58</v>
      </c>
      <c r="J2153" s="7">
        <v>14</v>
      </c>
      <c r="K2153" s="7">
        <v>2.9018668000000002E-3</v>
      </c>
      <c r="L2153" s="7">
        <v>679.54624692419998</v>
      </c>
      <c r="M2153" s="7">
        <v>672.09399666570005</v>
      </c>
      <c r="N2153" s="7">
        <v>671.8902156803</v>
      </c>
      <c r="O2153" s="7">
        <v>679.54624692419998</v>
      </c>
      <c r="P2153" s="7">
        <v>671.8902156803</v>
      </c>
      <c r="Q2153">
        <v>1</v>
      </c>
      <c r="R2153">
        <v>0</v>
      </c>
      <c r="S2153" s="11">
        <v>45967.666666666664</v>
      </c>
      <c r="T2153">
        <v>230</v>
      </c>
    </row>
    <row r="2154" spans="1:20">
      <c r="A2154" s="11">
        <v>45967.5625</v>
      </c>
      <c r="B2154" s="11">
        <v>45967.583333333336</v>
      </c>
      <c r="C2154" s="10">
        <v>45967</v>
      </c>
      <c r="D2154" s="7">
        <v>671.43</v>
      </c>
      <c r="E2154" s="7">
        <v>2461193</v>
      </c>
      <c r="F2154" s="7">
        <v>2461193</v>
      </c>
      <c r="G2154" s="7">
        <v>41848149</v>
      </c>
      <c r="H2154" s="7">
        <v>674.05</v>
      </c>
      <c r="I2154" s="7">
        <v>677.58</v>
      </c>
      <c r="J2154" s="7">
        <v>14</v>
      </c>
      <c r="K2154" s="7">
        <v>3.2870846999999998E-3</v>
      </c>
      <c r="L2154" s="7">
        <v>679.8072628589</v>
      </c>
      <c r="M2154" s="7">
        <v>671.83434055019995</v>
      </c>
      <c r="N2154" s="7">
        <v>671.86314925950001</v>
      </c>
      <c r="O2154" s="7">
        <v>679.8072628589</v>
      </c>
      <c r="P2154" s="7">
        <v>671.83434055019995</v>
      </c>
      <c r="Q2154">
        <v>1</v>
      </c>
      <c r="R2154">
        <v>0</v>
      </c>
      <c r="S2154" s="11">
        <v>45967.666666666664</v>
      </c>
      <c r="T2154">
        <v>229</v>
      </c>
    </row>
    <row r="2155" spans="1:20">
      <c r="A2155" s="11">
        <v>45967.583333333336</v>
      </c>
      <c r="B2155" s="11">
        <v>45967.604166666664</v>
      </c>
      <c r="C2155" s="10">
        <v>45967</v>
      </c>
      <c r="D2155" s="7">
        <v>673.4</v>
      </c>
      <c r="E2155" s="7">
        <v>3366419</v>
      </c>
      <c r="F2155" s="7">
        <v>3366419</v>
      </c>
      <c r="G2155" s="7">
        <v>45214568</v>
      </c>
      <c r="H2155" s="7">
        <v>674.05</v>
      </c>
      <c r="I2155" s="7">
        <v>677.58</v>
      </c>
      <c r="J2155" s="7">
        <v>14</v>
      </c>
      <c r="K2155" s="7">
        <v>3.3604652E-3</v>
      </c>
      <c r="L2155" s="7">
        <v>679.85698398479997</v>
      </c>
      <c r="M2155" s="7">
        <v>671.78487845719997</v>
      </c>
      <c r="N2155" s="7">
        <v>671.97757440520002</v>
      </c>
      <c r="O2155" s="7">
        <v>679.85698398479997</v>
      </c>
      <c r="P2155" s="7">
        <v>671.78487845719997</v>
      </c>
      <c r="Q2155">
        <v>1</v>
      </c>
      <c r="R2155">
        <v>0</v>
      </c>
      <c r="S2155" s="11">
        <v>45967.666666666664</v>
      </c>
      <c r="T2155">
        <v>228</v>
      </c>
    </row>
    <row r="2156" spans="1:20">
      <c r="A2156" s="11">
        <v>45967.604166666664</v>
      </c>
      <c r="B2156" s="11">
        <v>45967.625</v>
      </c>
      <c r="C2156" s="10">
        <v>45967</v>
      </c>
      <c r="D2156" s="7">
        <v>673.01</v>
      </c>
      <c r="E2156" s="7">
        <v>3866257</v>
      </c>
      <c r="F2156" s="7">
        <v>3866257</v>
      </c>
      <c r="G2156" s="7">
        <v>49080825</v>
      </c>
      <c r="H2156" s="7">
        <v>674.05</v>
      </c>
      <c r="I2156" s="7">
        <v>677.58</v>
      </c>
      <c r="J2156" s="7">
        <v>14</v>
      </c>
      <c r="K2156" s="7">
        <v>3.5945320000000001E-3</v>
      </c>
      <c r="L2156" s="7">
        <v>680.01558301490002</v>
      </c>
      <c r="M2156" s="7">
        <v>671.62710568320006</v>
      </c>
      <c r="N2156" s="7">
        <v>672.05890194369999</v>
      </c>
      <c r="O2156" s="7">
        <v>680.01558301490002</v>
      </c>
      <c r="P2156" s="7">
        <v>671.62710568320006</v>
      </c>
      <c r="Q2156">
        <v>1</v>
      </c>
      <c r="R2156">
        <v>0</v>
      </c>
      <c r="S2156" s="11">
        <v>45967.666666666664</v>
      </c>
      <c r="T2156">
        <v>227</v>
      </c>
    </row>
    <row r="2157" spans="1:20">
      <c r="A2157" s="11">
        <v>45967.625</v>
      </c>
      <c r="B2157" s="11">
        <v>45967.645833333336</v>
      </c>
      <c r="C2157" s="10">
        <v>45967</v>
      </c>
      <c r="D2157" s="7">
        <v>672.36749999999995</v>
      </c>
      <c r="E2157" s="7">
        <v>3191483</v>
      </c>
      <c r="F2157" s="7">
        <v>3191483</v>
      </c>
      <c r="G2157" s="7">
        <v>52272308</v>
      </c>
      <c r="H2157" s="7">
        <v>674.05</v>
      </c>
      <c r="I2157" s="7">
        <v>677.58</v>
      </c>
      <c r="J2157" s="7">
        <v>14</v>
      </c>
      <c r="K2157" s="7">
        <v>3.5994123999999999E-3</v>
      </c>
      <c r="L2157" s="7">
        <v>680.01888982360003</v>
      </c>
      <c r="M2157" s="7">
        <v>671.62381610199998</v>
      </c>
      <c r="N2157" s="7">
        <v>672.07774338169997</v>
      </c>
      <c r="O2157" s="7">
        <v>680.01888982360003</v>
      </c>
      <c r="P2157" s="7">
        <v>671.62381610199998</v>
      </c>
      <c r="Q2157">
        <v>1</v>
      </c>
      <c r="R2157">
        <v>0</v>
      </c>
      <c r="S2157" s="11">
        <v>45967.666666666664</v>
      </c>
      <c r="T2157">
        <v>226</v>
      </c>
    </row>
    <row r="2158" spans="1:20">
      <c r="A2158" s="11">
        <v>45967.645833333336</v>
      </c>
      <c r="B2158" s="11">
        <v>45967.666666666664</v>
      </c>
      <c r="C2158" s="10">
        <v>45967</v>
      </c>
      <c r="D2158" s="7">
        <v>670.31</v>
      </c>
      <c r="E2158" s="7">
        <v>13135499</v>
      </c>
      <c r="F2158" s="7">
        <v>13135499</v>
      </c>
      <c r="G2158" s="7">
        <v>65407807</v>
      </c>
      <c r="H2158" s="7">
        <v>674.05</v>
      </c>
      <c r="I2158" s="7">
        <v>677.58</v>
      </c>
      <c r="J2158" s="7">
        <v>14</v>
      </c>
      <c r="K2158" s="7">
        <v>3.1071515E-3</v>
      </c>
      <c r="L2158" s="7">
        <v>679.68534371199996</v>
      </c>
      <c r="M2158" s="7">
        <v>671.95562453280002</v>
      </c>
      <c r="N2158" s="7">
        <v>671.72273696139996</v>
      </c>
      <c r="O2158" s="7">
        <v>679.68534371199996</v>
      </c>
      <c r="P2158" s="7">
        <v>671.72273696139996</v>
      </c>
      <c r="Q2158">
        <v>1</v>
      </c>
      <c r="R2158">
        <v>1</v>
      </c>
      <c r="S2158" s="11">
        <v>45967.666666666664</v>
      </c>
      <c r="T2158">
        <v>225</v>
      </c>
    </row>
    <row r="2159" spans="1:20">
      <c r="A2159" s="11">
        <v>45968.395833333336</v>
      </c>
      <c r="B2159" s="11">
        <v>45968.416666666664</v>
      </c>
      <c r="C2159" s="10">
        <v>45968</v>
      </c>
      <c r="D2159" s="7">
        <v>666.34500000000003</v>
      </c>
      <c r="E2159" s="7">
        <v>10900807</v>
      </c>
      <c r="F2159" s="7">
        <v>10900807</v>
      </c>
      <c r="G2159" s="7">
        <v>10900807</v>
      </c>
      <c r="H2159" s="7">
        <v>666.34500000000003</v>
      </c>
      <c r="I2159" s="7">
        <v>670.31</v>
      </c>
      <c r="J2159" s="7">
        <v>14</v>
      </c>
      <c r="K2159" s="7">
        <v>0</v>
      </c>
      <c r="L2159" s="7">
        <v>670.31</v>
      </c>
      <c r="M2159" s="7">
        <v>666.34500000000003</v>
      </c>
      <c r="N2159" s="7">
        <v>666.34500000000003</v>
      </c>
      <c r="O2159" s="7">
        <v>670.31</v>
      </c>
      <c r="P2159" s="7">
        <v>666.34500000000003</v>
      </c>
      <c r="Q2159">
        <v>1</v>
      </c>
      <c r="R2159">
        <v>0</v>
      </c>
      <c r="S2159" s="11">
        <v>45968.666666666664</v>
      </c>
      <c r="T2159">
        <v>223</v>
      </c>
    </row>
    <row r="2160" spans="1:20">
      <c r="A2160" s="11">
        <v>45968.416666666664</v>
      </c>
      <c r="B2160" s="11">
        <v>45968.4375</v>
      </c>
      <c r="C2160" s="10">
        <v>45968</v>
      </c>
      <c r="D2160" s="7">
        <v>665.88</v>
      </c>
      <c r="E2160" s="7">
        <v>6775582</v>
      </c>
      <c r="F2160" s="7">
        <v>6775582</v>
      </c>
      <c r="G2160" s="7">
        <v>17676389</v>
      </c>
      <c r="H2160" s="7">
        <v>666.34500000000003</v>
      </c>
      <c r="I2160" s="7">
        <v>670.31</v>
      </c>
      <c r="J2160" s="7">
        <v>14</v>
      </c>
      <c r="K2160" s="7">
        <v>1.1962082999999999E-3</v>
      </c>
      <c r="L2160" s="7">
        <v>671.11183038770002</v>
      </c>
      <c r="M2160" s="7">
        <v>665.5479125782</v>
      </c>
      <c r="N2160" s="7">
        <v>666.16675965750005</v>
      </c>
      <c r="O2160" s="7">
        <v>671.11183038770002</v>
      </c>
      <c r="P2160" s="7">
        <v>665.5479125782</v>
      </c>
      <c r="Q2160">
        <v>1</v>
      </c>
      <c r="R2160">
        <v>0</v>
      </c>
      <c r="S2160" s="11">
        <v>45968.666666666664</v>
      </c>
      <c r="T2160">
        <v>222</v>
      </c>
    </row>
    <row r="2161" spans="1:20">
      <c r="A2161" s="11">
        <v>45968.4375</v>
      </c>
      <c r="B2161" s="11">
        <v>45968.458333333336</v>
      </c>
      <c r="C2161" s="10">
        <v>45968</v>
      </c>
      <c r="D2161" s="7">
        <v>663.36</v>
      </c>
      <c r="E2161" s="7">
        <v>6451361</v>
      </c>
      <c r="F2161" s="7">
        <v>6451361</v>
      </c>
      <c r="G2161" s="7">
        <v>24127750</v>
      </c>
      <c r="H2161" s="7">
        <v>666.34500000000003</v>
      </c>
      <c r="I2161" s="7">
        <v>670.31</v>
      </c>
      <c r="J2161" s="7">
        <v>14</v>
      </c>
      <c r="K2161" s="7">
        <v>1.5265125E-3</v>
      </c>
      <c r="L2161" s="7">
        <v>671.33323656849996</v>
      </c>
      <c r="M2161" s="7">
        <v>665.32781605340006</v>
      </c>
      <c r="N2161" s="7">
        <v>665.41627858109996</v>
      </c>
      <c r="O2161" s="7">
        <v>671.33323656849996</v>
      </c>
      <c r="P2161" s="7">
        <v>665.32781605340006</v>
      </c>
      <c r="Q2161">
        <v>1</v>
      </c>
      <c r="R2161">
        <v>0</v>
      </c>
      <c r="S2161" s="11">
        <v>45968.666666666664</v>
      </c>
      <c r="T2161">
        <v>221</v>
      </c>
    </row>
    <row r="2162" spans="1:20">
      <c r="A2162" s="11">
        <v>45968.458333333336</v>
      </c>
      <c r="B2162" s="11">
        <v>45968.479166666664</v>
      </c>
      <c r="C2162" s="10">
        <v>45968</v>
      </c>
      <c r="D2162" s="7">
        <v>662.76</v>
      </c>
      <c r="E2162" s="7">
        <v>6369441</v>
      </c>
      <c r="F2162" s="7">
        <v>6369441</v>
      </c>
      <c r="G2162" s="7">
        <v>30497191</v>
      </c>
      <c r="H2162" s="7">
        <v>666.34500000000003</v>
      </c>
      <c r="I2162" s="7">
        <v>670.31</v>
      </c>
      <c r="J2162" s="7">
        <v>14</v>
      </c>
      <c r="K2162" s="7">
        <v>1.5808057E-3</v>
      </c>
      <c r="L2162" s="7">
        <v>671.36962984460001</v>
      </c>
      <c r="M2162" s="7">
        <v>665.29163804979999</v>
      </c>
      <c r="N2162" s="7">
        <v>664.86150585790006</v>
      </c>
      <c r="O2162" s="7">
        <v>671.36962984460001</v>
      </c>
      <c r="P2162" s="7">
        <v>664.86150585790006</v>
      </c>
      <c r="Q2162">
        <v>1</v>
      </c>
      <c r="R2162">
        <v>0</v>
      </c>
      <c r="S2162" s="11">
        <v>45968.666666666664</v>
      </c>
      <c r="T2162">
        <v>220</v>
      </c>
    </row>
    <row r="2163" spans="1:20">
      <c r="A2163" s="11">
        <v>45968.479166666664</v>
      </c>
      <c r="B2163" s="11">
        <v>45968.5</v>
      </c>
      <c r="C2163" s="10">
        <v>45968</v>
      </c>
      <c r="D2163" s="7">
        <v>662.03</v>
      </c>
      <c r="E2163" s="7">
        <v>4741872</v>
      </c>
      <c r="F2163" s="7">
        <v>4741872</v>
      </c>
      <c r="G2163" s="7">
        <v>35239063</v>
      </c>
      <c r="H2163" s="7">
        <v>666.34500000000003</v>
      </c>
      <c r="I2163" s="7">
        <v>670.31</v>
      </c>
      <c r="J2163" s="7">
        <v>14</v>
      </c>
      <c r="K2163" s="7">
        <v>2.1073484999999999E-3</v>
      </c>
      <c r="L2163" s="7">
        <v>671.72257677870004</v>
      </c>
      <c r="M2163" s="7">
        <v>664.94077885809997</v>
      </c>
      <c r="N2163" s="7">
        <v>664.48049009859994</v>
      </c>
      <c r="O2163" s="7">
        <v>671.72257677870004</v>
      </c>
      <c r="P2163" s="7">
        <v>664.48049009859994</v>
      </c>
      <c r="Q2163">
        <v>1</v>
      </c>
      <c r="R2163">
        <v>0</v>
      </c>
      <c r="S2163" s="11">
        <v>45968.666666666664</v>
      </c>
      <c r="T2163">
        <v>219</v>
      </c>
    </row>
    <row r="2164" spans="1:20">
      <c r="A2164" s="11">
        <v>45968.5</v>
      </c>
      <c r="B2164" s="11">
        <v>45968.520833333336</v>
      </c>
      <c r="C2164" s="10">
        <v>45968</v>
      </c>
      <c r="D2164" s="7">
        <v>663.5</v>
      </c>
      <c r="E2164" s="7">
        <v>4525295</v>
      </c>
      <c r="F2164" s="7">
        <v>4525295</v>
      </c>
      <c r="G2164" s="7">
        <v>39764358</v>
      </c>
      <c r="H2164" s="7">
        <v>666.34500000000003</v>
      </c>
      <c r="I2164" s="7">
        <v>670.31</v>
      </c>
      <c r="J2164" s="7">
        <v>14</v>
      </c>
      <c r="K2164" s="7">
        <v>2.3179442999999998E-3</v>
      </c>
      <c r="L2164" s="7">
        <v>671.86374122049995</v>
      </c>
      <c r="M2164" s="7">
        <v>664.80044942849997</v>
      </c>
      <c r="N2164" s="7">
        <v>664.36890758690004</v>
      </c>
      <c r="O2164" s="7">
        <v>671.86374122049995</v>
      </c>
      <c r="P2164" s="7">
        <v>664.36890758690004</v>
      </c>
      <c r="Q2164">
        <v>1</v>
      </c>
      <c r="R2164">
        <v>0</v>
      </c>
      <c r="S2164" s="11">
        <v>45968.666666666664</v>
      </c>
      <c r="T2164">
        <v>218</v>
      </c>
    </row>
    <row r="2165" spans="1:20">
      <c r="A2165" s="11">
        <v>45968.520833333336</v>
      </c>
      <c r="B2165" s="11">
        <v>45968.541666666664</v>
      </c>
      <c r="C2165" s="10">
        <v>45968</v>
      </c>
      <c r="D2165" s="7">
        <v>663.95</v>
      </c>
      <c r="E2165" s="7">
        <v>3590967</v>
      </c>
      <c r="F2165" s="7">
        <v>3590967</v>
      </c>
      <c r="G2165" s="7">
        <v>43355325</v>
      </c>
      <c r="H2165" s="7">
        <v>666.34500000000003</v>
      </c>
      <c r="I2165" s="7">
        <v>670.31</v>
      </c>
      <c r="J2165" s="7">
        <v>14</v>
      </c>
      <c r="K2165" s="7">
        <v>2.7242349000000002E-3</v>
      </c>
      <c r="L2165" s="7">
        <v>672.13608187429998</v>
      </c>
      <c r="M2165" s="7">
        <v>664.52971971689999</v>
      </c>
      <c r="N2165" s="7">
        <v>664.33421096500001</v>
      </c>
      <c r="O2165" s="7">
        <v>672.13608187429998</v>
      </c>
      <c r="P2165" s="7">
        <v>664.33421096500001</v>
      </c>
      <c r="Q2165">
        <v>1</v>
      </c>
      <c r="R2165">
        <v>0</v>
      </c>
      <c r="S2165" s="11">
        <v>45968.666666666664</v>
      </c>
      <c r="T2165">
        <v>217</v>
      </c>
    </row>
    <row r="2166" spans="1:20">
      <c r="A2166" s="11">
        <v>45968.541666666664</v>
      </c>
      <c r="B2166" s="11">
        <v>45968.5625</v>
      </c>
      <c r="C2166" s="10">
        <v>45968</v>
      </c>
      <c r="D2166" s="7">
        <v>665.3</v>
      </c>
      <c r="E2166" s="7">
        <v>3318704</v>
      </c>
      <c r="F2166" s="7">
        <v>3318704</v>
      </c>
      <c r="G2166" s="7">
        <v>46674029</v>
      </c>
      <c r="H2166" s="7">
        <v>666.34500000000003</v>
      </c>
      <c r="I2166" s="7">
        <v>670.31</v>
      </c>
      <c r="J2166" s="7">
        <v>14</v>
      </c>
      <c r="K2166" s="7">
        <v>3.1719873999999999E-3</v>
      </c>
      <c r="L2166" s="7">
        <v>672.43621489780003</v>
      </c>
      <c r="M2166" s="7">
        <v>664.23136203240006</v>
      </c>
      <c r="N2166" s="7">
        <v>664.40288230110002</v>
      </c>
      <c r="O2166" s="7">
        <v>672.43621489780003</v>
      </c>
      <c r="P2166" s="7">
        <v>664.23136203240006</v>
      </c>
      <c r="Q2166">
        <v>1</v>
      </c>
      <c r="R2166">
        <v>0</v>
      </c>
      <c r="S2166" s="11">
        <v>45968.666666666664</v>
      </c>
      <c r="T2166">
        <v>216</v>
      </c>
    </row>
    <row r="2167" spans="1:20">
      <c r="A2167" s="11">
        <v>45968.5625</v>
      </c>
      <c r="B2167" s="11">
        <v>45968.583333333336</v>
      </c>
      <c r="C2167" s="10">
        <v>45968</v>
      </c>
      <c r="D2167" s="7">
        <v>665.44989999999996</v>
      </c>
      <c r="E2167" s="7">
        <v>3160712</v>
      </c>
      <c r="F2167" s="7">
        <v>3160712</v>
      </c>
      <c r="G2167" s="7">
        <v>49834741</v>
      </c>
      <c r="H2167" s="7">
        <v>666.34500000000003</v>
      </c>
      <c r="I2167" s="7">
        <v>670.31</v>
      </c>
      <c r="J2167" s="7">
        <v>14</v>
      </c>
      <c r="K2167" s="7">
        <v>3.3247008000000002E-3</v>
      </c>
      <c r="L2167" s="7">
        <v>672.53858018450001</v>
      </c>
      <c r="M2167" s="7">
        <v>664.12960225409995</v>
      </c>
      <c r="N2167" s="7">
        <v>664.46928821270001</v>
      </c>
      <c r="O2167" s="7">
        <v>672.53858018450001</v>
      </c>
      <c r="P2167" s="7">
        <v>664.12960225409995</v>
      </c>
      <c r="Q2167">
        <v>1</v>
      </c>
      <c r="R2167">
        <v>0</v>
      </c>
      <c r="S2167" s="11">
        <v>45968.666666666664</v>
      </c>
      <c r="T2167">
        <v>215</v>
      </c>
    </row>
    <row r="2168" spans="1:20">
      <c r="A2168" s="11">
        <v>45968.583333333336</v>
      </c>
      <c r="B2168" s="11">
        <v>45968.604166666664</v>
      </c>
      <c r="C2168" s="10">
        <v>45968</v>
      </c>
      <c r="D2168" s="7">
        <v>666.55010000000004</v>
      </c>
      <c r="E2168" s="7">
        <v>3609428</v>
      </c>
      <c r="F2168" s="7">
        <v>3609428</v>
      </c>
      <c r="G2168" s="7">
        <v>53444169</v>
      </c>
      <c r="H2168" s="7">
        <v>666.34500000000003</v>
      </c>
      <c r="I2168" s="7">
        <v>670.31</v>
      </c>
      <c r="J2168" s="7">
        <v>14</v>
      </c>
      <c r="K2168" s="7">
        <v>2.9968706999999998E-3</v>
      </c>
      <c r="L2168" s="7">
        <v>672.31883237370005</v>
      </c>
      <c r="M2168" s="7">
        <v>664.34805021839998</v>
      </c>
      <c r="N2168" s="7">
        <v>664.60981879760004</v>
      </c>
      <c r="O2168" s="7">
        <v>672.31883237370005</v>
      </c>
      <c r="P2168" s="7">
        <v>664.34805021839998</v>
      </c>
      <c r="Q2168">
        <v>1</v>
      </c>
      <c r="R2168">
        <v>0</v>
      </c>
      <c r="S2168" s="11">
        <v>45968.666666666664</v>
      </c>
      <c r="T2168">
        <v>214</v>
      </c>
    </row>
    <row r="2169" spans="1:20">
      <c r="A2169" s="11">
        <v>45968.604166666664</v>
      </c>
      <c r="B2169" s="11">
        <v>45968.625</v>
      </c>
      <c r="C2169" s="10">
        <v>45968</v>
      </c>
      <c r="D2169" s="7">
        <v>669.79</v>
      </c>
      <c r="E2169" s="7">
        <v>8328720</v>
      </c>
      <c r="F2169" s="7">
        <v>8328720</v>
      </c>
      <c r="G2169" s="7">
        <v>61772889</v>
      </c>
      <c r="H2169" s="7">
        <v>666.34500000000003</v>
      </c>
      <c r="I2169" s="7">
        <v>670.31</v>
      </c>
      <c r="J2169" s="7">
        <v>14</v>
      </c>
      <c r="K2169" s="7">
        <v>3.3025388000000001E-3</v>
      </c>
      <c r="L2169" s="7">
        <v>672.52372475310005</v>
      </c>
      <c r="M2169" s="7">
        <v>664.14436981300003</v>
      </c>
      <c r="N2169" s="7">
        <v>665.30825268149999</v>
      </c>
      <c r="O2169" s="7">
        <v>672.52372475310005</v>
      </c>
      <c r="P2169" s="7">
        <v>664.14436981300003</v>
      </c>
      <c r="Q2169">
        <v>1</v>
      </c>
      <c r="R2169">
        <v>0</v>
      </c>
      <c r="S2169" s="11">
        <v>45968.666666666664</v>
      </c>
      <c r="T2169">
        <v>213</v>
      </c>
    </row>
    <row r="2170" spans="1:20">
      <c r="A2170" s="11">
        <v>45968.625</v>
      </c>
      <c r="B2170" s="11">
        <v>45968.645833333336</v>
      </c>
      <c r="C2170" s="10">
        <v>45968</v>
      </c>
      <c r="D2170" s="7">
        <v>668.72</v>
      </c>
      <c r="E2170" s="7">
        <v>6723249</v>
      </c>
      <c r="F2170" s="7">
        <v>6723249</v>
      </c>
      <c r="G2170" s="7">
        <v>68496138</v>
      </c>
      <c r="H2170" s="7">
        <v>666.34500000000003</v>
      </c>
      <c r="I2170" s="7">
        <v>670.31</v>
      </c>
      <c r="J2170" s="7">
        <v>14</v>
      </c>
      <c r="K2170" s="7">
        <v>3.2949558999999999E-3</v>
      </c>
      <c r="L2170" s="7">
        <v>672.51864191710001</v>
      </c>
      <c r="M2170" s="7">
        <v>664.14942258320002</v>
      </c>
      <c r="N2170" s="7">
        <v>665.64313326620004</v>
      </c>
      <c r="O2170" s="7">
        <v>672.51864191710001</v>
      </c>
      <c r="P2170" s="7">
        <v>664.14942258320002</v>
      </c>
      <c r="Q2170">
        <v>1</v>
      </c>
      <c r="R2170">
        <v>0</v>
      </c>
      <c r="S2170" s="11">
        <v>45968.666666666664</v>
      </c>
      <c r="T2170">
        <v>212</v>
      </c>
    </row>
    <row r="2171" spans="1:20">
      <c r="A2171" s="11">
        <v>45968.645833333336</v>
      </c>
      <c r="B2171" s="11">
        <v>45968.666666666664</v>
      </c>
      <c r="C2171" s="10">
        <v>45968</v>
      </c>
      <c r="D2171" s="7">
        <v>670.97</v>
      </c>
      <c r="E2171" s="7">
        <v>10560701</v>
      </c>
      <c r="F2171" s="7">
        <v>10560701</v>
      </c>
      <c r="G2171" s="7">
        <v>79056839</v>
      </c>
      <c r="H2171" s="7">
        <v>666.34500000000003</v>
      </c>
      <c r="I2171" s="7">
        <v>670.31</v>
      </c>
      <c r="J2171" s="7">
        <v>14</v>
      </c>
      <c r="K2171" s="7">
        <v>3.0991128000000001E-3</v>
      </c>
      <c r="L2171" s="7">
        <v>672.38736631220002</v>
      </c>
      <c r="M2171" s="7">
        <v>664.2799216702</v>
      </c>
      <c r="N2171" s="7">
        <v>666.35471556009998</v>
      </c>
      <c r="O2171" s="7">
        <v>672.38736631220002</v>
      </c>
      <c r="P2171" s="7">
        <v>664.2799216702</v>
      </c>
      <c r="Q2171">
        <v>1</v>
      </c>
      <c r="R2171">
        <v>1</v>
      </c>
      <c r="S2171" s="11">
        <v>45968.666666666664</v>
      </c>
      <c r="T2171">
        <v>211</v>
      </c>
    </row>
    <row r="2172" spans="1:20">
      <c r="A2172" s="11">
        <v>45971.395833333336</v>
      </c>
      <c r="B2172" s="11">
        <v>45971.416666666664</v>
      </c>
      <c r="C2172" s="10">
        <v>45971</v>
      </c>
      <c r="D2172" s="7">
        <v>678.52499999999998</v>
      </c>
      <c r="E2172" s="7">
        <v>10055489</v>
      </c>
      <c r="F2172" s="7">
        <v>10055489</v>
      </c>
      <c r="G2172" s="7">
        <v>10055489</v>
      </c>
      <c r="H2172" s="7">
        <v>678.52499999999998</v>
      </c>
      <c r="I2172" s="7">
        <v>670.97</v>
      </c>
      <c r="J2172" s="7">
        <v>14</v>
      </c>
      <c r="K2172" s="7">
        <v>0</v>
      </c>
      <c r="L2172" s="7">
        <v>678.52499999999998</v>
      </c>
      <c r="M2172" s="7">
        <v>670.97</v>
      </c>
      <c r="N2172" s="7">
        <v>678.52499999999998</v>
      </c>
      <c r="O2172" s="7">
        <v>678.52499999999998</v>
      </c>
      <c r="P2172" s="7">
        <v>670.97</v>
      </c>
      <c r="Q2172">
        <v>1</v>
      </c>
      <c r="R2172">
        <v>0</v>
      </c>
      <c r="S2172" s="11">
        <v>45971.666666666664</v>
      </c>
      <c r="T2172">
        <v>209</v>
      </c>
    </row>
    <row r="2173" spans="1:20">
      <c r="A2173" s="11">
        <v>45971.416666666664</v>
      </c>
      <c r="B2173" s="11">
        <v>45971.4375</v>
      </c>
      <c r="C2173" s="10">
        <v>45971</v>
      </c>
      <c r="D2173" s="7">
        <v>678.88</v>
      </c>
      <c r="E2173" s="7">
        <v>4149593</v>
      </c>
      <c r="F2173" s="7">
        <v>4149593</v>
      </c>
      <c r="G2173" s="7">
        <v>14205082</v>
      </c>
      <c r="H2173" s="7">
        <v>678.52499999999998</v>
      </c>
      <c r="I2173" s="7">
        <v>670.97</v>
      </c>
      <c r="J2173" s="7">
        <v>14</v>
      </c>
      <c r="K2173" s="7">
        <v>1.0815702999999999E-3</v>
      </c>
      <c r="L2173" s="7">
        <v>679.25887246100001</v>
      </c>
      <c r="M2173" s="7">
        <v>670.24429880239995</v>
      </c>
      <c r="N2173" s="7">
        <v>678.6287027111</v>
      </c>
      <c r="O2173" s="7">
        <v>679.25887246100001</v>
      </c>
      <c r="P2173" s="7">
        <v>670.24429880239995</v>
      </c>
      <c r="Q2173">
        <v>1</v>
      </c>
      <c r="R2173">
        <v>0</v>
      </c>
      <c r="S2173" s="11">
        <v>45971.666666666664</v>
      </c>
      <c r="T2173">
        <v>208</v>
      </c>
    </row>
    <row r="2174" spans="1:20">
      <c r="A2174" s="11">
        <v>45971.4375</v>
      </c>
      <c r="B2174" s="11">
        <v>45971.458333333336</v>
      </c>
      <c r="C2174" s="10">
        <v>45971</v>
      </c>
      <c r="D2174" s="7">
        <v>676.18</v>
      </c>
      <c r="E2174" s="7">
        <v>4627555</v>
      </c>
      <c r="F2174" s="7">
        <v>4627555</v>
      </c>
      <c r="G2174" s="7">
        <v>18832637</v>
      </c>
      <c r="H2174" s="7">
        <v>678.52499999999998</v>
      </c>
      <c r="I2174" s="7">
        <v>670.97</v>
      </c>
      <c r="J2174" s="7">
        <v>14</v>
      </c>
      <c r="K2174" s="7">
        <v>1.5837418999999999E-3</v>
      </c>
      <c r="L2174" s="7">
        <v>679.59960845520004</v>
      </c>
      <c r="M2174" s="7">
        <v>669.90735671469997</v>
      </c>
      <c r="N2174" s="7">
        <v>678.02700755420005</v>
      </c>
      <c r="O2174" s="7">
        <v>679.59960845520004</v>
      </c>
      <c r="P2174" s="7">
        <v>669.90735671469997</v>
      </c>
      <c r="Q2174">
        <v>1</v>
      </c>
      <c r="R2174">
        <v>0</v>
      </c>
      <c r="S2174" s="11">
        <v>45971.666666666664</v>
      </c>
      <c r="T2174">
        <v>207</v>
      </c>
    </row>
    <row r="2175" spans="1:20">
      <c r="A2175" s="11">
        <v>45971.458333333336</v>
      </c>
      <c r="B2175" s="11">
        <v>45971.479166666664</v>
      </c>
      <c r="C2175" s="10">
        <v>45971</v>
      </c>
      <c r="D2175" s="7">
        <v>675.64</v>
      </c>
      <c r="E2175" s="7">
        <v>4392697</v>
      </c>
      <c r="F2175" s="7">
        <v>4392697</v>
      </c>
      <c r="G2175" s="7">
        <v>23225334</v>
      </c>
      <c r="H2175" s="7">
        <v>678.52499999999998</v>
      </c>
      <c r="I2175" s="7">
        <v>670.97</v>
      </c>
      <c r="J2175" s="7">
        <v>14</v>
      </c>
      <c r="K2175" s="7">
        <v>1.7290536999999999E-3</v>
      </c>
      <c r="L2175" s="7">
        <v>679.69820615740002</v>
      </c>
      <c r="M2175" s="7">
        <v>669.80985684320001</v>
      </c>
      <c r="N2175" s="7">
        <v>677.57554360879999</v>
      </c>
      <c r="O2175" s="7">
        <v>679.69820615740002</v>
      </c>
      <c r="P2175" s="7">
        <v>669.80985684320001</v>
      </c>
      <c r="Q2175">
        <v>1</v>
      </c>
      <c r="R2175">
        <v>0</v>
      </c>
      <c r="S2175" s="11">
        <v>45971.666666666664</v>
      </c>
      <c r="T2175">
        <v>206</v>
      </c>
    </row>
    <row r="2176" spans="1:20">
      <c r="A2176" s="11">
        <v>45971.479166666664</v>
      </c>
      <c r="B2176" s="11">
        <v>45971.5</v>
      </c>
      <c r="C2176" s="10">
        <v>45971</v>
      </c>
      <c r="D2176" s="7">
        <v>676.62</v>
      </c>
      <c r="E2176" s="7">
        <v>2675966</v>
      </c>
      <c r="F2176" s="7">
        <v>2675966</v>
      </c>
      <c r="G2176" s="7">
        <v>25901300</v>
      </c>
      <c r="H2176" s="7">
        <v>678.52499999999998</v>
      </c>
      <c r="I2176" s="7">
        <v>670.97</v>
      </c>
      <c r="J2176" s="7">
        <v>14</v>
      </c>
      <c r="K2176" s="7">
        <v>2.3690949999999999E-3</v>
      </c>
      <c r="L2176" s="7">
        <v>680.13249021839999</v>
      </c>
      <c r="M2176" s="7">
        <v>669.38040829470003</v>
      </c>
      <c r="N2176" s="7">
        <v>677.47682260989995</v>
      </c>
      <c r="O2176" s="7">
        <v>680.13249021839999</v>
      </c>
      <c r="P2176" s="7">
        <v>669.38040829470003</v>
      </c>
      <c r="Q2176">
        <v>1</v>
      </c>
      <c r="R2176">
        <v>0</v>
      </c>
      <c r="S2176" s="11">
        <v>45971.666666666664</v>
      </c>
      <c r="T2176">
        <v>205</v>
      </c>
    </row>
    <row r="2177" spans="1:20">
      <c r="A2177" s="11">
        <v>45971.5</v>
      </c>
      <c r="B2177" s="11">
        <v>45971.520833333336</v>
      </c>
      <c r="C2177" s="10">
        <v>45971</v>
      </c>
      <c r="D2177" s="7">
        <v>677.52</v>
      </c>
      <c r="E2177" s="7">
        <v>2942370</v>
      </c>
      <c r="F2177" s="7">
        <v>2942370</v>
      </c>
      <c r="G2177" s="7">
        <v>28843670</v>
      </c>
      <c r="H2177" s="7">
        <v>678.52499999999998</v>
      </c>
      <c r="I2177" s="7">
        <v>670.97</v>
      </c>
      <c r="J2177" s="7">
        <v>14</v>
      </c>
      <c r="K2177" s="7">
        <v>2.4018213999999999E-3</v>
      </c>
      <c r="L2177" s="7">
        <v>680.15469583439994</v>
      </c>
      <c r="M2177" s="7">
        <v>669.3584499259</v>
      </c>
      <c r="N2177" s="7">
        <v>677.48122717620004</v>
      </c>
      <c r="O2177" s="7">
        <v>680.15469583439994</v>
      </c>
      <c r="P2177" s="7">
        <v>669.3584499259</v>
      </c>
      <c r="Q2177">
        <v>1</v>
      </c>
      <c r="R2177">
        <v>0</v>
      </c>
      <c r="S2177" s="11">
        <v>45971.666666666664</v>
      </c>
      <c r="T2177">
        <v>204</v>
      </c>
    </row>
    <row r="2178" spans="1:20">
      <c r="A2178" s="11">
        <v>45971.520833333336</v>
      </c>
      <c r="B2178" s="11">
        <v>45971.541666666664</v>
      </c>
      <c r="C2178" s="10">
        <v>45971</v>
      </c>
      <c r="D2178" s="7">
        <v>679.42</v>
      </c>
      <c r="E2178" s="7">
        <v>3095441</v>
      </c>
      <c r="F2178" s="7">
        <v>3095441</v>
      </c>
      <c r="G2178" s="7">
        <v>31939111</v>
      </c>
      <c r="H2178" s="7">
        <v>678.52499999999998</v>
      </c>
      <c r="I2178" s="7">
        <v>670.97</v>
      </c>
      <c r="J2178" s="7">
        <v>14</v>
      </c>
      <c r="K2178" s="7">
        <v>2.739581E-3</v>
      </c>
      <c r="L2178" s="7">
        <v>680.38387418100001</v>
      </c>
      <c r="M2178" s="7">
        <v>669.13182335320005</v>
      </c>
      <c r="N2178" s="7">
        <v>677.66912711140003</v>
      </c>
      <c r="O2178" s="7">
        <v>680.38387418100001</v>
      </c>
      <c r="P2178" s="7">
        <v>669.13182335320005</v>
      </c>
      <c r="Q2178">
        <v>1</v>
      </c>
      <c r="R2178">
        <v>0</v>
      </c>
      <c r="S2178" s="11">
        <v>45971.666666666664</v>
      </c>
      <c r="T2178">
        <v>203</v>
      </c>
    </row>
    <row r="2179" spans="1:20">
      <c r="A2179" s="11">
        <v>45971.541666666664</v>
      </c>
      <c r="B2179" s="11">
        <v>45971.5625</v>
      </c>
      <c r="C2179" s="10">
        <v>45971</v>
      </c>
      <c r="D2179" s="7">
        <v>679.51</v>
      </c>
      <c r="E2179" s="7">
        <v>2502673</v>
      </c>
      <c r="F2179" s="7">
        <v>2502673</v>
      </c>
      <c r="G2179" s="7">
        <v>34441784</v>
      </c>
      <c r="H2179" s="7">
        <v>678.52499999999998</v>
      </c>
      <c r="I2179" s="7">
        <v>670.97</v>
      </c>
      <c r="J2179" s="7">
        <v>14</v>
      </c>
      <c r="K2179" s="7">
        <v>2.9785898000000001E-3</v>
      </c>
      <c r="L2179" s="7">
        <v>680.54604762780002</v>
      </c>
      <c r="M2179" s="7">
        <v>668.97145561790001</v>
      </c>
      <c r="N2179" s="7">
        <v>677.80289204279995</v>
      </c>
      <c r="O2179" s="7">
        <v>680.54604762780002</v>
      </c>
      <c r="P2179" s="7">
        <v>668.97145561790001</v>
      </c>
      <c r="Q2179">
        <v>1</v>
      </c>
      <c r="R2179">
        <v>0</v>
      </c>
      <c r="S2179" s="11">
        <v>45971.666666666664</v>
      </c>
      <c r="T2179">
        <v>202</v>
      </c>
    </row>
    <row r="2180" spans="1:20">
      <c r="A2180" s="11">
        <v>45971.5625</v>
      </c>
      <c r="B2180" s="11">
        <v>45971.583333333336</v>
      </c>
      <c r="C2180" s="10">
        <v>45971</v>
      </c>
      <c r="D2180" s="7">
        <v>679.84879999999998</v>
      </c>
      <c r="E2180" s="7">
        <v>2232572</v>
      </c>
      <c r="F2180" s="7">
        <v>2232572</v>
      </c>
      <c r="G2180" s="7">
        <v>36674356</v>
      </c>
      <c r="H2180" s="7">
        <v>678.52499999999998</v>
      </c>
      <c r="I2180" s="7">
        <v>670.97</v>
      </c>
      <c r="J2180" s="7">
        <v>14</v>
      </c>
      <c r="K2180" s="7">
        <v>3.0991601000000001E-3</v>
      </c>
      <c r="L2180" s="7">
        <v>680.62785763019997</v>
      </c>
      <c r="M2180" s="7">
        <v>668.89055652460002</v>
      </c>
      <c r="N2180" s="7">
        <v>677.92743783770004</v>
      </c>
      <c r="O2180" s="7">
        <v>680.62785763019997</v>
      </c>
      <c r="P2180" s="7">
        <v>668.89055652460002</v>
      </c>
      <c r="Q2180">
        <v>1</v>
      </c>
      <c r="R2180">
        <v>0</v>
      </c>
      <c r="S2180" s="11">
        <v>45971.666666666664</v>
      </c>
      <c r="T2180">
        <v>201</v>
      </c>
    </row>
    <row r="2181" spans="1:20">
      <c r="A2181" s="11">
        <v>45971.583333333336</v>
      </c>
      <c r="B2181" s="11">
        <v>45971.604166666664</v>
      </c>
      <c r="C2181" s="10">
        <v>45971</v>
      </c>
      <c r="D2181" s="7">
        <v>680.755</v>
      </c>
      <c r="E2181" s="7">
        <v>2200272</v>
      </c>
      <c r="F2181" s="7">
        <v>2200272</v>
      </c>
      <c r="G2181" s="7">
        <v>38874628</v>
      </c>
      <c r="H2181" s="7">
        <v>678.52499999999998</v>
      </c>
      <c r="I2181" s="7">
        <v>670.97</v>
      </c>
      <c r="J2181" s="7">
        <v>14</v>
      </c>
      <c r="K2181" s="7">
        <v>2.6856168999999999E-3</v>
      </c>
      <c r="L2181" s="7">
        <v>680.34725822589996</v>
      </c>
      <c r="M2181" s="7">
        <v>669.16803160999996</v>
      </c>
      <c r="N2181" s="7">
        <v>678.08747553260002</v>
      </c>
      <c r="O2181" s="7">
        <v>680.34725822589996</v>
      </c>
      <c r="P2181" s="7">
        <v>669.16803160999996</v>
      </c>
      <c r="Q2181">
        <v>1</v>
      </c>
      <c r="R2181">
        <v>0</v>
      </c>
      <c r="S2181" s="11">
        <v>45971.666666666664</v>
      </c>
      <c r="T2181">
        <v>200</v>
      </c>
    </row>
    <row r="2182" spans="1:20">
      <c r="A2182" s="11">
        <v>45971.604166666664</v>
      </c>
      <c r="B2182" s="11">
        <v>45971.625</v>
      </c>
      <c r="C2182" s="10">
        <v>45971</v>
      </c>
      <c r="D2182" s="7">
        <v>681.27</v>
      </c>
      <c r="E2182" s="7">
        <v>3387156</v>
      </c>
      <c r="F2182" s="7">
        <v>3387156</v>
      </c>
      <c r="G2182" s="7">
        <v>42261784</v>
      </c>
      <c r="H2182" s="7">
        <v>678.52499999999998</v>
      </c>
      <c r="I2182" s="7">
        <v>670.97</v>
      </c>
      <c r="J2182" s="7">
        <v>14</v>
      </c>
      <c r="K2182" s="7">
        <v>3.3631504999999998E-3</v>
      </c>
      <c r="L2182" s="7">
        <v>680.80698166349998</v>
      </c>
      <c r="M2182" s="7">
        <v>668.71342693819997</v>
      </c>
      <c r="N2182" s="7">
        <v>678.34254538120001</v>
      </c>
      <c r="O2182" s="7">
        <v>680.80698166349998</v>
      </c>
      <c r="P2182" s="7">
        <v>668.71342693819997</v>
      </c>
      <c r="Q2182">
        <v>1</v>
      </c>
      <c r="R2182">
        <v>0</v>
      </c>
      <c r="S2182" s="11">
        <v>45971.666666666664</v>
      </c>
      <c r="T2182">
        <v>199</v>
      </c>
    </row>
    <row r="2183" spans="1:20">
      <c r="A2183" s="11">
        <v>45971.625</v>
      </c>
      <c r="B2183" s="11">
        <v>45971.645833333336</v>
      </c>
      <c r="C2183" s="10">
        <v>45971</v>
      </c>
      <c r="D2183" s="7">
        <v>681.22</v>
      </c>
      <c r="E2183" s="7">
        <v>3603174</v>
      </c>
      <c r="F2183" s="7">
        <v>3603174</v>
      </c>
      <c r="G2183" s="7">
        <v>45864958</v>
      </c>
      <c r="H2183" s="7">
        <v>678.52499999999998</v>
      </c>
      <c r="I2183" s="7">
        <v>670.97</v>
      </c>
      <c r="J2183" s="7">
        <v>14</v>
      </c>
      <c r="K2183" s="7">
        <v>3.2333929000000002E-3</v>
      </c>
      <c r="L2183" s="7">
        <v>680.71893793089998</v>
      </c>
      <c r="M2183" s="7">
        <v>668.80049035260004</v>
      </c>
      <c r="N2183" s="7">
        <v>678.56859965269996</v>
      </c>
      <c r="O2183" s="7">
        <v>680.71893793089998</v>
      </c>
      <c r="P2183" s="7">
        <v>668.80049035260004</v>
      </c>
      <c r="Q2183">
        <v>1</v>
      </c>
      <c r="R2183">
        <v>0</v>
      </c>
      <c r="S2183" s="11">
        <v>45971.666666666664</v>
      </c>
      <c r="T2183">
        <v>198</v>
      </c>
    </row>
    <row r="2184" spans="1:20">
      <c r="A2184" s="11">
        <v>45971.645833333336</v>
      </c>
      <c r="B2184" s="11">
        <v>45971.666666666664</v>
      </c>
      <c r="C2184" s="10">
        <v>45971</v>
      </c>
      <c r="D2184" s="7">
        <v>681.44</v>
      </c>
      <c r="E2184" s="7">
        <v>11625992</v>
      </c>
      <c r="F2184" s="7">
        <v>11625992</v>
      </c>
      <c r="G2184" s="7">
        <v>57490950</v>
      </c>
      <c r="H2184" s="7">
        <v>678.52499999999998</v>
      </c>
      <c r="I2184" s="7">
        <v>670.97</v>
      </c>
      <c r="J2184" s="7">
        <v>14</v>
      </c>
      <c r="K2184" s="7">
        <v>3.3235967000000001E-3</v>
      </c>
      <c r="L2184" s="7">
        <v>680.78014347730004</v>
      </c>
      <c r="M2184" s="7">
        <v>668.73996629600003</v>
      </c>
      <c r="N2184" s="7">
        <v>679.1472405961</v>
      </c>
      <c r="O2184" s="7">
        <v>680.78014347730004</v>
      </c>
      <c r="P2184" s="7">
        <v>668.73996629600003</v>
      </c>
      <c r="Q2184">
        <v>1</v>
      </c>
      <c r="R2184">
        <v>1</v>
      </c>
      <c r="S2184" s="11">
        <v>45971.666666666664</v>
      </c>
      <c r="T2184">
        <v>197</v>
      </c>
    </row>
    <row r="2185" spans="1:20">
      <c r="A2185" s="11">
        <v>45972.395833333336</v>
      </c>
      <c r="B2185" s="11">
        <v>45972.416666666664</v>
      </c>
      <c r="C2185" s="10">
        <v>45972</v>
      </c>
      <c r="D2185" s="7">
        <v>680.64499999999998</v>
      </c>
      <c r="E2185" s="7">
        <v>4766355</v>
      </c>
      <c r="F2185" s="7">
        <v>4766355</v>
      </c>
      <c r="G2185" s="7">
        <v>4766355</v>
      </c>
      <c r="H2185" s="7">
        <v>680.64499999999998</v>
      </c>
      <c r="I2185" s="7">
        <v>681.44</v>
      </c>
      <c r="J2185" s="7">
        <v>14</v>
      </c>
      <c r="K2185" s="7">
        <v>0</v>
      </c>
      <c r="L2185" s="7">
        <v>681.44</v>
      </c>
      <c r="M2185" s="7">
        <v>680.64499999999998</v>
      </c>
      <c r="N2185" s="7">
        <v>680.64499999999998</v>
      </c>
      <c r="O2185" s="7">
        <v>681.44</v>
      </c>
      <c r="P2185" s="7">
        <v>680.64499999999998</v>
      </c>
      <c r="Q2185">
        <v>1</v>
      </c>
      <c r="R2185">
        <v>0</v>
      </c>
      <c r="S2185" s="11">
        <v>45972.666666666664</v>
      </c>
      <c r="T2185">
        <v>195</v>
      </c>
    </row>
    <row r="2186" spans="1:20">
      <c r="A2186" s="11">
        <v>45972.416666666664</v>
      </c>
      <c r="B2186" s="11">
        <v>45972.4375</v>
      </c>
      <c r="C2186" s="10">
        <v>45972</v>
      </c>
      <c r="D2186" s="7">
        <v>679.36500000000001</v>
      </c>
      <c r="E2186" s="7">
        <v>3506420</v>
      </c>
      <c r="F2186" s="7">
        <v>3506420</v>
      </c>
      <c r="G2186" s="7">
        <v>8272775</v>
      </c>
      <c r="H2186" s="7">
        <v>680.64499999999998</v>
      </c>
      <c r="I2186" s="7">
        <v>681.44</v>
      </c>
      <c r="J2186" s="7">
        <v>14</v>
      </c>
      <c r="K2186" s="7">
        <v>1.1178761000000001E-3</v>
      </c>
      <c r="L2186" s="7">
        <v>682.201765464</v>
      </c>
      <c r="M2186" s="7">
        <v>679.88412324750004</v>
      </c>
      <c r="N2186" s="7">
        <v>680.10247133220003</v>
      </c>
      <c r="O2186" s="7">
        <v>682.201765464</v>
      </c>
      <c r="P2186" s="7">
        <v>679.88412324750004</v>
      </c>
      <c r="Q2186">
        <v>1</v>
      </c>
      <c r="R2186">
        <v>0</v>
      </c>
      <c r="S2186" s="11">
        <v>45972.666666666664</v>
      </c>
      <c r="T2186">
        <v>194</v>
      </c>
    </row>
    <row r="2187" spans="1:20">
      <c r="A2187" s="11">
        <v>45972.4375</v>
      </c>
      <c r="B2187" s="11">
        <v>45972.458333333336</v>
      </c>
      <c r="C2187" s="10">
        <v>45972</v>
      </c>
      <c r="D2187" s="7">
        <v>679.25</v>
      </c>
      <c r="E2187" s="7">
        <v>2558803</v>
      </c>
      <c r="F2187" s="7">
        <v>2558803</v>
      </c>
      <c r="G2187" s="7">
        <v>10831578</v>
      </c>
      <c r="H2187" s="7">
        <v>680.64499999999998</v>
      </c>
      <c r="I2187" s="7">
        <v>681.44</v>
      </c>
      <c r="J2187" s="7">
        <v>14</v>
      </c>
      <c r="K2187" s="7">
        <v>1.6149026999999999E-3</v>
      </c>
      <c r="L2187" s="7">
        <v>682.54045931780001</v>
      </c>
      <c r="M2187" s="7">
        <v>679.54582452989996</v>
      </c>
      <c r="N2187" s="7">
        <v>679.90108736000002</v>
      </c>
      <c r="O2187" s="7">
        <v>682.54045931780001</v>
      </c>
      <c r="P2187" s="7">
        <v>679.54582452989996</v>
      </c>
      <c r="Q2187">
        <v>1</v>
      </c>
      <c r="R2187">
        <v>0</v>
      </c>
      <c r="S2187" s="11">
        <v>45972.666666666664</v>
      </c>
      <c r="T2187">
        <v>193</v>
      </c>
    </row>
    <row r="2188" spans="1:20">
      <c r="A2188" s="11">
        <v>45972.458333333336</v>
      </c>
      <c r="B2188" s="11">
        <v>45972.479166666664</v>
      </c>
      <c r="C2188" s="10">
        <v>45972</v>
      </c>
      <c r="D2188" s="7">
        <v>679.29</v>
      </c>
      <c r="E2188" s="7">
        <v>2630504</v>
      </c>
      <c r="F2188" s="7">
        <v>2630504</v>
      </c>
      <c r="G2188" s="7">
        <v>13462082</v>
      </c>
      <c r="H2188" s="7">
        <v>680.64499999999998</v>
      </c>
      <c r="I2188" s="7">
        <v>681.44</v>
      </c>
      <c r="J2188" s="7">
        <v>14</v>
      </c>
      <c r="K2188" s="7">
        <v>1.8868296E-3</v>
      </c>
      <c r="L2188" s="7">
        <v>682.72576114460003</v>
      </c>
      <c r="M2188" s="7">
        <v>679.36073888500005</v>
      </c>
      <c r="N2188" s="7">
        <v>679.78168029170001</v>
      </c>
      <c r="O2188" s="7">
        <v>682.72576114460003</v>
      </c>
      <c r="P2188" s="7">
        <v>679.36073888500005</v>
      </c>
      <c r="Q2188">
        <v>1</v>
      </c>
      <c r="R2188">
        <v>0</v>
      </c>
      <c r="S2188" s="11">
        <v>45972.666666666664</v>
      </c>
      <c r="T2188">
        <v>192</v>
      </c>
    </row>
    <row r="2189" spans="1:20">
      <c r="A2189" s="11">
        <v>45972.479166666664</v>
      </c>
      <c r="B2189" s="11">
        <v>45972.5</v>
      </c>
      <c r="C2189" s="10">
        <v>45972</v>
      </c>
      <c r="D2189" s="7">
        <v>679.7</v>
      </c>
      <c r="E2189" s="7">
        <v>2127360</v>
      </c>
      <c r="F2189" s="7">
        <v>2127360</v>
      </c>
      <c r="G2189" s="7">
        <v>15589442</v>
      </c>
      <c r="H2189" s="7">
        <v>680.64499999999998</v>
      </c>
      <c r="I2189" s="7">
        <v>681.44</v>
      </c>
      <c r="J2189" s="7">
        <v>14</v>
      </c>
      <c r="K2189" s="7">
        <v>2.3951593000000001E-3</v>
      </c>
      <c r="L2189" s="7">
        <v>683.0721573257</v>
      </c>
      <c r="M2189" s="7">
        <v>679.01474682590003</v>
      </c>
      <c r="N2189" s="7">
        <v>679.77053406949994</v>
      </c>
      <c r="O2189" s="7">
        <v>683.0721573257</v>
      </c>
      <c r="P2189" s="7">
        <v>679.01474682590003</v>
      </c>
      <c r="Q2189">
        <v>1</v>
      </c>
      <c r="R2189">
        <v>0</v>
      </c>
      <c r="S2189" s="11">
        <v>45972.666666666664</v>
      </c>
      <c r="T2189">
        <v>191</v>
      </c>
    </row>
    <row r="2190" spans="1:20">
      <c r="A2190" s="11">
        <v>45972.5</v>
      </c>
      <c r="B2190" s="11">
        <v>45972.520833333336</v>
      </c>
      <c r="C2190" s="10">
        <v>45972</v>
      </c>
      <c r="D2190" s="7">
        <v>681.02</v>
      </c>
      <c r="E2190" s="7">
        <v>2365125</v>
      </c>
      <c r="F2190" s="7">
        <v>2365125</v>
      </c>
      <c r="G2190" s="7">
        <v>17954567</v>
      </c>
      <c r="H2190" s="7">
        <v>680.64499999999998</v>
      </c>
      <c r="I2190" s="7">
        <v>681.44</v>
      </c>
      <c r="J2190" s="7">
        <v>14</v>
      </c>
      <c r="K2190" s="7">
        <v>2.2871266000000002E-3</v>
      </c>
      <c r="L2190" s="7">
        <v>682.99853957560003</v>
      </c>
      <c r="M2190" s="7">
        <v>679.08827869009997</v>
      </c>
      <c r="N2190" s="7">
        <v>679.93512412109999</v>
      </c>
      <c r="O2190" s="7">
        <v>682.99853957560003</v>
      </c>
      <c r="P2190" s="7">
        <v>679.08827869009997</v>
      </c>
      <c r="Q2190">
        <v>1</v>
      </c>
      <c r="R2190">
        <v>0</v>
      </c>
      <c r="S2190" s="11">
        <v>45972.666666666664</v>
      </c>
      <c r="T2190">
        <v>190</v>
      </c>
    </row>
    <row r="2191" spans="1:20">
      <c r="A2191" s="11">
        <v>45972.520833333336</v>
      </c>
      <c r="B2191" s="11">
        <v>45972.541666666664</v>
      </c>
      <c r="C2191" s="10">
        <v>45972</v>
      </c>
      <c r="D2191" s="7">
        <v>682.09</v>
      </c>
      <c r="E2191" s="7">
        <v>2147881</v>
      </c>
      <c r="F2191" s="7">
        <v>2147881</v>
      </c>
      <c r="G2191" s="7">
        <v>20102448</v>
      </c>
      <c r="H2191" s="7">
        <v>680.64499999999998</v>
      </c>
      <c r="I2191" s="7">
        <v>681.44</v>
      </c>
      <c r="J2191" s="7">
        <v>14</v>
      </c>
      <c r="K2191" s="7">
        <v>2.7443232E-3</v>
      </c>
      <c r="L2191" s="7">
        <v>683.3100915773</v>
      </c>
      <c r="M2191" s="7">
        <v>678.77709015959999</v>
      </c>
      <c r="N2191" s="7">
        <v>680.1653655801</v>
      </c>
      <c r="O2191" s="7">
        <v>683.3100915773</v>
      </c>
      <c r="P2191" s="7">
        <v>678.77709015959999</v>
      </c>
      <c r="Q2191">
        <v>1</v>
      </c>
      <c r="R2191">
        <v>0</v>
      </c>
      <c r="S2191" s="11">
        <v>45972.666666666664</v>
      </c>
      <c r="T2191">
        <v>189</v>
      </c>
    </row>
    <row r="2192" spans="1:20">
      <c r="A2192" s="11">
        <v>45972.541666666664</v>
      </c>
      <c r="B2192" s="11">
        <v>45972.5625</v>
      </c>
      <c r="C2192" s="10">
        <v>45972</v>
      </c>
      <c r="D2192" s="7">
        <v>682.89</v>
      </c>
      <c r="E2192" s="7">
        <v>2998419</v>
      </c>
      <c r="F2192" s="7">
        <v>2998419</v>
      </c>
      <c r="G2192" s="7">
        <v>23100867</v>
      </c>
      <c r="H2192" s="7">
        <v>680.64499999999998</v>
      </c>
      <c r="I2192" s="7">
        <v>681.44</v>
      </c>
      <c r="J2192" s="7">
        <v>14</v>
      </c>
      <c r="K2192" s="7">
        <v>2.9736330999999999E-3</v>
      </c>
      <c r="L2192" s="7">
        <v>683.46635256039997</v>
      </c>
      <c r="M2192" s="7">
        <v>678.62101147789997</v>
      </c>
      <c r="N2192" s="7">
        <v>680.51901445450005</v>
      </c>
      <c r="O2192" s="7">
        <v>683.46635256039997</v>
      </c>
      <c r="P2192" s="7">
        <v>678.62101147789997</v>
      </c>
      <c r="Q2192">
        <v>1</v>
      </c>
      <c r="R2192">
        <v>0</v>
      </c>
      <c r="S2192" s="11">
        <v>45972.666666666664</v>
      </c>
      <c r="T2192">
        <v>188</v>
      </c>
    </row>
    <row r="2193" spans="1:20">
      <c r="A2193" s="11">
        <v>45972.5625</v>
      </c>
      <c r="B2193" s="11">
        <v>45972.583333333336</v>
      </c>
      <c r="C2193" s="10">
        <v>45972</v>
      </c>
      <c r="D2193" s="7">
        <v>683.09199999999998</v>
      </c>
      <c r="E2193" s="7">
        <v>2638673</v>
      </c>
      <c r="F2193" s="7">
        <v>2638673</v>
      </c>
      <c r="G2193" s="7">
        <v>25739540</v>
      </c>
      <c r="H2193" s="7">
        <v>680.64499999999998</v>
      </c>
      <c r="I2193" s="7">
        <v>681.44</v>
      </c>
      <c r="J2193" s="7">
        <v>14</v>
      </c>
      <c r="K2193" s="7">
        <v>3.0659584999999999E-3</v>
      </c>
      <c r="L2193" s="7">
        <v>683.5292667791</v>
      </c>
      <c r="M2193" s="7">
        <v>678.55817065789995</v>
      </c>
      <c r="N2193" s="7">
        <v>680.78278247399999</v>
      </c>
      <c r="O2193" s="7">
        <v>683.5292667791</v>
      </c>
      <c r="P2193" s="7">
        <v>678.55817065789995</v>
      </c>
      <c r="Q2193">
        <v>1</v>
      </c>
      <c r="R2193">
        <v>0</v>
      </c>
      <c r="S2193" s="11">
        <v>45972.666666666664</v>
      </c>
      <c r="T2193">
        <v>187</v>
      </c>
    </row>
    <row r="2194" spans="1:20">
      <c r="A2194" s="11">
        <v>45972.583333333336</v>
      </c>
      <c r="B2194" s="11">
        <v>45972.604166666664</v>
      </c>
      <c r="C2194" s="10">
        <v>45972</v>
      </c>
      <c r="D2194" s="7">
        <v>683.14</v>
      </c>
      <c r="E2194" s="7">
        <v>2390509</v>
      </c>
      <c r="F2194" s="7">
        <v>2390509</v>
      </c>
      <c r="G2194" s="7">
        <v>28130049</v>
      </c>
      <c r="H2194" s="7">
        <v>680.64499999999998</v>
      </c>
      <c r="I2194" s="7">
        <v>681.44</v>
      </c>
      <c r="J2194" s="7">
        <v>14</v>
      </c>
      <c r="K2194" s="7">
        <v>2.7386721000000002E-3</v>
      </c>
      <c r="L2194" s="7">
        <v>683.30624072390003</v>
      </c>
      <c r="M2194" s="7">
        <v>678.78093652049995</v>
      </c>
      <c r="N2194" s="7">
        <v>680.98310028050003</v>
      </c>
      <c r="O2194" s="7">
        <v>683.30624072390003</v>
      </c>
      <c r="P2194" s="7">
        <v>678.78093652049995</v>
      </c>
      <c r="Q2194">
        <v>1</v>
      </c>
      <c r="R2194">
        <v>0</v>
      </c>
      <c r="S2194" s="11">
        <v>45972.666666666664</v>
      </c>
      <c r="T2194">
        <v>186</v>
      </c>
    </row>
    <row r="2195" spans="1:20">
      <c r="A2195" s="11">
        <v>45972.604166666664</v>
      </c>
      <c r="B2195" s="11">
        <v>45972.625</v>
      </c>
      <c r="C2195" s="10">
        <v>45972</v>
      </c>
      <c r="D2195" s="7">
        <v>683.14499999999998</v>
      </c>
      <c r="E2195" s="7">
        <v>2072638</v>
      </c>
      <c r="F2195" s="7">
        <v>2072638</v>
      </c>
      <c r="G2195" s="7">
        <v>30202687</v>
      </c>
      <c r="H2195" s="7">
        <v>680.64499999999998</v>
      </c>
      <c r="I2195" s="7">
        <v>681.44</v>
      </c>
      <c r="J2195" s="7">
        <v>14</v>
      </c>
      <c r="K2195" s="7">
        <v>3.5083188000000001E-3</v>
      </c>
      <c r="L2195" s="7">
        <v>683.83070878889998</v>
      </c>
      <c r="M2195" s="7">
        <v>678.2570803246</v>
      </c>
      <c r="N2195" s="7">
        <v>681.13145911720005</v>
      </c>
      <c r="O2195" s="7">
        <v>683.83070878889998</v>
      </c>
      <c r="P2195" s="7">
        <v>678.2570803246</v>
      </c>
      <c r="Q2195">
        <v>1</v>
      </c>
      <c r="R2195">
        <v>0</v>
      </c>
      <c r="S2195" s="11">
        <v>45972.666666666664</v>
      </c>
      <c r="T2195">
        <v>185</v>
      </c>
    </row>
    <row r="2196" spans="1:20">
      <c r="A2196" s="11">
        <v>45972.625</v>
      </c>
      <c r="B2196" s="11">
        <v>45972.645833333336</v>
      </c>
      <c r="C2196" s="10">
        <v>45972</v>
      </c>
      <c r="D2196" s="7">
        <v>682.84</v>
      </c>
      <c r="E2196" s="7">
        <v>3049702</v>
      </c>
      <c r="F2196" s="7">
        <v>3049702</v>
      </c>
      <c r="G2196" s="7">
        <v>33252389</v>
      </c>
      <c r="H2196" s="7">
        <v>680.64499999999998</v>
      </c>
      <c r="I2196" s="7">
        <v>681.44</v>
      </c>
      <c r="J2196" s="7">
        <v>14</v>
      </c>
      <c r="K2196" s="7">
        <v>3.3780911000000002E-3</v>
      </c>
      <c r="L2196" s="7">
        <v>683.74196638219996</v>
      </c>
      <c r="M2196" s="7">
        <v>678.34571920020005</v>
      </c>
      <c r="N2196" s="7">
        <v>681.28815584500001</v>
      </c>
      <c r="O2196" s="7">
        <v>683.74196638219996</v>
      </c>
      <c r="P2196" s="7">
        <v>678.34571920020005</v>
      </c>
      <c r="Q2196">
        <v>1</v>
      </c>
      <c r="R2196">
        <v>0</v>
      </c>
      <c r="S2196" s="11">
        <v>45972.666666666664</v>
      </c>
      <c r="T2196">
        <v>184</v>
      </c>
    </row>
    <row r="2197" spans="1:20">
      <c r="A2197" s="11">
        <v>45972.645833333336</v>
      </c>
      <c r="B2197" s="11">
        <v>45972.666666666664</v>
      </c>
      <c r="C2197" s="10">
        <v>45972</v>
      </c>
      <c r="D2197" s="7">
        <v>683</v>
      </c>
      <c r="E2197" s="7">
        <v>10221125</v>
      </c>
      <c r="F2197" s="7">
        <v>10221125</v>
      </c>
      <c r="G2197" s="7">
        <v>43473514</v>
      </c>
      <c r="H2197" s="7">
        <v>680.64499999999998</v>
      </c>
      <c r="I2197" s="7">
        <v>681.44</v>
      </c>
      <c r="J2197" s="7">
        <v>14</v>
      </c>
      <c r="K2197" s="7">
        <v>3.5548323000000001E-3</v>
      </c>
      <c r="L2197" s="7">
        <v>683.86240495319998</v>
      </c>
      <c r="M2197" s="7">
        <v>678.22542113860004</v>
      </c>
      <c r="N2197" s="7">
        <v>681.69063016739995</v>
      </c>
      <c r="O2197" s="7">
        <v>683.86240495319998</v>
      </c>
      <c r="P2197" s="7">
        <v>678.22542113860004</v>
      </c>
      <c r="Q2197">
        <v>1</v>
      </c>
      <c r="R2197">
        <v>1</v>
      </c>
      <c r="S2197" s="11">
        <v>45972.666666666664</v>
      </c>
      <c r="T2197">
        <v>183</v>
      </c>
    </row>
    <row r="2198" spans="1:20">
      <c r="A2198" s="11">
        <v>45973.395833333336</v>
      </c>
      <c r="B2198" s="11">
        <v>45973.416666666664</v>
      </c>
      <c r="C2198" s="10">
        <v>45973</v>
      </c>
      <c r="D2198" s="7">
        <v>683.61</v>
      </c>
      <c r="E2198" s="7">
        <v>6448524</v>
      </c>
      <c r="F2198" s="7">
        <v>6448524</v>
      </c>
      <c r="G2198" s="7">
        <v>6448524</v>
      </c>
      <c r="H2198" s="7">
        <v>683.61</v>
      </c>
      <c r="I2198" s="7">
        <v>683</v>
      </c>
      <c r="J2198" s="7">
        <v>14</v>
      </c>
      <c r="K2198" s="7">
        <v>0</v>
      </c>
      <c r="L2198" s="7">
        <v>683.61</v>
      </c>
      <c r="M2198" s="7">
        <v>683</v>
      </c>
      <c r="N2198" s="7">
        <v>683.61</v>
      </c>
      <c r="O2198" s="7">
        <v>683.61</v>
      </c>
      <c r="P2198" s="7">
        <v>683</v>
      </c>
      <c r="Q2198">
        <v>1</v>
      </c>
      <c r="R2198">
        <v>0</v>
      </c>
      <c r="S2198" s="11">
        <v>45973.666666666664</v>
      </c>
      <c r="T2198">
        <v>181</v>
      </c>
    </row>
    <row r="2199" spans="1:20">
      <c r="A2199" s="11">
        <v>45973.416666666664</v>
      </c>
      <c r="B2199" s="11">
        <v>45973.4375</v>
      </c>
      <c r="C2199" s="10">
        <v>45973</v>
      </c>
      <c r="D2199" s="7">
        <v>683.23</v>
      </c>
      <c r="E2199" s="7">
        <v>3800790</v>
      </c>
      <c r="F2199" s="7">
        <v>3800790</v>
      </c>
      <c r="G2199" s="7">
        <v>10249314</v>
      </c>
      <c r="H2199" s="7">
        <v>683.61</v>
      </c>
      <c r="I2199" s="7">
        <v>683</v>
      </c>
      <c r="J2199" s="7">
        <v>14</v>
      </c>
      <c r="K2199" s="7">
        <v>1.0524047999999999E-3</v>
      </c>
      <c r="L2199" s="7">
        <v>684.32943447009995</v>
      </c>
      <c r="M2199" s="7">
        <v>682.28120749679999</v>
      </c>
      <c r="N2199" s="7">
        <v>683.46908323230002</v>
      </c>
      <c r="O2199" s="7">
        <v>684.32943447009995</v>
      </c>
      <c r="P2199" s="7">
        <v>682.28120749679999</v>
      </c>
      <c r="Q2199">
        <v>1</v>
      </c>
      <c r="R2199">
        <v>0</v>
      </c>
      <c r="S2199" s="11">
        <v>45973.666666666664</v>
      </c>
      <c r="T2199">
        <v>180</v>
      </c>
    </row>
    <row r="2200" spans="1:20">
      <c r="A2200" s="11">
        <v>45973.4375</v>
      </c>
      <c r="B2200" s="11">
        <v>45973.458333333336</v>
      </c>
      <c r="C2200" s="10">
        <v>45973</v>
      </c>
      <c r="D2200" s="7">
        <v>682.29</v>
      </c>
      <c r="E2200" s="7">
        <v>3364587</v>
      </c>
      <c r="F2200" s="7">
        <v>3364587</v>
      </c>
      <c r="G2200" s="7">
        <v>13613901</v>
      </c>
      <c r="H2200" s="7">
        <v>683.61</v>
      </c>
      <c r="I2200" s="7">
        <v>683</v>
      </c>
      <c r="J2200" s="7">
        <v>14</v>
      </c>
      <c r="K2200" s="7">
        <v>1.6405144E-3</v>
      </c>
      <c r="L2200" s="7">
        <v>684.73147203919996</v>
      </c>
      <c r="M2200" s="7">
        <v>681.87952867460001</v>
      </c>
      <c r="N2200" s="7">
        <v>683.17768048779999</v>
      </c>
      <c r="O2200" s="7">
        <v>684.73147203919996</v>
      </c>
      <c r="P2200" s="7">
        <v>681.87952867460001</v>
      </c>
      <c r="Q2200">
        <v>1</v>
      </c>
      <c r="R2200">
        <v>0</v>
      </c>
      <c r="S2200" s="11">
        <v>45973.666666666664</v>
      </c>
      <c r="T2200">
        <v>179</v>
      </c>
    </row>
    <row r="2201" spans="1:20">
      <c r="A2201" s="11">
        <v>45973.458333333336</v>
      </c>
      <c r="B2201" s="11">
        <v>45973.479166666664</v>
      </c>
      <c r="C2201" s="10">
        <v>45973</v>
      </c>
      <c r="D2201" s="7">
        <v>682.35</v>
      </c>
      <c r="E2201" s="7">
        <v>2954031</v>
      </c>
      <c r="F2201" s="7">
        <v>2954031</v>
      </c>
      <c r="G2201" s="7">
        <v>16567932</v>
      </c>
      <c r="H2201" s="7">
        <v>683.61</v>
      </c>
      <c r="I2201" s="7">
        <v>683</v>
      </c>
      <c r="J2201" s="7">
        <v>14</v>
      </c>
      <c r="K2201" s="7">
        <v>1.6751907E-3</v>
      </c>
      <c r="L2201" s="7">
        <v>684.75517709660005</v>
      </c>
      <c r="M2201" s="7">
        <v>681.85584476969996</v>
      </c>
      <c r="N2201" s="7">
        <v>683.03010661919996</v>
      </c>
      <c r="O2201" s="7">
        <v>684.75517709660005</v>
      </c>
      <c r="P2201" s="7">
        <v>681.85584476969996</v>
      </c>
      <c r="Q2201">
        <v>1</v>
      </c>
      <c r="R2201">
        <v>0</v>
      </c>
      <c r="S2201" s="11">
        <v>45973.666666666664</v>
      </c>
      <c r="T2201">
        <v>178</v>
      </c>
    </row>
    <row r="2202" spans="1:20">
      <c r="A2202" s="11">
        <v>45973.479166666664</v>
      </c>
      <c r="B2202" s="11">
        <v>45973.5</v>
      </c>
      <c r="C2202" s="10">
        <v>45973</v>
      </c>
      <c r="D2202" s="7">
        <v>681.81</v>
      </c>
      <c r="E2202" s="7">
        <v>2913717</v>
      </c>
      <c r="F2202" s="7">
        <v>2913717</v>
      </c>
      <c r="G2202" s="7">
        <v>19481649</v>
      </c>
      <c r="H2202" s="7">
        <v>683.61</v>
      </c>
      <c r="I2202" s="7">
        <v>683</v>
      </c>
      <c r="J2202" s="7">
        <v>14</v>
      </c>
      <c r="K2202" s="7">
        <v>2.2594680000000002E-3</v>
      </c>
      <c r="L2202" s="7">
        <v>685.15459489140005</v>
      </c>
      <c r="M2202" s="7">
        <v>681.45678338410005</v>
      </c>
      <c r="N2202" s="7">
        <v>682.84762486939997</v>
      </c>
      <c r="O2202" s="7">
        <v>685.15459489140005</v>
      </c>
      <c r="P2202" s="7">
        <v>681.45678338410005</v>
      </c>
      <c r="Q2202">
        <v>1</v>
      </c>
      <c r="R2202">
        <v>0</v>
      </c>
      <c r="S2202" s="11">
        <v>45973.666666666664</v>
      </c>
      <c r="T2202">
        <v>177</v>
      </c>
    </row>
    <row r="2203" spans="1:20">
      <c r="A2203" s="11">
        <v>45973.5</v>
      </c>
      <c r="B2203" s="11">
        <v>45973.520833333336</v>
      </c>
      <c r="C2203" s="10">
        <v>45973</v>
      </c>
      <c r="D2203" s="7">
        <v>682.44</v>
      </c>
      <c r="E2203" s="7">
        <v>2179192</v>
      </c>
      <c r="F2203" s="7">
        <v>2179192</v>
      </c>
      <c r="G2203" s="7">
        <v>21660841</v>
      </c>
      <c r="H2203" s="7">
        <v>683.61</v>
      </c>
      <c r="I2203" s="7">
        <v>683</v>
      </c>
      <c r="J2203" s="7">
        <v>14</v>
      </c>
      <c r="K2203" s="7">
        <v>1.9449757000000001E-3</v>
      </c>
      <c r="L2203" s="7">
        <v>684.93960486280002</v>
      </c>
      <c r="M2203" s="7">
        <v>681.67158157239999</v>
      </c>
      <c r="N2203" s="7">
        <v>682.80661571129997</v>
      </c>
      <c r="O2203" s="7">
        <v>684.93960486280002</v>
      </c>
      <c r="P2203" s="7">
        <v>681.67158157239999</v>
      </c>
      <c r="Q2203">
        <v>1</v>
      </c>
      <c r="R2203">
        <v>0</v>
      </c>
      <c r="S2203" s="11">
        <v>45973.666666666664</v>
      </c>
      <c r="T2203">
        <v>176</v>
      </c>
    </row>
    <row r="2204" spans="1:20">
      <c r="A2204" s="11">
        <v>45973.520833333336</v>
      </c>
      <c r="B2204" s="11">
        <v>45973.541666666664</v>
      </c>
      <c r="C2204" s="10">
        <v>45973</v>
      </c>
      <c r="D2204" s="7">
        <v>683.68</v>
      </c>
      <c r="E2204" s="7">
        <v>2439079</v>
      </c>
      <c r="F2204" s="7">
        <v>2439079</v>
      </c>
      <c r="G2204" s="7">
        <v>24099920</v>
      </c>
      <c r="H2204" s="7">
        <v>683.61</v>
      </c>
      <c r="I2204" s="7">
        <v>683</v>
      </c>
      <c r="J2204" s="7">
        <v>14</v>
      </c>
      <c r="K2204" s="7">
        <v>2.4676373000000001E-3</v>
      </c>
      <c r="L2204" s="7">
        <v>685.2969015402</v>
      </c>
      <c r="M2204" s="7">
        <v>681.31460371850005</v>
      </c>
      <c r="N2204" s="7">
        <v>682.89500825690004</v>
      </c>
      <c r="O2204" s="7">
        <v>685.2969015402</v>
      </c>
      <c r="P2204" s="7">
        <v>681.31460371850005</v>
      </c>
      <c r="Q2204">
        <v>1</v>
      </c>
      <c r="R2204">
        <v>0</v>
      </c>
      <c r="S2204" s="11">
        <v>45973.666666666664</v>
      </c>
      <c r="T2204">
        <v>175</v>
      </c>
    </row>
    <row r="2205" spans="1:20">
      <c r="A2205" s="11">
        <v>45973.541666666664</v>
      </c>
      <c r="B2205" s="11">
        <v>45973.5625</v>
      </c>
      <c r="C2205" s="10">
        <v>45973</v>
      </c>
      <c r="D2205" s="7">
        <v>683.46169999999995</v>
      </c>
      <c r="E2205" s="7">
        <v>1860792</v>
      </c>
      <c r="F2205" s="7">
        <v>1860792</v>
      </c>
      <c r="G2205" s="7">
        <v>25960712</v>
      </c>
      <c r="H2205" s="7">
        <v>683.61</v>
      </c>
      <c r="I2205" s="7">
        <v>683</v>
      </c>
      <c r="J2205" s="7">
        <v>14</v>
      </c>
      <c r="K2205" s="7">
        <v>2.5808482999999998E-3</v>
      </c>
      <c r="L2205" s="7">
        <v>685.37429367829998</v>
      </c>
      <c r="M2205" s="7">
        <v>681.23728063910005</v>
      </c>
      <c r="N2205" s="7">
        <v>682.9356271529</v>
      </c>
      <c r="O2205" s="7">
        <v>685.37429367829998</v>
      </c>
      <c r="P2205" s="7">
        <v>681.23728063910005</v>
      </c>
      <c r="Q2205">
        <v>1</v>
      </c>
      <c r="R2205">
        <v>0</v>
      </c>
      <c r="S2205" s="11">
        <v>45973.666666666664</v>
      </c>
      <c r="T2205">
        <v>174</v>
      </c>
    </row>
    <row r="2206" spans="1:20">
      <c r="A2206" s="11">
        <v>45973.5625</v>
      </c>
      <c r="B2206" s="11">
        <v>45973.583333333336</v>
      </c>
      <c r="C2206" s="10">
        <v>45973</v>
      </c>
      <c r="D2206" s="7">
        <v>683.64</v>
      </c>
      <c r="E2206" s="7">
        <v>1879714</v>
      </c>
      <c r="F2206" s="7">
        <v>1879714</v>
      </c>
      <c r="G2206" s="7">
        <v>27840426</v>
      </c>
      <c r="H2206" s="7">
        <v>683.61</v>
      </c>
      <c r="I2206" s="7">
        <v>683</v>
      </c>
      <c r="J2206" s="7">
        <v>14</v>
      </c>
      <c r="K2206" s="7">
        <v>2.6379605000000001E-3</v>
      </c>
      <c r="L2206" s="7">
        <v>685.41333616079999</v>
      </c>
      <c r="M2206" s="7">
        <v>681.19827299509996</v>
      </c>
      <c r="N2206" s="7">
        <v>682.98318459699999</v>
      </c>
      <c r="O2206" s="7">
        <v>685.41333616079999</v>
      </c>
      <c r="P2206" s="7">
        <v>681.19827299509996</v>
      </c>
      <c r="Q2206">
        <v>1</v>
      </c>
      <c r="R2206">
        <v>0</v>
      </c>
      <c r="S2206" s="11">
        <v>45973.666666666664</v>
      </c>
      <c r="T2206">
        <v>173</v>
      </c>
    </row>
    <row r="2207" spans="1:20">
      <c r="A2207" s="11">
        <v>45973.583333333336</v>
      </c>
      <c r="B2207" s="11">
        <v>45973.604166666664</v>
      </c>
      <c r="C2207" s="10">
        <v>45973</v>
      </c>
      <c r="D2207" s="7">
        <v>682.74</v>
      </c>
      <c r="E2207" s="7">
        <v>2546259</v>
      </c>
      <c r="F2207" s="7">
        <v>2546259</v>
      </c>
      <c r="G2207" s="7">
        <v>30386685</v>
      </c>
      <c r="H2207" s="7">
        <v>683.61</v>
      </c>
      <c r="I2207" s="7">
        <v>683</v>
      </c>
      <c r="J2207" s="7">
        <v>14</v>
      </c>
      <c r="K2207" s="7">
        <v>2.4072298000000002E-3</v>
      </c>
      <c r="L2207" s="7">
        <v>685.25560634370004</v>
      </c>
      <c r="M2207" s="7">
        <v>681.35586206649998</v>
      </c>
      <c r="N2207" s="7">
        <v>682.96280688980005</v>
      </c>
      <c r="O2207" s="7">
        <v>685.25560634370004</v>
      </c>
      <c r="P2207" s="7">
        <v>681.35586206649998</v>
      </c>
      <c r="Q2207">
        <v>1</v>
      </c>
      <c r="R2207">
        <v>0</v>
      </c>
      <c r="S2207" s="11">
        <v>45973.666666666664</v>
      </c>
      <c r="T2207">
        <v>172</v>
      </c>
    </row>
    <row r="2208" spans="1:20">
      <c r="A2208" s="11">
        <v>45973.604166666664</v>
      </c>
      <c r="B2208" s="11">
        <v>45973.625</v>
      </c>
      <c r="C2208" s="10">
        <v>45973</v>
      </c>
      <c r="D2208" s="7">
        <v>682.73500000000001</v>
      </c>
      <c r="E2208" s="7">
        <v>2917133</v>
      </c>
      <c r="F2208" s="7">
        <v>2917133</v>
      </c>
      <c r="G2208" s="7">
        <v>33303818</v>
      </c>
      <c r="H2208" s="7">
        <v>683.61</v>
      </c>
      <c r="I2208" s="7">
        <v>683</v>
      </c>
      <c r="J2208" s="7">
        <v>14</v>
      </c>
      <c r="K2208" s="7">
        <v>3.2678554999999998E-3</v>
      </c>
      <c r="L2208" s="7">
        <v>685.8439387075</v>
      </c>
      <c r="M2208" s="7">
        <v>680.76805468429995</v>
      </c>
      <c r="N2208" s="7">
        <v>682.94285293150006</v>
      </c>
      <c r="O2208" s="7">
        <v>685.8439387075</v>
      </c>
      <c r="P2208" s="7">
        <v>680.76805468429995</v>
      </c>
      <c r="Q2208">
        <v>1</v>
      </c>
      <c r="R2208">
        <v>0</v>
      </c>
      <c r="S2208" s="11">
        <v>45973.666666666664</v>
      </c>
      <c r="T2208">
        <v>171</v>
      </c>
    </row>
    <row r="2209" spans="1:20">
      <c r="A2209" s="11">
        <v>45973.625</v>
      </c>
      <c r="B2209" s="11">
        <v>45973.645833333336</v>
      </c>
      <c r="C2209" s="10">
        <v>45973</v>
      </c>
      <c r="D2209" s="7">
        <v>683.32500000000005</v>
      </c>
      <c r="E2209" s="7">
        <v>2874617</v>
      </c>
      <c r="F2209" s="7">
        <v>2874617</v>
      </c>
      <c r="G2209" s="7">
        <v>36178435</v>
      </c>
      <c r="H2209" s="7">
        <v>683.61</v>
      </c>
      <c r="I2209" s="7">
        <v>683</v>
      </c>
      <c r="J2209" s="7">
        <v>14</v>
      </c>
      <c r="K2209" s="7">
        <v>3.2088446E-3</v>
      </c>
      <c r="L2209" s="7">
        <v>685.8035982701</v>
      </c>
      <c r="M2209" s="7">
        <v>680.80835912520001</v>
      </c>
      <c r="N2209" s="7">
        <v>682.97321705479999</v>
      </c>
      <c r="O2209" s="7">
        <v>685.8035982701</v>
      </c>
      <c r="P2209" s="7">
        <v>680.80835912520001</v>
      </c>
      <c r="Q2209">
        <v>1</v>
      </c>
      <c r="R2209">
        <v>0</v>
      </c>
      <c r="S2209" s="11">
        <v>45973.666666666664</v>
      </c>
      <c r="T2209">
        <v>170</v>
      </c>
    </row>
    <row r="2210" spans="1:20">
      <c r="A2210" s="11">
        <v>45973.645833333336</v>
      </c>
      <c r="B2210" s="11">
        <v>45973.666666666664</v>
      </c>
      <c r="C2210" s="10">
        <v>45973</v>
      </c>
      <c r="D2210" s="7">
        <v>683.38</v>
      </c>
      <c r="E2210" s="7">
        <v>10631041</v>
      </c>
      <c r="F2210" s="7">
        <v>10631041</v>
      </c>
      <c r="G2210" s="7">
        <v>46809476</v>
      </c>
      <c r="H2210" s="7">
        <v>683.61</v>
      </c>
      <c r="I2210" s="7">
        <v>683</v>
      </c>
      <c r="J2210" s="7">
        <v>14</v>
      </c>
      <c r="K2210" s="7">
        <v>3.4385584000000001E-3</v>
      </c>
      <c r="L2210" s="7">
        <v>685.9606329124</v>
      </c>
      <c r="M2210" s="7">
        <v>680.65146460819994</v>
      </c>
      <c r="N2210" s="7">
        <v>683.06560275389995</v>
      </c>
      <c r="O2210" s="7">
        <v>685.9606329124</v>
      </c>
      <c r="P2210" s="7">
        <v>680.65146460819994</v>
      </c>
      <c r="Q2210">
        <v>1</v>
      </c>
      <c r="R2210">
        <v>1</v>
      </c>
      <c r="S2210" s="11">
        <v>45973.666666666664</v>
      </c>
      <c r="T2210">
        <v>169</v>
      </c>
    </row>
    <row r="2211" spans="1:20">
      <c r="A2211" s="11">
        <v>45974.395833333336</v>
      </c>
      <c r="B2211" s="11">
        <v>45974.416666666664</v>
      </c>
      <c r="C2211" s="10">
        <v>45974</v>
      </c>
      <c r="D2211" s="7">
        <v>678.72</v>
      </c>
      <c r="E2211" s="7">
        <v>7649125</v>
      </c>
      <c r="F2211" s="7">
        <v>7649125</v>
      </c>
      <c r="G2211" s="7">
        <v>7649125</v>
      </c>
      <c r="H2211" s="7">
        <v>678.72</v>
      </c>
      <c r="I2211" s="7">
        <v>683.38</v>
      </c>
      <c r="J2211" s="7">
        <v>14</v>
      </c>
      <c r="K2211" s="7">
        <v>0</v>
      </c>
      <c r="L2211" s="7">
        <v>683.38</v>
      </c>
      <c r="M2211" s="7">
        <v>678.72</v>
      </c>
      <c r="N2211" s="7">
        <v>678.72</v>
      </c>
      <c r="O2211" s="7">
        <v>683.38</v>
      </c>
      <c r="P2211" s="7">
        <v>678.72</v>
      </c>
      <c r="Q2211">
        <v>1</v>
      </c>
      <c r="R2211">
        <v>0</v>
      </c>
      <c r="S2211" s="11">
        <v>45974.666666666664</v>
      </c>
      <c r="T2211">
        <v>167</v>
      </c>
    </row>
    <row r="2212" spans="1:20">
      <c r="A2212" s="11">
        <v>45974.416666666664</v>
      </c>
      <c r="B2212" s="11">
        <v>45974.4375</v>
      </c>
      <c r="C2212" s="10">
        <v>45974</v>
      </c>
      <c r="D2212" s="7">
        <v>678.9</v>
      </c>
      <c r="E2212" s="7">
        <v>5194692</v>
      </c>
      <c r="F2212" s="7">
        <v>5194692</v>
      </c>
      <c r="G2212" s="7">
        <v>12843817</v>
      </c>
      <c r="H2212" s="7">
        <v>678.72</v>
      </c>
      <c r="I2212" s="7">
        <v>683.38</v>
      </c>
      <c r="J2212" s="7">
        <v>14</v>
      </c>
      <c r="K2212" s="7">
        <v>1.0123373E-3</v>
      </c>
      <c r="L2212" s="7">
        <v>684.07181108570001</v>
      </c>
      <c r="M2212" s="7">
        <v>678.03290640629996</v>
      </c>
      <c r="N2212" s="7">
        <v>678.79280114309995</v>
      </c>
      <c r="O2212" s="7">
        <v>684.07181108570001</v>
      </c>
      <c r="P2212" s="7">
        <v>678.03290640629996</v>
      </c>
      <c r="Q2212">
        <v>1</v>
      </c>
      <c r="R2212">
        <v>0</v>
      </c>
      <c r="S2212" s="11">
        <v>45974.666666666664</v>
      </c>
      <c r="T2212">
        <v>166</v>
      </c>
    </row>
    <row r="2213" spans="1:20">
      <c r="A2213" s="11">
        <v>45974.4375</v>
      </c>
      <c r="B2213" s="11">
        <v>45974.458333333336</v>
      </c>
      <c r="C2213" s="10">
        <v>45974</v>
      </c>
      <c r="D2213" s="7">
        <v>676.3</v>
      </c>
      <c r="E2213" s="7">
        <v>6706710</v>
      </c>
      <c r="F2213" s="7">
        <v>6706710</v>
      </c>
      <c r="G2213" s="7">
        <v>19550527</v>
      </c>
      <c r="H2213" s="7">
        <v>678.72</v>
      </c>
      <c r="I2213" s="7">
        <v>683.38</v>
      </c>
      <c r="J2213" s="7">
        <v>14</v>
      </c>
      <c r="K2213" s="7">
        <v>1.7676079999999999E-3</v>
      </c>
      <c r="L2213" s="7">
        <v>684.58794795159997</v>
      </c>
      <c r="M2213" s="7">
        <v>677.52028910169997</v>
      </c>
      <c r="N2213" s="7">
        <v>677.93765824319996</v>
      </c>
      <c r="O2213" s="7">
        <v>684.58794795159997</v>
      </c>
      <c r="P2213" s="7">
        <v>677.52028910169997</v>
      </c>
      <c r="Q2213">
        <v>1</v>
      </c>
      <c r="R2213">
        <v>0</v>
      </c>
      <c r="S2213" s="11">
        <v>45974.666666666664</v>
      </c>
      <c r="T2213">
        <v>165</v>
      </c>
    </row>
    <row r="2214" spans="1:20">
      <c r="A2214" s="11">
        <v>45974.458333333336</v>
      </c>
      <c r="B2214" s="11">
        <v>45974.479166666664</v>
      </c>
      <c r="C2214" s="10">
        <v>45974</v>
      </c>
      <c r="D2214" s="7">
        <v>675.64</v>
      </c>
      <c r="E2214" s="7">
        <v>4856252</v>
      </c>
      <c r="F2214" s="7">
        <v>4856252</v>
      </c>
      <c r="G2214" s="7">
        <v>24406779</v>
      </c>
      <c r="H2214" s="7">
        <v>678.72</v>
      </c>
      <c r="I2214" s="7">
        <v>683.38</v>
      </c>
      <c r="J2214" s="7">
        <v>14</v>
      </c>
      <c r="K2214" s="7">
        <v>1.8038175E-3</v>
      </c>
      <c r="L2214" s="7">
        <v>684.61269280559998</v>
      </c>
      <c r="M2214" s="7">
        <v>677.49571298390003</v>
      </c>
      <c r="N2214" s="7">
        <v>677.48048987050004</v>
      </c>
      <c r="O2214" s="7">
        <v>684.61269280559998</v>
      </c>
      <c r="P2214" s="7">
        <v>677.48048987050004</v>
      </c>
      <c r="Q2214">
        <v>1</v>
      </c>
      <c r="R2214">
        <v>0</v>
      </c>
      <c r="S2214" s="11">
        <v>45974.666666666664</v>
      </c>
      <c r="T2214">
        <v>164</v>
      </c>
    </row>
    <row r="2215" spans="1:20">
      <c r="A2215" s="11">
        <v>45974.479166666664</v>
      </c>
      <c r="B2215" s="11">
        <v>45974.5</v>
      </c>
      <c r="C2215" s="10">
        <v>45974</v>
      </c>
      <c r="D2215" s="7">
        <v>675.11</v>
      </c>
      <c r="E2215" s="7">
        <v>4363872</v>
      </c>
      <c r="F2215" s="7">
        <v>4363872</v>
      </c>
      <c r="G2215" s="7">
        <v>28770651</v>
      </c>
      <c r="H2215" s="7">
        <v>678.72</v>
      </c>
      <c r="I2215" s="7">
        <v>683.38</v>
      </c>
      <c r="J2215" s="7">
        <v>14</v>
      </c>
      <c r="K2215" s="7">
        <v>2.4345837E-3</v>
      </c>
      <c r="L2215" s="7">
        <v>685.04374578049999</v>
      </c>
      <c r="M2215" s="7">
        <v>677.06759937929996</v>
      </c>
      <c r="N2215" s="7">
        <v>677.12093893880001</v>
      </c>
      <c r="O2215" s="7">
        <v>685.04374578049999</v>
      </c>
      <c r="P2215" s="7">
        <v>677.06759937929996</v>
      </c>
      <c r="Q2215">
        <v>1</v>
      </c>
      <c r="R2215">
        <v>0</v>
      </c>
      <c r="S2215" s="11">
        <v>45974.666666666664</v>
      </c>
      <c r="T2215">
        <v>163</v>
      </c>
    </row>
    <row r="2216" spans="1:20">
      <c r="A2216" s="11">
        <v>45974.5</v>
      </c>
      <c r="B2216" s="11">
        <v>45974.520833333336</v>
      </c>
      <c r="C2216" s="10">
        <v>45974</v>
      </c>
      <c r="D2216" s="7">
        <v>675.90409999999997</v>
      </c>
      <c r="E2216" s="7">
        <v>3768722</v>
      </c>
      <c r="F2216" s="7">
        <v>3768722</v>
      </c>
      <c r="G2216" s="7">
        <v>32539373</v>
      </c>
      <c r="H2216" s="7">
        <v>678.72</v>
      </c>
      <c r="I2216" s="7">
        <v>683.38</v>
      </c>
      <c r="J2216" s="7">
        <v>14</v>
      </c>
      <c r="K2216" s="7">
        <v>2.024419E-3</v>
      </c>
      <c r="L2216" s="7">
        <v>684.76344742670005</v>
      </c>
      <c r="M2216" s="7">
        <v>677.34598636559997</v>
      </c>
      <c r="N2216" s="7">
        <v>676.98000421090001</v>
      </c>
      <c r="O2216" s="7">
        <v>684.76344742670005</v>
      </c>
      <c r="P2216" s="7">
        <v>676.98000421090001</v>
      </c>
      <c r="Q2216">
        <v>1</v>
      </c>
      <c r="R2216">
        <v>0</v>
      </c>
      <c r="S2216" s="11">
        <v>45974.666666666664</v>
      </c>
      <c r="T2216">
        <v>162</v>
      </c>
    </row>
    <row r="2217" spans="1:20">
      <c r="A2217" s="11">
        <v>45974.520833333336</v>
      </c>
      <c r="B2217" s="11">
        <v>45974.541666666664</v>
      </c>
      <c r="C2217" s="10">
        <v>45974</v>
      </c>
      <c r="D2217" s="7">
        <v>674.23</v>
      </c>
      <c r="E2217" s="7">
        <v>3616735</v>
      </c>
      <c r="F2217" s="7">
        <v>3616735</v>
      </c>
      <c r="G2217" s="7">
        <v>36156108</v>
      </c>
      <c r="H2217" s="7">
        <v>678.72</v>
      </c>
      <c r="I2217" s="7">
        <v>683.38</v>
      </c>
      <c r="J2217" s="7">
        <v>14</v>
      </c>
      <c r="K2217" s="7">
        <v>2.3319489999999998E-3</v>
      </c>
      <c r="L2217" s="7">
        <v>684.97360728870001</v>
      </c>
      <c r="M2217" s="7">
        <v>677.13725959349995</v>
      </c>
      <c r="N2217" s="7">
        <v>676.70491828410002</v>
      </c>
      <c r="O2217" s="7">
        <v>684.97360728870001</v>
      </c>
      <c r="P2217" s="7">
        <v>676.70491828410002</v>
      </c>
      <c r="Q2217">
        <v>1</v>
      </c>
      <c r="R2217">
        <v>0</v>
      </c>
      <c r="S2217" s="11">
        <v>45974.666666666664</v>
      </c>
      <c r="T2217">
        <v>161</v>
      </c>
    </row>
    <row r="2218" spans="1:20">
      <c r="A2218" s="11">
        <v>45974.541666666664</v>
      </c>
      <c r="B2218" s="11">
        <v>45974.5625</v>
      </c>
      <c r="C2218" s="10">
        <v>45974</v>
      </c>
      <c r="D2218" s="7">
        <v>672.76</v>
      </c>
      <c r="E2218" s="7">
        <v>3586345</v>
      </c>
      <c r="F2218" s="7">
        <v>3586345</v>
      </c>
      <c r="G2218" s="7">
        <v>39742453</v>
      </c>
      <c r="H2218" s="7">
        <v>678.72</v>
      </c>
      <c r="I2218" s="7">
        <v>683.38</v>
      </c>
      <c r="J2218" s="7">
        <v>14</v>
      </c>
      <c r="K2218" s="7">
        <v>2.5034071000000001E-3</v>
      </c>
      <c r="L2218" s="7">
        <v>685.0907783161</v>
      </c>
      <c r="M2218" s="7">
        <v>677.02088756080002</v>
      </c>
      <c r="N2218" s="7">
        <v>676.34893024370001</v>
      </c>
      <c r="O2218" s="7">
        <v>685.0907783161</v>
      </c>
      <c r="P2218" s="7">
        <v>676.34893024370001</v>
      </c>
      <c r="Q2218">
        <v>1</v>
      </c>
      <c r="R2218">
        <v>0</v>
      </c>
      <c r="S2218" s="11">
        <v>45974.666666666664</v>
      </c>
      <c r="T2218">
        <v>160</v>
      </c>
    </row>
    <row r="2219" spans="1:20">
      <c r="A2219" s="11">
        <v>45974.5625</v>
      </c>
      <c r="B2219" s="11">
        <v>45974.583333333336</v>
      </c>
      <c r="C2219" s="10">
        <v>45974</v>
      </c>
      <c r="D2219" s="7">
        <v>672.76</v>
      </c>
      <c r="E2219" s="7">
        <v>4804392</v>
      </c>
      <c r="F2219" s="7">
        <v>4804392</v>
      </c>
      <c r="G2219" s="7">
        <v>44546845</v>
      </c>
      <c r="H2219" s="7">
        <v>678.72</v>
      </c>
      <c r="I2219" s="7">
        <v>683.38</v>
      </c>
      <c r="J2219" s="7">
        <v>14</v>
      </c>
      <c r="K2219" s="7">
        <v>2.3992827999999998E-3</v>
      </c>
      <c r="L2219" s="7">
        <v>685.01962189120002</v>
      </c>
      <c r="M2219" s="7">
        <v>677.09155876679995</v>
      </c>
      <c r="N2219" s="7">
        <v>675.96186292719995</v>
      </c>
      <c r="O2219" s="7">
        <v>685.01962189120002</v>
      </c>
      <c r="P2219" s="7">
        <v>675.96186292719995</v>
      </c>
      <c r="Q2219">
        <v>1</v>
      </c>
      <c r="R2219">
        <v>0</v>
      </c>
      <c r="S2219" s="11">
        <v>45974.666666666664</v>
      </c>
      <c r="T2219">
        <v>159</v>
      </c>
    </row>
    <row r="2220" spans="1:20">
      <c r="A2220" s="11">
        <v>45974.583333333336</v>
      </c>
      <c r="B2220" s="11">
        <v>45974.604166666664</v>
      </c>
      <c r="C2220" s="10">
        <v>45974</v>
      </c>
      <c r="D2220" s="7">
        <v>673.45</v>
      </c>
      <c r="E2220" s="7">
        <v>3948352</v>
      </c>
      <c r="F2220" s="7">
        <v>3948352</v>
      </c>
      <c r="G2220" s="7">
        <v>48495197</v>
      </c>
      <c r="H2220" s="7">
        <v>678.72</v>
      </c>
      <c r="I2220" s="7">
        <v>683.38</v>
      </c>
      <c r="J2220" s="7">
        <v>14</v>
      </c>
      <c r="K2220" s="7">
        <v>2.2464084999999998E-3</v>
      </c>
      <c r="L2220" s="7">
        <v>684.91515063639997</v>
      </c>
      <c r="M2220" s="7">
        <v>677.19531762719998</v>
      </c>
      <c r="N2220" s="7">
        <v>675.75735362269995</v>
      </c>
      <c r="O2220" s="7">
        <v>684.91515063639997</v>
      </c>
      <c r="P2220" s="7">
        <v>675.75735362269995</v>
      </c>
      <c r="Q2220">
        <v>1</v>
      </c>
      <c r="R2220">
        <v>0</v>
      </c>
      <c r="S2220" s="11">
        <v>45974.666666666664</v>
      </c>
      <c r="T2220">
        <v>158</v>
      </c>
    </row>
    <row r="2221" spans="1:20">
      <c r="A2221" s="11">
        <v>45974.604166666664</v>
      </c>
      <c r="B2221" s="11">
        <v>45974.625</v>
      </c>
      <c r="C2221" s="10">
        <v>45974</v>
      </c>
      <c r="D2221" s="7">
        <v>671.66</v>
      </c>
      <c r="E2221" s="7">
        <v>4996112</v>
      </c>
      <c r="F2221" s="7">
        <v>4996112</v>
      </c>
      <c r="G2221" s="7">
        <v>53491309</v>
      </c>
      <c r="H2221" s="7">
        <v>678.72</v>
      </c>
      <c r="I2221" s="7">
        <v>683.38</v>
      </c>
      <c r="J2221" s="7">
        <v>14</v>
      </c>
      <c r="K2221" s="7">
        <v>3.0958317000000001E-3</v>
      </c>
      <c r="L2221" s="7">
        <v>685.4956294438</v>
      </c>
      <c r="M2221" s="7">
        <v>676.61879713179997</v>
      </c>
      <c r="N2221" s="7">
        <v>675.37465897590005</v>
      </c>
      <c r="O2221" s="7">
        <v>685.4956294438</v>
      </c>
      <c r="P2221" s="7">
        <v>675.37465897590005</v>
      </c>
      <c r="Q2221">
        <v>1</v>
      </c>
      <c r="R2221">
        <v>0</v>
      </c>
      <c r="S2221" s="11">
        <v>45974.666666666664</v>
      </c>
      <c r="T2221">
        <v>157</v>
      </c>
    </row>
    <row r="2222" spans="1:20">
      <c r="A2222" s="11">
        <v>45974.625</v>
      </c>
      <c r="B2222" s="11">
        <v>45974.645833333336</v>
      </c>
      <c r="C2222" s="10">
        <v>45974</v>
      </c>
      <c r="D2222" s="7">
        <v>671.68</v>
      </c>
      <c r="E2222" s="7">
        <v>6134418</v>
      </c>
      <c r="F2222" s="7">
        <v>6134418</v>
      </c>
      <c r="G2222" s="7">
        <v>59625727</v>
      </c>
      <c r="H2222" s="7">
        <v>678.72</v>
      </c>
      <c r="I2222" s="7">
        <v>683.38</v>
      </c>
      <c r="J2222" s="7">
        <v>14</v>
      </c>
      <c r="K2222" s="7">
        <v>2.9916948999999999E-3</v>
      </c>
      <c r="L2222" s="7">
        <v>685.42446443200004</v>
      </c>
      <c r="M2222" s="7">
        <v>676.68947686599995</v>
      </c>
      <c r="N2222" s="7">
        <v>674.99454482609997</v>
      </c>
      <c r="O2222" s="7">
        <v>685.42446443200004</v>
      </c>
      <c r="P2222" s="7">
        <v>674.99454482609997</v>
      </c>
      <c r="Q2222">
        <v>1</v>
      </c>
      <c r="R2222">
        <v>0</v>
      </c>
      <c r="S2222" s="11">
        <v>45974.666666666664</v>
      </c>
      <c r="T2222">
        <v>156</v>
      </c>
    </row>
    <row r="2223" spans="1:20">
      <c r="A2223" s="11">
        <v>45974.645833333336</v>
      </c>
      <c r="B2223" s="11">
        <v>45974.666666666664</v>
      </c>
      <c r="C2223" s="10">
        <v>45974</v>
      </c>
      <c r="D2223" s="7">
        <v>672.04</v>
      </c>
      <c r="E2223" s="7">
        <v>14569200</v>
      </c>
      <c r="F2223" s="7">
        <v>14569200</v>
      </c>
      <c r="G2223" s="7">
        <v>74194927</v>
      </c>
      <c r="H2223" s="7">
        <v>678.72</v>
      </c>
      <c r="I2223" s="7">
        <v>683.38</v>
      </c>
      <c r="J2223" s="7">
        <v>14</v>
      </c>
      <c r="K2223" s="7">
        <v>3.2876107000000001E-3</v>
      </c>
      <c r="L2223" s="7">
        <v>685.62668743380004</v>
      </c>
      <c r="M2223" s="7">
        <v>676.48863283230003</v>
      </c>
      <c r="N2223" s="7">
        <v>674.41437908939997</v>
      </c>
      <c r="O2223" s="7">
        <v>685.62668743380004</v>
      </c>
      <c r="P2223" s="7">
        <v>674.41437908939997</v>
      </c>
      <c r="Q2223">
        <v>1</v>
      </c>
      <c r="R2223">
        <v>1</v>
      </c>
      <c r="S2223" s="11">
        <v>45974.666666666664</v>
      </c>
      <c r="T2223">
        <v>155</v>
      </c>
    </row>
    <row r="2224" spans="1:20">
      <c r="A2224" s="11">
        <v>45975.395833333336</v>
      </c>
      <c r="B2224" s="11">
        <v>45975.416666666664</v>
      </c>
      <c r="C2224" s="10">
        <v>45975</v>
      </c>
      <c r="D2224" s="7">
        <v>668.75</v>
      </c>
      <c r="E2224" s="7">
        <v>13044593</v>
      </c>
      <c r="F2224" s="7">
        <v>13044593</v>
      </c>
      <c r="G2224" s="7">
        <v>13044593</v>
      </c>
      <c r="H2224" s="7">
        <v>668.75</v>
      </c>
      <c r="I2224" s="7">
        <v>672.04</v>
      </c>
      <c r="J2224" s="7">
        <v>14</v>
      </c>
      <c r="K2224" s="7">
        <v>0</v>
      </c>
      <c r="L2224" s="7">
        <v>672.04</v>
      </c>
      <c r="M2224" s="7">
        <v>668.75</v>
      </c>
      <c r="N2224" s="7">
        <v>668.75</v>
      </c>
      <c r="O2224" s="7">
        <v>672.04</v>
      </c>
      <c r="P2224" s="7">
        <v>668.75</v>
      </c>
      <c r="Q2224">
        <v>1</v>
      </c>
      <c r="R2224">
        <v>0</v>
      </c>
      <c r="S2224" s="11">
        <v>45975.666666666664</v>
      </c>
      <c r="T2224">
        <v>153</v>
      </c>
    </row>
    <row r="2225" spans="1:20">
      <c r="A2225" s="11">
        <v>45975.416666666664</v>
      </c>
      <c r="B2225" s="11">
        <v>45975.4375</v>
      </c>
      <c r="C2225" s="10">
        <v>45975</v>
      </c>
      <c r="D2225" s="7">
        <v>669.74</v>
      </c>
      <c r="E2225" s="7">
        <v>7052865</v>
      </c>
      <c r="F2225" s="7">
        <v>7052865</v>
      </c>
      <c r="G2225" s="7">
        <v>20097458</v>
      </c>
      <c r="H2225" s="7">
        <v>668.75</v>
      </c>
      <c r="I2225" s="7">
        <v>672.04</v>
      </c>
      <c r="J2225" s="7">
        <v>14</v>
      </c>
      <c r="K2225" s="7">
        <v>9.5431349999999999E-4</v>
      </c>
      <c r="L2225" s="7">
        <v>672.68133685630005</v>
      </c>
      <c r="M2225" s="7">
        <v>668.11180283509998</v>
      </c>
      <c r="N2225" s="7">
        <v>669.0974238558</v>
      </c>
      <c r="O2225" s="7">
        <v>672.68133685630005</v>
      </c>
      <c r="P2225" s="7">
        <v>668.11180283509998</v>
      </c>
      <c r="Q2225">
        <v>1</v>
      </c>
      <c r="R2225">
        <v>0</v>
      </c>
      <c r="S2225" s="11">
        <v>45975.666666666664</v>
      </c>
      <c r="T2225">
        <v>152</v>
      </c>
    </row>
    <row r="2226" spans="1:20">
      <c r="A2226" s="11">
        <v>45975.4375</v>
      </c>
      <c r="B2226" s="11">
        <v>45975.458333333336</v>
      </c>
      <c r="C2226" s="10">
        <v>45975</v>
      </c>
      <c r="D2226" s="7">
        <v>672.36360000000002</v>
      </c>
      <c r="E2226" s="7">
        <v>6712977</v>
      </c>
      <c r="F2226" s="7">
        <v>6712977</v>
      </c>
      <c r="G2226" s="7">
        <v>26810435</v>
      </c>
      <c r="H2226" s="7">
        <v>668.75</v>
      </c>
      <c r="I2226" s="7">
        <v>672.04</v>
      </c>
      <c r="J2226" s="7">
        <v>14</v>
      </c>
      <c r="K2226" s="7">
        <v>1.9389959999999999E-3</v>
      </c>
      <c r="L2226" s="7">
        <v>673.34308286019996</v>
      </c>
      <c r="M2226" s="7">
        <v>667.4532964366</v>
      </c>
      <c r="N2226" s="7">
        <v>669.9152310019</v>
      </c>
      <c r="O2226" s="7">
        <v>673.34308286019996</v>
      </c>
      <c r="P2226" s="7">
        <v>667.4532964366</v>
      </c>
      <c r="Q2226">
        <v>1</v>
      </c>
      <c r="R2226">
        <v>0</v>
      </c>
      <c r="S2226" s="11">
        <v>45975.666666666664</v>
      </c>
      <c r="T2226">
        <v>151</v>
      </c>
    </row>
    <row r="2227" spans="1:20">
      <c r="A2227" s="11">
        <v>45975.458333333336</v>
      </c>
      <c r="B2227" s="11">
        <v>45975.479166666664</v>
      </c>
      <c r="C2227" s="10">
        <v>45975</v>
      </c>
      <c r="D2227" s="7">
        <v>674.48</v>
      </c>
      <c r="E2227" s="7">
        <v>4879283</v>
      </c>
      <c r="F2227" s="7">
        <v>4879283</v>
      </c>
      <c r="G2227" s="7">
        <v>31689718</v>
      </c>
      <c r="H2227" s="7">
        <v>668.75</v>
      </c>
      <c r="I2227" s="7">
        <v>672.04</v>
      </c>
      <c r="J2227" s="7">
        <v>14</v>
      </c>
      <c r="K2227" s="7">
        <v>2.0520444E-3</v>
      </c>
      <c r="L2227" s="7">
        <v>673.41905589739997</v>
      </c>
      <c r="M2227" s="7">
        <v>667.3776953286</v>
      </c>
      <c r="N2227" s="7">
        <v>670.61807095059999</v>
      </c>
      <c r="O2227" s="7">
        <v>673.41905589739997</v>
      </c>
      <c r="P2227" s="7">
        <v>667.3776953286</v>
      </c>
      <c r="Q2227">
        <v>1</v>
      </c>
      <c r="R2227">
        <v>0</v>
      </c>
      <c r="S2227" s="11">
        <v>45975.666666666664</v>
      </c>
      <c r="T2227">
        <v>150</v>
      </c>
    </row>
    <row r="2228" spans="1:20">
      <c r="A2228" s="11">
        <v>45975.479166666664</v>
      </c>
      <c r="B2228" s="11">
        <v>45975.5</v>
      </c>
      <c r="C2228" s="10">
        <v>45975</v>
      </c>
      <c r="D2228" s="7">
        <v>674.65</v>
      </c>
      <c r="E2228" s="7">
        <v>3787360</v>
      </c>
      <c r="F2228" s="7">
        <v>3787360</v>
      </c>
      <c r="G2228" s="7">
        <v>35477078</v>
      </c>
      <c r="H2228" s="7">
        <v>668.75</v>
      </c>
      <c r="I2228" s="7">
        <v>672.04</v>
      </c>
      <c r="J2228" s="7">
        <v>14</v>
      </c>
      <c r="K2228" s="7">
        <v>2.7628377E-3</v>
      </c>
      <c r="L2228" s="7">
        <v>673.89673742939999</v>
      </c>
      <c r="M2228" s="7">
        <v>666.90235230650001</v>
      </c>
      <c r="N2228" s="7">
        <v>671.04850005200001</v>
      </c>
      <c r="O2228" s="7">
        <v>673.89673742939999</v>
      </c>
      <c r="P2228" s="7">
        <v>666.90235230650001</v>
      </c>
      <c r="Q2228">
        <v>1</v>
      </c>
      <c r="R2228">
        <v>0</v>
      </c>
      <c r="S2228" s="11">
        <v>45975.666666666664</v>
      </c>
      <c r="T2228">
        <v>149</v>
      </c>
    </row>
    <row r="2229" spans="1:20">
      <c r="A2229" s="11">
        <v>45975.5</v>
      </c>
      <c r="B2229" s="11">
        <v>45975.520833333336</v>
      </c>
      <c r="C2229" s="10">
        <v>45975</v>
      </c>
      <c r="D2229" s="7">
        <v>674.94</v>
      </c>
      <c r="E2229" s="7">
        <v>3015286</v>
      </c>
      <c r="F2229" s="7">
        <v>3015286</v>
      </c>
      <c r="G2229" s="7">
        <v>38492364</v>
      </c>
      <c r="H2229" s="7">
        <v>668.75</v>
      </c>
      <c r="I2229" s="7">
        <v>672.04</v>
      </c>
      <c r="J2229" s="7">
        <v>14</v>
      </c>
      <c r="K2229" s="7">
        <v>2.2775364999999999E-3</v>
      </c>
      <c r="L2229" s="7">
        <v>673.57059565520001</v>
      </c>
      <c r="M2229" s="7">
        <v>667.22689744000002</v>
      </c>
      <c r="N2229" s="7">
        <v>671.35333935239998</v>
      </c>
      <c r="O2229" s="7">
        <v>673.57059565520001</v>
      </c>
      <c r="P2229" s="7">
        <v>667.22689744000002</v>
      </c>
      <c r="Q2229">
        <v>1</v>
      </c>
      <c r="R2229">
        <v>0</v>
      </c>
      <c r="S2229" s="11">
        <v>45975.666666666664</v>
      </c>
      <c r="T2229">
        <v>148</v>
      </c>
    </row>
    <row r="2230" spans="1:20">
      <c r="A2230" s="11">
        <v>45975.520833333336</v>
      </c>
      <c r="B2230" s="11">
        <v>45975.541666666664</v>
      </c>
      <c r="C2230" s="10">
        <v>45975</v>
      </c>
      <c r="D2230" s="7">
        <v>674.02710000000002</v>
      </c>
      <c r="E2230" s="7">
        <v>4271472</v>
      </c>
      <c r="F2230" s="7">
        <v>4271472</v>
      </c>
      <c r="G2230" s="7">
        <v>42763836</v>
      </c>
      <c r="H2230" s="7">
        <v>668.75</v>
      </c>
      <c r="I2230" s="7">
        <v>672.04</v>
      </c>
      <c r="J2230" s="7">
        <v>14</v>
      </c>
      <c r="K2230" s="7">
        <v>2.7582968999999998E-3</v>
      </c>
      <c r="L2230" s="7">
        <v>673.89368582960003</v>
      </c>
      <c r="M2230" s="7">
        <v>666.9053889672</v>
      </c>
      <c r="N2230" s="7">
        <v>671.62040832490004</v>
      </c>
      <c r="O2230" s="7">
        <v>673.89368582960003</v>
      </c>
      <c r="P2230" s="7">
        <v>666.9053889672</v>
      </c>
      <c r="Q2230">
        <v>1</v>
      </c>
      <c r="R2230">
        <v>0</v>
      </c>
      <c r="S2230" s="11">
        <v>45975.666666666664</v>
      </c>
      <c r="T2230">
        <v>147</v>
      </c>
    </row>
    <row r="2231" spans="1:20">
      <c r="A2231" s="11">
        <v>45975.541666666664</v>
      </c>
      <c r="B2231" s="11">
        <v>45975.5625</v>
      </c>
      <c r="C2231" s="10">
        <v>45975</v>
      </c>
      <c r="D2231" s="7">
        <v>672.99</v>
      </c>
      <c r="E2231" s="7">
        <v>4547401</v>
      </c>
      <c r="F2231" s="7">
        <v>4547401</v>
      </c>
      <c r="G2231" s="7">
        <v>47311237</v>
      </c>
      <c r="H2231" s="7">
        <v>668.75</v>
      </c>
      <c r="I2231" s="7">
        <v>672.04</v>
      </c>
      <c r="J2231" s="7">
        <v>14</v>
      </c>
      <c r="K2231" s="7">
        <v>3.0705405999999998E-3</v>
      </c>
      <c r="L2231" s="7">
        <v>674.103526106</v>
      </c>
      <c r="M2231" s="7">
        <v>666.69657597260004</v>
      </c>
      <c r="N2231" s="7">
        <v>671.75204898679999</v>
      </c>
      <c r="O2231" s="7">
        <v>674.103526106</v>
      </c>
      <c r="P2231" s="7">
        <v>666.69657597260004</v>
      </c>
      <c r="Q2231">
        <v>1</v>
      </c>
      <c r="R2231">
        <v>0</v>
      </c>
      <c r="S2231" s="11">
        <v>45975.666666666664</v>
      </c>
      <c r="T2231">
        <v>146</v>
      </c>
    </row>
    <row r="2232" spans="1:20">
      <c r="A2232" s="11">
        <v>45975.5625</v>
      </c>
      <c r="B2232" s="11">
        <v>45975.583333333336</v>
      </c>
      <c r="C2232" s="10">
        <v>45975</v>
      </c>
      <c r="D2232" s="7">
        <v>673.25</v>
      </c>
      <c r="E2232" s="7">
        <v>4518391</v>
      </c>
      <c r="F2232" s="7">
        <v>4518391</v>
      </c>
      <c r="G2232" s="7">
        <v>51829628</v>
      </c>
      <c r="H2232" s="7">
        <v>668.75</v>
      </c>
      <c r="I2232" s="7">
        <v>672.04</v>
      </c>
      <c r="J2232" s="7">
        <v>14</v>
      </c>
      <c r="K2232" s="7">
        <v>2.9643077E-3</v>
      </c>
      <c r="L2232" s="7">
        <v>674.0321333288</v>
      </c>
      <c r="M2232" s="7">
        <v>666.76761924350001</v>
      </c>
      <c r="N2232" s="7">
        <v>671.88263700439995</v>
      </c>
      <c r="O2232" s="7">
        <v>674.0321333288</v>
      </c>
      <c r="P2232" s="7">
        <v>666.76761924350001</v>
      </c>
      <c r="Q2232">
        <v>1</v>
      </c>
      <c r="R2232">
        <v>0</v>
      </c>
      <c r="S2232" s="11">
        <v>45975.666666666664</v>
      </c>
      <c r="T2232">
        <v>145</v>
      </c>
    </row>
    <row r="2233" spans="1:20">
      <c r="A2233" s="11">
        <v>45975.583333333336</v>
      </c>
      <c r="B2233" s="11">
        <v>45975.604166666664</v>
      </c>
      <c r="C2233" s="10">
        <v>45975</v>
      </c>
      <c r="D2233" s="7">
        <v>674.04010000000005</v>
      </c>
      <c r="E2233" s="7">
        <v>3927741</v>
      </c>
      <c r="F2233" s="7">
        <v>3927741</v>
      </c>
      <c r="G2233" s="7">
        <v>55757369</v>
      </c>
      <c r="H2233" s="7">
        <v>668.75</v>
      </c>
      <c r="I2233" s="7">
        <v>672.04</v>
      </c>
      <c r="J2233" s="7">
        <v>14</v>
      </c>
      <c r="K2233" s="7">
        <v>2.7293285999999998E-3</v>
      </c>
      <c r="L2233" s="7">
        <v>673.87421798160005</v>
      </c>
      <c r="M2233" s="7">
        <v>666.92476150949994</v>
      </c>
      <c r="N2233" s="7">
        <v>672.03461612420006</v>
      </c>
      <c r="O2233" s="7">
        <v>673.87421798160005</v>
      </c>
      <c r="P2233" s="7">
        <v>666.92476150949994</v>
      </c>
      <c r="Q2233">
        <v>1</v>
      </c>
      <c r="R2233">
        <v>0</v>
      </c>
      <c r="S2233" s="11">
        <v>45975.666666666664</v>
      </c>
      <c r="T2233">
        <v>144</v>
      </c>
    </row>
    <row r="2234" spans="1:20">
      <c r="A2234" s="11">
        <v>45975.604166666664</v>
      </c>
      <c r="B2234" s="11">
        <v>45975.625</v>
      </c>
      <c r="C2234" s="10">
        <v>45975</v>
      </c>
      <c r="D2234" s="7">
        <v>674.67</v>
      </c>
      <c r="E2234" s="7">
        <v>3200676</v>
      </c>
      <c r="F2234" s="7">
        <v>3200676</v>
      </c>
      <c r="G2234" s="7">
        <v>58958045</v>
      </c>
      <c r="H2234" s="7">
        <v>668.75</v>
      </c>
      <c r="I2234" s="7">
        <v>672.04</v>
      </c>
      <c r="J2234" s="7">
        <v>14</v>
      </c>
      <c r="K2234" s="7">
        <v>3.7618598E-3</v>
      </c>
      <c r="L2234" s="7">
        <v>674.56812029280002</v>
      </c>
      <c r="M2234" s="7">
        <v>666.2342562261</v>
      </c>
      <c r="N2234" s="7">
        <v>672.17768412999999</v>
      </c>
      <c r="O2234" s="7">
        <v>674.56812029280002</v>
      </c>
      <c r="P2234" s="7">
        <v>666.2342562261</v>
      </c>
      <c r="Q2234">
        <v>1</v>
      </c>
      <c r="R2234">
        <v>0</v>
      </c>
      <c r="S2234" s="11">
        <v>45975.666666666664</v>
      </c>
      <c r="T2234">
        <v>143</v>
      </c>
    </row>
    <row r="2235" spans="1:20">
      <c r="A2235" s="11">
        <v>45975.625</v>
      </c>
      <c r="B2235" s="11">
        <v>45975.645833333336</v>
      </c>
      <c r="C2235" s="10">
        <v>45975</v>
      </c>
      <c r="D2235" s="7">
        <v>672.46</v>
      </c>
      <c r="E2235" s="7">
        <v>4511262</v>
      </c>
      <c r="F2235" s="7">
        <v>4511262</v>
      </c>
      <c r="G2235" s="7">
        <v>63469307</v>
      </c>
      <c r="H2235" s="7">
        <v>668.75</v>
      </c>
      <c r="I2235" s="7">
        <v>672.04</v>
      </c>
      <c r="J2235" s="7">
        <v>14</v>
      </c>
      <c r="K2235" s="7">
        <v>3.6535095999999999E-3</v>
      </c>
      <c r="L2235" s="7">
        <v>674.49530455980005</v>
      </c>
      <c r="M2235" s="7">
        <v>666.30671548659996</v>
      </c>
      <c r="N2235" s="7">
        <v>672.19775053559999</v>
      </c>
      <c r="O2235" s="7">
        <v>674.49530455980005</v>
      </c>
      <c r="P2235" s="7">
        <v>666.30671548659996</v>
      </c>
      <c r="Q2235">
        <v>1</v>
      </c>
      <c r="R2235">
        <v>0</v>
      </c>
      <c r="S2235" s="11">
        <v>45975.666666666664</v>
      </c>
      <c r="T2235">
        <v>142</v>
      </c>
    </row>
    <row r="2236" spans="1:20">
      <c r="A2236" s="11">
        <v>45975.645833333336</v>
      </c>
      <c r="B2236" s="11">
        <v>45975.666666666664</v>
      </c>
      <c r="C2236" s="10">
        <v>45975</v>
      </c>
      <c r="D2236" s="7">
        <v>671.93</v>
      </c>
      <c r="E2236" s="7">
        <v>9590459</v>
      </c>
      <c r="F2236" s="7">
        <v>9590459</v>
      </c>
      <c r="G2236" s="7">
        <v>73059766</v>
      </c>
      <c r="H2236" s="7">
        <v>668.75</v>
      </c>
      <c r="I2236" s="7">
        <v>672.04</v>
      </c>
      <c r="J2236" s="7">
        <v>14</v>
      </c>
      <c r="K2236" s="7">
        <v>3.9674191999999999E-3</v>
      </c>
      <c r="L2236" s="7">
        <v>674.70626438459999</v>
      </c>
      <c r="M2236" s="7">
        <v>666.09678842450001</v>
      </c>
      <c r="N2236" s="7">
        <v>672.15997790280005</v>
      </c>
      <c r="O2236" s="7">
        <v>674.70626438459999</v>
      </c>
      <c r="P2236" s="7">
        <v>666.09678842450001</v>
      </c>
      <c r="Q2236">
        <v>1</v>
      </c>
      <c r="R2236">
        <v>1</v>
      </c>
      <c r="S2236" s="11">
        <v>45975.666666666664</v>
      </c>
      <c r="T2236">
        <v>141</v>
      </c>
    </row>
    <row r="2237" spans="1:20">
      <c r="A2237" s="11">
        <v>45978.395833333336</v>
      </c>
      <c r="B2237" s="11">
        <v>45978.416666666664</v>
      </c>
      <c r="C2237" s="10">
        <v>45978</v>
      </c>
      <c r="D2237" s="7">
        <v>672.82</v>
      </c>
      <c r="E2237" s="7">
        <v>7229073</v>
      </c>
      <c r="F2237" s="7">
        <v>7229073</v>
      </c>
      <c r="G2237" s="7">
        <v>7229073</v>
      </c>
      <c r="H2237" s="7">
        <v>672.82</v>
      </c>
      <c r="I2237" s="7">
        <v>671.93</v>
      </c>
      <c r="J2237" s="7">
        <v>14</v>
      </c>
      <c r="K2237" s="7">
        <v>0</v>
      </c>
      <c r="L2237" s="7">
        <v>672.82</v>
      </c>
      <c r="M2237" s="7">
        <v>671.93</v>
      </c>
      <c r="N2237" s="7">
        <v>672.82</v>
      </c>
      <c r="O2237" s="7">
        <v>672.82</v>
      </c>
      <c r="P2237" s="7">
        <v>671.93</v>
      </c>
      <c r="Q2237">
        <v>1</v>
      </c>
      <c r="R2237">
        <v>0</v>
      </c>
      <c r="S2237" s="11">
        <v>45978.666666666664</v>
      </c>
      <c r="T2237">
        <v>139</v>
      </c>
    </row>
    <row r="2238" spans="1:20">
      <c r="A2238" s="11">
        <v>45978.416666666664</v>
      </c>
      <c r="B2238" s="11">
        <v>45978.4375</v>
      </c>
      <c r="C2238" s="10">
        <v>45978</v>
      </c>
      <c r="D2238" s="7">
        <v>672.05</v>
      </c>
      <c r="E2238" s="7">
        <v>4448601</v>
      </c>
      <c r="F2238" s="7">
        <v>4448601</v>
      </c>
      <c r="G2238" s="7">
        <v>11677674</v>
      </c>
      <c r="H2238" s="7">
        <v>672.82</v>
      </c>
      <c r="I2238" s="7">
        <v>671.93</v>
      </c>
      <c r="J2238" s="7">
        <v>14</v>
      </c>
      <c r="K2238" s="7">
        <v>1.0469847E-3</v>
      </c>
      <c r="L2238" s="7">
        <v>673.52443224670003</v>
      </c>
      <c r="M2238" s="7">
        <v>671.22649956969997</v>
      </c>
      <c r="N2238" s="7">
        <v>672.52666908749995</v>
      </c>
      <c r="O2238" s="7">
        <v>673.52443224670003</v>
      </c>
      <c r="P2238" s="7">
        <v>671.22649956969997</v>
      </c>
      <c r="Q2238">
        <v>1</v>
      </c>
      <c r="R2238">
        <v>0</v>
      </c>
      <c r="S2238" s="11">
        <v>45978.666666666664</v>
      </c>
      <c r="T2238">
        <v>138</v>
      </c>
    </row>
    <row r="2239" spans="1:20">
      <c r="A2239" s="11">
        <v>45978.4375</v>
      </c>
      <c r="B2239" s="11">
        <v>45978.458333333336</v>
      </c>
      <c r="C2239" s="10">
        <v>45978</v>
      </c>
      <c r="D2239" s="7">
        <v>670.67499999999995</v>
      </c>
      <c r="E2239" s="7">
        <v>4254695</v>
      </c>
      <c r="F2239" s="7">
        <v>4254695</v>
      </c>
      <c r="G2239" s="7">
        <v>15932369</v>
      </c>
      <c r="H2239" s="7">
        <v>672.82</v>
      </c>
      <c r="I2239" s="7">
        <v>671.93</v>
      </c>
      <c r="J2239" s="7">
        <v>14</v>
      </c>
      <c r="K2239" s="7">
        <v>2.2732047999999999E-3</v>
      </c>
      <c r="L2239" s="7">
        <v>674.34945768379998</v>
      </c>
      <c r="M2239" s="7">
        <v>670.40256546859996</v>
      </c>
      <c r="N2239" s="7">
        <v>672.03218598779995</v>
      </c>
      <c r="O2239" s="7">
        <v>674.34945768379998</v>
      </c>
      <c r="P2239" s="7">
        <v>670.40256546859996</v>
      </c>
      <c r="Q2239">
        <v>1</v>
      </c>
      <c r="R2239">
        <v>0</v>
      </c>
      <c r="S2239" s="11">
        <v>45978.666666666664</v>
      </c>
      <c r="T2239">
        <v>137</v>
      </c>
    </row>
    <row r="2240" spans="1:20">
      <c r="A2240" s="11">
        <v>45978.458333333336</v>
      </c>
      <c r="B2240" s="11">
        <v>45978.479166666664</v>
      </c>
      <c r="C2240" s="10">
        <v>45978</v>
      </c>
      <c r="D2240" s="7">
        <v>670.52</v>
      </c>
      <c r="E2240" s="7">
        <v>5660934</v>
      </c>
      <c r="F2240" s="7">
        <v>5660934</v>
      </c>
      <c r="G2240" s="7">
        <v>21593303</v>
      </c>
      <c r="H2240" s="7">
        <v>672.82</v>
      </c>
      <c r="I2240" s="7">
        <v>671.93</v>
      </c>
      <c r="J2240" s="7">
        <v>14</v>
      </c>
      <c r="K2240" s="7">
        <v>2.6410575000000002E-3</v>
      </c>
      <c r="L2240" s="7">
        <v>674.59695633030003</v>
      </c>
      <c r="M2240" s="7">
        <v>670.1553942109</v>
      </c>
      <c r="N2240" s="7">
        <v>671.63574895030001</v>
      </c>
      <c r="O2240" s="7">
        <v>674.59695633030003</v>
      </c>
      <c r="P2240" s="7">
        <v>670.1553942109</v>
      </c>
      <c r="Q2240">
        <v>1</v>
      </c>
      <c r="R2240">
        <v>0</v>
      </c>
      <c r="S2240" s="11">
        <v>45978.666666666664</v>
      </c>
      <c r="T2240">
        <v>136</v>
      </c>
    </row>
    <row r="2241" spans="1:20">
      <c r="A2241" s="11">
        <v>45978.479166666664</v>
      </c>
      <c r="B2241" s="11">
        <v>45978.5</v>
      </c>
      <c r="C2241" s="10">
        <v>45978</v>
      </c>
      <c r="D2241" s="7">
        <v>673</v>
      </c>
      <c r="E2241" s="7">
        <v>3662712</v>
      </c>
      <c r="F2241" s="7">
        <v>3662712</v>
      </c>
      <c r="G2241" s="7">
        <v>25256015</v>
      </c>
      <c r="H2241" s="7">
        <v>672.82</v>
      </c>
      <c r="I2241" s="7">
        <v>671.93</v>
      </c>
      <c r="J2241" s="7">
        <v>14</v>
      </c>
      <c r="K2241" s="7">
        <v>3.3644667999999998E-3</v>
      </c>
      <c r="L2241" s="7">
        <v>675.08368054209996</v>
      </c>
      <c r="M2241" s="7">
        <v>669.66931383329995</v>
      </c>
      <c r="N2241" s="7">
        <v>671.83359721299996</v>
      </c>
      <c r="O2241" s="7">
        <v>675.08368054209996</v>
      </c>
      <c r="P2241" s="7">
        <v>669.66931383329995</v>
      </c>
      <c r="Q2241">
        <v>1</v>
      </c>
      <c r="R2241">
        <v>0</v>
      </c>
      <c r="S2241" s="11">
        <v>45978.666666666664</v>
      </c>
      <c r="T2241">
        <v>135</v>
      </c>
    </row>
    <row r="2242" spans="1:20">
      <c r="A2242" s="11">
        <v>45978.5</v>
      </c>
      <c r="B2242" s="11">
        <v>45978.520833333336</v>
      </c>
      <c r="C2242" s="10">
        <v>45978</v>
      </c>
      <c r="D2242" s="7">
        <v>672.39</v>
      </c>
      <c r="E2242" s="7">
        <v>2096318</v>
      </c>
      <c r="F2242" s="7">
        <v>2096318</v>
      </c>
      <c r="G2242" s="7">
        <v>27352333</v>
      </c>
      <c r="H2242" s="7">
        <v>672.82</v>
      </c>
      <c r="I2242" s="7">
        <v>671.93</v>
      </c>
      <c r="J2242" s="7">
        <v>14</v>
      </c>
      <c r="K2242" s="7">
        <v>2.8984296999999999E-3</v>
      </c>
      <c r="L2242" s="7">
        <v>674.77012149689995</v>
      </c>
      <c r="M2242" s="7">
        <v>669.98245810560002</v>
      </c>
      <c r="N2242" s="7">
        <v>671.87624063860005</v>
      </c>
      <c r="O2242" s="7">
        <v>674.77012149689995</v>
      </c>
      <c r="P2242" s="7">
        <v>669.98245810560002</v>
      </c>
      <c r="Q2242">
        <v>1</v>
      </c>
      <c r="R2242">
        <v>0</v>
      </c>
      <c r="S2242" s="11">
        <v>45978.666666666664</v>
      </c>
      <c r="T2242">
        <v>134</v>
      </c>
    </row>
    <row r="2243" spans="1:20">
      <c r="A2243" s="11">
        <v>45978.520833333336</v>
      </c>
      <c r="B2243" s="11">
        <v>45978.541666666664</v>
      </c>
      <c r="C2243" s="10">
        <v>45978</v>
      </c>
      <c r="D2243" s="7">
        <v>669.23299999999995</v>
      </c>
      <c r="E2243" s="7">
        <v>3117844</v>
      </c>
      <c r="F2243" s="7">
        <v>3117844</v>
      </c>
      <c r="G2243" s="7">
        <v>30470177</v>
      </c>
      <c r="H2243" s="7">
        <v>672.82</v>
      </c>
      <c r="I2243" s="7">
        <v>671.93</v>
      </c>
      <c r="J2243" s="7">
        <v>14</v>
      </c>
      <c r="K2243" s="7">
        <v>3.2565900000000002E-3</v>
      </c>
      <c r="L2243" s="7">
        <v>675.01109891060003</v>
      </c>
      <c r="M2243" s="7">
        <v>669.74179945449998</v>
      </c>
      <c r="N2243" s="7">
        <v>671.60577250300003</v>
      </c>
      <c r="O2243" s="7">
        <v>675.01109891060003</v>
      </c>
      <c r="P2243" s="7">
        <v>669.74179945449998</v>
      </c>
      <c r="Q2243">
        <v>1</v>
      </c>
      <c r="R2243">
        <v>0</v>
      </c>
      <c r="S2243" s="11">
        <v>45978.666666666664</v>
      </c>
      <c r="T2243">
        <v>133</v>
      </c>
    </row>
    <row r="2244" spans="1:20">
      <c r="A2244" s="11">
        <v>45978.541666666664</v>
      </c>
      <c r="B2244" s="11">
        <v>45978.5625</v>
      </c>
      <c r="C2244" s="10">
        <v>45978</v>
      </c>
      <c r="D2244" s="7">
        <v>668.64</v>
      </c>
      <c r="E2244" s="7">
        <v>3146641</v>
      </c>
      <c r="F2244" s="7">
        <v>3146641</v>
      </c>
      <c r="G2244" s="7">
        <v>33616818</v>
      </c>
      <c r="H2244" s="7">
        <v>672.82</v>
      </c>
      <c r="I2244" s="7">
        <v>671.93</v>
      </c>
      <c r="J2244" s="7">
        <v>14</v>
      </c>
      <c r="K2244" s="7">
        <v>3.4904751999999999E-3</v>
      </c>
      <c r="L2244" s="7">
        <v>675.16846151669995</v>
      </c>
      <c r="M2244" s="7">
        <v>669.58464500620005</v>
      </c>
      <c r="N2244" s="7">
        <v>671.32816677139999</v>
      </c>
      <c r="O2244" s="7">
        <v>675.16846151669995</v>
      </c>
      <c r="P2244" s="7">
        <v>669.58464500620005</v>
      </c>
      <c r="Q2244">
        <v>1</v>
      </c>
      <c r="R2244">
        <v>0</v>
      </c>
      <c r="S2244" s="11">
        <v>45978.666666666664</v>
      </c>
      <c r="T2244">
        <v>132</v>
      </c>
    </row>
    <row r="2245" spans="1:20">
      <c r="A2245" s="11">
        <v>45978.5625</v>
      </c>
      <c r="B2245" s="11">
        <v>45978.583333333336</v>
      </c>
      <c r="C2245" s="10">
        <v>45978</v>
      </c>
      <c r="D2245" s="7">
        <v>666.5222</v>
      </c>
      <c r="E2245" s="7">
        <v>3739115</v>
      </c>
      <c r="F2245" s="7">
        <v>3739115</v>
      </c>
      <c r="G2245" s="7">
        <v>37355933</v>
      </c>
      <c r="H2245" s="7">
        <v>672.82</v>
      </c>
      <c r="I2245" s="7">
        <v>671.93</v>
      </c>
      <c r="J2245" s="7">
        <v>14</v>
      </c>
      <c r="K2245" s="7">
        <v>3.3660068999999998E-3</v>
      </c>
      <c r="L2245" s="7">
        <v>675.08471676919999</v>
      </c>
      <c r="M2245" s="7">
        <v>669.66827897689996</v>
      </c>
      <c r="N2245" s="7">
        <v>670.84711701569995</v>
      </c>
      <c r="O2245" s="7">
        <v>675.08471676919999</v>
      </c>
      <c r="P2245" s="7">
        <v>669.66827897689996</v>
      </c>
      <c r="Q2245">
        <v>1</v>
      </c>
      <c r="R2245">
        <v>0</v>
      </c>
      <c r="S2245" s="11">
        <v>45978.666666666664</v>
      </c>
      <c r="T2245">
        <v>131</v>
      </c>
    </row>
    <row r="2246" spans="1:20">
      <c r="A2246" s="11">
        <v>45978.583333333336</v>
      </c>
      <c r="B2246" s="11">
        <v>45978.604166666664</v>
      </c>
      <c r="C2246" s="10">
        <v>45978</v>
      </c>
      <c r="D2246" s="7">
        <v>665.77</v>
      </c>
      <c r="E2246" s="7">
        <v>5489532</v>
      </c>
      <c r="F2246" s="7">
        <v>5489532</v>
      </c>
      <c r="G2246" s="7">
        <v>42845465</v>
      </c>
      <c r="H2246" s="7">
        <v>672.82</v>
      </c>
      <c r="I2246" s="7">
        <v>671.93</v>
      </c>
      <c r="J2246" s="7">
        <v>14</v>
      </c>
      <c r="K2246" s="7">
        <v>3.2196E-3</v>
      </c>
      <c r="L2246" s="7">
        <v>674.98621127959996</v>
      </c>
      <c r="M2246" s="7">
        <v>669.76665416449998</v>
      </c>
      <c r="N2246" s="7">
        <v>670.19661651750005</v>
      </c>
      <c r="O2246" s="7">
        <v>674.98621127959996</v>
      </c>
      <c r="P2246" s="7">
        <v>669.76665416449998</v>
      </c>
      <c r="Q2246">
        <v>1</v>
      </c>
      <c r="R2246">
        <v>0</v>
      </c>
      <c r="S2246" s="11">
        <v>45978.666666666664</v>
      </c>
      <c r="T2246">
        <v>130</v>
      </c>
    </row>
    <row r="2247" spans="1:20">
      <c r="A2247" s="11">
        <v>45978.604166666664</v>
      </c>
      <c r="B2247" s="11">
        <v>45978.625</v>
      </c>
      <c r="C2247" s="10">
        <v>45978</v>
      </c>
      <c r="D2247" s="7">
        <v>662.56</v>
      </c>
      <c r="E2247" s="7">
        <v>6041038</v>
      </c>
      <c r="F2247" s="7">
        <v>6041038</v>
      </c>
      <c r="G2247" s="7">
        <v>48886503</v>
      </c>
      <c r="H2247" s="7">
        <v>672.82</v>
      </c>
      <c r="I2247" s="7">
        <v>671.93</v>
      </c>
      <c r="J2247" s="7">
        <v>14</v>
      </c>
      <c r="K2247" s="7">
        <v>4.2907613000000002E-3</v>
      </c>
      <c r="L2247" s="7">
        <v>675.7069100205</v>
      </c>
      <c r="M2247" s="7">
        <v>669.04690875710003</v>
      </c>
      <c r="N2247" s="7">
        <v>669.25293906579998</v>
      </c>
      <c r="O2247" s="7">
        <v>675.7069100205</v>
      </c>
      <c r="P2247" s="7">
        <v>669.04690875710003</v>
      </c>
      <c r="Q2247">
        <v>1</v>
      </c>
      <c r="R2247">
        <v>0</v>
      </c>
      <c r="S2247" s="11">
        <v>45978.666666666664</v>
      </c>
      <c r="T2247">
        <v>129</v>
      </c>
    </row>
    <row r="2248" spans="1:20">
      <c r="A2248" s="11">
        <v>45978.625</v>
      </c>
      <c r="B2248" s="11">
        <v>45978.645833333336</v>
      </c>
      <c r="C2248" s="10">
        <v>45978</v>
      </c>
      <c r="D2248" s="7">
        <v>663.88</v>
      </c>
      <c r="E2248" s="7">
        <v>7345725</v>
      </c>
      <c r="F2248" s="7">
        <v>7345725</v>
      </c>
      <c r="G2248" s="7">
        <v>56232228</v>
      </c>
      <c r="H2248" s="7">
        <v>672.82</v>
      </c>
      <c r="I2248" s="7">
        <v>671.93</v>
      </c>
      <c r="J2248" s="7">
        <v>14</v>
      </c>
      <c r="K2248" s="7">
        <v>3.9352796999999997E-3</v>
      </c>
      <c r="L2248" s="7">
        <v>675.46773492119996</v>
      </c>
      <c r="M2248" s="7">
        <v>669.28576747780005</v>
      </c>
      <c r="N2248" s="7">
        <v>668.55106161540004</v>
      </c>
      <c r="O2248" s="7">
        <v>675.46773492119996</v>
      </c>
      <c r="P2248" s="7">
        <v>668.55106161540004</v>
      </c>
      <c r="Q2248">
        <v>1</v>
      </c>
      <c r="R2248">
        <v>0</v>
      </c>
      <c r="S2248" s="11">
        <v>45978.666666666664</v>
      </c>
      <c r="T2248">
        <v>128</v>
      </c>
    </row>
    <row r="2249" spans="1:20">
      <c r="A2249" s="11">
        <v>45978.645833333336</v>
      </c>
      <c r="B2249" s="11">
        <v>45978.666666666664</v>
      </c>
      <c r="C2249" s="10">
        <v>45978</v>
      </c>
      <c r="D2249" s="7">
        <v>665.67</v>
      </c>
      <c r="E2249" s="7">
        <v>14357186</v>
      </c>
      <c r="F2249" s="7">
        <v>14357186</v>
      </c>
      <c r="G2249" s="7">
        <v>70589414</v>
      </c>
      <c r="H2249" s="7">
        <v>672.82</v>
      </c>
      <c r="I2249" s="7">
        <v>671.93</v>
      </c>
      <c r="J2249" s="7">
        <v>14</v>
      </c>
      <c r="K2249" s="7">
        <v>4.0880220999999998E-3</v>
      </c>
      <c r="L2249" s="7">
        <v>675.57050304920006</v>
      </c>
      <c r="M2249" s="7">
        <v>669.18313529049999</v>
      </c>
      <c r="N2249" s="7">
        <v>667.96508228590005</v>
      </c>
      <c r="O2249" s="7">
        <v>675.57050304920006</v>
      </c>
      <c r="P2249" s="7">
        <v>667.96508228590005</v>
      </c>
      <c r="Q2249">
        <v>1</v>
      </c>
      <c r="R2249">
        <v>1</v>
      </c>
      <c r="S2249" s="11">
        <v>45978.666666666664</v>
      </c>
      <c r="T2249">
        <v>127</v>
      </c>
    </row>
    <row r="2250" spans="1:20">
      <c r="A2250" s="11">
        <v>45979.395833333336</v>
      </c>
      <c r="B2250" s="11">
        <v>45979.416666666664</v>
      </c>
      <c r="C2250" s="10">
        <v>45979</v>
      </c>
      <c r="D2250" s="7">
        <v>658.56</v>
      </c>
      <c r="E2250" s="7">
        <v>14880890</v>
      </c>
      <c r="F2250" s="7">
        <v>14880890</v>
      </c>
      <c r="G2250" s="7">
        <v>14880890</v>
      </c>
      <c r="H2250" s="7">
        <v>658.56</v>
      </c>
      <c r="I2250" s="7">
        <v>665.67</v>
      </c>
      <c r="J2250" s="7">
        <v>14</v>
      </c>
      <c r="K2250" s="7">
        <v>0</v>
      </c>
      <c r="L2250" s="7">
        <v>665.67</v>
      </c>
      <c r="M2250" s="7">
        <v>658.56</v>
      </c>
      <c r="N2250" s="7">
        <v>658.56</v>
      </c>
      <c r="O2250" s="7">
        <v>665.67</v>
      </c>
      <c r="P2250" s="7">
        <v>658.56</v>
      </c>
      <c r="Q2250">
        <v>1</v>
      </c>
      <c r="R2250">
        <v>0</v>
      </c>
      <c r="S2250" s="11">
        <v>45979.666666666664</v>
      </c>
      <c r="T2250">
        <v>125</v>
      </c>
    </row>
    <row r="2251" spans="1:20">
      <c r="A2251" s="11">
        <v>45979.416666666664</v>
      </c>
      <c r="B2251" s="11">
        <v>45979.4375</v>
      </c>
      <c r="C2251" s="10">
        <v>45979</v>
      </c>
      <c r="D2251" s="7">
        <v>659.1</v>
      </c>
      <c r="E2251" s="7">
        <v>10907580</v>
      </c>
      <c r="F2251" s="7">
        <v>10907580</v>
      </c>
      <c r="G2251" s="7">
        <v>25788470</v>
      </c>
      <c r="H2251" s="7">
        <v>658.56</v>
      </c>
      <c r="I2251" s="7">
        <v>665.67</v>
      </c>
      <c r="J2251" s="7">
        <v>14</v>
      </c>
      <c r="K2251" s="7">
        <v>1.0891478E-3</v>
      </c>
      <c r="L2251" s="7">
        <v>666.39501299220001</v>
      </c>
      <c r="M2251" s="7">
        <v>657.84273084840004</v>
      </c>
      <c r="N2251" s="7">
        <v>658.78840025789998</v>
      </c>
      <c r="O2251" s="7">
        <v>666.39501299220001</v>
      </c>
      <c r="P2251" s="7">
        <v>657.84273084840004</v>
      </c>
      <c r="Q2251">
        <v>1</v>
      </c>
      <c r="R2251">
        <v>0</v>
      </c>
      <c r="S2251" s="11">
        <v>45979.666666666664</v>
      </c>
      <c r="T2251">
        <v>124</v>
      </c>
    </row>
    <row r="2252" spans="1:20">
      <c r="A2252" s="11">
        <v>45979.4375</v>
      </c>
      <c r="B2252" s="11">
        <v>45979.458333333336</v>
      </c>
      <c r="C2252" s="10">
        <v>45979</v>
      </c>
      <c r="D2252" s="7">
        <v>657.11</v>
      </c>
      <c r="E2252" s="7">
        <v>6850688</v>
      </c>
      <c r="F2252" s="7">
        <v>6850688</v>
      </c>
      <c r="G2252" s="7">
        <v>32639158</v>
      </c>
      <c r="H2252" s="7">
        <v>658.56</v>
      </c>
      <c r="I2252" s="7">
        <v>665.67</v>
      </c>
      <c r="J2252" s="7">
        <v>14</v>
      </c>
      <c r="K2252" s="7">
        <v>2.4915495999999998E-3</v>
      </c>
      <c r="L2252" s="7">
        <v>667.32854984660003</v>
      </c>
      <c r="M2252" s="7">
        <v>656.91916507129997</v>
      </c>
      <c r="N2252" s="7">
        <v>658.43611799300004</v>
      </c>
      <c r="O2252" s="7">
        <v>667.32854984660003</v>
      </c>
      <c r="P2252" s="7">
        <v>656.91916507129997</v>
      </c>
      <c r="Q2252">
        <v>1</v>
      </c>
      <c r="R2252">
        <v>0</v>
      </c>
      <c r="S2252" s="11">
        <v>45979.666666666664</v>
      </c>
      <c r="T2252">
        <v>123</v>
      </c>
    </row>
    <row r="2253" spans="1:20">
      <c r="A2253" s="11">
        <v>45979.458333333336</v>
      </c>
      <c r="B2253" s="11">
        <v>45979.479166666664</v>
      </c>
      <c r="C2253" s="10">
        <v>45979</v>
      </c>
      <c r="D2253" s="7">
        <v>661.48</v>
      </c>
      <c r="E2253" s="7">
        <v>7440123</v>
      </c>
      <c r="F2253" s="7">
        <v>7440123</v>
      </c>
      <c r="G2253" s="7">
        <v>40079281</v>
      </c>
      <c r="H2253" s="7">
        <v>658.56</v>
      </c>
      <c r="I2253" s="7">
        <v>665.67</v>
      </c>
      <c r="J2253" s="7">
        <v>14</v>
      </c>
      <c r="K2253" s="7">
        <v>2.8633578999999998E-3</v>
      </c>
      <c r="L2253" s="7">
        <v>667.57605143549995</v>
      </c>
      <c r="M2253" s="7">
        <v>656.67430703900004</v>
      </c>
      <c r="N2253" s="7">
        <v>659.00116946009996</v>
      </c>
      <c r="O2253" s="7">
        <v>667.57605143549995</v>
      </c>
      <c r="P2253" s="7">
        <v>656.67430703900004</v>
      </c>
      <c r="Q2253">
        <v>1</v>
      </c>
      <c r="R2253">
        <v>0</v>
      </c>
      <c r="S2253" s="11">
        <v>45979.666666666664</v>
      </c>
      <c r="T2253">
        <v>122</v>
      </c>
    </row>
    <row r="2254" spans="1:20">
      <c r="A2254" s="11">
        <v>45979.479166666664</v>
      </c>
      <c r="B2254" s="11">
        <v>45979.5</v>
      </c>
      <c r="C2254" s="10">
        <v>45979</v>
      </c>
      <c r="D2254" s="7">
        <v>661.16989999999998</v>
      </c>
      <c r="E2254" s="7">
        <v>5094226</v>
      </c>
      <c r="F2254" s="7">
        <v>5094226</v>
      </c>
      <c r="G2254" s="7">
        <v>45173507</v>
      </c>
      <c r="H2254" s="7">
        <v>658.56</v>
      </c>
      <c r="I2254" s="7">
        <v>665.67</v>
      </c>
      <c r="J2254" s="7">
        <v>14</v>
      </c>
      <c r="K2254" s="7">
        <v>3.3684723000000001E-3</v>
      </c>
      <c r="L2254" s="7">
        <v>667.9122909555</v>
      </c>
      <c r="M2254" s="7">
        <v>656.34165888259997</v>
      </c>
      <c r="N2254" s="7">
        <v>659.24573766469996</v>
      </c>
      <c r="O2254" s="7">
        <v>667.9122909555</v>
      </c>
      <c r="P2254" s="7">
        <v>656.34165888259997</v>
      </c>
      <c r="Q2254">
        <v>1</v>
      </c>
      <c r="R2254">
        <v>0</v>
      </c>
      <c r="S2254" s="11">
        <v>45979.666666666664</v>
      </c>
      <c r="T2254">
        <v>121</v>
      </c>
    </row>
    <row r="2255" spans="1:20">
      <c r="A2255" s="11">
        <v>45979.5</v>
      </c>
      <c r="B2255" s="11">
        <v>45979.520833333336</v>
      </c>
      <c r="C2255" s="10">
        <v>45979</v>
      </c>
      <c r="D2255" s="7">
        <v>658.57</v>
      </c>
      <c r="E2255" s="7">
        <v>3812004</v>
      </c>
      <c r="F2255" s="7">
        <v>3812004</v>
      </c>
      <c r="G2255" s="7">
        <v>48985511</v>
      </c>
      <c r="H2255" s="7">
        <v>658.56</v>
      </c>
      <c r="I2255" s="7">
        <v>665.67</v>
      </c>
      <c r="J2255" s="7">
        <v>14</v>
      </c>
      <c r="K2255" s="7">
        <v>2.8972058999999998E-3</v>
      </c>
      <c r="L2255" s="7">
        <v>667.59858304570002</v>
      </c>
      <c r="M2255" s="7">
        <v>656.65201608819996</v>
      </c>
      <c r="N2255" s="7">
        <v>659.19315242820005</v>
      </c>
      <c r="O2255" s="7">
        <v>667.59858304570002</v>
      </c>
      <c r="P2255" s="7">
        <v>656.65201608819996</v>
      </c>
      <c r="Q2255">
        <v>1</v>
      </c>
      <c r="R2255">
        <v>0</v>
      </c>
      <c r="S2255" s="11">
        <v>45979.666666666664</v>
      </c>
      <c r="T2255">
        <v>120</v>
      </c>
    </row>
    <row r="2256" spans="1:20">
      <c r="A2256" s="11">
        <v>45979.520833333336</v>
      </c>
      <c r="B2256" s="11">
        <v>45979.541666666664</v>
      </c>
      <c r="C2256" s="10">
        <v>45979</v>
      </c>
      <c r="D2256" s="7">
        <v>663.75</v>
      </c>
      <c r="E2256" s="7">
        <v>5761666</v>
      </c>
      <c r="F2256" s="7">
        <v>5761666</v>
      </c>
      <c r="G2256" s="7">
        <v>54747177</v>
      </c>
      <c r="H2256" s="7">
        <v>658.56</v>
      </c>
      <c r="I2256" s="7">
        <v>665.67</v>
      </c>
      <c r="J2256" s="7">
        <v>14</v>
      </c>
      <c r="K2256" s="7">
        <v>3.5186493000000001E-3</v>
      </c>
      <c r="L2256" s="7">
        <v>668.0122593095</v>
      </c>
      <c r="M2256" s="7">
        <v>656.24275828739997</v>
      </c>
      <c r="N2256" s="7">
        <v>659.67272115050002</v>
      </c>
      <c r="O2256" s="7">
        <v>668.0122593095</v>
      </c>
      <c r="P2256" s="7">
        <v>656.24275828739997</v>
      </c>
      <c r="Q2256">
        <v>1</v>
      </c>
      <c r="R2256">
        <v>0</v>
      </c>
      <c r="S2256" s="11">
        <v>45979.666666666664</v>
      </c>
      <c r="T2256">
        <v>119</v>
      </c>
    </row>
    <row r="2257" spans="1:20">
      <c r="A2257" s="11">
        <v>45979.541666666664</v>
      </c>
      <c r="B2257" s="11">
        <v>45979.5625</v>
      </c>
      <c r="C2257" s="10">
        <v>45979</v>
      </c>
      <c r="D2257" s="7">
        <v>663.47</v>
      </c>
      <c r="E2257" s="7">
        <v>3933508</v>
      </c>
      <c r="F2257" s="7">
        <v>3933508</v>
      </c>
      <c r="G2257" s="7">
        <v>58680685</v>
      </c>
      <c r="H2257" s="7">
        <v>658.56</v>
      </c>
      <c r="I2257" s="7">
        <v>665.67</v>
      </c>
      <c r="J2257" s="7">
        <v>14</v>
      </c>
      <c r="K2257" s="7">
        <v>3.8040310999999999E-3</v>
      </c>
      <c r="L2257" s="7">
        <v>668.2022293599</v>
      </c>
      <c r="M2257" s="7">
        <v>656.05481730099996</v>
      </c>
      <c r="N2257" s="7">
        <v>659.9272619203</v>
      </c>
      <c r="O2257" s="7">
        <v>668.2022293599</v>
      </c>
      <c r="P2257" s="7">
        <v>656.05481730099996</v>
      </c>
      <c r="Q2257">
        <v>1</v>
      </c>
      <c r="R2257">
        <v>0</v>
      </c>
      <c r="S2257" s="11">
        <v>45979.666666666664</v>
      </c>
      <c r="T2257">
        <v>118</v>
      </c>
    </row>
    <row r="2258" spans="1:20">
      <c r="A2258" s="11">
        <v>45979.5625</v>
      </c>
      <c r="B2258" s="11">
        <v>45979.583333333336</v>
      </c>
      <c r="C2258" s="10">
        <v>45979</v>
      </c>
      <c r="D2258" s="7">
        <v>663.14</v>
      </c>
      <c r="E2258" s="7">
        <v>4562879</v>
      </c>
      <c r="F2258" s="7">
        <v>4562879</v>
      </c>
      <c r="G2258" s="7">
        <v>63243564</v>
      </c>
      <c r="H2258" s="7">
        <v>658.56</v>
      </c>
      <c r="I2258" s="7">
        <v>665.67</v>
      </c>
      <c r="J2258" s="7">
        <v>14</v>
      </c>
      <c r="K2258" s="7">
        <v>3.8372088000000002E-3</v>
      </c>
      <c r="L2258" s="7">
        <v>668.22431476259999</v>
      </c>
      <c r="M2258" s="7">
        <v>656.0329677917</v>
      </c>
      <c r="N2258" s="7">
        <v>660.15905365039998</v>
      </c>
      <c r="O2258" s="7">
        <v>668.22431476259999</v>
      </c>
      <c r="P2258" s="7">
        <v>656.0329677917</v>
      </c>
      <c r="Q2258">
        <v>1</v>
      </c>
      <c r="R2258">
        <v>0</v>
      </c>
      <c r="S2258" s="11">
        <v>45979.666666666664</v>
      </c>
      <c r="T2258">
        <v>117</v>
      </c>
    </row>
    <row r="2259" spans="1:20">
      <c r="A2259" s="11">
        <v>45979.583333333336</v>
      </c>
      <c r="B2259" s="11">
        <v>45979.604166666664</v>
      </c>
      <c r="C2259" s="10">
        <v>45979</v>
      </c>
      <c r="D2259" s="7">
        <v>662.97</v>
      </c>
      <c r="E2259" s="7">
        <v>3556440</v>
      </c>
      <c r="F2259" s="7">
        <v>3556440</v>
      </c>
      <c r="G2259" s="7">
        <v>66800004</v>
      </c>
      <c r="H2259" s="7">
        <v>658.56</v>
      </c>
      <c r="I2259" s="7">
        <v>665.67</v>
      </c>
      <c r="J2259" s="7">
        <v>14</v>
      </c>
      <c r="K2259" s="7">
        <v>3.7274295000000002E-3</v>
      </c>
      <c r="L2259" s="7">
        <v>668.15123798490004</v>
      </c>
      <c r="M2259" s="7">
        <v>656.10526403879999</v>
      </c>
      <c r="N2259" s="7">
        <v>660.30870876170002</v>
      </c>
      <c r="O2259" s="7">
        <v>668.15123798490004</v>
      </c>
      <c r="P2259" s="7">
        <v>656.10526403879999</v>
      </c>
      <c r="Q2259">
        <v>1</v>
      </c>
      <c r="R2259">
        <v>0</v>
      </c>
      <c r="S2259" s="11">
        <v>45979.666666666664</v>
      </c>
      <c r="T2259">
        <v>116</v>
      </c>
    </row>
    <row r="2260" spans="1:20">
      <c r="A2260" s="11">
        <v>45979.604166666664</v>
      </c>
      <c r="B2260" s="11">
        <v>45979.625</v>
      </c>
      <c r="C2260" s="10">
        <v>45979</v>
      </c>
      <c r="D2260" s="7">
        <v>664.41849999999999</v>
      </c>
      <c r="E2260" s="7">
        <v>4679559</v>
      </c>
      <c r="F2260" s="7">
        <v>4679559</v>
      </c>
      <c r="G2260" s="7">
        <v>71479563</v>
      </c>
      <c r="H2260" s="7">
        <v>658.56</v>
      </c>
      <c r="I2260" s="7">
        <v>665.67</v>
      </c>
      <c r="J2260" s="7">
        <v>14</v>
      </c>
      <c r="K2260" s="7">
        <v>5.1299991000000001E-3</v>
      </c>
      <c r="L2260" s="7">
        <v>669.08488652410006</v>
      </c>
      <c r="M2260" s="7">
        <v>655.18158776969995</v>
      </c>
      <c r="N2260" s="7">
        <v>660.57776483550003</v>
      </c>
      <c r="O2260" s="7">
        <v>669.08488652410006</v>
      </c>
      <c r="P2260" s="7">
        <v>655.18158776969995</v>
      </c>
      <c r="Q2260">
        <v>1</v>
      </c>
      <c r="R2260">
        <v>0</v>
      </c>
      <c r="S2260" s="11">
        <v>45979.666666666664</v>
      </c>
      <c r="T2260">
        <v>115</v>
      </c>
    </row>
    <row r="2261" spans="1:20">
      <c r="A2261" s="11">
        <v>45979.625</v>
      </c>
      <c r="B2261" s="11">
        <v>45979.645833333336</v>
      </c>
      <c r="C2261" s="10">
        <v>45979</v>
      </c>
      <c r="D2261" s="7">
        <v>662.45</v>
      </c>
      <c r="E2261" s="7">
        <v>5473369</v>
      </c>
      <c r="F2261" s="7">
        <v>5473369</v>
      </c>
      <c r="G2261" s="7">
        <v>76952932</v>
      </c>
      <c r="H2261" s="7">
        <v>658.56</v>
      </c>
      <c r="I2261" s="7">
        <v>665.67</v>
      </c>
      <c r="J2261" s="7">
        <v>14</v>
      </c>
      <c r="K2261" s="7">
        <v>4.5755296000000003E-3</v>
      </c>
      <c r="L2261" s="7">
        <v>668.71579281449999</v>
      </c>
      <c r="M2261" s="7">
        <v>655.54673920130006</v>
      </c>
      <c r="N2261" s="7">
        <v>660.71092979289995</v>
      </c>
      <c r="O2261" s="7">
        <v>668.71579281449999</v>
      </c>
      <c r="P2261" s="7">
        <v>655.54673920130006</v>
      </c>
      <c r="Q2261">
        <v>1</v>
      </c>
      <c r="R2261">
        <v>0</v>
      </c>
      <c r="S2261" s="11">
        <v>45979.666666666664</v>
      </c>
      <c r="T2261">
        <v>114</v>
      </c>
    </row>
    <row r="2262" spans="1:20">
      <c r="A2262" s="11">
        <v>45979.645833333336</v>
      </c>
      <c r="B2262" s="11">
        <v>45979.666666666664</v>
      </c>
      <c r="C2262" s="10">
        <v>45979</v>
      </c>
      <c r="D2262" s="7">
        <v>660.08</v>
      </c>
      <c r="E2262" s="7">
        <v>13809027</v>
      </c>
      <c r="F2262" s="7">
        <v>13809027</v>
      </c>
      <c r="G2262" s="7">
        <v>90761959</v>
      </c>
      <c r="H2262" s="7">
        <v>658.56</v>
      </c>
      <c r="I2262" s="7">
        <v>665.67</v>
      </c>
      <c r="J2262" s="7">
        <v>14</v>
      </c>
      <c r="K2262" s="7">
        <v>4.7085488999999998E-3</v>
      </c>
      <c r="L2262" s="7">
        <v>668.8043397422</v>
      </c>
      <c r="M2262" s="7">
        <v>655.45913804040003</v>
      </c>
      <c r="N2262" s="7">
        <v>660.61493664069997</v>
      </c>
      <c r="O2262" s="7">
        <v>668.8043397422</v>
      </c>
      <c r="P2262" s="7">
        <v>655.45913804040003</v>
      </c>
      <c r="Q2262">
        <v>1</v>
      </c>
      <c r="R2262">
        <v>1</v>
      </c>
      <c r="S2262" s="11">
        <v>45979.666666666664</v>
      </c>
      <c r="T2262">
        <v>113</v>
      </c>
    </row>
    <row r="2263" spans="1:20">
      <c r="A2263" s="11">
        <v>45980.395833333336</v>
      </c>
      <c r="B2263" s="11">
        <v>45980.416666666664</v>
      </c>
      <c r="C2263" s="10">
        <v>45980</v>
      </c>
      <c r="D2263" s="7">
        <v>665.85</v>
      </c>
      <c r="E2263" s="7">
        <v>8685680</v>
      </c>
      <c r="F2263" s="7">
        <v>8685680</v>
      </c>
      <c r="G2263" s="7">
        <v>8685680</v>
      </c>
      <c r="H2263" s="7">
        <v>665.85</v>
      </c>
      <c r="I2263" s="7">
        <v>660.08</v>
      </c>
      <c r="J2263" s="7">
        <v>14</v>
      </c>
      <c r="K2263" s="7">
        <v>0</v>
      </c>
      <c r="L2263" s="7">
        <v>665.85</v>
      </c>
      <c r="M2263" s="7">
        <v>660.08</v>
      </c>
      <c r="N2263" s="7">
        <v>665.85</v>
      </c>
      <c r="O2263" s="7">
        <v>665.85</v>
      </c>
      <c r="P2263" s="7">
        <v>660.08</v>
      </c>
      <c r="Q2263">
        <v>1</v>
      </c>
      <c r="R2263">
        <v>0</v>
      </c>
      <c r="S2263" s="11">
        <v>45980.666666666664</v>
      </c>
      <c r="T2263">
        <v>111</v>
      </c>
    </row>
    <row r="2264" spans="1:20">
      <c r="A2264" s="11">
        <v>45980.416666666664</v>
      </c>
      <c r="B2264" s="11">
        <v>45980.4375</v>
      </c>
      <c r="C2264" s="10">
        <v>45980</v>
      </c>
      <c r="D2264" s="7">
        <v>666.32</v>
      </c>
      <c r="E2264" s="7">
        <v>7297990</v>
      </c>
      <c r="F2264" s="7">
        <v>7297990</v>
      </c>
      <c r="G2264" s="7">
        <v>15983670</v>
      </c>
      <c r="H2264" s="7">
        <v>665.85</v>
      </c>
      <c r="I2264" s="7">
        <v>660.08</v>
      </c>
      <c r="J2264" s="7">
        <v>14</v>
      </c>
      <c r="K2264" s="7">
        <v>1.0803942E-3</v>
      </c>
      <c r="L2264" s="7">
        <v>666.56938047849997</v>
      </c>
      <c r="M2264" s="7">
        <v>659.36685339610005</v>
      </c>
      <c r="N2264" s="7">
        <v>666.0645974798</v>
      </c>
      <c r="O2264" s="7">
        <v>666.56938047849997</v>
      </c>
      <c r="P2264" s="7">
        <v>659.36685339610005</v>
      </c>
      <c r="Q2264">
        <v>1</v>
      </c>
      <c r="R2264">
        <v>0</v>
      </c>
      <c r="S2264" s="11">
        <v>45980.666666666664</v>
      </c>
      <c r="T2264">
        <v>110</v>
      </c>
    </row>
    <row r="2265" spans="1:20">
      <c r="A2265" s="11">
        <v>45980.4375</v>
      </c>
      <c r="B2265" s="11">
        <v>45980.458333333336</v>
      </c>
      <c r="C2265" s="10">
        <v>45980</v>
      </c>
      <c r="D2265" s="7">
        <v>662.79</v>
      </c>
      <c r="E2265" s="7">
        <v>5123602</v>
      </c>
      <c r="F2265" s="7">
        <v>5123602</v>
      </c>
      <c r="G2265" s="7">
        <v>21107272</v>
      </c>
      <c r="H2265" s="7">
        <v>665.85</v>
      </c>
      <c r="I2265" s="7">
        <v>660.08</v>
      </c>
      <c r="J2265" s="7">
        <v>14</v>
      </c>
      <c r="K2265" s="7">
        <v>2.5177984E-3</v>
      </c>
      <c r="L2265" s="7">
        <v>667.52647608960001</v>
      </c>
      <c r="M2265" s="7">
        <v>658.4180516074</v>
      </c>
      <c r="N2265" s="7">
        <v>665.26971815119998</v>
      </c>
      <c r="O2265" s="7">
        <v>667.52647608960001</v>
      </c>
      <c r="P2265" s="7">
        <v>658.4180516074</v>
      </c>
      <c r="Q2265">
        <v>1</v>
      </c>
      <c r="R2265">
        <v>0</v>
      </c>
      <c r="S2265" s="11">
        <v>45980.666666666664</v>
      </c>
      <c r="T2265">
        <v>109</v>
      </c>
    </row>
    <row r="2266" spans="1:20">
      <c r="A2266" s="11">
        <v>45980.458333333336</v>
      </c>
      <c r="B2266" s="11">
        <v>45980.479166666664</v>
      </c>
      <c r="C2266" s="10">
        <v>45980</v>
      </c>
      <c r="D2266" s="7">
        <v>661.86</v>
      </c>
      <c r="E2266" s="7">
        <v>5885206</v>
      </c>
      <c r="F2266" s="7">
        <v>5885206</v>
      </c>
      <c r="G2266" s="7">
        <v>26992478</v>
      </c>
      <c r="H2266" s="7">
        <v>665.85</v>
      </c>
      <c r="I2266" s="7">
        <v>660.08</v>
      </c>
      <c r="J2266" s="7">
        <v>14</v>
      </c>
      <c r="K2266" s="7">
        <v>3.0350630000000002E-3</v>
      </c>
      <c r="L2266" s="7">
        <v>667.87089669800002</v>
      </c>
      <c r="M2266" s="7">
        <v>658.07661561550003</v>
      </c>
      <c r="N2266" s="7">
        <v>664.52629275239997</v>
      </c>
      <c r="O2266" s="7">
        <v>667.87089669800002</v>
      </c>
      <c r="P2266" s="7">
        <v>658.07661561550003</v>
      </c>
      <c r="Q2266">
        <v>1</v>
      </c>
      <c r="R2266">
        <v>0</v>
      </c>
      <c r="S2266" s="11">
        <v>45980.666666666664</v>
      </c>
      <c r="T2266">
        <v>108</v>
      </c>
    </row>
    <row r="2267" spans="1:20">
      <c r="A2267" s="11">
        <v>45980.479166666664</v>
      </c>
      <c r="B2267" s="11">
        <v>45980.5</v>
      </c>
      <c r="C2267" s="10">
        <v>45980</v>
      </c>
      <c r="D2267" s="7">
        <v>662.47</v>
      </c>
      <c r="E2267" s="7">
        <v>4139582</v>
      </c>
      <c r="F2267" s="7">
        <v>4139582</v>
      </c>
      <c r="G2267" s="7">
        <v>31132060</v>
      </c>
      <c r="H2267" s="7">
        <v>665.85</v>
      </c>
      <c r="I2267" s="7">
        <v>660.08</v>
      </c>
      <c r="J2267" s="7">
        <v>14</v>
      </c>
      <c r="K2267" s="7">
        <v>3.4816856999999998E-3</v>
      </c>
      <c r="L2267" s="7">
        <v>668.1682804541</v>
      </c>
      <c r="M2267" s="7">
        <v>657.78180887270003</v>
      </c>
      <c r="N2267" s="7">
        <v>664.25287067670001</v>
      </c>
      <c r="O2267" s="7">
        <v>668.1682804541</v>
      </c>
      <c r="P2267" s="7">
        <v>657.78180887270003</v>
      </c>
      <c r="Q2267">
        <v>1</v>
      </c>
      <c r="R2267">
        <v>0</v>
      </c>
      <c r="S2267" s="11">
        <v>45980.666666666664</v>
      </c>
      <c r="T2267">
        <v>107</v>
      </c>
    </row>
    <row r="2268" spans="1:20">
      <c r="A2268" s="11">
        <v>45980.5</v>
      </c>
      <c r="B2268" s="11">
        <v>45980.520833333336</v>
      </c>
      <c r="C2268" s="10">
        <v>45980</v>
      </c>
      <c r="D2268" s="7">
        <v>661.16</v>
      </c>
      <c r="E2268" s="7">
        <v>4085293</v>
      </c>
      <c r="F2268" s="7">
        <v>4085293</v>
      </c>
      <c r="G2268" s="7">
        <v>35217353</v>
      </c>
      <c r="H2268" s="7">
        <v>665.85</v>
      </c>
      <c r="I2268" s="7">
        <v>660.08</v>
      </c>
      <c r="J2268" s="7">
        <v>14</v>
      </c>
      <c r="K2268" s="7">
        <v>2.7781450000000001E-3</v>
      </c>
      <c r="L2268" s="7">
        <v>667.69982785390005</v>
      </c>
      <c r="M2268" s="7">
        <v>658.24620204279995</v>
      </c>
      <c r="N2268" s="7">
        <v>663.89409064790004</v>
      </c>
      <c r="O2268" s="7">
        <v>667.69982785390005</v>
      </c>
      <c r="P2268" s="7">
        <v>658.24620204279995</v>
      </c>
      <c r="Q2268">
        <v>1</v>
      </c>
      <c r="R2268">
        <v>0</v>
      </c>
      <c r="S2268" s="11">
        <v>45980.666666666664</v>
      </c>
      <c r="T2268">
        <v>106</v>
      </c>
    </row>
    <row r="2269" spans="1:20">
      <c r="A2269" s="11">
        <v>45980.520833333336</v>
      </c>
      <c r="B2269" s="11">
        <v>45980.541666666664</v>
      </c>
      <c r="C2269" s="10">
        <v>45980</v>
      </c>
      <c r="D2269" s="7">
        <v>661.3</v>
      </c>
      <c r="E2269" s="7">
        <v>5667995</v>
      </c>
      <c r="F2269" s="7">
        <v>5667995</v>
      </c>
      <c r="G2269" s="7">
        <v>40885348</v>
      </c>
      <c r="H2269" s="7">
        <v>665.85</v>
      </c>
      <c r="I2269" s="7">
        <v>660.08</v>
      </c>
      <c r="J2269" s="7">
        <v>14</v>
      </c>
      <c r="K2269" s="7">
        <v>3.9704830000000003E-3</v>
      </c>
      <c r="L2269" s="7">
        <v>668.4937461303</v>
      </c>
      <c r="M2269" s="7">
        <v>657.45916355689997</v>
      </c>
      <c r="N2269" s="7">
        <v>663.5344681048</v>
      </c>
      <c r="O2269" s="7">
        <v>668.4937461303</v>
      </c>
      <c r="P2269" s="7">
        <v>657.45916355689997</v>
      </c>
      <c r="Q2269">
        <v>1</v>
      </c>
      <c r="R2269">
        <v>0</v>
      </c>
      <c r="S2269" s="11">
        <v>45980.666666666664</v>
      </c>
      <c r="T2269">
        <v>105</v>
      </c>
    </row>
    <row r="2270" spans="1:20">
      <c r="A2270" s="11">
        <v>45980.541666666664</v>
      </c>
      <c r="B2270" s="11">
        <v>45980.5625</v>
      </c>
      <c r="C2270" s="10">
        <v>45980</v>
      </c>
      <c r="D2270" s="7">
        <v>660.84</v>
      </c>
      <c r="E2270" s="7">
        <v>4084929</v>
      </c>
      <c r="F2270" s="7">
        <v>4084929</v>
      </c>
      <c r="G2270" s="7">
        <v>44970277</v>
      </c>
      <c r="H2270" s="7">
        <v>665.85</v>
      </c>
      <c r="I2270" s="7">
        <v>660.08</v>
      </c>
      <c r="J2270" s="7">
        <v>14</v>
      </c>
      <c r="K2270" s="7">
        <v>4.1522171000000002E-3</v>
      </c>
      <c r="L2270" s="7">
        <v>668.61475373610006</v>
      </c>
      <c r="M2270" s="7">
        <v>657.33920455639998</v>
      </c>
      <c r="N2270" s="7">
        <v>663.28971286570004</v>
      </c>
      <c r="O2270" s="7">
        <v>668.61475373610006</v>
      </c>
      <c r="P2270" s="7">
        <v>657.33920455639998</v>
      </c>
      <c r="Q2270">
        <v>1</v>
      </c>
      <c r="R2270">
        <v>0</v>
      </c>
      <c r="S2270" s="11">
        <v>45980.666666666664</v>
      </c>
      <c r="T2270">
        <v>104</v>
      </c>
    </row>
    <row r="2271" spans="1:20">
      <c r="A2271" s="11">
        <v>45980.5625</v>
      </c>
      <c r="B2271" s="11">
        <v>45980.583333333336</v>
      </c>
      <c r="C2271" s="10">
        <v>45980</v>
      </c>
      <c r="D2271" s="7">
        <v>662.69</v>
      </c>
      <c r="E2271" s="7">
        <v>4420012</v>
      </c>
      <c r="F2271" s="7">
        <v>4420012</v>
      </c>
      <c r="G2271" s="7">
        <v>49390289</v>
      </c>
      <c r="H2271" s="7">
        <v>665.85</v>
      </c>
      <c r="I2271" s="7">
        <v>660.08</v>
      </c>
      <c r="J2271" s="7">
        <v>14</v>
      </c>
      <c r="K2271" s="7">
        <v>4.1817102E-3</v>
      </c>
      <c r="L2271" s="7">
        <v>668.63439176719999</v>
      </c>
      <c r="M2271" s="7">
        <v>657.31973670089997</v>
      </c>
      <c r="N2271" s="7">
        <v>663.23604365020003</v>
      </c>
      <c r="O2271" s="7">
        <v>668.63439176719999</v>
      </c>
      <c r="P2271" s="7">
        <v>657.31973670089997</v>
      </c>
      <c r="Q2271">
        <v>1</v>
      </c>
      <c r="R2271">
        <v>0</v>
      </c>
      <c r="S2271" s="11">
        <v>45980.666666666664</v>
      </c>
      <c r="T2271">
        <v>103</v>
      </c>
    </row>
    <row r="2272" spans="1:20">
      <c r="A2272" s="11">
        <v>45980.583333333336</v>
      </c>
      <c r="B2272" s="11">
        <v>45980.604166666664</v>
      </c>
      <c r="C2272" s="10">
        <v>45980</v>
      </c>
      <c r="D2272" s="7">
        <v>659.74</v>
      </c>
      <c r="E2272" s="7">
        <v>4305464</v>
      </c>
      <c r="F2272" s="7">
        <v>4305464</v>
      </c>
      <c r="G2272" s="7">
        <v>53695753</v>
      </c>
      <c r="H2272" s="7">
        <v>665.85</v>
      </c>
      <c r="I2272" s="7">
        <v>660.08</v>
      </c>
      <c r="J2272" s="7">
        <v>14</v>
      </c>
      <c r="K2272" s="7">
        <v>4.0400278999999997E-3</v>
      </c>
      <c r="L2272" s="7">
        <v>668.54005256350001</v>
      </c>
      <c r="M2272" s="7">
        <v>657.4132583974</v>
      </c>
      <c r="N2272" s="7">
        <v>662.9557218512</v>
      </c>
      <c r="O2272" s="7">
        <v>668.54005256350001</v>
      </c>
      <c r="P2272" s="7">
        <v>657.4132583974</v>
      </c>
      <c r="Q2272">
        <v>1</v>
      </c>
      <c r="R2272">
        <v>0</v>
      </c>
      <c r="S2272" s="11">
        <v>45980.666666666664</v>
      </c>
      <c r="T2272">
        <v>102</v>
      </c>
    </row>
    <row r="2273" spans="1:20">
      <c r="A2273" s="11">
        <v>45980.604166666664</v>
      </c>
      <c r="B2273" s="11">
        <v>45980.625</v>
      </c>
      <c r="C2273" s="10">
        <v>45980</v>
      </c>
      <c r="D2273" s="7">
        <v>661.12</v>
      </c>
      <c r="E2273" s="7">
        <v>3835230</v>
      </c>
      <c r="F2273" s="7">
        <v>3835230</v>
      </c>
      <c r="G2273" s="7">
        <v>57530983</v>
      </c>
      <c r="H2273" s="7">
        <v>665.85</v>
      </c>
      <c r="I2273" s="7">
        <v>660.08</v>
      </c>
      <c r="J2273" s="7">
        <v>14</v>
      </c>
      <c r="K2273" s="7">
        <v>5.4008429000000002E-3</v>
      </c>
      <c r="L2273" s="7">
        <v>669.44615121829997</v>
      </c>
      <c r="M2273" s="7">
        <v>656.51501164499996</v>
      </c>
      <c r="N2273" s="7">
        <v>662.83334578270001</v>
      </c>
      <c r="O2273" s="7">
        <v>669.44615121829997</v>
      </c>
      <c r="P2273" s="7">
        <v>656.51501164499996</v>
      </c>
      <c r="Q2273">
        <v>1</v>
      </c>
      <c r="R2273">
        <v>0</v>
      </c>
      <c r="S2273" s="11">
        <v>45980.666666666664</v>
      </c>
      <c r="T2273">
        <v>101</v>
      </c>
    </row>
    <row r="2274" spans="1:20">
      <c r="A2274" s="11">
        <v>45980.625</v>
      </c>
      <c r="B2274" s="11">
        <v>45980.645833333336</v>
      </c>
      <c r="C2274" s="10">
        <v>45980</v>
      </c>
      <c r="D2274" s="7">
        <v>663.52</v>
      </c>
      <c r="E2274" s="7">
        <v>4843473</v>
      </c>
      <c r="F2274" s="7">
        <v>4843473</v>
      </c>
      <c r="G2274" s="7">
        <v>62374456</v>
      </c>
      <c r="H2274" s="7">
        <v>665.85</v>
      </c>
      <c r="I2274" s="7">
        <v>660.08</v>
      </c>
      <c r="J2274" s="7">
        <v>14</v>
      </c>
      <c r="K2274" s="7">
        <v>4.5634719999999998E-3</v>
      </c>
      <c r="L2274" s="7">
        <v>668.88858784510001</v>
      </c>
      <c r="M2274" s="7">
        <v>657.06774338850005</v>
      </c>
      <c r="N2274" s="7">
        <v>662.88666554489998</v>
      </c>
      <c r="O2274" s="7">
        <v>668.88858784510001</v>
      </c>
      <c r="P2274" s="7">
        <v>657.06774338850005</v>
      </c>
      <c r="Q2274">
        <v>1</v>
      </c>
      <c r="R2274">
        <v>0</v>
      </c>
      <c r="S2274" s="11">
        <v>45980.666666666664</v>
      </c>
      <c r="T2274">
        <v>100</v>
      </c>
    </row>
    <row r="2275" spans="1:20">
      <c r="A2275" s="11">
        <v>45980.645833333336</v>
      </c>
      <c r="B2275" s="11">
        <v>45980.666666666664</v>
      </c>
      <c r="C2275" s="10">
        <v>45980</v>
      </c>
      <c r="D2275" s="7">
        <v>662.63</v>
      </c>
      <c r="E2275" s="7">
        <v>9497011</v>
      </c>
      <c r="F2275" s="7">
        <v>9497011</v>
      </c>
      <c r="G2275" s="7">
        <v>71871467</v>
      </c>
      <c r="H2275" s="7">
        <v>665.85</v>
      </c>
      <c r="I2275" s="7">
        <v>660.08</v>
      </c>
      <c r="J2275" s="7">
        <v>14</v>
      </c>
      <c r="K2275" s="7">
        <v>4.6403699E-3</v>
      </c>
      <c r="L2275" s="7">
        <v>668.93979030850005</v>
      </c>
      <c r="M2275" s="7">
        <v>657.01698462590002</v>
      </c>
      <c r="N2275" s="7">
        <v>662.85275006209997</v>
      </c>
      <c r="O2275" s="7">
        <v>668.93979030850005</v>
      </c>
      <c r="P2275" s="7">
        <v>657.01698462590002</v>
      </c>
      <c r="Q2275">
        <v>1</v>
      </c>
      <c r="R2275">
        <v>1</v>
      </c>
      <c r="S2275" s="11">
        <v>45980.666666666664</v>
      </c>
      <c r="T2275">
        <v>99</v>
      </c>
    </row>
    <row r="2276" spans="1:20">
      <c r="A2276" s="11">
        <v>45981.395833333336</v>
      </c>
      <c r="B2276" s="11">
        <v>45981.416666666664</v>
      </c>
      <c r="C2276" s="10">
        <v>45981</v>
      </c>
      <c r="D2276" s="7">
        <v>675.10990000000004</v>
      </c>
      <c r="E2276" s="7">
        <v>11128208</v>
      </c>
      <c r="F2276" s="7">
        <v>11128208</v>
      </c>
      <c r="G2276" s="7">
        <v>11128208</v>
      </c>
      <c r="H2276" s="7">
        <v>675.10990000000004</v>
      </c>
      <c r="I2276" s="7">
        <v>662.63</v>
      </c>
      <c r="J2276" s="7">
        <v>14</v>
      </c>
      <c r="K2276" s="7">
        <v>0</v>
      </c>
      <c r="L2276" s="7">
        <v>675.10990000000004</v>
      </c>
      <c r="M2276" s="7">
        <v>662.63</v>
      </c>
      <c r="N2276" s="7">
        <v>675.10990000000004</v>
      </c>
      <c r="O2276" s="7">
        <v>675.10990000000004</v>
      </c>
      <c r="P2276" s="7">
        <v>662.63</v>
      </c>
      <c r="Q2276">
        <v>1</v>
      </c>
      <c r="R2276">
        <v>0</v>
      </c>
      <c r="S2276" s="11">
        <v>45981.666666666664</v>
      </c>
      <c r="T2276">
        <v>97</v>
      </c>
    </row>
    <row r="2277" spans="1:20">
      <c r="A2277" s="11">
        <v>45981.416666666664</v>
      </c>
      <c r="B2277" s="11">
        <v>45981.4375</v>
      </c>
      <c r="C2277" s="10">
        <v>45981</v>
      </c>
      <c r="D2277" s="7">
        <v>674.94</v>
      </c>
      <c r="E2277" s="7">
        <v>6610609</v>
      </c>
      <c r="F2277" s="7">
        <v>6610609</v>
      </c>
      <c r="G2277" s="7">
        <v>17738817</v>
      </c>
      <c r="H2277" s="7">
        <v>675.10990000000004</v>
      </c>
      <c r="I2277" s="7">
        <v>662.63</v>
      </c>
      <c r="J2277" s="7">
        <v>14</v>
      </c>
      <c r="K2277" s="7">
        <v>9.6294209999999998E-4</v>
      </c>
      <c r="L2277" s="7">
        <v>675.75999177749998</v>
      </c>
      <c r="M2277" s="7">
        <v>661.99192564429995</v>
      </c>
      <c r="N2277" s="7">
        <v>675.04658447739996</v>
      </c>
      <c r="O2277" s="7">
        <v>675.75999177749998</v>
      </c>
      <c r="P2277" s="7">
        <v>661.99192564429995</v>
      </c>
      <c r="Q2277">
        <v>1</v>
      </c>
      <c r="R2277">
        <v>0</v>
      </c>
      <c r="S2277" s="11">
        <v>45981.666666666664</v>
      </c>
      <c r="T2277">
        <v>96</v>
      </c>
    </row>
    <row r="2278" spans="1:20">
      <c r="A2278" s="11">
        <v>45981.4375</v>
      </c>
      <c r="B2278" s="11">
        <v>45981.458333333336</v>
      </c>
      <c r="C2278" s="10">
        <v>45981</v>
      </c>
      <c r="D2278" s="7">
        <v>672.67</v>
      </c>
      <c r="E2278" s="7">
        <v>4693231</v>
      </c>
      <c r="F2278" s="7">
        <v>4693231</v>
      </c>
      <c r="G2278" s="7">
        <v>22432048</v>
      </c>
      <c r="H2278" s="7">
        <v>675.10990000000004</v>
      </c>
      <c r="I2278" s="7">
        <v>662.63</v>
      </c>
      <c r="J2278" s="7">
        <v>14</v>
      </c>
      <c r="K2278" s="7">
        <v>2.7876678E-3</v>
      </c>
      <c r="L2278" s="7">
        <v>676.99188212930005</v>
      </c>
      <c r="M2278" s="7">
        <v>660.7828076861</v>
      </c>
      <c r="N2278" s="7">
        <v>674.54935569370002</v>
      </c>
      <c r="O2278" s="7">
        <v>676.99188212930005</v>
      </c>
      <c r="P2278" s="7">
        <v>660.7828076861</v>
      </c>
      <c r="Q2278">
        <v>1</v>
      </c>
      <c r="R2278">
        <v>0</v>
      </c>
      <c r="S2278" s="11">
        <v>45981.666666666664</v>
      </c>
      <c r="T2278">
        <v>95</v>
      </c>
    </row>
    <row r="2279" spans="1:20">
      <c r="A2279" s="11">
        <v>45981.458333333336</v>
      </c>
      <c r="B2279" s="11">
        <v>45981.479166666664</v>
      </c>
      <c r="C2279" s="10">
        <v>45981</v>
      </c>
      <c r="D2279" s="7">
        <v>667.68</v>
      </c>
      <c r="E2279" s="7">
        <v>11121366</v>
      </c>
      <c r="F2279" s="7">
        <v>11121366</v>
      </c>
      <c r="G2279" s="7">
        <v>33553414</v>
      </c>
      <c r="H2279" s="7">
        <v>675.10990000000004</v>
      </c>
      <c r="I2279" s="7">
        <v>662.63</v>
      </c>
      <c r="J2279" s="7">
        <v>14</v>
      </c>
      <c r="K2279" s="7">
        <v>3.4370204E-3</v>
      </c>
      <c r="L2279" s="7">
        <v>677.43026650529998</v>
      </c>
      <c r="M2279" s="7">
        <v>660.35252716570005</v>
      </c>
      <c r="N2279" s="7">
        <v>672.272489952</v>
      </c>
      <c r="O2279" s="7">
        <v>677.43026650529998</v>
      </c>
      <c r="P2279" s="7">
        <v>660.35252716570005</v>
      </c>
      <c r="Q2279">
        <v>1</v>
      </c>
      <c r="R2279">
        <v>0</v>
      </c>
      <c r="S2279" s="11">
        <v>45981.666666666664</v>
      </c>
      <c r="T2279">
        <v>94</v>
      </c>
    </row>
    <row r="2280" spans="1:20">
      <c r="A2280" s="11">
        <v>45981.479166666664</v>
      </c>
      <c r="B2280" s="11">
        <v>45981.5</v>
      </c>
      <c r="C2280" s="10">
        <v>45981</v>
      </c>
      <c r="D2280" s="7">
        <v>659.75</v>
      </c>
      <c r="E2280" s="7">
        <v>15303407</v>
      </c>
      <c r="F2280" s="7">
        <v>15303407</v>
      </c>
      <c r="G2280" s="7">
        <v>48856821</v>
      </c>
      <c r="H2280" s="7">
        <v>675.10990000000004</v>
      </c>
      <c r="I2280" s="7">
        <v>662.63</v>
      </c>
      <c r="J2280" s="7">
        <v>14</v>
      </c>
      <c r="K2280" s="7">
        <v>3.6670177000000001E-3</v>
      </c>
      <c r="L2280" s="7">
        <v>677.58553996850003</v>
      </c>
      <c r="M2280" s="7">
        <v>660.20012404600004</v>
      </c>
      <c r="N2280" s="7">
        <v>668.35007427970004</v>
      </c>
      <c r="O2280" s="7">
        <v>677.58553996850003</v>
      </c>
      <c r="P2280" s="7">
        <v>660.20012404600004</v>
      </c>
      <c r="Q2280">
        <v>1</v>
      </c>
      <c r="R2280">
        <v>0</v>
      </c>
      <c r="S2280" s="11">
        <v>45981.666666666664</v>
      </c>
      <c r="T2280">
        <v>93</v>
      </c>
    </row>
    <row r="2281" spans="1:20">
      <c r="A2281" s="11">
        <v>45981.5</v>
      </c>
      <c r="B2281" s="11">
        <v>45981.520833333336</v>
      </c>
      <c r="C2281" s="10">
        <v>45981</v>
      </c>
      <c r="D2281" s="7">
        <v>658.38</v>
      </c>
      <c r="E2281" s="7">
        <v>15712958</v>
      </c>
      <c r="F2281" s="7">
        <v>15712958</v>
      </c>
      <c r="G2281" s="7">
        <v>64569779</v>
      </c>
      <c r="H2281" s="7">
        <v>675.10990000000004</v>
      </c>
      <c r="I2281" s="7">
        <v>662.63</v>
      </c>
      <c r="J2281" s="7">
        <v>14</v>
      </c>
      <c r="K2281" s="7">
        <v>3.2656211999999999E-3</v>
      </c>
      <c r="L2281" s="7">
        <v>677.31455318459996</v>
      </c>
      <c r="M2281" s="7">
        <v>660.46610144110002</v>
      </c>
      <c r="N2281" s="7">
        <v>665.92387179239995</v>
      </c>
      <c r="O2281" s="7">
        <v>677.31455318459996</v>
      </c>
      <c r="P2281" s="7">
        <v>660.46610144110002</v>
      </c>
      <c r="Q2281">
        <v>1</v>
      </c>
      <c r="R2281">
        <v>0</v>
      </c>
      <c r="S2281" s="11">
        <v>45981.666666666664</v>
      </c>
      <c r="T2281">
        <v>92</v>
      </c>
    </row>
    <row r="2282" spans="1:20">
      <c r="A2282" s="11">
        <v>45981.520833333336</v>
      </c>
      <c r="B2282" s="11">
        <v>45981.541666666664</v>
      </c>
      <c r="C2282" s="10">
        <v>45981</v>
      </c>
      <c r="D2282" s="7">
        <v>657.01059999999995</v>
      </c>
      <c r="E2282" s="7">
        <v>10500736</v>
      </c>
      <c r="F2282" s="7">
        <v>10500736</v>
      </c>
      <c r="G2282" s="7">
        <v>75070515</v>
      </c>
      <c r="H2282" s="7">
        <v>675.10990000000004</v>
      </c>
      <c r="I2282" s="7">
        <v>662.63</v>
      </c>
      <c r="J2282" s="7">
        <v>14</v>
      </c>
      <c r="K2282" s="7">
        <v>4.3918496E-3</v>
      </c>
      <c r="L2282" s="7">
        <v>678.0748811743</v>
      </c>
      <c r="M2282" s="7">
        <v>659.71982867010001</v>
      </c>
      <c r="N2282" s="7">
        <v>664.67709848879997</v>
      </c>
      <c r="O2282" s="7">
        <v>678.0748811743</v>
      </c>
      <c r="P2282" s="7">
        <v>659.71982867010001</v>
      </c>
      <c r="Q2282">
        <v>1</v>
      </c>
      <c r="R2282">
        <v>0</v>
      </c>
      <c r="S2282" s="11">
        <v>45981.666666666664</v>
      </c>
      <c r="T2282">
        <v>91</v>
      </c>
    </row>
    <row r="2283" spans="1:20">
      <c r="A2283" s="11">
        <v>45981.541666666664</v>
      </c>
      <c r="B2283" s="11">
        <v>45981.5625</v>
      </c>
      <c r="C2283" s="10">
        <v>45981</v>
      </c>
      <c r="D2283" s="7">
        <v>659.44</v>
      </c>
      <c r="E2283" s="7">
        <v>9531009</v>
      </c>
      <c r="F2283" s="7">
        <v>9531009</v>
      </c>
      <c r="G2283" s="7">
        <v>84601524</v>
      </c>
      <c r="H2283" s="7">
        <v>675.10990000000004</v>
      </c>
      <c r="I2283" s="7">
        <v>662.63</v>
      </c>
      <c r="J2283" s="7">
        <v>14</v>
      </c>
      <c r="K2283" s="7">
        <v>4.6145884000000003E-3</v>
      </c>
      <c r="L2283" s="7">
        <v>678.22525433129999</v>
      </c>
      <c r="M2283" s="7">
        <v>659.57223527079998</v>
      </c>
      <c r="N2283" s="7">
        <v>664.08709927279995</v>
      </c>
      <c r="O2283" s="7">
        <v>678.22525433129999</v>
      </c>
      <c r="P2283" s="7">
        <v>659.57223527079998</v>
      </c>
      <c r="Q2283">
        <v>1</v>
      </c>
      <c r="R2283">
        <v>0</v>
      </c>
      <c r="S2283" s="11">
        <v>45981.666666666664</v>
      </c>
      <c r="T2283">
        <v>90</v>
      </c>
    </row>
    <row r="2284" spans="1:20">
      <c r="A2284" s="11">
        <v>45981.5625</v>
      </c>
      <c r="B2284" s="11">
        <v>45981.583333333336</v>
      </c>
      <c r="C2284" s="10">
        <v>45981</v>
      </c>
      <c r="D2284" s="7">
        <v>655.08000000000004</v>
      </c>
      <c r="E2284" s="7">
        <v>6457565</v>
      </c>
      <c r="F2284" s="7">
        <v>6457565</v>
      </c>
      <c r="G2284" s="7">
        <v>91059089</v>
      </c>
      <c r="H2284" s="7">
        <v>675.10990000000004</v>
      </c>
      <c r="I2284" s="7">
        <v>662.63</v>
      </c>
      <c r="J2284" s="7">
        <v>14</v>
      </c>
      <c r="K2284" s="7">
        <v>4.4508376000000002E-3</v>
      </c>
      <c r="L2284" s="7">
        <v>678.11470452039998</v>
      </c>
      <c r="M2284" s="7">
        <v>659.68074148760002</v>
      </c>
      <c r="N2284" s="7">
        <v>663.44834997659996</v>
      </c>
      <c r="O2284" s="7">
        <v>678.11470452039998</v>
      </c>
      <c r="P2284" s="7">
        <v>659.68074148760002</v>
      </c>
      <c r="Q2284">
        <v>1</v>
      </c>
      <c r="R2284">
        <v>0</v>
      </c>
      <c r="S2284" s="11">
        <v>45981.666666666664</v>
      </c>
      <c r="T2284">
        <v>89</v>
      </c>
    </row>
    <row r="2285" spans="1:20">
      <c r="A2285" s="11">
        <v>45981.583333333336</v>
      </c>
      <c r="B2285" s="11">
        <v>45981.604166666664</v>
      </c>
      <c r="C2285" s="10">
        <v>45981</v>
      </c>
      <c r="D2285" s="7">
        <v>656.94</v>
      </c>
      <c r="E2285" s="7">
        <v>5844936</v>
      </c>
      <c r="F2285" s="7">
        <v>5844936</v>
      </c>
      <c r="G2285" s="7">
        <v>96904025</v>
      </c>
      <c r="H2285" s="7">
        <v>675.10990000000004</v>
      </c>
      <c r="I2285" s="7">
        <v>662.63</v>
      </c>
      <c r="J2285" s="7">
        <v>14</v>
      </c>
      <c r="K2285" s="7">
        <v>4.4775542E-3</v>
      </c>
      <c r="L2285" s="7">
        <v>678.13274117820004</v>
      </c>
      <c r="M2285" s="7">
        <v>659.66303825060004</v>
      </c>
      <c r="N2285" s="7">
        <v>663.05578744809998</v>
      </c>
      <c r="O2285" s="7">
        <v>678.13274117820004</v>
      </c>
      <c r="P2285" s="7">
        <v>659.66303825060004</v>
      </c>
      <c r="Q2285">
        <v>1</v>
      </c>
      <c r="R2285">
        <v>0</v>
      </c>
      <c r="S2285" s="11">
        <v>45981.666666666664</v>
      </c>
      <c r="T2285">
        <v>88</v>
      </c>
    </row>
    <row r="2286" spans="1:20">
      <c r="A2286" s="11">
        <v>45981.604166666664</v>
      </c>
      <c r="B2286" s="11">
        <v>45981.625</v>
      </c>
      <c r="C2286" s="10">
        <v>45981</v>
      </c>
      <c r="D2286" s="7">
        <v>658.07</v>
      </c>
      <c r="E2286" s="7">
        <v>5835598</v>
      </c>
      <c r="F2286" s="7">
        <v>5835598</v>
      </c>
      <c r="G2286" s="7">
        <v>102739623</v>
      </c>
      <c r="H2286" s="7">
        <v>675.10990000000004</v>
      </c>
      <c r="I2286" s="7">
        <v>662.63</v>
      </c>
      <c r="J2286" s="7">
        <v>14</v>
      </c>
      <c r="K2286" s="7">
        <v>5.6267273999999999E-3</v>
      </c>
      <c r="L2286" s="7">
        <v>678.90855938790003</v>
      </c>
      <c r="M2286" s="7">
        <v>658.90156160770005</v>
      </c>
      <c r="N2286" s="7">
        <v>662.77259533179995</v>
      </c>
      <c r="O2286" s="7">
        <v>678.90855938790003</v>
      </c>
      <c r="P2286" s="7">
        <v>658.90156160770005</v>
      </c>
      <c r="Q2286">
        <v>1</v>
      </c>
      <c r="R2286">
        <v>0</v>
      </c>
      <c r="S2286" s="11">
        <v>45981.666666666664</v>
      </c>
      <c r="T2286">
        <v>87</v>
      </c>
    </row>
    <row r="2287" spans="1:20">
      <c r="A2287" s="11">
        <v>45981.625</v>
      </c>
      <c r="B2287" s="11">
        <v>45981.645833333336</v>
      </c>
      <c r="C2287" s="10">
        <v>45981</v>
      </c>
      <c r="D2287" s="7">
        <v>656.21</v>
      </c>
      <c r="E2287" s="7">
        <v>6617920</v>
      </c>
      <c r="F2287" s="7">
        <v>6617920</v>
      </c>
      <c r="G2287" s="7">
        <v>109357543</v>
      </c>
      <c r="H2287" s="7">
        <v>675.10990000000004</v>
      </c>
      <c r="I2287" s="7">
        <v>662.63</v>
      </c>
      <c r="J2287" s="7">
        <v>14</v>
      </c>
      <c r="K2287" s="7">
        <v>4.4234599999999997E-3</v>
      </c>
      <c r="L2287" s="7">
        <v>678.09622160950005</v>
      </c>
      <c r="M2287" s="7">
        <v>659.69888272840001</v>
      </c>
      <c r="N2287" s="7">
        <v>662.37545097659995</v>
      </c>
      <c r="O2287" s="7">
        <v>678.09622160950005</v>
      </c>
      <c r="P2287" s="7">
        <v>659.69888272840001</v>
      </c>
      <c r="Q2287">
        <v>1</v>
      </c>
      <c r="R2287">
        <v>0</v>
      </c>
      <c r="S2287" s="11">
        <v>45981.666666666664</v>
      </c>
      <c r="T2287">
        <v>86</v>
      </c>
    </row>
    <row r="2288" spans="1:20">
      <c r="A2288" s="11">
        <v>45981.645833333336</v>
      </c>
      <c r="B2288" s="11">
        <v>45981.666666666664</v>
      </c>
      <c r="C2288" s="10">
        <v>45981</v>
      </c>
      <c r="D2288" s="7">
        <v>652.53</v>
      </c>
      <c r="E2288" s="7">
        <v>18537154</v>
      </c>
      <c r="F2288" s="7">
        <v>18537154</v>
      </c>
      <c r="G2288" s="7">
        <v>127894697</v>
      </c>
      <c r="H2288" s="7">
        <v>675.10990000000004</v>
      </c>
      <c r="I2288" s="7">
        <v>662.63</v>
      </c>
      <c r="J2288" s="7">
        <v>14</v>
      </c>
      <c r="K2288" s="7">
        <v>4.4415158000000003E-3</v>
      </c>
      <c r="L2288" s="7">
        <v>678.10841128130005</v>
      </c>
      <c r="M2288" s="7">
        <v>659.68691839170003</v>
      </c>
      <c r="N2288" s="7">
        <v>660.94844387440003</v>
      </c>
      <c r="O2288" s="7">
        <v>678.10841128130005</v>
      </c>
      <c r="P2288" s="7">
        <v>659.68691839170003</v>
      </c>
      <c r="Q2288">
        <v>1</v>
      </c>
      <c r="R2288">
        <v>1</v>
      </c>
      <c r="S2288" s="11">
        <v>45981.666666666664</v>
      </c>
      <c r="T2288">
        <v>85</v>
      </c>
    </row>
    <row r="2289" spans="1:20">
      <c r="A2289" s="11">
        <v>45982.395833333336</v>
      </c>
      <c r="B2289" s="11">
        <v>45982.416666666664</v>
      </c>
      <c r="C2289" s="10">
        <v>45982</v>
      </c>
      <c r="D2289" s="7">
        <v>654.83000000000004</v>
      </c>
      <c r="E2289" s="7">
        <v>11043132</v>
      </c>
      <c r="F2289" s="7">
        <v>11043132</v>
      </c>
      <c r="G2289" s="7">
        <v>11043132</v>
      </c>
      <c r="H2289" s="7">
        <v>654.83000000000004</v>
      </c>
      <c r="I2289" s="7">
        <v>652.53</v>
      </c>
      <c r="J2289" s="7">
        <v>14</v>
      </c>
      <c r="K2289" s="7">
        <v>0</v>
      </c>
      <c r="L2289" s="7">
        <v>654.83000000000004</v>
      </c>
      <c r="M2289" s="7">
        <v>652.53</v>
      </c>
      <c r="N2289" s="7">
        <v>654.83000000000004</v>
      </c>
      <c r="O2289" s="7">
        <v>654.83000000000004</v>
      </c>
      <c r="P2289" s="7">
        <v>652.53</v>
      </c>
      <c r="Q2289">
        <v>1</v>
      </c>
      <c r="R2289">
        <v>0</v>
      </c>
      <c r="S2289" s="11">
        <v>45982.666666666664</v>
      </c>
      <c r="T2289">
        <v>83</v>
      </c>
    </row>
    <row r="2290" spans="1:20">
      <c r="A2290" s="11">
        <v>45982.416666666664</v>
      </c>
      <c r="B2290" s="11">
        <v>45982.4375</v>
      </c>
      <c r="C2290" s="10">
        <v>45982</v>
      </c>
      <c r="D2290" s="7">
        <v>652.96</v>
      </c>
      <c r="E2290" s="7">
        <v>8540855</v>
      </c>
      <c r="F2290" s="7">
        <v>8540855</v>
      </c>
      <c r="G2290" s="7">
        <v>19583987</v>
      </c>
      <c r="H2290" s="7">
        <v>654.83000000000004</v>
      </c>
      <c r="I2290" s="7">
        <v>652.53</v>
      </c>
      <c r="J2290" s="7">
        <v>14</v>
      </c>
      <c r="K2290" s="7">
        <v>9.4852409999999999E-4</v>
      </c>
      <c r="L2290" s="7">
        <v>655.45112206759995</v>
      </c>
      <c r="M2290" s="7">
        <v>651.91105953800002</v>
      </c>
      <c r="N2290" s="7">
        <v>654.01446642910003</v>
      </c>
      <c r="O2290" s="7">
        <v>655.45112206759995</v>
      </c>
      <c r="P2290" s="7">
        <v>651.91105953800002</v>
      </c>
      <c r="Q2290">
        <v>1</v>
      </c>
      <c r="R2290">
        <v>0</v>
      </c>
      <c r="S2290" s="11">
        <v>45982.666666666664</v>
      </c>
      <c r="T2290">
        <v>82</v>
      </c>
    </row>
    <row r="2291" spans="1:20">
      <c r="A2291" s="11">
        <v>45982.4375</v>
      </c>
      <c r="B2291" s="11">
        <v>45982.458333333336</v>
      </c>
      <c r="C2291" s="10">
        <v>45982</v>
      </c>
      <c r="D2291" s="7">
        <v>653.01</v>
      </c>
      <c r="E2291" s="7">
        <v>7367896</v>
      </c>
      <c r="F2291" s="7">
        <v>7367896</v>
      </c>
      <c r="G2291" s="7">
        <v>26951883</v>
      </c>
      <c r="H2291" s="7">
        <v>654.83000000000004</v>
      </c>
      <c r="I2291" s="7">
        <v>652.53</v>
      </c>
      <c r="J2291" s="7">
        <v>14</v>
      </c>
      <c r="K2291" s="7">
        <v>2.9486345000000001E-3</v>
      </c>
      <c r="L2291" s="7">
        <v>656.76085433970002</v>
      </c>
      <c r="M2291" s="7">
        <v>650.6059275197</v>
      </c>
      <c r="N2291" s="7">
        <v>653.73987321480001</v>
      </c>
      <c r="O2291" s="7">
        <v>656.76085433970002</v>
      </c>
      <c r="P2291" s="7">
        <v>650.6059275197</v>
      </c>
      <c r="Q2291">
        <v>1</v>
      </c>
      <c r="R2291">
        <v>0</v>
      </c>
      <c r="S2291" s="11">
        <v>45982.666666666664</v>
      </c>
      <c r="T2291">
        <v>81</v>
      </c>
    </row>
    <row r="2292" spans="1:20">
      <c r="A2292" s="11">
        <v>45982.458333333336</v>
      </c>
      <c r="B2292" s="11">
        <v>45982.479166666664</v>
      </c>
      <c r="C2292" s="10">
        <v>45982</v>
      </c>
      <c r="D2292" s="7">
        <v>655.875</v>
      </c>
      <c r="E2292" s="7">
        <v>4818814</v>
      </c>
      <c r="F2292" s="7">
        <v>4818814</v>
      </c>
      <c r="G2292" s="7">
        <v>31770697</v>
      </c>
      <c r="H2292" s="7">
        <v>654.83000000000004</v>
      </c>
      <c r="I2292" s="7">
        <v>652.53</v>
      </c>
      <c r="J2292" s="7">
        <v>14</v>
      </c>
      <c r="K2292" s="7">
        <v>4.2011914000000001E-3</v>
      </c>
      <c r="L2292" s="7">
        <v>657.58106617290002</v>
      </c>
      <c r="M2292" s="7">
        <v>649.78859656739996</v>
      </c>
      <c r="N2292" s="7">
        <v>654.06371813529995</v>
      </c>
      <c r="O2292" s="7">
        <v>657.58106617290002</v>
      </c>
      <c r="P2292" s="7">
        <v>649.78859656739996</v>
      </c>
      <c r="Q2292">
        <v>1</v>
      </c>
      <c r="R2292">
        <v>0</v>
      </c>
      <c r="S2292" s="11">
        <v>45982.666666666664</v>
      </c>
      <c r="T2292">
        <v>80</v>
      </c>
    </row>
    <row r="2293" spans="1:20">
      <c r="A2293" s="11">
        <v>45982.479166666664</v>
      </c>
      <c r="B2293" s="11">
        <v>45982.5</v>
      </c>
      <c r="C2293" s="10">
        <v>45982</v>
      </c>
      <c r="D2293" s="7">
        <v>660.82</v>
      </c>
      <c r="E2293" s="7">
        <v>6699364</v>
      </c>
      <c r="F2293" s="7">
        <v>6699364</v>
      </c>
      <c r="G2293" s="7">
        <v>38470061</v>
      </c>
      <c r="H2293" s="7">
        <v>654.83000000000004</v>
      </c>
      <c r="I2293" s="7">
        <v>652.53</v>
      </c>
      <c r="J2293" s="7">
        <v>14</v>
      </c>
      <c r="K2293" s="7">
        <v>5.1364395999999998E-3</v>
      </c>
      <c r="L2293" s="7">
        <v>658.19349475119998</v>
      </c>
      <c r="M2293" s="7">
        <v>649.17831905989999</v>
      </c>
      <c r="N2293" s="7">
        <v>655.2402900024</v>
      </c>
      <c r="O2293" s="7">
        <v>658.19349475119998</v>
      </c>
      <c r="P2293" s="7">
        <v>649.17831905989999</v>
      </c>
      <c r="Q2293">
        <v>1</v>
      </c>
      <c r="R2293">
        <v>0</v>
      </c>
      <c r="S2293" s="11">
        <v>45982.666666666664</v>
      </c>
      <c r="T2293">
        <v>79</v>
      </c>
    </row>
    <row r="2294" spans="1:20">
      <c r="A2294" s="11">
        <v>45982.5</v>
      </c>
      <c r="B2294" s="11">
        <v>45982.520833333336</v>
      </c>
      <c r="C2294" s="10">
        <v>45982</v>
      </c>
      <c r="D2294" s="7">
        <v>660.52</v>
      </c>
      <c r="E2294" s="7">
        <v>6067053</v>
      </c>
      <c r="F2294" s="7">
        <v>6067053</v>
      </c>
      <c r="G2294" s="7">
        <v>44537114</v>
      </c>
      <c r="H2294" s="7">
        <v>654.83000000000004</v>
      </c>
      <c r="I2294" s="7">
        <v>652.53</v>
      </c>
      <c r="J2294" s="7">
        <v>14</v>
      </c>
      <c r="K2294" s="7">
        <v>4.8496889999999999E-3</v>
      </c>
      <c r="L2294" s="7">
        <v>658.00572186629995</v>
      </c>
      <c r="M2294" s="7">
        <v>649.36543241849995</v>
      </c>
      <c r="N2294" s="7">
        <v>655.95951667659995</v>
      </c>
      <c r="O2294" s="7">
        <v>658.00572186629995</v>
      </c>
      <c r="P2294" s="7">
        <v>649.36543241849995</v>
      </c>
      <c r="Q2294">
        <v>1</v>
      </c>
      <c r="R2294">
        <v>0</v>
      </c>
      <c r="S2294" s="11">
        <v>45982.666666666664</v>
      </c>
      <c r="T2294">
        <v>78</v>
      </c>
    </row>
    <row r="2295" spans="1:20">
      <c r="A2295" s="11">
        <v>45982.520833333336</v>
      </c>
      <c r="B2295" s="11">
        <v>45982.541666666664</v>
      </c>
      <c r="C2295" s="10">
        <v>45982</v>
      </c>
      <c r="D2295" s="7">
        <v>660.23</v>
      </c>
      <c r="E2295" s="7">
        <v>3669363</v>
      </c>
      <c r="F2295" s="7">
        <v>3669363</v>
      </c>
      <c r="G2295" s="7">
        <v>48206477</v>
      </c>
      <c r="H2295" s="7">
        <v>654.83000000000004</v>
      </c>
      <c r="I2295" s="7">
        <v>652.53</v>
      </c>
      <c r="J2295" s="7">
        <v>14</v>
      </c>
      <c r="K2295" s="7">
        <v>5.9739863999999998E-3</v>
      </c>
      <c r="L2295" s="7">
        <v>658.74194551539995</v>
      </c>
      <c r="M2295" s="7">
        <v>648.63179465339999</v>
      </c>
      <c r="N2295" s="7">
        <v>656.28457576560004</v>
      </c>
      <c r="O2295" s="7">
        <v>658.74194551539995</v>
      </c>
      <c r="P2295" s="7">
        <v>648.63179465339999</v>
      </c>
      <c r="Q2295">
        <v>1</v>
      </c>
      <c r="R2295">
        <v>0</v>
      </c>
      <c r="S2295" s="11">
        <v>45982.666666666664</v>
      </c>
      <c r="T2295">
        <v>77</v>
      </c>
    </row>
    <row r="2296" spans="1:20">
      <c r="A2296" s="11">
        <v>45982.541666666664</v>
      </c>
      <c r="B2296" s="11">
        <v>45982.5625</v>
      </c>
      <c r="C2296" s="10">
        <v>45982</v>
      </c>
      <c r="D2296" s="7">
        <v>658.13</v>
      </c>
      <c r="E2296" s="7">
        <v>4654852</v>
      </c>
      <c r="F2296" s="7">
        <v>4654852</v>
      </c>
      <c r="G2296" s="7">
        <v>52861329</v>
      </c>
      <c r="H2296" s="7">
        <v>654.83000000000004</v>
      </c>
      <c r="I2296" s="7">
        <v>652.53</v>
      </c>
      <c r="J2296" s="7">
        <v>14</v>
      </c>
      <c r="K2296" s="7">
        <v>5.8796022000000003E-3</v>
      </c>
      <c r="L2296" s="7">
        <v>658.68013990220004</v>
      </c>
      <c r="M2296" s="7">
        <v>648.69338318289999</v>
      </c>
      <c r="N2296" s="7">
        <v>656.44707975200004</v>
      </c>
      <c r="O2296" s="7">
        <v>658.68013990220004</v>
      </c>
      <c r="P2296" s="7">
        <v>648.69338318289999</v>
      </c>
      <c r="Q2296">
        <v>1</v>
      </c>
      <c r="R2296">
        <v>0</v>
      </c>
      <c r="S2296" s="11">
        <v>45982.666666666664</v>
      </c>
      <c r="T2296">
        <v>76</v>
      </c>
    </row>
    <row r="2297" spans="1:20">
      <c r="A2297" s="11">
        <v>45982.5625</v>
      </c>
      <c r="B2297" s="11">
        <v>45982.583333333336</v>
      </c>
      <c r="C2297" s="10">
        <v>45982</v>
      </c>
      <c r="D2297" s="7">
        <v>662.29</v>
      </c>
      <c r="E2297" s="7">
        <v>6028615</v>
      </c>
      <c r="F2297" s="7">
        <v>6028615</v>
      </c>
      <c r="G2297" s="7">
        <v>58889944</v>
      </c>
      <c r="H2297" s="7">
        <v>654.83000000000004</v>
      </c>
      <c r="I2297" s="7">
        <v>652.53</v>
      </c>
      <c r="J2297" s="7">
        <v>14</v>
      </c>
      <c r="K2297" s="7">
        <v>6.2878450000000002E-3</v>
      </c>
      <c r="L2297" s="7">
        <v>658.94746956339998</v>
      </c>
      <c r="M2297" s="7">
        <v>648.42699248020006</v>
      </c>
      <c r="N2297" s="7">
        <v>657.0452246008</v>
      </c>
      <c r="O2297" s="7">
        <v>658.94746956339998</v>
      </c>
      <c r="P2297" s="7">
        <v>648.42699248020006</v>
      </c>
      <c r="Q2297">
        <v>1</v>
      </c>
      <c r="R2297">
        <v>0</v>
      </c>
      <c r="S2297" s="11">
        <v>45982.666666666664</v>
      </c>
      <c r="T2297">
        <v>75</v>
      </c>
    </row>
    <row r="2298" spans="1:20">
      <c r="A2298" s="11">
        <v>45982.583333333336</v>
      </c>
      <c r="B2298" s="11">
        <v>45982.604166666664</v>
      </c>
      <c r="C2298" s="10">
        <v>45982</v>
      </c>
      <c r="D2298" s="7">
        <v>664.23</v>
      </c>
      <c r="E2298" s="7">
        <v>4637597</v>
      </c>
      <c r="F2298" s="7">
        <v>4637597</v>
      </c>
      <c r="G2298" s="7">
        <v>63527541</v>
      </c>
      <c r="H2298" s="7">
        <v>654.83000000000004</v>
      </c>
      <c r="I2298" s="7">
        <v>652.53</v>
      </c>
      <c r="J2298" s="7">
        <v>14</v>
      </c>
      <c r="K2298" s="7">
        <v>6.2691524000000002E-3</v>
      </c>
      <c r="L2298" s="7">
        <v>658.9352290388</v>
      </c>
      <c r="M2298" s="7">
        <v>648.43919001170002</v>
      </c>
      <c r="N2298" s="7">
        <v>657.56972298860001</v>
      </c>
      <c r="O2298" s="7">
        <v>658.9352290388</v>
      </c>
      <c r="P2298" s="7">
        <v>648.43919001170002</v>
      </c>
      <c r="Q2298">
        <v>1</v>
      </c>
      <c r="R2298">
        <v>0</v>
      </c>
      <c r="S2298" s="11">
        <v>45982.666666666664</v>
      </c>
      <c r="T2298">
        <v>74</v>
      </c>
    </row>
    <row r="2299" spans="1:20">
      <c r="A2299" s="11">
        <v>45982.604166666664</v>
      </c>
      <c r="B2299" s="11">
        <v>45982.625</v>
      </c>
      <c r="C2299" s="10">
        <v>45982</v>
      </c>
      <c r="D2299" s="7">
        <v>661.67</v>
      </c>
      <c r="E2299" s="7">
        <v>4758770</v>
      </c>
      <c r="F2299" s="7">
        <v>4758770</v>
      </c>
      <c r="G2299" s="7">
        <v>68286311</v>
      </c>
      <c r="H2299" s="7">
        <v>654.83000000000004</v>
      </c>
      <c r="I2299" s="7">
        <v>652.53</v>
      </c>
      <c r="J2299" s="7">
        <v>14</v>
      </c>
      <c r="K2299" s="7">
        <v>7.3292812999999997E-3</v>
      </c>
      <c r="L2299" s="7">
        <v>659.62943326439995</v>
      </c>
      <c r="M2299" s="7">
        <v>647.74742408259999</v>
      </c>
      <c r="N2299" s="7">
        <v>657.85546510810002</v>
      </c>
      <c r="O2299" s="7">
        <v>659.62943326439995</v>
      </c>
      <c r="P2299" s="7">
        <v>647.74742408259999</v>
      </c>
      <c r="Q2299">
        <v>1</v>
      </c>
      <c r="R2299">
        <v>0</v>
      </c>
      <c r="S2299" s="11">
        <v>45982.666666666664</v>
      </c>
      <c r="T2299">
        <v>73</v>
      </c>
    </row>
    <row r="2300" spans="1:20">
      <c r="A2300" s="11">
        <v>45982.625</v>
      </c>
      <c r="B2300" s="11">
        <v>45982.645833333336</v>
      </c>
      <c r="C2300" s="10">
        <v>45982</v>
      </c>
      <c r="D2300" s="7">
        <v>659.44</v>
      </c>
      <c r="E2300" s="7">
        <v>4792389</v>
      </c>
      <c r="F2300" s="7">
        <v>4792389</v>
      </c>
      <c r="G2300" s="7">
        <v>73078700</v>
      </c>
      <c r="H2300" s="7">
        <v>654.83000000000004</v>
      </c>
      <c r="I2300" s="7">
        <v>652.53</v>
      </c>
      <c r="J2300" s="7">
        <v>14</v>
      </c>
      <c r="K2300" s="7">
        <v>6.3677407E-3</v>
      </c>
      <c r="L2300" s="7">
        <v>658.99978761909995</v>
      </c>
      <c r="M2300" s="7">
        <v>648.37485818439995</v>
      </c>
      <c r="N2300" s="7">
        <v>657.95937647469998</v>
      </c>
      <c r="O2300" s="7">
        <v>658.99978761909995</v>
      </c>
      <c r="P2300" s="7">
        <v>648.37485818439995</v>
      </c>
      <c r="Q2300">
        <v>1</v>
      </c>
      <c r="R2300">
        <v>0</v>
      </c>
      <c r="S2300" s="11">
        <v>45982.666666666664</v>
      </c>
      <c r="T2300">
        <v>72</v>
      </c>
    </row>
    <row r="2301" spans="1:20">
      <c r="A2301" s="11">
        <v>45982.645833333336</v>
      </c>
      <c r="B2301" s="11">
        <v>45982.666666666664</v>
      </c>
      <c r="C2301" s="10">
        <v>45982</v>
      </c>
      <c r="D2301" s="7">
        <v>659.03</v>
      </c>
      <c r="E2301" s="7">
        <v>14373103</v>
      </c>
      <c r="F2301" s="7">
        <v>14373103</v>
      </c>
      <c r="G2301" s="7">
        <v>87451803</v>
      </c>
      <c r="H2301" s="7">
        <v>654.83000000000004</v>
      </c>
      <c r="I2301" s="7">
        <v>652.53</v>
      </c>
      <c r="J2301" s="7">
        <v>14</v>
      </c>
      <c r="K2301" s="7">
        <v>6.6748344999999999E-3</v>
      </c>
      <c r="L2301" s="7">
        <v>659.20088185580005</v>
      </c>
      <c r="M2301" s="7">
        <v>648.17447026349998</v>
      </c>
      <c r="N2301" s="7">
        <v>658.13040770099997</v>
      </c>
      <c r="O2301" s="7">
        <v>659.20088185580005</v>
      </c>
      <c r="P2301" s="7">
        <v>648.17447026349998</v>
      </c>
      <c r="Q2301">
        <v>1</v>
      </c>
      <c r="R2301">
        <v>1</v>
      </c>
      <c r="S2301" s="11">
        <v>45982.666666666664</v>
      </c>
      <c r="T2301">
        <v>71</v>
      </c>
    </row>
    <row r="2302" spans="1:20">
      <c r="A2302" s="11">
        <v>45985.395833333336</v>
      </c>
      <c r="B2302" s="11">
        <v>45985.416666666664</v>
      </c>
      <c r="C2302" s="10">
        <v>45985</v>
      </c>
      <c r="D2302" s="7">
        <v>664.22</v>
      </c>
      <c r="E2302" s="7">
        <v>8193853</v>
      </c>
      <c r="F2302" s="7">
        <v>8193853</v>
      </c>
      <c r="G2302" s="7">
        <v>8193853</v>
      </c>
      <c r="H2302" s="7">
        <v>664.22</v>
      </c>
      <c r="I2302" s="7">
        <v>659.03</v>
      </c>
      <c r="J2302" s="7">
        <v>14</v>
      </c>
      <c r="K2302" s="7">
        <v>0</v>
      </c>
      <c r="L2302" s="7">
        <v>664.22</v>
      </c>
      <c r="M2302" s="7">
        <v>659.03</v>
      </c>
      <c r="N2302" s="7">
        <v>664.22</v>
      </c>
      <c r="O2302" s="7">
        <v>664.22</v>
      </c>
      <c r="P2302" s="7">
        <v>659.03</v>
      </c>
      <c r="Q2302">
        <v>1</v>
      </c>
      <c r="R2302">
        <v>0</v>
      </c>
      <c r="S2302" s="11">
        <v>45985.666666666664</v>
      </c>
      <c r="T2302">
        <v>69</v>
      </c>
    </row>
    <row r="2303" spans="1:20">
      <c r="A2303" s="11">
        <v>45985.416666666664</v>
      </c>
      <c r="B2303" s="11">
        <v>45985.4375</v>
      </c>
      <c r="C2303" s="10">
        <v>45985</v>
      </c>
      <c r="D2303" s="7">
        <v>665.43499999999995</v>
      </c>
      <c r="E2303" s="7">
        <v>5717053</v>
      </c>
      <c r="F2303" s="7">
        <v>5717053</v>
      </c>
      <c r="G2303" s="7">
        <v>13910906</v>
      </c>
      <c r="H2303" s="7">
        <v>664.22</v>
      </c>
      <c r="I2303" s="7">
        <v>659.03</v>
      </c>
      <c r="J2303" s="7">
        <v>14</v>
      </c>
      <c r="K2303" s="7">
        <v>9.2957909999999996E-4</v>
      </c>
      <c r="L2303" s="7">
        <v>664.83744500549994</v>
      </c>
      <c r="M2303" s="7">
        <v>658.41737950979996</v>
      </c>
      <c r="N2303" s="7">
        <v>664.71933623270002</v>
      </c>
      <c r="O2303" s="7">
        <v>664.83744500549994</v>
      </c>
      <c r="P2303" s="7">
        <v>658.41737950979996</v>
      </c>
      <c r="Q2303">
        <v>1</v>
      </c>
      <c r="R2303">
        <v>0</v>
      </c>
      <c r="S2303" s="11">
        <v>45985.666666666664</v>
      </c>
      <c r="T2303">
        <v>68</v>
      </c>
    </row>
    <row r="2304" spans="1:20">
      <c r="A2304" s="11">
        <v>45985.4375</v>
      </c>
      <c r="B2304" s="11">
        <v>45985.458333333336</v>
      </c>
      <c r="C2304" s="10">
        <v>45985</v>
      </c>
      <c r="D2304" s="7">
        <v>666.6771</v>
      </c>
      <c r="E2304" s="7">
        <v>3995140</v>
      </c>
      <c r="F2304" s="7">
        <v>3995140</v>
      </c>
      <c r="G2304" s="7">
        <v>17906046</v>
      </c>
      <c r="H2304" s="7">
        <v>664.22</v>
      </c>
      <c r="I2304" s="7">
        <v>659.03</v>
      </c>
      <c r="J2304" s="7">
        <v>14</v>
      </c>
      <c r="K2304" s="7">
        <v>3.1366939000000002E-3</v>
      </c>
      <c r="L2304" s="7">
        <v>666.30345482580003</v>
      </c>
      <c r="M2304" s="7">
        <v>656.96282461559997</v>
      </c>
      <c r="N2304" s="7">
        <v>665.15614625410001</v>
      </c>
      <c r="O2304" s="7">
        <v>666.30345482580003</v>
      </c>
      <c r="P2304" s="7">
        <v>656.96282461559997</v>
      </c>
      <c r="Q2304">
        <v>1</v>
      </c>
      <c r="R2304">
        <v>0</v>
      </c>
      <c r="S2304" s="11">
        <v>45985.666666666664</v>
      </c>
      <c r="T2304">
        <v>67</v>
      </c>
    </row>
    <row r="2305" spans="1:20">
      <c r="A2305" s="11">
        <v>45985.458333333336</v>
      </c>
      <c r="B2305" s="11">
        <v>45985.479166666664</v>
      </c>
      <c r="C2305" s="10">
        <v>45985</v>
      </c>
      <c r="D2305" s="7">
        <v>667.91</v>
      </c>
      <c r="E2305" s="7">
        <v>3698517</v>
      </c>
      <c r="F2305" s="7">
        <v>3698517</v>
      </c>
      <c r="G2305" s="7">
        <v>21604563</v>
      </c>
      <c r="H2305" s="7">
        <v>664.22</v>
      </c>
      <c r="I2305" s="7">
        <v>659.03</v>
      </c>
      <c r="J2305" s="7">
        <v>14</v>
      </c>
      <c r="K2305" s="7">
        <v>4.2659921000000002E-3</v>
      </c>
      <c r="L2305" s="7">
        <v>667.05355726810001</v>
      </c>
      <c r="M2305" s="7">
        <v>656.21858323089998</v>
      </c>
      <c r="N2305" s="7">
        <v>665.62758253799996</v>
      </c>
      <c r="O2305" s="7">
        <v>667.05355726810001</v>
      </c>
      <c r="P2305" s="7">
        <v>656.21858323089998</v>
      </c>
      <c r="Q2305">
        <v>1</v>
      </c>
      <c r="R2305">
        <v>0</v>
      </c>
      <c r="S2305" s="11">
        <v>45985.666666666664</v>
      </c>
      <c r="T2305">
        <v>66</v>
      </c>
    </row>
    <row r="2306" spans="1:20">
      <c r="A2306" s="11">
        <v>45985.479166666664</v>
      </c>
      <c r="B2306" s="11">
        <v>45985.5</v>
      </c>
      <c r="C2306" s="10">
        <v>45985</v>
      </c>
      <c r="D2306" s="7">
        <v>667.48</v>
      </c>
      <c r="E2306" s="7">
        <v>2464983</v>
      </c>
      <c r="F2306" s="7">
        <v>2464983</v>
      </c>
      <c r="G2306" s="7">
        <v>24069546</v>
      </c>
      <c r="H2306" s="7">
        <v>664.22</v>
      </c>
      <c r="I2306" s="7">
        <v>659.03</v>
      </c>
      <c r="J2306" s="7">
        <v>14</v>
      </c>
      <c r="K2306" s="7">
        <v>5.6945909000000001E-3</v>
      </c>
      <c r="L2306" s="7">
        <v>668.00246116820006</v>
      </c>
      <c r="M2306" s="7">
        <v>655.27709375860002</v>
      </c>
      <c r="N2306" s="7">
        <v>665.81729021060005</v>
      </c>
      <c r="O2306" s="7">
        <v>668.00246116820006</v>
      </c>
      <c r="P2306" s="7">
        <v>655.27709375860002</v>
      </c>
      <c r="Q2306">
        <v>1</v>
      </c>
      <c r="R2306">
        <v>0</v>
      </c>
      <c r="S2306" s="11">
        <v>45985.666666666664</v>
      </c>
      <c r="T2306">
        <v>65</v>
      </c>
    </row>
    <row r="2307" spans="1:20">
      <c r="A2307" s="11">
        <v>45985.5</v>
      </c>
      <c r="B2307" s="11">
        <v>45985.520833333336</v>
      </c>
      <c r="C2307" s="10">
        <v>45985</v>
      </c>
      <c r="D2307" s="7">
        <v>668.21</v>
      </c>
      <c r="E2307" s="7">
        <v>2205127</v>
      </c>
      <c r="F2307" s="7">
        <v>2205127</v>
      </c>
      <c r="G2307" s="7">
        <v>26274673</v>
      </c>
      <c r="H2307" s="7">
        <v>664.22</v>
      </c>
      <c r="I2307" s="7">
        <v>659.03</v>
      </c>
      <c r="J2307" s="7">
        <v>14</v>
      </c>
      <c r="K2307" s="7">
        <v>5.4457580000000002E-3</v>
      </c>
      <c r="L2307" s="7">
        <v>667.83718139170003</v>
      </c>
      <c r="M2307" s="7">
        <v>655.44108209240005</v>
      </c>
      <c r="N2307" s="7">
        <v>666.01810066250005</v>
      </c>
      <c r="O2307" s="7">
        <v>667.83718139170003</v>
      </c>
      <c r="P2307" s="7">
        <v>655.44108209240005</v>
      </c>
      <c r="Q2307">
        <v>1</v>
      </c>
      <c r="R2307">
        <v>0</v>
      </c>
      <c r="S2307" s="11">
        <v>45985.666666666664</v>
      </c>
      <c r="T2307">
        <v>64</v>
      </c>
    </row>
    <row r="2308" spans="1:20">
      <c r="A2308" s="11">
        <v>45985.520833333336</v>
      </c>
      <c r="B2308" s="11">
        <v>45985.541666666664</v>
      </c>
      <c r="C2308" s="10">
        <v>45985</v>
      </c>
      <c r="D2308" s="7">
        <v>669.1</v>
      </c>
      <c r="E2308" s="7">
        <v>2522911</v>
      </c>
      <c r="F2308" s="7">
        <v>2522911</v>
      </c>
      <c r="G2308" s="7">
        <v>28797584</v>
      </c>
      <c r="H2308" s="7">
        <v>664.22</v>
      </c>
      <c r="I2308" s="7">
        <v>659.03</v>
      </c>
      <c r="J2308" s="7">
        <v>14</v>
      </c>
      <c r="K2308" s="7">
        <v>6.4233027000000003E-3</v>
      </c>
      <c r="L2308" s="7">
        <v>668.48648613290004</v>
      </c>
      <c r="M2308" s="7">
        <v>654.79685080820002</v>
      </c>
      <c r="N2308" s="7">
        <v>666.28810101179999</v>
      </c>
      <c r="O2308" s="7">
        <v>668.48648613290004</v>
      </c>
      <c r="P2308" s="7">
        <v>654.79685080820002</v>
      </c>
      <c r="Q2308">
        <v>1</v>
      </c>
      <c r="R2308">
        <v>0</v>
      </c>
      <c r="S2308" s="11">
        <v>45985.666666666664</v>
      </c>
      <c r="T2308">
        <v>63</v>
      </c>
    </row>
    <row r="2309" spans="1:20">
      <c r="A2309" s="11">
        <v>45985.541666666664</v>
      </c>
      <c r="B2309" s="11">
        <v>45985.5625</v>
      </c>
      <c r="C2309" s="10">
        <v>45985</v>
      </c>
      <c r="D2309" s="7">
        <v>669.15</v>
      </c>
      <c r="E2309" s="7">
        <v>2196681</v>
      </c>
      <c r="F2309" s="7">
        <v>2196681</v>
      </c>
      <c r="G2309" s="7">
        <v>30994265</v>
      </c>
      <c r="H2309" s="7">
        <v>664.22</v>
      </c>
      <c r="I2309" s="7">
        <v>659.03</v>
      </c>
      <c r="J2309" s="7">
        <v>14</v>
      </c>
      <c r="K2309" s="7">
        <v>6.1223520999999998E-3</v>
      </c>
      <c r="L2309" s="7">
        <v>668.286588693</v>
      </c>
      <c r="M2309" s="7">
        <v>654.99518631420005</v>
      </c>
      <c r="N2309" s="7">
        <v>666.49093463710005</v>
      </c>
      <c r="O2309" s="7">
        <v>668.286588693</v>
      </c>
      <c r="P2309" s="7">
        <v>654.99518631420005</v>
      </c>
      <c r="Q2309">
        <v>1</v>
      </c>
      <c r="R2309">
        <v>0</v>
      </c>
      <c r="S2309" s="11">
        <v>45985.666666666664</v>
      </c>
      <c r="T2309">
        <v>62</v>
      </c>
    </row>
    <row r="2310" spans="1:20">
      <c r="A2310" s="11">
        <v>45985.5625</v>
      </c>
      <c r="B2310" s="11">
        <v>45985.583333333336</v>
      </c>
      <c r="C2310" s="10">
        <v>45985</v>
      </c>
      <c r="D2310" s="7">
        <v>669.23</v>
      </c>
      <c r="E2310" s="7">
        <v>1713978</v>
      </c>
      <c r="F2310" s="7">
        <v>1713978</v>
      </c>
      <c r="G2310" s="7">
        <v>32708243</v>
      </c>
      <c r="H2310" s="7">
        <v>664.22</v>
      </c>
      <c r="I2310" s="7">
        <v>659.03</v>
      </c>
      <c r="J2310" s="7">
        <v>14</v>
      </c>
      <c r="K2310" s="7">
        <v>6.9655282000000004E-3</v>
      </c>
      <c r="L2310" s="7">
        <v>668.84664310929998</v>
      </c>
      <c r="M2310" s="7">
        <v>654.43950798180003</v>
      </c>
      <c r="N2310" s="7">
        <v>666.63446719470005</v>
      </c>
      <c r="O2310" s="7">
        <v>668.84664310929998</v>
      </c>
      <c r="P2310" s="7">
        <v>654.43950798180003</v>
      </c>
      <c r="Q2310">
        <v>1</v>
      </c>
      <c r="R2310">
        <v>0</v>
      </c>
      <c r="S2310" s="11">
        <v>45985.666666666664</v>
      </c>
      <c r="T2310">
        <v>61</v>
      </c>
    </row>
    <row r="2311" spans="1:20">
      <c r="A2311" s="11">
        <v>45985.583333333336</v>
      </c>
      <c r="B2311" s="11">
        <v>45985.604166666664</v>
      </c>
      <c r="C2311" s="10">
        <v>45985</v>
      </c>
      <c r="D2311" s="7">
        <v>668.96</v>
      </c>
      <c r="E2311" s="7">
        <v>2426362</v>
      </c>
      <c r="F2311" s="7">
        <v>2426362</v>
      </c>
      <c r="G2311" s="7">
        <v>35134605</v>
      </c>
      <c r="H2311" s="7">
        <v>664.22</v>
      </c>
      <c r="I2311" s="7">
        <v>659.03</v>
      </c>
      <c r="J2311" s="7">
        <v>14</v>
      </c>
      <c r="K2311" s="7">
        <v>7.2180294999999997E-3</v>
      </c>
      <c r="L2311" s="7">
        <v>669.01435952639997</v>
      </c>
      <c r="M2311" s="7">
        <v>654.27310204649996</v>
      </c>
      <c r="N2311" s="7">
        <v>666.79506625160002</v>
      </c>
      <c r="O2311" s="7">
        <v>669.01435952639997</v>
      </c>
      <c r="P2311" s="7">
        <v>654.27310204649996</v>
      </c>
      <c r="Q2311">
        <v>1</v>
      </c>
      <c r="R2311">
        <v>0</v>
      </c>
      <c r="S2311" s="11">
        <v>45985.666666666664</v>
      </c>
      <c r="T2311">
        <v>60</v>
      </c>
    </row>
    <row r="2312" spans="1:20">
      <c r="A2312" s="11">
        <v>45985.604166666664</v>
      </c>
      <c r="B2312" s="11">
        <v>45985.625</v>
      </c>
      <c r="C2312" s="10">
        <v>45985</v>
      </c>
      <c r="D2312" s="7">
        <v>668.36</v>
      </c>
      <c r="E2312" s="7">
        <v>3823076</v>
      </c>
      <c r="F2312" s="7">
        <v>3823076</v>
      </c>
      <c r="G2312" s="7">
        <v>38957681</v>
      </c>
      <c r="H2312" s="7">
        <v>664.22</v>
      </c>
      <c r="I2312" s="7">
        <v>659.03</v>
      </c>
      <c r="J2312" s="7">
        <v>14</v>
      </c>
      <c r="K2312" s="7">
        <v>7.9759640000000003E-3</v>
      </c>
      <c r="L2312" s="7">
        <v>669.51779483289999</v>
      </c>
      <c r="M2312" s="7">
        <v>653.77360042040004</v>
      </c>
      <c r="N2312" s="7">
        <v>666.94863957790005</v>
      </c>
      <c r="O2312" s="7">
        <v>669.51779483289999</v>
      </c>
      <c r="P2312" s="7">
        <v>653.77360042040004</v>
      </c>
      <c r="Q2312">
        <v>1</v>
      </c>
      <c r="R2312">
        <v>0</v>
      </c>
      <c r="S2312" s="11">
        <v>45985.666666666664</v>
      </c>
      <c r="T2312">
        <v>59</v>
      </c>
    </row>
    <row r="2313" spans="1:20">
      <c r="A2313" s="11">
        <v>45985.625</v>
      </c>
      <c r="B2313" s="11">
        <v>45985.645833333336</v>
      </c>
      <c r="C2313" s="10">
        <v>45985</v>
      </c>
      <c r="D2313" s="7">
        <v>668.92</v>
      </c>
      <c r="E2313" s="7">
        <v>3361335</v>
      </c>
      <c r="F2313" s="7">
        <v>3361335</v>
      </c>
      <c r="G2313" s="7">
        <v>42319016</v>
      </c>
      <c r="H2313" s="7">
        <v>664.22</v>
      </c>
      <c r="I2313" s="7">
        <v>659.03</v>
      </c>
      <c r="J2313" s="7">
        <v>14</v>
      </c>
      <c r="K2313" s="7">
        <v>6.8067583999999997E-3</v>
      </c>
      <c r="L2313" s="7">
        <v>668.74118506959996</v>
      </c>
      <c r="M2313" s="7">
        <v>654.54414200660005</v>
      </c>
      <c r="N2313" s="7">
        <v>667.10522173430002</v>
      </c>
      <c r="O2313" s="7">
        <v>668.74118506959996</v>
      </c>
      <c r="P2313" s="7">
        <v>654.54414200660005</v>
      </c>
      <c r="Q2313">
        <v>1</v>
      </c>
      <c r="R2313">
        <v>0</v>
      </c>
      <c r="S2313" s="11">
        <v>45985.666666666664</v>
      </c>
      <c r="T2313">
        <v>58</v>
      </c>
    </row>
    <row r="2314" spans="1:20">
      <c r="A2314" s="11">
        <v>45985.645833333336</v>
      </c>
      <c r="B2314" s="11">
        <v>45985.666666666664</v>
      </c>
      <c r="C2314" s="10">
        <v>45985</v>
      </c>
      <c r="D2314" s="7">
        <v>668.73</v>
      </c>
      <c r="E2314" s="7">
        <v>14041883</v>
      </c>
      <c r="F2314" s="7">
        <v>14041883</v>
      </c>
      <c r="G2314" s="7">
        <v>56360899</v>
      </c>
      <c r="H2314" s="7">
        <v>664.22</v>
      </c>
      <c r="I2314" s="7">
        <v>659.03</v>
      </c>
      <c r="J2314" s="7">
        <v>14</v>
      </c>
      <c r="K2314" s="7">
        <v>7.0471522000000002E-3</v>
      </c>
      <c r="L2314" s="7">
        <v>668.90085944340001</v>
      </c>
      <c r="M2314" s="7">
        <v>654.38571527659997</v>
      </c>
      <c r="N2314" s="7">
        <v>667.49507416250003</v>
      </c>
      <c r="O2314" s="7">
        <v>668.90085944340001</v>
      </c>
      <c r="P2314" s="7">
        <v>654.38571527659997</v>
      </c>
      <c r="Q2314">
        <v>1</v>
      </c>
      <c r="R2314">
        <v>1</v>
      </c>
      <c r="S2314" s="11">
        <v>45985.666666666664</v>
      </c>
      <c r="T2314">
        <v>57</v>
      </c>
    </row>
    <row r="2315" spans="1:20">
      <c r="A2315" s="11">
        <v>45986.395833333336</v>
      </c>
      <c r="B2315" s="11">
        <v>45986.416666666664</v>
      </c>
      <c r="C2315" s="10">
        <v>45986</v>
      </c>
      <c r="D2315" s="7">
        <v>668.81</v>
      </c>
      <c r="E2315" s="7">
        <v>10075047</v>
      </c>
      <c r="F2315" s="7">
        <v>10075047</v>
      </c>
      <c r="G2315" s="7">
        <v>10075047</v>
      </c>
      <c r="H2315" s="7">
        <v>668.81</v>
      </c>
      <c r="I2315" s="7">
        <v>668.73</v>
      </c>
      <c r="J2315" s="7">
        <v>14</v>
      </c>
      <c r="K2315" s="7">
        <v>0</v>
      </c>
      <c r="L2315" s="7">
        <v>668.81</v>
      </c>
      <c r="M2315" s="7">
        <v>668.73</v>
      </c>
      <c r="N2315" s="7">
        <v>668.81</v>
      </c>
      <c r="O2315" s="7">
        <v>668.81</v>
      </c>
      <c r="P2315" s="7">
        <v>668.73</v>
      </c>
      <c r="Q2315">
        <v>1</v>
      </c>
      <c r="R2315">
        <v>0</v>
      </c>
      <c r="S2315" s="11">
        <v>45986.666666666664</v>
      </c>
      <c r="T2315">
        <v>55</v>
      </c>
    </row>
    <row r="2316" spans="1:20">
      <c r="A2316" s="11">
        <v>45986.416666666664</v>
      </c>
      <c r="B2316" s="11">
        <v>45986.4375</v>
      </c>
      <c r="C2316" s="10">
        <v>45986</v>
      </c>
      <c r="D2316" s="7">
        <v>668.46</v>
      </c>
      <c r="E2316" s="7">
        <v>6537845</v>
      </c>
      <c r="F2316" s="7">
        <v>6537845</v>
      </c>
      <c r="G2316" s="7">
        <v>16612892</v>
      </c>
      <c r="H2316" s="7">
        <v>668.81</v>
      </c>
      <c r="I2316" s="7">
        <v>668.73</v>
      </c>
      <c r="J2316" s="7">
        <v>14</v>
      </c>
      <c r="K2316" s="7">
        <v>1.0139369999999999E-3</v>
      </c>
      <c r="L2316" s="7">
        <v>669.48813117580005</v>
      </c>
      <c r="M2316" s="7">
        <v>668.05194993910004</v>
      </c>
      <c r="N2316" s="7">
        <v>668.67226084239996</v>
      </c>
      <c r="O2316" s="7">
        <v>669.48813117580005</v>
      </c>
      <c r="P2316" s="7">
        <v>668.05194993910004</v>
      </c>
      <c r="Q2316">
        <v>1</v>
      </c>
      <c r="R2316">
        <v>0</v>
      </c>
      <c r="S2316" s="11">
        <v>45986.666666666664</v>
      </c>
      <c r="T2316">
        <v>54</v>
      </c>
    </row>
    <row r="2317" spans="1:20">
      <c r="A2317" s="11">
        <v>45986.4375</v>
      </c>
      <c r="B2317" s="11">
        <v>45986.458333333336</v>
      </c>
      <c r="C2317" s="10">
        <v>45986</v>
      </c>
      <c r="D2317" s="7">
        <v>669.54</v>
      </c>
      <c r="E2317" s="7">
        <v>5367606</v>
      </c>
      <c r="F2317" s="7">
        <v>5367606</v>
      </c>
      <c r="G2317" s="7">
        <v>21980498</v>
      </c>
      <c r="H2317" s="7">
        <v>668.81</v>
      </c>
      <c r="I2317" s="7">
        <v>668.73</v>
      </c>
      <c r="J2317" s="7">
        <v>14</v>
      </c>
      <c r="K2317" s="7">
        <v>3.3304217999999999E-3</v>
      </c>
      <c r="L2317" s="7">
        <v>671.03741938910002</v>
      </c>
      <c r="M2317" s="7">
        <v>666.5028470446</v>
      </c>
      <c r="N2317" s="7">
        <v>668.88416149670002</v>
      </c>
      <c r="O2317" s="7">
        <v>671.03741938910002</v>
      </c>
      <c r="P2317" s="7">
        <v>666.5028470446</v>
      </c>
      <c r="Q2317">
        <v>1</v>
      </c>
      <c r="R2317">
        <v>0</v>
      </c>
      <c r="S2317" s="11">
        <v>45986.666666666664</v>
      </c>
      <c r="T2317">
        <v>53</v>
      </c>
    </row>
    <row r="2318" spans="1:20">
      <c r="A2318" s="11">
        <v>45986.458333333336</v>
      </c>
      <c r="B2318" s="11">
        <v>45986.479166666664</v>
      </c>
      <c r="C2318" s="10">
        <v>45986</v>
      </c>
      <c r="D2318" s="7">
        <v>670.62</v>
      </c>
      <c r="E2318" s="7">
        <v>3772418</v>
      </c>
      <c r="F2318" s="7">
        <v>3772418</v>
      </c>
      <c r="G2318" s="7">
        <v>25752916</v>
      </c>
      <c r="H2318" s="7">
        <v>668.81</v>
      </c>
      <c r="I2318" s="7">
        <v>668.73</v>
      </c>
      <c r="J2318" s="7">
        <v>14</v>
      </c>
      <c r="K2318" s="7">
        <v>4.5944074999999997E-3</v>
      </c>
      <c r="L2318" s="7">
        <v>671.88278569880003</v>
      </c>
      <c r="M2318" s="7">
        <v>665.65758185380002</v>
      </c>
      <c r="N2318" s="7">
        <v>669.13843594139996</v>
      </c>
      <c r="O2318" s="7">
        <v>671.88278569880003</v>
      </c>
      <c r="P2318" s="7">
        <v>665.65758185380002</v>
      </c>
      <c r="Q2318">
        <v>1</v>
      </c>
      <c r="R2318">
        <v>0</v>
      </c>
      <c r="S2318" s="11">
        <v>45986.666666666664</v>
      </c>
      <c r="T2318">
        <v>52</v>
      </c>
    </row>
    <row r="2319" spans="1:20">
      <c r="A2319" s="11">
        <v>45986.479166666664</v>
      </c>
      <c r="B2319" s="11">
        <v>45986.5</v>
      </c>
      <c r="C2319" s="10">
        <v>45986</v>
      </c>
      <c r="D2319" s="7">
        <v>671.75059999999996</v>
      </c>
      <c r="E2319" s="7">
        <v>2988349</v>
      </c>
      <c r="F2319" s="7">
        <v>2988349</v>
      </c>
      <c r="G2319" s="7">
        <v>28741265</v>
      </c>
      <c r="H2319" s="7">
        <v>668.81</v>
      </c>
      <c r="I2319" s="7">
        <v>668.73</v>
      </c>
      <c r="J2319" s="7">
        <v>14</v>
      </c>
      <c r="K2319" s="7">
        <v>5.9746605999999999E-3</v>
      </c>
      <c r="L2319" s="7">
        <v>672.805912788</v>
      </c>
      <c r="M2319" s="7">
        <v>664.73456518490002</v>
      </c>
      <c r="N2319" s="7">
        <v>669.41003351560005</v>
      </c>
      <c r="O2319" s="7">
        <v>672.805912788</v>
      </c>
      <c r="P2319" s="7">
        <v>664.73456518490002</v>
      </c>
      <c r="Q2319">
        <v>1</v>
      </c>
      <c r="R2319">
        <v>0</v>
      </c>
      <c r="S2319" s="11">
        <v>45986.666666666664</v>
      </c>
      <c r="T2319">
        <v>51</v>
      </c>
    </row>
    <row r="2320" spans="1:20">
      <c r="A2320" s="11">
        <v>45986.5</v>
      </c>
      <c r="B2320" s="11">
        <v>45986.520833333336</v>
      </c>
      <c r="C2320" s="10">
        <v>45986</v>
      </c>
      <c r="D2320" s="7">
        <v>673.33</v>
      </c>
      <c r="E2320" s="7">
        <v>4137887</v>
      </c>
      <c r="F2320" s="7">
        <v>4137887</v>
      </c>
      <c r="G2320" s="7">
        <v>32879152</v>
      </c>
      <c r="H2320" s="7">
        <v>668.81</v>
      </c>
      <c r="I2320" s="7">
        <v>668.73</v>
      </c>
      <c r="J2320" s="7">
        <v>14</v>
      </c>
      <c r="K2320" s="7">
        <v>5.6791092E-3</v>
      </c>
      <c r="L2320" s="7">
        <v>672.60824500930005</v>
      </c>
      <c r="M2320" s="7">
        <v>664.93220931949998</v>
      </c>
      <c r="N2320" s="7">
        <v>669.90336674859998</v>
      </c>
      <c r="O2320" s="7">
        <v>672.60824500930005</v>
      </c>
      <c r="P2320" s="7">
        <v>664.93220931949998</v>
      </c>
      <c r="Q2320">
        <v>1</v>
      </c>
      <c r="R2320">
        <v>0</v>
      </c>
      <c r="S2320" s="11">
        <v>45986.666666666664</v>
      </c>
      <c r="T2320">
        <v>50</v>
      </c>
    </row>
    <row r="2321" spans="1:20">
      <c r="A2321" s="11">
        <v>45986.520833333336</v>
      </c>
      <c r="B2321" s="11">
        <v>45986.541666666664</v>
      </c>
      <c r="C2321" s="10">
        <v>45986</v>
      </c>
      <c r="D2321" s="7">
        <v>673.33100000000002</v>
      </c>
      <c r="E2321" s="7">
        <v>3204484</v>
      </c>
      <c r="F2321" s="7">
        <v>3204484</v>
      </c>
      <c r="G2321" s="7">
        <v>36083636</v>
      </c>
      <c r="H2321" s="7">
        <v>668.81</v>
      </c>
      <c r="I2321" s="7">
        <v>668.73</v>
      </c>
      <c r="J2321" s="7">
        <v>14</v>
      </c>
      <c r="K2321" s="7">
        <v>6.6450299999999997E-3</v>
      </c>
      <c r="L2321" s="7">
        <v>673.2542625172</v>
      </c>
      <c r="M2321" s="7">
        <v>664.28626908520005</v>
      </c>
      <c r="N2321" s="7">
        <v>670.20776500579996</v>
      </c>
      <c r="O2321" s="7">
        <v>673.2542625172</v>
      </c>
      <c r="P2321" s="7">
        <v>664.28626908520005</v>
      </c>
      <c r="Q2321">
        <v>1</v>
      </c>
      <c r="R2321">
        <v>0</v>
      </c>
      <c r="S2321" s="11">
        <v>45986.666666666664</v>
      </c>
      <c r="T2321">
        <v>49</v>
      </c>
    </row>
    <row r="2322" spans="1:20">
      <c r="A2322" s="11">
        <v>45986.541666666664</v>
      </c>
      <c r="B2322" s="11">
        <v>45986.5625</v>
      </c>
      <c r="C2322" s="10">
        <v>45986</v>
      </c>
      <c r="D2322" s="7">
        <v>674.04</v>
      </c>
      <c r="E2322" s="7">
        <v>2817500</v>
      </c>
      <c r="F2322" s="7">
        <v>2817500</v>
      </c>
      <c r="G2322" s="7">
        <v>38901136</v>
      </c>
      <c r="H2322" s="7">
        <v>668.81</v>
      </c>
      <c r="I2322" s="7">
        <v>668.73</v>
      </c>
      <c r="J2322" s="7">
        <v>14</v>
      </c>
      <c r="K2322" s="7">
        <v>6.2757968000000004E-3</v>
      </c>
      <c r="L2322" s="7">
        <v>673.00731567970001</v>
      </c>
      <c r="M2322" s="7">
        <v>664.53318638409996</v>
      </c>
      <c r="N2322" s="7">
        <v>670.485323021</v>
      </c>
      <c r="O2322" s="7">
        <v>673.00731567970001</v>
      </c>
      <c r="P2322" s="7">
        <v>664.53318638409996</v>
      </c>
      <c r="Q2322">
        <v>1</v>
      </c>
      <c r="R2322">
        <v>0</v>
      </c>
      <c r="S2322" s="11">
        <v>45986.666666666664</v>
      </c>
      <c r="T2322">
        <v>48</v>
      </c>
    </row>
    <row r="2323" spans="1:20">
      <c r="A2323" s="11">
        <v>45986.5625</v>
      </c>
      <c r="B2323" s="11">
        <v>45986.583333333336</v>
      </c>
      <c r="C2323" s="10">
        <v>45986</v>
      </c>
      <c r="D2323" s="7">
        <v>673.82</v>
      </c>
      <c r="E2323" s="7">
        <v>2272627</v>
      </c>
      <c r="F2323" s="7">
        <v>2272627</v>
      </c>
      <c r="G2323" s="7">
        <v>41173763</v>
      </c>
      <c r="H2323" s="7">
        <v>668.81</v>
      </c>
      <c r="I2323" s="7">
        <v>668.73</v>
      </c>
      <c r="J2323" s="7">
        <v>14</v>
      </c>
      <c r="K2323" s="7">
        <v>7.2180717000000002E-3</v>
      </c>
      <c r="L2323" s="7">
        <v>673.63751856570002</v>
      </c>
      <c r="M2323" s="7">
        <v>663.90305888</v>
      </c>
      <c r="N2323" s="7">
        <v>670.66938384970001</v>
      </c>
      <c r="O2323" s="7">
        <v>673.63751856570002</v>
      </c>
      <c r="P2323" s="7">
        <v>663.90305888</v>
      </c>
      <c r="Q2323">
        <v>1</v>
      </c>
      <c r="R2323">
        <v>0</v>
      </c>
      <c r="S2323" s="11">
        <v>45986.666666666664</v>
      </c>
      <c r="T2323">
        <v>47</v>
      </c>
    </row>
    <row r="2324" spans="1:20">
      <c r="A2324" s="11">
        <v>45986.583333333336</v>
      </c>
      <c r="B2324" s="11">
        <v>45986.604166666664</v>
      </c>
      <c r="C2324" s="10">
        <v>45986</v>
      </c>
      <c r="D2324" s="7">
        <v>673.34</v>
      </c>
      <c r="E2324" s="7">
        <v>3322590</v>
      </c>
      <c r="F2324" s="7">
        <v>3322590</v>
      </c>
      <c r="G2324" s="7">
        <v>44496353</v>
      </c>
      <c r="H2324" s="7">
        <v>668.81</v>
      </c>
      <c r="I2324" s="7">
        <v>668.73</v>
      </c>
      <c r="J2324" s="7">
        <v>14</v>
      </c>
      <c r="K2324" s="7">
        <v>7.4573221000000002E-3</v>
      </c>
      <c r="L2324" s="7">
        <v>673.79753158029996</v>
      </c>
      <c r="M2324" s="7">
        <v>663.74306500549994</v>
      </c>
      <c r="N2324" s="7">
        <v>670.86880159780003</v>
      </c>
      <c r="O2324" s="7">
        <v>673.79753158029996</v>
      </c>
      <c r="P2324" s="7">
        <v>663.74306500549994</v>
      </c>
      <c r="Q2324">
        <v>1</v>
      </c>
      <c r="R2324">
        <v>0</v>
      </c>
      <c r="S2324" s="11">
        <v>45986.666666666664</v>
      </c>
      <c r="T2324">
        <v>46</v>
      </c>
    </row>
    <row r="2325" spans="1:20">
      <c r="A2325" s="11">
        <v>45986.604166666664</v>
      </c>
      <c r="B2325" s="11">
        <v>45986.625</v>
      </c>
      <c r="C2325" s="10">
        <v>45986</v>
      </c>
      <c r="D2325" s="7">
        <v>674</v>
      </c>
      <c r="E2325" s="7">
        <v>3399604</v>
      </c>
      <c r="F2325" s="7">
        <v>3399604</v>
      </c>
      <c r="G2325" s="7">
        <v>47895957</v>
      </c>
      <c r="H2325" s="7">
        <v>668.81</v>
      </c>
      <c r="I2325" s="7">
        <v>668.73</v>
      </c>
      <c r="J2325" s="7">
        <v>14</v>
      </c>
      <c r="K2325" s="7">
        <v>8.0449803000000007E-3</v>
      </c>
      <c r="L2325" s="7">
        <v>674.19056327210001</v>
      </c>
      <c r="M2325" s="7">
        <v>663.35008032639996</v>
      </c>
      <c r="N2325" s="7">
        <v>671.09105072449995</v>
      </c>
      <c r="O2325" s="7">
        <v>674.19056327210001</v>
      </c>
      <c r="P2325" s="7">
        <v>663.35008032639996</v>
      </c>
      <c r="Q2325">
        <v>1</v>
      </c>
      <c r="R2325">
        <v>0</v>
      </c>
      <c r="S2325" s="11">
        <v>45986.666666666664</v>
      </c>
      <c r="T2325">
        <v>45</v>
      </c>
    </row>
    <row r="2326" spans="1:20">
      <c r="A2326" s="11">
        <v>45986.625</v>
      </c>
      <c r="B2326" s="11">
        <v>45986.645833333336</v>
      </c>
      <c r="C2326" s="10">
        <v>45986</v>
      </c>
      <c r="D2326" s="7">
        <v>674.52</v>
      </c>
      <c r="E2326" s="7">
        <v>4217875</v>
      </c>
      <c r="F2326" s="7">
        <v>4217875</v>
      </c>
      <c r="G2326" s="7">
        <v>52113832</v>
      </c>
      <c r="H2326" s="7">
        <v>668.81</v>
      </c>
      <c r="I2326" s="7">
        <v>668.73</v>
      </c>
      <c r="J2326" s="7">
        <v>14</v>
      </c>
      <c r="K2326" s="7">
        <v>7.0159686999999998E-3</v>
      </c>
      <c r="L2326" s="7">
        <v>673.50235005269997</v>
      </c>
      <c r="M2326" s="7">
        <v>664.03821122479997</v>
      </c>
      <c r="N2326" s="7">
        <v>671.36857549800004</v>
      </c>
      <c r="O2326" s="7">
        <v>673.50235005269997</v>
      </c>
      <c r="P2326" s="7">
        <v>664.03821122479997</v>
      </c>
      <c r="Q2326">
        <v>1</v>
      </c>
      <c r="R2326">
        <v>0</v>
      </c>
      <c r="S2326" s="11">
        <v>45986.666666666664</v>
      </c>
      <c r="T2326">
        <v>44</v>
      </c>
    </row>
    <row r="2327" spans="1:20">
      <c r="A2327" s="11">
        <v>45986.645833333336</v>
      </c>
      <c r="B2327" s="11">
        <v>45986.666666666664</v>
      </c>
      <c r="C2327" s="10">
        <v>45986</v>
      </c>
      <c r="D2327" s="7">
        <v>675.02</v>
      </c>
      <c r="E2327" s="7">
        <v>10452618</v>
      </c>
      <c r="F2327" s="7">
        <v>10452618</v>
      </c>
      <c r="G2327" s="7">
        <v>62566450</v>
      </c>
      <c r="H2327" s="7">
        <v>668.81</v>
      </c>
      <c r="I2327" s="7">
        <v>668.73</v>
      </c>
      <c r="J2327" s="7">
        <v>14</v>
      </c>
      <c r="K2327" s="7">
        <v>7.1575357999999999E-3</v>
      </c>
      <c r="L2327" s="7">
        <v>673.59703149890004</v>
      </c>
      <c r="M2327" s="7">
        <v>663.94354110400002</v>
      </c>
      <c r="N2327" s="7">
        <v>671.97859804960001</v>
      </c>
      <c r="O2327" s="7">
        <v>673.59703149890004</v>
      </c>
      <c r="P2327" s="7">
        <v>663.94354110400002</v>
      </c>
      <c r="Q2327">
        <v>1</v>
      </c>
      <c r="R2327">
        <v>1</v>
      </c>
      <c r="S2327" s="11">
        <v>45986.666666666664</v>
      </c>
      <c r="T2327">
        <v>43</v>
      </c>
    </row>
    <row r="2328" spans="1:20">
      <c r="A2328" s="11">
        <v>45987.395833333336</v>
      </c>
      <c r="B2328" s="11">
        <v>45987.416666666664</v>
      </c>
      <c r="C2328" s="10">
        <v>45987</v>
      </c>
      <c r="D2328" s="7">
        <v>677.18</v>
      </c>
      <c r="E2328" s="7">
        <v>7001221</v>
      </c>
      <c r="F2328" s="7">
        <v>7001221</v>
      </c>
      <c r="G2328" s="7">
        <v>7001221</v>
      </c>
      <c r="H2328" s="7">
        <v>677.18</v>
      </c>
      <c r="I2328" s="7">
        <v>675.02</v>
      </c>
      <c r="J2328" s="7">
        <v>14</v>
      </c>
      <c r="K2328" s="7">
        <v>0</v>
      </c>
      <c r="L2328" s="7">
        <v>677.18</v>
      </c>
      <c r="M2328" s="7">
        <v>675.02</v>
      </c>
      <c r="N2328" s="7">
        <v>677.18</v>
      </c>
      <c r="O2328" s="7">
        <v>677.18</v>
      </c>
      <c r="P2328" s="7">
        <v>675.02</v>
      </c>
      <c r="Q2328">
        <v>1</v>
      </c>
      <c r="R2328">
        <v>0</v>
      </c>
      <c r="S2328" s="11">
        <v>45987.666666666664</v>
      </c>
      <c r="T2328">
        <v>41</v>
      </c>
    </row>
    <row r="2329" spans="1:20">
      <c r="A2329" s="11">
        <v>45987.416666666664</v>
      </c>
      <c r="B2329" s="11">
        <v>45987.4375</v>
      </c>
      <c r="C2329" s="10">
        <v>45987</v>
      </c>
      <c r="D2329" s="7">
        <v>678.2</v>
      </c>
      <c r="E2329" s="7">
        <v>4053965</v>
      </c>
      <c r="F2329" s="7">
        <v>4053965</v>
      </c>
      <c r="G2329" s="7">
        <v>11055186</v>
      </c>
      <c r="H2329" s="7">
        <v>677.18</v>
      </c>
      <c r="I2329" s="7">
        <v>675.02</v>
      </c>
      <c r="J2329" s="7">
        <v>14</v>
      </c>
      <c r="K2329" s="7">
        <v>1.0260013E-3</v>
      </c>
      <c r="L2329" s="7">
        <v>677.87478758700001</v>
      </c>
      <c r="M2329" s="7">
        <v>674.32742857589994</v>
      </c>
      <c r="N2329" s="7">
        <v>677.55403661050002</v>
      </c>
      <c r="O2329" s="7">
        <v>677.87478758700001</v>
      </c>
      <c r="P2329" s="7">
        <v>674.32742857589994</v>
      </c>
      <c r="Q2329">
        <v>1</v>
      </c>
      <c r="R2329">
        <v>0</v>
      </c>
      <c r="S2329" s="11">
        <v>45987.666666666664</v>
      </c>
      <c r="T2329">
        <v>40</v>
      </c>
    </row>
    <row r="2330" spans="1:20">
      <c r="A2330" s="11">
        <v>45987.4375</v>
      </c>
      <c r="B2330" s="11">
        <v>45987.458333333336</v>
      </c>
      <c r="C2330" s="10">
        <v>45987</v>
      </c>
      <c r="D2330" s="7">
        <v>679.59</v>
      </c>
      <c r="E2330" s="7">
        <v>2992341</v>
      </c>
      <c r="F2330" s="7">
        <v>2992341</v>
      </c>
      <c r="G2330" s="7">
        <v>14047527</v>
      </c>
      <c r="H2330" s="7">
        <v>677.18</v>
      </c>
      <c r="I2330" s="7">
        <v>675.02</v>
      </c>
      <c r="J2330" s="7">
        <v>14</v>
      </c>
      <c r="K2330" s="7">
        <v>3.3366582999999998E-3</v>
      </c>
      <c r="L2330" s="7">
        <v>679.43951828629997</v>
      </c>
      <c r="M2330" s="7">
        <v>672.76768889569996</v>
      </c>
      <c r="N2330" s="7">
        <v>677.98772837169997</v>
      </c>
      <c r="O2330" s="7">
        <v>679.43951828629997</v>
      </c>
      <c r="P2330" s="7">
        <v>672.76768889569996</v>
      </c>
      <c r="Q2330">
        <v>1</v>
      </c>
      <c r="R2330">
        <v>0</v>
      </c>
      <c r="S2330" s="11">
        <v>45987.666666666664</v>
      </c>
      <c r="T2330">
        <v>39</v>
      </c>
    </row>
    <row r="2331" spans="1:20">
      <c r="A2331" s="11">
        <v>45987.458333333336</v>
      </c>
      <c r="B2331" s="11">
        <v>45987.479166666664</v>
      </c>
      <c r="C2331" s="10">
        <v>45987</v>
      </c>
      <c r="D2331" s="7">
        <v>680.64</v>
      </c>
      <c r="E2331" s="7">
        <v>3215330</v>
      </c>
      <c r="F2331" s="7">
        <v>3215330</v>
      </c>
      <c r="G2331" s="7">
        <v>17262857</v>
      </c>
      <c r="H2331" s="7">
        <v>677.18</v>
      </c>
      <c r="I2331" s="7">
        <v>675.02</v>
      </c>
      <c r="J2331" s="7">
        <v>14</v>
      </c>
      <c r="K2331" s="7">
        <v>4.6643018000000003E-3</v>
      </c>
      <c r="L2331" s="7">
        <v>680.33857192180005</v>
      </c>
      <c r="M2331" s="7">
        <v>671.87150297020003</v>
      </c>
      <c r="N2331" s="7">
        <v>678.48173284239999</v>
      </c>
      <c r="O2331" s="7">
        <v>680.33857192180005</v>
      </c>
      <c r="P2331" s="7">
        <v>671.87150297020003</v>
      </c>
      <c r="Q2331">
        <v>1</v>
      </c>
      <c r="R2331">
        <v>0</v>
      </c>
      <c r="S2331" s="11">
        <v>45987.666666666664</v>
      </c>
      <c r="T2331">
        <v>38</v>
      </c>
    </row>
    <row r="2332" spans="1:20">
      <c r="A2332" s="11">
        <v>45987.479166666664</v>
      </c>
      <c r="B2332" s="11">
        <v>45987.5</v>
      </c>
      <c r="C2332" s="10">
        <v>45987</v>
      </c>
      <c r="D2332" s="7">
        <v>681.40859999999998</v>
      </c>
      <c r="E2332" s="7">
        <v>3385408</v>
      </c>
      <c r="F2332" s="7">
        <v>3385408</v>
      </c>
      <c r="G2332" s="7">
        <v>20648265</v>
      </c>
      <c r="H2332" s="7">
        <v>677.18</v>
      </c>
      <c r="I2332" s="7">
        <v>675.02</v>
      </c>
      <c r="J2332" s="7">
        <v>14</v>
      </c>
      <c r="K2332" s="7">
        <v>6.0568469000000002E-3</v>
      </c>
      <c r="L2332" s="7">
        <v>681.28157558730004</v>
      </c>
      <c r="M2332" s="7">
        <v>670.93150720200003</v>
      </c>
      <c r="N2332" s="7">
        <v>678.96161042480003</v>
      </c>
      <c r="O2332" s="7">
        <v>681.28157558730004</v>
      </c>
      <c r="P2332" s="7">
        <v>670.93150720200003</v>
      </c>
      <c r="Q2332">
        <v>1</v>
      </c>
      <c r="R2332">
        <v>0</v>
      </c>
      <c r="S2332" s="11">
        <v>45987.666666666664</v>
      </c>
      <c r="T2332">
        <v>37</v>
      </c>
    </row>
    <row r="2333" spans="1:20">
      <c r="A2333" s="11">
        <v>45987.5</v>
      </c>
      <c r="B2333" s="11">
        <v>45987.520833333336</v>
      </c>
      <c r="C2333" s="10">
        <v>45987</v>
      </c>
      <c r="D2333" s="7">
        <v>680.97</v>
      </c>
      <c r="E2333" s="7">
        <v>2483390</v>
      </c>
      <c r="F2333" s="7">
        <v>2483390</v>
      </c>
      <c r="G2333" s="7">
        <v>23131655</v>
      </c>
      <c r="H2333" s="7">
        <v>677.18</v>
      </c>
      <c r="I2333" s="7">
        <v>675.02</v>
      </c>
      <c r="J2333" s="7">
        <v>14</v>
      </c>
      <c r="K2333" s="7">
        <v>5.8601777999999997E-3</v>
      </c>
      <c r="L2333" s="7">
        <v>681.14839518910003</v>
      </c>
      <c r="M2333" s="7">
        <v>671.06426279489995</v>
      </c>
      <c r="N2333" s="7">
        <v>679.17722900410001</v>
      </c>
      <c r="O2333" s="7">
        <v>681.14839518910003</v>
      </c>
      <c r="P2333" s="7">
        <v>671.06426279489995</v>
      </c>
      <c r="Q2333">
        <v>1</v>
      </c>
      <c r="R2333">
        <v>0</v>
      </c>
      <c r="S2333" s="11">
        <v>45987.666666666664</v>
      </c>
      <c r="T2333">
        <v>36</v>
      </c>
    </row>
    <row r="2334" spans="1:20">
      <c r="A2334" s="11">
        <v>45987.520833333336</v>
      </c>
      <c r="B2334" s="11">
        <v>45987.541666666664</v>
      </c>
      <c r="C2334" s="10">
        <v>45987</v>
      </c>
      <c r="D2334" s="7">
        <v>681.09</v>
      </c>
      <c r="E2334" s="7">
        <v>2183488</v>
      </c>
      <c r="F2334" s="7">
        <v>2183488</v>
      </c>
      <c r="G2334" s="7">
        <v>25315143</v>
      </c>
      <c r="H2334" s="7">
        <v>677.18</v>
      </c>
      <c r="I2334" s="7">
        <v>675.02</v>
      </c>
      <c r="J2334" s="7">
        <v>14</v>
      </c>
      <c r="K2334" s="7">
        <v>6.8084740000000001E-3</v>
      </c>
      <c r="L2334" s="7">
        <v>681.79056245669994</v>
      </c>
      <c r="M2334" s="7">
        <v>670.42414384719996</v>
      </c>
      <c r="N2334" s="7">
        <v>679.34220980299995</v>
      </c>
      <c r="O2334" s="7">
        <v>681.79056245669994</v>
      </c>
      <c r="P2334" s="7">
        <v>670.42414384719996</v>
      </c>
      <c r="Q2334">
        <v>1</v>
      </c>
      <c r="R2334">
        <v>0</v>
      </c>
      <c r="S2334" s="11">
        <v>45987.666666666664</v>
      </c>
      <c r="T2334">
        <v>35</v>
      </c>
    </row>
    <row r="2335" spans="1:20">
      <c r="A2335" s="11">
        <v>45987.541666666664</v>
      </c>
      <c r="B2335" s="11">
        <v>45987.5625</v>
      </c>
      <c r="C2335" s="10">
        <v>45987</v>
      </c>
      <c r="D2335" s="7">
        <v>681.07</v>
      </c>
      <c r="E2335" s="7">
        <v>3424580</v>
      </c>
      <c r="F2335" s="7">
        <v>3424580</v>
      </c>
      <c r="G2335" s="7">
        <v>28739723</v>
      </c>
      <c r="H2335" s="7">
        <v>677.18</v>
      </c>
      <c r="I2335" s="7">
        <v>675.02</v>
      </c>
      <c r="J2335" s="7">
        <v>14</v>
      </c>
      <c r="K2335" s="7">
        <v>6.4957642000000003E-3</v>
      </c>
      <c r="L2335" s="7">
        <v>681.57880158620003</v>
      </c>
      <c r="M2335" s="7">
        <v>670.63522926450003</v>
      </c>
      <c r="N2335" s="7">
        <v>679.54809055390001</v>
      </c>
      <c r="O2335" s="7">
        <v>681.57880158620003</v>
      </c>
      <c r="P2335" s="7">
        <v>670.63522926450003</v>
      </c>
      <c r="Q2335">
        <v>1</v>
      </c>
      <c r="R2335">
        <v>0</v>
      </c>
      <c r="S2335" s="11">
        <v>45987.666666666664</v>
      </c>
      <c r="T2335">
        <v>34</v>
      </c>
    </row>
    <row r="2336" spans="1:20">
      <c r="A2336" s="11">
        <v>45987.5625</v>
      </c>
      <c r="B2336" s="11">
        <v>45987.583333333336</v>
      </c>
      <c r="C2336" s="10">
        <v>45987</v>
      </c>
      <c r="D2336" s="7">
        <v>680.38469999999995</v>
      </c>
      <c r="E2336" s="7">
        <v>2767456</v>
      </c>
      <c r="F2336" s="7">
        <v>2767456</v>
      </c>
      <c r="G2336" s="7">
        <v>31507179</v>
      </c>
      <c r="H2336" s="7">
        <v>677.18</v>
      </c>
      <c r="I2336" s="7">
        <v>675.02</v>
      </c>
      <c r="J2336" s="7">
        <v>14</v>
      </c>
      <c r="K2336" s="7">
        <v>7.3918648E-3</v>
      </c>
      <c r="L2336" s="7">
        <v>682.18562299730002</v>
      </c>
      <c r="M2336" s="7">
        <v>670.03034343060006</v>
      </c>
      <c r="N2336" s="7">
        <v>679.62157475360004</v>
      </c>
      <c r="O2336" s="7">
        <v>682.18562299730002</v>
      </c>
      <c r="P2336" s="7">
        <v>670.03034343060006</v>
      </c>
      <c r="Q2336">
        <v>1</v>
      </c>
      <c r="R2336">
        <v>0</v>
      </c>
      <c r="S2336" s="11">
        <v>45987.666666666664</v>
      </c>
      <c r="T2336">
        <v>33</v>
      </c>
    </row>
    <row r="2337" spans="1:20">
      <c r="A2337" s="11">
        <v>45987.583333333336</v>
      </c>
      <c r="B2337" s="11">
        <v>45987.604166666664</v>
      </c>
      <c r="C2337" s="10">
        <v>45987</v>
      </c>
      <c r="D2337" s="7">
        <v>681.23</v>
      </c>
      <c r="E2337" s="7">
        <v>2989060</v>
      </c>
      <c r="F2337" s="7">
        <v>2989060</v>
      </c>
      <c r="G2337" s="7">
        <v>34496239</v>
      </c>
      <c r="H2337" s="7">
        <v>677.18</v>
      </c>
      <c r="I2337" s="7">
        <v>675.02</v>
      </c>
      <c r="J2337" s="7">
        <v>14</v>
      </c>
      <c r="K2337" s="7">
        <v>7.6215164000000002E-3</v>
      </c>
      <c r="L2337" s="7">
        <v>682.34113844750004</v>
      </c>
      <c r="M2337" s="7">
        <v>669.87532402780005</v>
      </c>
      <c r="N2337" s="7">
        <v>679.76094297760005</v>
      </c>
      <c r="O2337" s="7">
        <v>682.34113844750004</v>
      </c>
      <c r="P2337" s="7">
        <v>669.87532402780005</v>
      </c>
      <c r="Q2337">
        <v>1</v>
      </c>
      <c r="R2337">
        <v>0</v>
      </c>
      <c r="S2337" s="11">
        <v>45987.666666666664</v>
      </c>
      <c r="T2337">
        <v>32</v>
      </c>
    </row>
    <row r="2338" spans="1:20">
      <c r="A2338" s="11">
        <v>45987.604166666664</v>
      </c>
      <c r="B2338" s="11">
        <v>45987.625</v>
      </c>
      <c r="C2338" s="10">
        <v>45987</v>
      </c>
      <c r="D2338" s="7">
        <v>680.88</v>
      </c>
      <c r="E2338" s="7">
        <v>3198195</v>
      </c>
      <c r="F2338" s="7">
        <v>3198195</v>
      </c>
      <c r="G2338" s="7">
        <v>37694434</v>
      </c>
      <c r="H2338" s="7">
        <v>677.18</v>
      </c>
      <c r="I2338" s="7">
        <v>675.02</v>
      </c>
      <c r="J2338" s="7">
        <v>14</v>
      </c>
      <c r="K2338" s="7">
        <v>8.2780800000000002E-3</v>
      </c>
      <c r="L2338" s="7">
        <v>682.78575023309998</v>
      </c>
      <c r="M2338" s="7">
        <v>669.4321304197</v>
      </c>
      <c r="N2338" s="7">
        <v>679.85588968980005</v>
      </c>
      <c r="O2338" s="7">
        <v>682.78575023309998</v>
      </c>
      <c r="P2338" s="7">
        <v>669.4321304197</v>
      </c>
      <c r="Q2338">
        <v>1</v>
      </c>
      <c r="R2338">
        <v>0</v>
      </c>
      <c r="S2338" s="11">
        <v>45987.666666666664</v>
      </c>
      <c r="T2338">
        <v>31</v>
      </c>
    </row>
    <row r="2339" spans="1:20">
      <c r="A2339" s="11">
        <v>45987.625</v>
      </c>
      <c r="B2339" s="11">
        <v>45987.645833333336</v>
      </c>
      <c r="C2339" s="10">
        <v>45987</v>
      </c>
      <c r="D2339" s="7">
        <v>681.20500000000004</v>
      </c>
      <c r="E2339" s="7">
        <v>3981080</v>
      </c>
      <c r="F2339" s="7">
        <v>3981080</v>
      </c>
      <c r="G2339" s="7">
        <v>41675514</v>
      </c>
      <c r="H2339" s="7">
        <v>677.18</v>
      </c>
      <c r="I2339" s="7">
        <v>675.02</v>
      </c>
      <c r="J2339" s="7">
        <v>14</v>
      </c>
      <c r="K2339" s="7">
        <v>7.3525980999999997E-3</v>
      </c>
      <c r="L2339" s="7">
        <v>682.15903235819997</v>
      </c>
      <c r="M2339" s="7">
        <v>670.05684925360003</v>
      </c>
      <c r="N2339" s="7">
        <v>679.98476431079996</v>
      </c>
      <c r="O2339" s="7">
        <v>682.15903235819997</v>
      </c>
      <c r="P2339" s="7">
        <v>670.05684925360003</v>
      </c>
      <c r="Q2339">
        <v>1</v>
      </c>
      <c r="R2339">
        <v>0</v>
      </c>
      <c r="S2339" s="11">
        <v>45987.666666666664</v>
      </c>
      <c r="T2339">
        <v>30</v>
      </c>
    </row>
    <row r="2340" spans="1:20">
      <c r="A2340" s="11">
        <v>45987.645833333336</v>
      </c>
      <c r="B2340" s="11">
        <v>45987.666666666664</v>
      </c>
      <c r="C2340" s="10">
        <v>45987</v>
      </c>
      <c r="D2340" s="7">
        <v>679.68</v>
      </c>
      <c r="E2340" s="7">
        <v>10852250</v>
      </c>
      <c r="F2340" s="7">
        <v>10852250</v>
      </c>
      <c r="G2340" s="7">
        <v>52527764</v>
      </c>
      <c r="H2340" s="7">
        <v>677.18</v>
      </c>
      <c r="I2340" s="7">
        <v>675.02</v>
      </c>
      <c r="J2340" s="7">
        <v>14</v>
      </c>
      <c r="K2340" s="7">
        <v>7.7775133999999999E-3</v>
      </c>
      <c r="L2340" s="7">
        <v>682.44677654730003</v>
      </c>
      <c r="M2340" s="7">
        <v>669.77002288170002</v>
      </c>
      <c r="N2340" s="7">
        <v>679.92593192849995</v>
      </c>
      <c r="O2340" s="7">
        <v>682.44677654730003</v>
      </c>
      <c r="P2340" s="7">
        <v>669.77002288170002</v>
      </c>
      <c r="Q2340">
        <v>1</v>
      </c>
      <c r="R2340">
        <v>1</v>
      </c>
      <c r="S2340" s="11">
        <v>45987.666666666664</v>
      </c>
      <c r="T2340">
        <v>29</v>
      </c>
    </row>
    <row r="2341" spans="1:20">
      <c r="A2341" s="11">
        <v>45989.395833333336</v>
      </c>
      <c r="B2341" s="11">
        <v>45989.416666666664</v>
      </c>
      <c r="C2341" s="10">
        <v>45989</v>
      </c>
      <c r="D2341" s="7">
        <v>681.26499999999999</v>
      </c>
      <c r="E2341" s="7">
        <v>4362583</v>
      </c>
      <c r="F2341" s="7">
        <v>4362583</v>
      </c>
      <c r="G2341" s="7">
        <v>4362583</v>
      </c>
      <c r="H2341" s="7">
        <v>681.26499999999999</v>
      </c>
      <c r="I2341" s="7">
        <v>679.68</v>
      </c>
      <c r="J2341" s="7">
        <v>14</v>
      </c>
      <c r="K2341" s="7">
        <v>0</v>
      </c>
      <c r="L2341" s="7">
        <v>681.26499999999999</v>
      </c>
      <c r="M2341" s="7">
        <v>679.68</v>
      </c>
      <c r="N2341" s="7">
        <v>681.26499999999999</v>
      </c>
      <c r="O2341" s="7">
        <v>681.26499999999999</v>
      </c>
      <c r="P2341" s="7">
        <v>679.68</v>
      </c>
      <c r="Q2341">
        <v>1</v>
      </c>
      <c r="R2341">
        <v>0</v>
      </c>
      <c r="S2341" s="11">
        <v>45989.541666666664</v>
      </c>
      <c r="T2341">
        <v>27</v>
      </c>
    </row>
    <row r="2342" spans="1:20">
      <c r="A2342" s="11">
        <v>45989.416666666664</v>
      </c>
      <c r="B2342" s="11">
        <v>45989.4375</v>
      </c>
      <c r="C2342" s="10">
        <v>45989</v>
      </c>
      <c r="D2342" s="7">
        <v>681.69500000000005</v>
      </c>
      <c r="E2342" s="7">
        <v>3602503</v>
      </c>
      <c r="F2342" s="7">
        <v>3602503</v>
      </c>
      <c r="G2342" s="7">
        <v>7965086</v>
      </c>
      <c r="H2342" s="7">
        <v>681.26499999999999</v>
      </c>
      <c r="I2342" s="7">
        <v>679.68</v>
      </c>
      <c r="J2342" s="7">
        <v>14</v>
      </c>
      <c r="K2342" s="7">
        <v>1.0742476E-3</v>
      </c>
      <c r="L2342" s="7">
        <v>681.99684728839998</v>
      </c>
      <c r="M2342" s="7">
        <v>678.94985539410004</v>
      </c>
      <c r="N2342" s="7">
        <v>681.45948331</v>
      </c>
      <c r="O2342" s="7">
        <v>681.99684728839998</v>
      </c>
      <c r="P2342" s="7">
        <v>678.94985539410004</v>
      </c>
      <c r="Q2342">
        <v>1</v>
      </c>
      <c r="R2342">
        <v>0</v>
      </c>
      <c r="S2342" s="11">
        <v>45989.541666666664</v>
      </c>
      <c r="T2342">
        <v>26</v>
      </c>
    </row>
    <row r="2343" spans="1:20">
      <c r="A2343" s="11">
        <v>45989.4375</v>
      </c>
      <c r="B2343" s="11">
        <v>45989.458333333336</v>
      </c>
      <c r="C2343" s="10">
        <v>45989</v>
      </c>
      <c r="D2343" s="7">
        <v>682.47</v>
      </c>
      <c r="E2343" s="7">
        <v>3250550</v>
      </c>
      <c r="F2343" s="7">
        <v>3250550</v>
      </c>
      <c r="G2343" s="7">
        <v>11215636</v>
      </c>
      <c r="H2343" s="7">
        <v>681.26499999999999</v>
      </c>
      <c r="I2343" s="7">
        <v>679.68</v>
      </c>
      <c r="J2343" s="7">
        <v>14</v>
      </c>
      <c r="K2343" s="7">
        <v>3.2581203999999999E-3</v>
      </c>
      <c r="L2343" s="7">
        <v>683.48464336389998</v>
      </c>
      <c r="M2343" s="7">
        <v>677.46552075689999</v>
      </c>
      <c r="N2343" s="7">
        <v>681.75235435419995</v>
      </c>
      <c r="O2343" s="7">
        <v>683.48464336389998</v>
      </c>
      <c r="P2343" s="7">
        <v>677.46552075689999</v>
      </c>
      <c r="Q2343">
        <v>1</v>
      </c>
      <c r="R2343">
        <v>0</v>
      </c>
      <c r="S2343" s="11">
        <v>45989.541666666664</v>
      </c>
      <c r="T2343">
        <v>25</v>
      </c>
    </row>
    <row r="2344" spans="1:20">
      <c r="A2344" s="11">
        <v>45989.458333333336</v>
      </c>
      <c r="B2344" s="11">
        <v>45989.479166666664</v>
      </c>
      <c r="C2344" s="10">
        <v>45989</v>
      </c>
      <c r="D2344" s="7">
        <v>682.1499</v>
      </c>
      <c r="E2344" s="7">
        <v>3453564</v>
      </c>
      <c r="F2344" s="7">
        <v>3453564</v>
      </c>
      <c r="G2344" s="7">
        <v>14669200</v>
      </c>
      <c r="H2344" s="7">
        <v>681.26499999999999</v>
      </c>
      <c r="I2344" s="7">
        <v>679.68</v>
      </c>
      <c r="J2344" s="7">
        <v>14</v>
      </c>
      <c r="K2344" s="7">
        <v>4.7420841000000002E-3</v>
      </c>
      <c r="L2344" s="7">
        <v>684.49561590079998</v>
      </c>
      <c r="M2344" s="7">
        <v>676.4569003025</v>
      </c>
      <c r="N2344" s="7">
        <v>681.84594836960002</v>
      </c>
      <c r="O2344" s="7">
        <v>684.49561590079998</v>
      </c>
      <c r="P2344" s="7">
        <v>676.4569003025</v>
      </c>
      <c r="Q2344">
        <v>1</v>
      </c>
      <c r="R2344">
        <v>0</v>
      </c>
      <c r="S2344" s="11">
        <v>45989.541666666664</v>
      </c>
      <c r="T2344">
        <v>24</v>
      </c>
    </row>
    <row r="2345" spans="1:20">
      <c r="A2345" s="11">
        <v>45989.479166666664</v>
      </c>
      <c r="B2345" s="11">
        <v>45989.5</v>
      </c>
      <c r="C2345" s="10">
        <v>45989</v>
      </c>
      <c r="D2345" s="7">
        <v>682.72</v>
      </c>
      <c r="E2345" s="7">
        <v>3460775</v>
      </c>
      <c r="F2345" s="7">
        <v>3460775</v>
      </c>
      <c r="G2345" s="7">
        <v>18129975</v>
      </c>
      <c r="H2345" s="7">
        <v>681.26499999999999</v>
      </c>
      <c r="I2345" s="7">
        <v>679.68</v>
      </c>
      <c r="J2345" s="7">
        <v>14</v>
      </c>
      <c r="K2345" s="7">
        <v>6.0143591E-3</v>
      </c>
      <c r="L2345" s="7">
        <v>685.36237232489998</v>
      </c>
      <c r="M2345" s="7">
        <v>675.59216043419997</v>
      </c>
      <c r="N2345" s="7">
        <v>682.01279338899997</v>
      </c>
      <c r="O2345" s="7">
        <v>685.36237232489998</v>
      </c>
      <c r="P2345" s="7">
        <v>675.59216043419997</v>
      </c>
      <c r="Q2345">
        <v>1</v>
      </c>
      <c r="R2345">
        <v>0</v>
      </c>
      <c r="S2345" s="11">
        <v>45989.541666666664</v>
      </c>
      <c r="T2345">
        <v>23</v>
      </c>
    </row>
    <row r="2346" spans="1:20">
      <c r="A2346" s="11">
        <v>45989.5</v>
      </c>
      <c r="B2346" s="11">
        <v>45989.520833333336</v>
      </c>
      <c r="C2346" s="10">
        <v>45989</v>
      </c>
      <c r="D2346" s="7">
        <v>682.22</v>
      </c>
      <c r="E2346" s="7">
        <v>3330290</v>
      </c>
      <c r="F2346" s="7">
        <v>3330290</v>
      </c>
      <c r="G2346" s="7">
        <v>21460265</v>
      </c>
      <c r="H2346" s="7">
        <v>681.26499999999999</v>
      </c>
      <c r="I2346" s="7">
        <v>679.68</v>
      </c>
      <c r="J2346" s="7">
        <v>14</v>
      </c>
      <c r="K2346" s="7">
        <v>5.7820236000000001E-3</v>
      </c>
      <c r="L2346" s="7">
        <v>685.20409029029997</v>
      </c>
      <c r="M2346" s="7">
        <v>675.75007421700002</v>
      </c>
      <c r="N2346" s="7">
        <v>682.04494854200004</v>
      </c>
      <c r="O2346" s="7">
        <v>685.20409029029997</v>
      </c>
      <c r="P2346" s="7">
        <v>675.75007421700002</v>
      </c>
      <c r="Q2346">
        <v>1</v>
      </c>
      <c r="R2346">
        <v>0</v>
      </c>
      <c r="S2346" s="11">
        <v>45989.541666666664</v>
      </c>
      <c r="T2346">
        <v>22</v>
      </c>
    </row>
    <row r="2347" spans="1:20">
      <c r="A2347" s="11">
        <v>45989.520833333336</v>
      </c>
      <c r="B2347" s="11">
        <v>45989.541666666664</v>
      </c>
      <c r="C2347" s="10">
        <v>45989</v>
      </c>
      <c r="D2347" s="7">
        <v>683.39</v>
      </c>
      <c r="E2347" s="7">
        <v>10363832</v>
      </c>
      <c r="F2347" s="7">
        <v>10363832</v>
      </c>
      <c r="G2347" s="7">
        <v>31824097</v>
      </c>
      <c r="H2347" s="7">
        <v>681.26499999999999</v>
      </c>
      <c r="I2347" s="7">
        <v>679.68</v>
      </c>
      <c r="J2347" s="7">
        <v>14</v>
      </c>
      <c r="K2347" s="7">
        <v>6.9019312000000001E-3</v>
      </c>
      <c r="L2347" s="7">
        <v>685.96704419210005</v>
      </c>
      <c r="M2347" s="7">
        <v>674.98889536889999</v>
      </c>
      <c r="N2347" s="7">
        <v>682.48297785490001</v>
      </c>
      <c r="O2347" s="7">
        <v>685.96704419210005</v>
      </c>
      <c r="P2347" s="7">
        <v>674.98889536889999</v>
      </c>
      <c r="Q2347">
        <v>1</v>
      </c>
      <c r="R2347">
        <v>1</v>
      </c>
      <c r="S2347" s="11">
        <v>45989.541666666664</v>
      </c>
      <c r="T2347">
        <v>21</v>
      </c>
    </row>
    <row r="2348" spans="1:20">
      <c r="A2348" s="11">
        <v>45992.395833333336</v>
      </c>
      <c r="B2348" s="11">
        <v>45992.416666666664</v>
      </c>
      <c r="C2348" s="10">
        <v>45992</v>
      </c>
      <c r="D2348" s="7">
        <v>681.55</v>
      </c>
      <c r="E2348" s="7">
        <v>6398375</v>
      </c>
      <c r="F2348" s="7">
        <v>6398375</v>
      </c>
      <c r="G2348" s="7">
        <v>6398375</v>
      </c>
      <c r="H2348" s="7">
        <v>681.55</v>
      </c>
      <c r="I2348" s="7">
        <v>683.39</v>
      </c>
      <c r="J2348" s="7">
        <v>14</v>
      </c>
      <c r="K2348" s="7">
        <v>0</v>
      </c>
      <c r="L2348" s="7">
        <v>683.39</v>
      </c>
      <c r="M2348" s="7">
        <v>681.55</v>
      </c>
      <c r="N2348" s="7">
        <v>681.55</v>
      </c>
      <c r="O2348" s="7">
        <v>683.39</v>
      </c>
      <c r="P2348" s="7">
        <v>681.55</v>
      </c>
      <c r="Q2348">
        <v>1</v>
      </c>
      <c r="R2348">
        <v>0</v>
      </c>
      <c r="S2348" s="11">
        <v>45992.666666666664</v>
      </c>
      <c r="T2348">
        <v>15</v>
      </c>
    </row>
    <row r="2349" spans="1:20">
      <c r="A2349" s="11">
        <v>45992.416666666664</v>
      </c>
      <c r="B2349" s="11">
        <v>45992.4375</v>
      </c>
      <c r="C2349" s="10">
        <v>45992</v>
      </c>
      <c r="D2349" s="7">
        <v>679.67499999999995</v>
      </c>
      <c r="E2349" s="7">
        <v>3953647</v>
      </c>
      <c r="F2349" s="7">
        <v>3953647</v>
      </c>
      <c r="G2349" s="7">
        <v>10352022</v>
      </c>
      <c r="H2349" s="7">
        <v>681.55</v>
      </c>
      <c r="I2349" s="7">
        <v>683.39</v>
      </c>
      <c r="J2349" s="7">
        <v>14</v>
      </c>
      <c r="K2349" s="7">
        <v>1.0694863E-3</v>
      </c>
      <c r="L2349" s="7">
        <v>684.12087625230004</v>
      </c>
      <c r="M2349" s="7">
        <v>680.82109160259995</v>
      </c>
      <c r="N2349" s="7">
        <v>680.83389950050002</v>
      </c>
      <c r="O2349" s="7">
        <v>684.12087625230004</v>
      </c>
      <c r="P2349" s="7">
        <v>680.82109160259995</v>
      </c>
      <c r="Q2349">
        <v>1</v>
      </c>
      <c r="R2349">
        <v>0</v>
      </c>
      <c r="S2349" s="11">
        <v>45992.666666666664</v>
      </c>
      <c r="T2349">
        <v>14</v>
      </c>
    </row>
    <row r="2350" spans="1:20">
      <c r="A2350" s="11">
        <v>45992.4375</v>
      </c>
      <c r="B2350" s="11">
        <v>45992.458333333336</v>
      </c>
      <c r="C2350" s="10">
        <v>45992</v>
      </c>
      <c r="D2350" s="7">
        <v>681.73</v>
      </c>
      <c r="E2350" s="7">
        <v>3181322</v>
      </c>
      <c r="F2350" s="7">
        <v>3181322</v>
      </c>
      <c r="G2350" s="7">
        <v>13533344</v>
      </c>
      <c r="H2350" s="7">
        <v>681.55</v>
      </c>
      <c r="I2350" s="7">
        <v>683.39</v>
      </c>
      <c r="J2350" s="7">
        <v>14</v>
      </c>
      <c r="K2350" s="7">
        <v>3.0644851000000001E-3</v>
      </c>
      <c r="L2350" s="7">
        <v>685.48423849849996</v>
      </c>
      <c r="M2350" s="7">
        <v>679.46140015419996</v>
      </c>
      <c r="N2350" s="7">
        <v>681.04454841580002</v>
      </c>
      <c r="O2350" s="7">
        <v>685.48423849849996</v>
      </c>
      <c r="P2350" s="7">
        <v>679.46140015419996</v>
      </c>
      <c r="Q2350">
        <v>1</v>
      </c>
      <c r="R2350">
        <v>0</v>
      </c>
      <c r="S2350" s="11">
        <v>45992.666666666664</v>
      </c>
      <c r="T2350">
        <v>13</v>
      </c>
    </row>
    <row r="2351" spans="1:20">
      <c r="A2351" s="11">
        <v>45992.458333333336</v>
      </c>
      <c r="B2351" s="11">
        <v>45992.479166666664</v>
      </c>
      <c r="C2351" s="10">
        <v>45992</v>
      </c>
      <c r="D2351" s="7">
        <v>681.11</v>
      </c>
      <c r="E2351" s="7">
        <v>1802813</v>
      </c>
      <c r="F2351" s="7">
        <v>1802813</v>
      </c>
      <c r="G2351" s="7">
        <v>15336157</v>
      </c>
      <c r="H2351" s="7">
        <v>681.55</v>
      </c>
      <c r="I2351" s="7">
        <v>683.39</v>
      </c>
      <c r="J2351" s="7">
        <v>14</v>
      </c>
      <c r="K2351" s="7">
        <v>4.4505706000000003E-3</v>
      </c>
      <c r="L2351" s="7">
        <v>686.43147543249995</v>
      </c>
      <c r="M2351" s="7">
        <v>678.5167136174</v>
      </c>
      <c r="N2351" s="7">
        <v>681.05224245320005</v>
      </c>
      <c r="O2351" s="7">
        <v>686.43147543249995</v>
      </c>
      <c r="P2351" s="7">
        <v>678.5167136174</v>
      </c>
      <c r="Q2351">
        <v>1</v>
      </c>
      <c r="R2351">
        <v>0</v>
      </c>
      <c r="S2351" s="11">
        <v>45992.666666666664</v>
      </c>
      <c r="T2351">
        <v>12</v>
      </c>
    </row>
    <row r="2352" spans="1:20">
      <c r="A2352" s="11">
        <v>45992.479166666664</v>
      </c>
      <c r="B2352" s="11">
        <v>45992.5</v>
      </c>
      <c r="C2352" s="10">
        <v>45992</v>
      </c>
      <c r="D2352" s="7">
        <v>681.93</v>
      </c>
      <c r="E2352" s="7">
        <v>1954095</v>
      </c>
      <c r="F2352" s="7">
        <v>1954095</v>
      </c>
      <c r="G2352" s="7">
        <v>17290252</v>
      </c>
      <c r="H2352" s="7">
        <v>681.55</v>
      </c>
      <c r="I2352" s="7">
        <v>683.39</v>
      </c>
      <c r="J2352" s="7">
        <v>14</v>
      </c>
      <c r="K2352" s="7">
        <v>5.7043668E-3</v>
      </c>
      <c r="L2352" s="7">
        <v>687.28830722450004</v>
      </c>
      <c r="M2352" s="7">
        <v>677.66218881040004</v>
      </c>
      <c r="N2352" s="7">
        <v>681.15144410940002</v>
      </c>
      <c r="O2352" s="7">
        <v>687.28830722450004</v>
      </c>
      <c r="P2352" s="7">
        <v>677.66218881040004</v>
      </c>
      <c r="Q2352">
        <v>1</v>
      </c>
      <c r="R2352">
        <v>0</v>
      </c>
      <c r="S2352" s="11">
        <v>45992.666666666664</v>
      </c>
      <c r="T2352">
        <v>11</v>
      </c>
    </row>
    <row r="2353" spans="1:20">
      <c r="A2353" s="11">
        <v>45992.5</v>
      </c>
      <c r="B2353" s="11">
        <v>45992.520833333336</v>
      </c>
      <c r="C2353" s="10">
        <v>45992</v>
      </c>
      <c r="D2353" s="7">
        <v>682.01</v>
      </c>
      <c r="E2353" s="7">
        <v>1516606</v>
      </c>
      <c r="F2353" s="7">
        <v>1516606</v>
      </c>
      <c r="G2353" s="7">
        <v>18806858</v>
      </c>
      <c r="H2353" s="7">
        <v>681.55</v>
      </c>
      <c r="I2353" s="7">
        <v>683.39</v>
      </c>
      <c r="J2353" s="7">
        <v>14</v>
      </c>
      <c r="K2353" s="7">
        <v>5.5771839000000002E-3</v>
      </c>
      <c r="L2353" s="7">
        <v>687.20139167490004</v>
      </c>
      <c r="M2353" s="7">
        <v>677.74887034339997</v>
      </c>
      <c r="N2353" s="7">
        <v>681.22067901369996</v>
      </c>
      <c r="O2353" s="7">
        <v>687.20139167490004</v>
      </c>
      <c r="P2353" s="7">
        <v>677.74887034339997</v>
      </c>
      <c r="Q2353">
        <v>1</v>
      </c>
      <c r="R2353">
        <v>0</v>
      </c>
      <c r="S2353" s="11">
        <v>45992.666666666664</v>
      </c>
      <c r="T2353">
        <v>10</v>
      </c>
    </row>
    <row r="2354" spans="1:20">
      <c r="A2354" s="11">
        <v>45992.520833333336</v>
      </c>
      <c r="B2354" s="11">
        <v>45992.541666666664</v>
      </c>
      <c r="C2354" s="10">
        <v>45992</v>
      </c>
      <c r="D2354" s="7">
        <v>682.005</v>
      </c>
      <c r="E2354" s="7">
        <v>1374588</v>
      </c>
      <c r="F2354" s="7">
        <v>1374588</v>
      </c>
      <c r="G2354" s="7">
        <v>20181446</v>
      </c>
      <c r="H2354" s="7">
        <v>681.55</v>
      </c>
      <c r="I2354" s="7">
        <v>683.39</v>
      </c>
      <c r="J2354" s="7">
        <v>14</v>
      </c>
      <c r="K2354" s="7">
        <v>6.868E-3</v>
      </c>
      <c r="L2354" s="7">
        <v>688.08352255119996</v>
      </c>
      <c r="M2354" s="7">
        <v>676.86911456890005</v>
      </c>
      <c r="N2354" s="7">
        <v>681.27410027090002</v>
      </c>
      <c r="O2354" s="7">
        <v>688.08352255119996</v>
      </c>
      <c r="P2354" s="7">
        <v>676.86911456890005</v>
      </c>
      <c r="Q2354">
        <v>1</v>
      </c>
      <c r="R2354">
        <v>0</v>
      </c>
      <c r="S2354" s="11">
        <v>45992.666666666664</v>
      </c>
      <c r="T2354">
        <v>9</v>
      </c>
    </row>
    <row r="2355" spans="1:20">
      <c r="A2355" s="11">
        <v>45992.541666666664</v>
      </c>
      <c r="B2355" s="11">
        <v>45992.5625</v>
      </c>
      <c r="C2355" s="10">
        <v>45992</v>
      </c>
      <c r="D2355" s="7">
        <v>682.49</v>
      </c>
      <c r="E2355" s="7">
        <v>1345902</v>
      </c>
      <c r="F2355" s="7">
        <v>1345902</v>
      </c>
      <c r="G2355" s="7">
        <v>21527348</v>
      </c>
      <c r="H2355" s="7">
        <v>681.55</v>
      </c>
      <c r="I2355" s="7">
        <v>683.39</v>
      </c>
      <c r="J2355" s="7">
        <v>13</v>
      </c>
      <c r="K2355" s="7">
        <v>6.9629067000000003E-3</v>
      </c>
      <c r="L2355" s="7">
        <v>688.1483808099</v>
      </c>
      <c r="M2355" s="7">
        <v>676.80443093839995</v>
      </c>
      <c r="N2355" s="7">
        <v>681.35011901120004</v>
      </c>
      <c r="O2355" s="7">
        <v>688.1483808099</v>
      </c>
      <c r="P2355" s="7">
        <v>676.80443093839995</v>
      </c>
      <c r="Q2355">
        <v>1</v>
      </c>
      <c r="R2355">
        <v>0</v>
      </c>
      <c r="S2355" s="11">
        <v>45992.666666666664</v>
      </c>
      <c r="T2355">
        <v>8</v>
      </c>
    </row>
    <row r="2356" spans="1:20">
      <c r="A2356" s="11">
        <v>45992.5625</v>
      </c>
      <c r="B2356" s="11">
        <v>45992.583333333336</v>
      </c>
      <c r="C2356" s="10">
        <v>45992</v>
      </c>
      <c r="D2356" s="7">
        <v>682.81500000000005</v>
      </c>
      <c r="E2356" s="7">
        <v>1582845</v>
      </c>
      <c r="F2356" s="7">
        <v>1582845</v>
      </c>
      <c r="G2356" s="7">
        <v>23110193</v>
      </c>
      <c r="H2356" s="7">
        <v>681.55</v>
      </c>
      <c r="I2356" s="7">
        <v>683.39</v>
      </c>
      <c r="J2356" s="7">
        <v>13</v>
      </c>
      <c r="K2356" s="7">
        <v>7.9221750999999997E-3</v>
      </c>
      <c r="L2356" s="7">
        <v>688.80393525880004</v>
      </c>
      <c r="M2356" s="7">
        <v>676.15064154339996</v>
      </c>
      <c r="N2356" s="7">
        <v>681.45045047739995</v>
      </c>
      <c r="O2356" s="7">
        <v>688.80393525880004</v>
      </c>
      <c r="P2356" s="7">
        <v>676.15064154339996</v>
      </c>
      <c r="Q2356">
        <v>1</v>
      </c>
      <c r="R2356">
        <v>0</v>
      </c>
      <c r="S2356" s="11">
        <v>45992.666666666664</v>
      </c>
      <c r="T2356">
        <v>7</v>
      </c>
    </row>
    <row r="2357" spans="1:20">
      <c r="A2357" s="11">
        <v>45992.583333333336</v>
      </c>
      <c r="B2357" s="11">
        <v>45992.604166666664</v>
      </c>
      <c r="C2357" s="10">
        <v>45992</v>
      </c>
      <c r="D2357" s="7">
        <v>680.49</v>
      </c>
      <c r="E2357" s="7">
        <v>3145771</v>
      </c>
      <c r="F2357" s="7">
        <v>3145771</v>
      </c>
      <c r="G2357" s="7">
        <v>26255964</v>
      </c>
      <c r="H2357" s="7">
        <v>681.55</v>
      </c>
      <c r="I2357" s="7">
        <v>683.39</v>
      </c>
      <c r="J2357" s="7">
        <v>13</v>
      </c>
      <c r="K2357" s="7">
        <v>8.5699842000000002E-3</v>
      </c>
      <c r="L2357" s="7">
        <v>689.24664152100002</v>
      </c>
      <c r="M2357" s="7">
        <v>675.70912725000005</v>
      </c>
      <c r="N2357" s="7">
        <v>681.33537729789998</v>
      </c>
      <c r="O2357" s="7">
        <v>689.24664152100002</v>
      </c>
      <c r="P2357" s="7">
        <v>675.70912725000005</v>
      </c>
      <c r="Q2357">
        <v>1</v>
      </c>
      <c r="R2357">
        <v>0</v>
      </c>
      <c r="S2357" s="11">
        <v>45992.666666666664</v>
      </c>
      <c r="T2357">
        <v>6</v>
      </c>
    </row>
    <row r="2358" spans="1:20">
      <c r="A2358" s="11">
        <v>45992.604166666664</v>
      </c>
      <c r="B2358" s="11">
        <v>45992.625</v>
      </c>
      <c r="C2358" s="10">
        <v>45992</v>
      </c>
      <c r="D2358" s="7">
        <v>680.14</v>
      </c>
      <c r="E2358" s="7">
        <v>3033602</v>
      </c>
      <c r="F2358" s="7">
        <v>3033602</v>
      </c>
      <c r="G2358" s="7">
        <v>29289566</v>
      </c>
      <c r="H2358" s="7">
        <v>681.55</v>
      </c>
      <c r="I2358" s="7">
        <v>683.39</v>
      </c>
      <c r="J2358" s="7">
        <v>13</v>
      </c>
      <c r="K2358" s="7">
        <v>8.8187730000000002E-3</v>
      </c>
      <c r="L2358" s="7">
        <v>689.41666127710005</v>
      </c>
      <c r="M2358" s="7">
        <v>675.53956526529998</v>
      </c>
      <c r="N2358" s="7">
        <v>681.2115687388</v>
      </c>
      <c r="O2358" s="7">
        <v>689.41666127710005</v>
      </c>
      <c r="P2358" s="7">
        <v>675.53956526529998</v>
      </c>
      <c r="Q2358">
        <v>1</v>
      </c>
      <c r="R2358">
        <v>0</v>
      </c>
      <c r="S2358" s="11">
        <v>45992.666666666664</v>
      </c>
      <c r="T2358">
        <v>5</v>
      </c>
    </row>
    <row r="2359" spans="1:20">
      <c r="A2359" s="11">
        <v>45992.625</v>
      </c>
      <c r="B2359" s="11">
        <v>45992.645833333336</v>
      </c>
      <c r="C2359" s="10">
        <v>45992</v>
      </c>
      <c r="D2359" s="7">
        <v>680.76499999999999</v>
      </c>
      <c r="E2359" s="7">
        <v>2548565</v>
      </c>
      <c r="F2359" s="7">
        <v>2548565</v>
      </c>
      <c r="G2359" s="7">
        <v>31838131</v>
      </c>
      <c r="H2359" s="7">
        <v>681.55</v>
      </c>
      <c r="I2359" s="7">
        <v>683.39</v>
      </c>
      <c r="J2359" s="7">
        <v>13</v>
      </c>
      <c r="K2359" s="7">
        <v>7.9092164999999999E-3</v>
      </c>
      <c r="L2359" s="7">
        <v>688.79507945620003</v>
      </c>
      <c r="M2359" s="7">
        <v>676.15947350210001</v>
      </c>
      <c r="N2359" s="7">
        <v>681.17582199670005</v>
      </c>
      <c r="O2359" s="7">
        <v>688.79507945620003</v>
      </c>
      <c r="P2359" s="7">
        <v>676.15947350210001</v>
      </c>
      <c r="Q2359">
        <v>1</v>
      </c>
      <c r="R2359">
        <v>0</v>
      </c>
      <c r="S2359" s="11">
        <v>45992.666666666664</v>
      </c>
      <c r="T2359">
        <v>4</v>
      </c>
    </row>
    <row r="2360" spans="1:20">
      <c r="A2360" s="11">
        <v>45992.645833333336</v>
      </c>
      <c r="B2360" s="11">
        <v>45992.666666666664</v>
      </c>
      <c r="C2360" s="10">
        <v>45992</v>
      </c>
      <c r="D2360" s="7">
        <v>680.27</v>
      </c>
      <c r="E2360" s="7">
        <v>12550585</v>
      </c>
      <c r="F2360" s="7">
        <v>12550585</v>
      </c>
      <c r="G2360" s="7">
        <v>44388716</v>
      </c>
      <c r="H2360" s="7">
        <v>681.55</v>
      </c>
      <c r="I2360" s="7">
        <v>683.39</v>
      </c>
      <c r="J2360" s="7">
        <v>13</v>
      </c>
      <c r="K2360" s="7">
        <v>7.6990438000000003E-3</v>
      </c>
      <c r="L2360" s="7">
        <v>688.6514495701</v>
      </c>
      <c r="M2360" s="7">
        <v>676.30271667049999</v>
      </c>
      <c r="N2360" s="7">
        <v>680.91970744809998</v>
      </c>
      <c r="O2360" s="7">
        <v>688.6514495701</v>
      </c>
      <c r="P2360" s="7">
        <v>676.30271667049999</v>
      </c>
      <c r="Q2360">
        <v>1</v>
      </c>
      <c r="R2360">
        <v>1</v>
      </c>
      <c r="S2360" s="11">
        <v>45992.666666666664</v>
      </c>
      <c r="T2360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8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4"/>
  <cols>
    <col min="1" max="1" width="15" customWidth="1"/>
    <col min="2" max="2" width="12" customWidth="1"/>
    <col min="3" max="3" width="15" customWidth="1"/>
    <col min="4" max="5" width="18" customWidth="1"/>
    <col min="6" max="7" width="20" customWidth="1"/>
    <col min="8" max="9" width="21" customWidth="1"/>
    <col min="10" max="10" width="22" customWidth="1"/>
  </cols>
  <sheetData>
    <row r="1" spans="1:22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" customHeight="1">
      <c r="A2" s="2" t="s">
        <v>126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2" customHeight="1">
      <c r="A3" s="3" t="s">
        <v>127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38" customHeight="1">
      <c r="A6" s="5" t="s">
        <v>128</v>
      </c>
      <c r="B6" s="5" t="s">
        <v>129</v>
      </c>
      <c r="C6" s="5" t="s">
        <v>130</v>
      </c>
      <c r="D6" s="5" t="s">
        <v>119</v>
      </c>
      <c r="E6" s="5" t="s">
        <v>131</v>
      </c>
      <c r="F6" s="5" t="s">
        <v>132</v>
      </c>
      <c r="G6" s="5" t="s">
        <v>133</v>
      </c>
      <c r="H6" s="5" t="s">
        <v>134</v>
      </c>
      <c r="I6" s="5" t="s">
        <v>113</v>
      </c>
      <c r="J6" s="5" t="s">
        <v>114</v>
      </c>
    </row>
    <row r="7" spans="1:22">
      <c r="A7" s="10">
        <v>45749</v>
      </c>
      <c r="B7" t="s">
        <v>135</v>
      </c>
      <c r="C7" s="10">
        <v>45729</v>
      </c>
      <c r="D7" s="7">
        <v>549.94529999999997</v>
      </c>
      <c r="E7" s="7">
        <v>549.42589999999996</v>
      </c>
      <c r="F7" s="12">
        <f t="shared" ref="F7:F20" si="0">ABS(E7/D7-1)</f>
        <v>9.4445756696170946E-4</v>
      </c>
      <c r="G7" t="s">
        <v>136</v>
      </c>
      <c r="H7" t="s">
        <v>137</v>
      </c>
      <c r="I7" s="11">
        <v>45729.458333333336</v>
      </c>
      <c r="J7" s="11">
        <v>45729.479166666664</v>
      </c>
    </row>
    <row r="8" spans="1:22">
      <c r="A8" s="10">
        <v>45749</v>
      </c>
      <c r="B8" t="s">
        <v>135</v>
      </c>
      <c r="C8" s="10">
        <v>45730</v>
      </c>
      <c r="D8" s="7">
        <v>552.07280000000003</v>
      </c>
      <c r="E8" s="7">
        <v>556.20680000000004</v>
      </c>
      <c r="F8" s="12">
        <f t="shared" si="0"/>
        <v>7.4881428681146112E-3</v>
      </c>
      <c r="G8" t="s">
        <v>138</v>
      </c>
      <c r="H8" t="s">
        <v>139</v>
      </c>
      <c r="I8" s="11">
        <v>45730.458333333336</v>
      </c>
      <c r="J8" s="11">
        <v>45730.479166666664</v>
      </c>
    </row>
    <row r="9" spans="1:22">
      <c r="A9" s="10">
        <v>45749</v>
      </c>
      <c r="B9" t="s">
        <v>135</v>
      </c>
      <c r="C9" s="10">
        <v>45733</v>
      </c>
      <c r="D9" s="7">
        <v>560.50390000000004</v>
      </c>
      <c r="E9" s="7">
        <v>559.1558</v>
      </c>
      <c r="F9" s="12">
        <f t="shared" si="0"/>
        <v>2.4051572165689761E-3</v>
      </c>
      <c r="G9" t="s">
        <v>140</v>
      </c>
      <c r="H9" t="s">
        <v>141</v>
      </c>
      <c r="I9" s="11">
        <v>45733.458333333336</v>
      </c>
      <c r="J9" s="11">
        <v>45733.479166666664</v>
      </c>
    </row>
    <row r="10" spans="1:22">
      <c r="A10" s="10">
        <v>45749</v>
      </c>
      <c r="B10" t="s">
        <v>135</v>
      </c>
      <c r="C10" s="10">
        <v>45734</v>
      </c>
      <c r="D10" s="7">
        <v>555.88310000000001</v>
      </c>
      <c r="E10" s="7">
        <v>554.99720000000002</v>
      </c>
      <c r="F10" s="12">
        <f t="shared" si="0"/>
        <v>1.5936803979109682E-3</v>
      </c>
      <c r="G10" t="s">
        <v>142</v>
      </c>
      <c r="H10" t="s">
        <v>143</v>
      </c>
      <c r="I10" s="11">
        <v>45734.458333333336</v>
      </c>
      <c r="J10" s="11">
        <v>45734.479166666664</v>
      </c>
    </row>
    <row r="11" spans="1:22">
      <c r="A11" s="10">
        <v>45749</v>
      </c>
      <c r="B11" t="s">
        <v>135</v>
      </c>
      <c r="C11" s="10">
        <v>45735</v>
      </c>
      <c r="D11" s="7">
        <v>559.21029999999996</v>
      </c>
      <c r="E11" s="7">
        <v>559.69600000000003</v>
      </c>
      <c r="F11" s="12">
        <f t="shared" si="0"/>
        <v>8.6854623385890228E-4</v>
      </c>
      <c r="G11" t="s">
        <v>144</v>
      </c>
      <c r="H11" t="s">
        <v>145</v>
      </c>
      <c r="I11" s="11">
        <v>45735.458333333336</v>
      </c>
      <c r="J11" s="11">
        <v>45735.479166666664</v>
      </c>
    </row>
    <row r="12" spans="1:22">
      <c r="A12" s="10">
        <v>45749</v>
      </c>
      <c r="B12" t="s">
        <v>135</v>
      </c>
      <c r="C12" s="10">
        <v>45736</v>
      </c>
      <c r="D12" s="7">
        <v>561.68849999999998</v>
      </c>
      <c r="E12" s="7">
        <v>563.96860000000004</v>
      </c>
      <c r="F12" s="12">
        <f t="shared" si="0"/>
        <v>4.0593674251832024E-3</v>
      </c>
      <c r="G12" t="s">
        <v>146</v>
      </c>
      <c r="H12" t="s">
        <v>147</v>
      </c>
      <c r="I12" s="11">
        <v>45736.458333333336</v>
      </c>
      <c r="J12" s="11">
        <v>45736.479166666664</v>
      </c>
    </row>
    <row r="13" spans="1:22">
      <c r="A13" s="10">
        <v>45749</v>
      </c>
      <c r="B13" t="s">
        <v>135</v>
      </c>
      <c r="C13" s="10">
        <v>45737</v>
      </c>
      <c r="D13" s="7">
        <v>556.73649999999998</v>
      </c>
      <c r="E13" s="7">
        <v>556.61659999999995</v>
      </c>
      <c r="F13" s="12">
        <f t="shared" si="0"/>
        <v>2.1536220456186417E-4</v>
      </c>
      <c r="G13" t="s">
        <v>148</v>
      </c>
      <c r="H13" t="s">
        <v>149</v>
      </c>
      <c r="I13" s="11">
        <v>45737.458333333336</v>
      </c>
      <c r="J13" s="11">
        <v>45737.479166666664</v>
      </c>
    </row>
    <row r="14" spans="1:22">
      <c r="A14" s="10">
        <v>45749</v>
      </c>
      <c r="B14" t="s">
        <v>135</v>
      </c>
      <c r="C14" s="10">
        <v>45740</v>
      </c>
      <c r="D14" s="7">
        <v>569.52750000000003</v>
      </c>
      <c r="E14" s="7">
        <v>570.46709999999996</v>
      </c>
      <c r="F14" s="12">
        <f t="shared" si="0"/>
        <v>1.649788640583516E-3</v>
      </c>
      <c r="G14" t="s">
        <v>150</v>
      </c>
      <c r="H14" t="s">
        <v>151</v>
      </c>
      <c r="I14" s="11">
        <v>45740.458333333336</v>
      </c>
      <c r="J14" s="11">
        <v>45740.479166666664</v>
      </c>
    </row>
    <row r="15" spans="1:22">
      <c r="A15" s="10">
        <v>45749</v>
      </c>
      <c r="B15" t="s">
        <v>135</v>
      </c>
      <c r="C15" s="10">
        <v>45741</v>
      </c>
      <c r="D15" s="7">
        <v>571.42660000000001</v>
      </c>
      <c r="E15" s="7">
        <v>572.41600000000005</v>
      </c>
      <c r="F15" s="12">
        <f t="shared" si="0"/>
        <v>1.7314559735230883E-3</v>
      </c>
      <c r="G15" t="s">
        <v>152</v>
      </c>
      <c r="H15" t="s">
        <v>153</v>
      </c>
      <c r="I15" s="11">
        <v>45741.458333333336</v>
      </c>
      <c r="J15" s="11">
        <v>45741.479166666664</v>
      </c>
    </row>
    <row r="16" spans="1:22">
      <c r="A16" s="10">
        <v>45749</v>
      </c>
      <c r="B16" t="s">
        <v>135</v>
      </c>
      <c r="C16" s="10">
        <v>45742</v>
      </c>
      <c r="D16" s="7">
        <v>570.25130000000001</v>
      </c>
      <c r="E16" s="7">
        <v>569.0453</v>
      </c>
      <c r="F16" s="12">
        <f t="shared" si="0"/>
        <v>2.1148570814306655E-3</v>
      </c>
      <c r="G16" t="s">
        <v>154</v>
      </c>
      <c r="H16" t="s">
        <v>155</v>
      </c>
      <c r="I16" s="11">
        <v>45742.458333333336</v>
      </c>
      <c r="J16" s="11">
        <v>45742.479166666664</v>
      </c>
    </row>
    <row r="17" spans="1:10">
      <c r="A17" s="10">
        <v>45749</v>
      </c>
      <c r="B17" t="s">
        <v>135</v>
      </c>
      <c r="C17" s="10">
        <v>45743</v>
      </c>
      <c r="D17" s="7">
        <v>565.09299999999996</v>
      </c>
      <c r="E17" s="7">
        <v>566.61919999999998</v>
      </c>
      <c r="F17" s="12">
        <f t="shared" si="0"/>
        <v>2.7007943825176906E-3</v>
      </c>
      <c r="G17" t="s">
        <v>156</v>
      </c>
      <c r="H17" t="s">
        <v>157</v>
      </c>
      <c r="I17" s="11">
        <v>45743.458333333336</v>
      </c>
      <c r="J17" s="11">
        <v>45743.479166666664</v>
      </c>
    </row>
    <row r="18" spans="1:10">
      <c r="A18" s="10">
        <v>45749</v>
      </c>
      <c r="B18" t="s">
        <v>135</v>
      </c>
      <c r="C18" s="10">
        <v>45744</v>
      </c>
      <c r="D18" s="7">
        <v>559.87789999999995</v>
      </c>
      <c r="E18" s="7">
        <v>555.70180000000005</v>
      </c>
      <c r="F18" s="12">
        <f t="shared" si="0"/>
        <v>7.4589477455707653E-3</v>
      </c>
      <c r="G18" t="s">
        <v>158</v>
      </c>
      <c r="H18" t="s">
        <v>159</v>
      </c>
      <c r="I18" s="11">
        <v>45744.458333333336</v>
      </c>
      <c r="J18" s="11">
        <v>45744.479166666664</v>
      </c>
    </row>
    <row r="19" spans="1:10">
      <c r="A19" s="10">
        <v>45749</v>
      </c>
      <c r="B19" t="s">
        <v>135</v>
      </c>
      <c r="C19" s="10">
        <v>45747</v>
      </c>
      <c r="D19" s="7">
        <v>546.58910000000003</v>
      </c>
      <c r="E19" s="7">
        <v>549.3184</v>
      </c>
      <c r="F19" s="12">
        <f t="shared" si="0"/>
        <v>4.9933304560958458E-3</v>
      </c>
      <c r="G19" t="s">
        <v>160</v>
      </c>
      <c r="H19" t="s">
        <v>161</v>
      </c>
      <c r="I19" s="11">
        <v>45747.458333333336</v>
      </c>
      <c r="J19" s="11">
        <v>45747.479166666664</v>
      </c>
    </row>
    <row r="20" spans="1:10">
      <c r="A20" s="10">
        <v>45749</v>
      </c>
      <c r="B20" t="s">
        <v>135</v>
      </c>
      <c r="C20" s="10">
        <v>45748</v>
      </c>
      <c r="D20" s="7">
        <v>554.02149999999995</v>
      </c>
      <c r="E20" s="7">
        <v>557.58109999999999</v>
      </c>
      <c r="F20" s="12">
        <f t="shared" si="0"/>
        <v>6.4250214116239324E-3</v>
      </c>
      <c r="G20" t="s">
        <v>162</v>
      </c>
      <c r="H20" t="s">
        <v>163</v>
      </c>
      <c r="I20" s="11">
        <v>45748.458333333336</v>
      </c>
      <c r="J20" s="11">
        <v>45748.479166666664</v>
      </c>
    </row>
    <row r="21" spans="1:10">
      <c r="D21" s="7"/>
      <c r="E21" s="7"/>
    </row>
    <row r="22" spans="1:10">
      <c r="D22" s="7" t="s">
        <v>164</v>
      </c>
      <c r="E22" s="7">
        <f>AVERAGE(F7:F20)</f>
        <v>3.1892078288932669E-3</v>
      </c>
    </row>
    <row r="23" spans="1:10">
      <c r="D23" s="7" t="s">
        <v>165</v>
      </c>
      <c r="E23" s="7">
        <v>555.38369999999998</v>
      </c>
    </row>
    <row r="24" spans="1:10">
      <c r="D24" s="7" t="s">
        <v>166</v>
      </c>
      <c r="E24" s="7">
        <v>557.76980000000003</v>
      </c>
    </row>
    <row r="25" spans="1:10">
      <c r="D25" s="7" t="s">
        <v>167</v>
      </c>
      <c r="E25" s="7">
        <f>MAX(E23,E24)*(1+E22)</f>
        <v>559.5486438128803</v>
      </c>
    </row>
    <row r="26" spans="1:10">
      <c r="D26" s="7" t="s">
        <v>168</v>
      </c>
      <c r="E26" s="7">
        <f>MIN(E23,E24)*(1-E22)</f>
        <v>553.61246595592024</v>
      </c>
    </row>
    <row r="27" spans="1:10">
      <c r="D27" s="7" t="s">
        <v>169</v>
      </c>
      <c r="E27" s="7">
        <v>560.08669999999995</v>
      </c>
    </row>
    <row r="28" spans="1:10">
      <c r="D28" s="7" t="s">
        <v>170</v>
      </c>
      <c r="E28" s="7">
        <f>IF(E27&gt;E25,1,0)</f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9"/>
  <sheetViews>
    <sheetView showGridLines="0" zoomScale="164" workbookViewId="0">
      <pane ySplit="6" topLeftCell="A15" activePane="bottomLeft" state="frozen"/>
      <selection pane="bottomLeft" activeCell="F28" sqref="F28"/>
    </sheetView>
  </sheetViews>
  <sheetFormatPr baseColWidth="10" defaultColWidth="8.83203125" defaultRowHeight="14"/>
  <cols>
    <col min="1" max="3" width="15" customWidth="1"/>
    <col min="4" max="5" width="18" customWidth="1"/>
    <col min="6" max="6" width="19" customWidth="1"/>
    <col min="7" max="8" width="21" customWidth="1"/>
  </cols>
  <sheetData>
    <row r="1" spans="1:22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" customHeight="1">
      <c r="A2" s="2" t="s">
        <v>171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2" customHeight="1">
      <c r="A3" s="3" t="s">
        <v>172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38" customHeight="1">
      <c r="A6" s="5" t="s">
        <v>128</v>
      </c>
      <c r="B6" s="5" t="s">
        <v>173</v>
      </c>
      <c r="C6" s="5" t="s">
        <v>174</v>
      </c>
      <c r="D6" s="5" t="s">
        <v>120</v>
      </c>
      <c r="E6" s="5" t="s">
        <v>175</v>
      </c>
      <c r="F6" s="5" t="s">
        <v>176</v>
      </c>
      <c r="G6" s="5" t="s">
        <v>177</v>
      </c>
      <c r="H6" s="5" t="s">
        <v>178</v>
      </c>
    </row>
    <row r="7" spans="1:22">
      <c r="A7" s="10">
        <v>45749</v>
      </c>
      <c r="B7" s="10">
        <v>45729</v>
      </c>
      <c r="C7" s="10">
        <v>45728</v>
      </c>
      <c r="D7" s="7">
        <v>554.01580000000001</v>
      </c>
      <c r="E7" s="7">
        <v>546.63049999999998</v>
      </c>
      <c r="F7" s="12">
        <f t="shared" ref="F7:F20" si="0">E7/D7-1</f>
        <v>-1.3330486242450146E-2</v>
      </c>
      <c r="G7" t="s">
        <v>179</v>
      </c>
      <c r="H7" t="s">
        <v>180</v>
      </c>
    </row>
    <row r="8" spans="1:22">
      <c r="A8" s="10">
        <v>45749</v>
      </c>
      <c r="B8" s="10">
        <v>45730</v>
      </c>
      <c r="C8" s="10">
        <v>45729</v>
      </c>
      <c r="D8" s="7">
        <v>546.63049999999998</v>
      </c>
      <c r="E8" s="7">
        <v>557.92160000000001</v>
      </c>
      <c r="F8" s="12">
        <f t="shared" si="0"/>
        <v>2.0655817778188368E-2</v>
      </c>
      <c r="G8" t="s">
        <v>180</v>
      </c>
      <c r="H8" t="s">
        <v>181</v>
      </c>
    </row>
    <row r="9" spans="1:22">
      <c r="A9" s="10">
        <v>45749</v>
      </c>
      <c r="B9" s="10">
        <v>45733</v>
      </c>
      <c r="C9" s="10">
        <v>45730</v>
      </c>
      <c r="D9" s="7">
        <v>557.92160000000001</v>
      </c>
      <c r="E9" s="7">
        <v>562.22389999999996</v>
      </c>
      <c r="F9" s="12">
        <f t="shared" si="0"/>
        <v>7.7112985050227234E-3</v>
      </c>
      <c r="G9" t="s">
        <v>181</v>
      </c>
      <c r="H9" t="s">
        <v>182</v>
      </c>
    </row>
    <row r="10" spans="1:22">
      <c r="A10" s="10">
        <v>45749</v>
      </c>
      <c r="B10" s="10">
        <v>45734</v>
      </c>
      <c r="C10" s="10">
        <v>45733</v>
      </c>
      <c r="D10" s="7">
        <v>562.22389999999996</v>
      </c>
      <c r="E10" s="7">
        <v>556.14710000000002</v>
      </c>
      <c r="F10" s="12">
        <f t="shared" si="0"/>
        <v>-1.0808505294776616E-2</v>
      </c>
      <c r="G10" t="s">
        <v>182</v>
      </c>
      <c r="H10" t="s">
        <v>183</v>
      </c>
    </row>
    <row r="11" spans="1:22">
      <c r="A11" s="10">
        <v>45749</v>
      </c>
      <c r="B11" s="10">
        <v>45735</v>
      </c>
      <c r="C11" s="10">
        <v>45734</v>
      </c>
      <c r="D11" s="7">
        <v>556.14710000000002</v>
      </c>
      <c r="E11" s="7">
        <v>562.20399999999995</v>
      </c>
      <c r="F11" s="12">
        <f t="shared" si="0"/>
        <v>1.0890823668773919E-2</v>
      </c>
      <c r="G11" t="s">
        <v>183</v>
      </c>
      <c r="H11" t="s">
        <v>184</v>
      </c>
    </row>
    <row r="12" spans="1:22">
      <c r="A12" s="10">
        <v>45749</v>
      </c>
      <c r="B12" s="10">
        <v>45736</v>
      </c>
      <c r="C12" s="10">
        <v>45735</v>
      </c>
      <c r="D12" s="7">
        <v>562.20399999999995</v>
      </c>
      <c r="E12" s="7">
        <v>560.57830000000001</v>
      </c>
      <c r="F12" s="12">
        <f t="shared" si="0"/>
        <v>-2.8916549864460572E-3</v>
      </c>
      <c r="G12" t="s">
        <v>184</v>
      </c>
      <c r="H12" t="s">
        <v>185</v>
      </c>
    </row>
    <row r="13" spans="1:22">
      <c r="A13" s="10">
        <v>45749</v>
      </c>
      <c r="B13" s="10">
        <v>45737</v>
      </c>
      <c r="C13" s="10">
        <v>45736</v>
      </c>
      <c r="D13" s="7">
        <v>560.57830000000001</v>
      </c>
      <c r="E13" s="7">
        <v>560.76260000000002</v>
      </c>
      <c r="F13" s="12">
        <f t="shared" si="0"/>
        <v>3.287676315690824E-4</v>
      </c>
      <c r="G13" t="s">
        <v>185</v>
      </c>
      <c r="H13" t="s">
        <v>186</v>
      </c>
    </row>
    <row r="14" spans="1:22">
      <c r="A14" s="10">
        <v>45749</v>
      </c>
      <c r="B14" s="10">
        <v>45740</v>
      </c>
      <c r="C14" s="10">
        <v>45737</v>
      </c>
      <c r="D14" s="7">
        <v>560.76260000000002</v>
      </c>
      <c r="E14" s="7">
        <v>570.80489999999998</v>
      </c>
      <c r="F14" s="12">
        <f t="shared" si="0"/>
        <v>1.7908291316146796E-2</v>
      </c>
      <c r="G14" t="s">
        <v>186</v>
      </c>
      <c r="H14" t="s">
        <v>187</v>
      </c>
    </row>
    <row r="15" spans="1:22">
      <c r="A15" s="10">
        <v>45749</v>
      </c>
      <c r="B15" s="10">
        <v>45741</v>
      </c>
      <c r="C15" s="10">
        <v>45740</v>
      </c>
      <c r="D15" s="7">
        <v>570.80489999999998</v>
      </c>
      <c r="E15" s="7">
        <v>572.1771</v>
      </c>
      <c r="F15" s="12">
        <f t="shared" si="0"/>
        <v>2.403973757057809E-3</v>
      </c>
      <c r="G15" t="s">
        <v>187</v>
      </c>
      <c r="H15" t="s">
        <v>188</v>
      </c>
    </row>
    <row r="16" spans="1:22">
      <c r="A16" s="10">
        <v>45749</v>
      </c>
      <c r="B16" s="10">
        <v>45742</v>
      </c>
      <c r="C16" s="10">
        <v>45741</v>
      </c>
      <c r="D16" s="7">
        <v>572.1771</v>
      </c>
      <c r="E16" s="7">
        <v>565.34630000000004</v>
      </c>
      <c r="F16" s="12">
        <f t="shared" si="0"/>
        <v>-1.1938261772447611E-2</v>
      </c>
      <c r="G16" t="s">
        <v>188</v>
      </c>
      <c r="H16" t="s">
        <v>189</v>
      </c>
    </row>
    <row r="17" spans="1:8">
      <c r="A17" s="10">
        <v>45749</v>
      </c>
      <c r="B17" s="10">
        <v>45743</v>
      </c>
      <c r="C17" s="10">
        <v>45742</v>
      </c>
      <c r="D17" s="7">
        <v>565.34630000000004</v>
      </c>
      <c r="E17" s="7">
        <v>563.84490000000005</v>
      </c>
      <c r="F17" s="12">
        <f t="shared" si="0"/>
        <v>-2.6557173895008779E-3</v>
      </c>
      <c r="G17" t="s">
        <v>189</v>
      </c>
      <c r="H17" t="s">
        <v>190</v>
      </c>
    </row>
    <row r="18" spans="1:8">
      <c r="A18" s="10">
        <v>45749</v>
      </c>
      <c r="B18" s="10">
        <v>45744</v>
      </c>
      <c r="C18" s="10">
        <v>45743</v>
      </c>
      <c r="D18" s="7">
        <v>563.84490000000005</v>
      </c>
      <c r="E18" s="7">
        <v>552.49009999999998</v>
      </c>
      <c r="F18" s="12">
        <f t="shared" si="0"/>
        <v>-2.0138162108054969E-2</v>
      </c>
      <c r="G18" t="s">
        <v>190</v>
      </c>
      <c r="H18" t="s">
        <v>191</v>
      </c>
    </row>
    <row r="19" spans="1:8">
      <c r="A19" s="10">
        <v>45749</v>
      </c>
      <c r="B19" s="10">
        <v>45747</v>
      </c>
      <c r="C19" s="10">
        <v>45744</v>
      </c>
      <c r="D19" s="7">
        <v>552.49009999999998</v>
      </c>
      <c r="E19" s="7">
        <v>556.19880000000001</v>
      </c>
      <c r="F19" s="12">
        <f t="shared" si="0"/>
        <v>6.7126994673751827E-3</v>
      </c>
      <c r="G19" t="s">
        <v>191</v>
      </c>
      <c r="H19" t="s">
        <v>192</v>
      </c>
    </row>
    <row r="20" spans="1:8">
      <c r="A20" s="10">
        <v>45749</v>
      </c>
      <c r="B20" s="10">
        <v>45748</v>
      </c>
      <c r="C20" s="10">
        <v>45747</v>
      </c>
      <c r="D20" s="7">
        <v>556.19880000000001</v>
      </c>
      <c r="E20" s="7">
        <v>557.76980000000003</v>
      </c>
      <c r="F20" s="12">
        <f t="shared" si="0"/>
        <v>2.8245296465940761E-3</v>
      </c>
      <c r="G20" t="s">
        <v>192</v>
      </c>
      <c r="H20" t="s">
        <v>193</v>
      </c>
    </row>
    <row r="21" spans="1:8">
      <c r="D21" s="7"/>
      <c r="E21" s="7"/>
    </row>
    <row r="22" spans="1:8">
      <c r="D22" s="7" t="s">
        <v>194</v>
      </c>
      <c r="E22" s="7">
        <f>AVERAGE(F7:F20)</f>
        <v>5.4810099836083426E-4</v>
      </c>
    </row>
    <row r="23" spans="1:8">
      <c r="D23" s="7" t="s">
        <v>195</v>
      </c>
      <c r="E23" s="7">
        <f>_xlfn.STDEV.S(F7:F20)</f>
        <v>1.1891080579637447E-2</v>
      </c>
    </row>
    <row r="24" spans="1:8">
      <c r="D24" s="7" t="s">
        <v>196</v>
      </c>
      <c r="E24" s="7">
        <f>'Method Notes'!B6</f>
        <v>0.02</v>
      </c>
    </row>
    <row r="25" spans="1:8">
      <c r="D25" s="7" t="s">
        <v>197</v>
      </c>
      <c r="E25" s="7">
        <f>'Method Notes'!B7</f>
        <v>4</v>
      </c>
    </row>
    <row r="26" spans="1:8">
      <c r="D26" s="7" t="s">
        <v>198</v>
      </c>
      <c r="E26" s="7">
        <f>MIN(E25,E24/E23)</f>
        <v>1.6819329299852235</v>
      </c>
    </row>
    <row r="27" spans="1:8">
      <c r="D27" s="7" t="s">
        <v>199</v>
      </c>
      <c r="E27" s="7">
        <f>'Method Notes'!B5</f>
        <v>100000</v>
      </c>
    </row>
    <row r="28" spans="1:8">
      <c r="D28" s="7" t="s">
        <v>119</v>
      </c>
      <c r="E28" s="7">
        <f>'April Noise'!E23</f>
        <v>555.38369999999998</v>
      </c>
    </row>
    <row r="29" spans="1:8">
      <c r="D29" s="7" t="s">
        <v>69</v>
      </c>
      <c r="E29" s="7">
        <f>INT(E27*E26/E28)</f>
        <v>302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24"/>
  <sheetViews>
    <sheetView showGridLines="0" tabSelected="1" workbookViewId="0">
      <pane ySplit="6" topLeftCell="A7" activePane="bottomLeft" state="frozen"/>
      <selection pane="bottomLeft"/>
    </sheetView>
  </sheetViews>
  <sheetFormatPr baseColWidth="10" defaultColWidth="8.83203125" defaultRowHeight="14"/>
  <cols>
    <col min="1" max="1" width="27" customWidth="1"/>
    <col min="2" max="2" width="10" customWidth="1"/>
    <col min="3" max="4" width="19" customWidth="1"/>
    <col min="5" max="5" width="14" customWidth="1"/>
    <col min="6" max="6" width="19" customWidth="1"/>
    <col min="7" max="7" width="14" customWidth="1"/>
    <col min="8" max="8" width="17" customWidth="1"/>
    <col min="9" max="9" width="19" customWidth="1"/>
    <col min="10" max="10" width="21" customWidth="1"/>
  </cols>
  <sheetData>
    <row r="1" spans="1:22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" customHeight="1">
      <c r="A2" s="2" t="s">
        <v>200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2" customHeight="1">
      <c r="A3" s="3" t="s">
        <v>201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38" customHeight="1">
      <c r="A6" s="5" t="s">
        <v>202</v>
      </c>
      <c r="B6" s="5" t="s">
        <v>64</v>
      </c>
      <c r="C6" s="5" t="s">
        <v>7</v>
      </c>
      <c r="D6" s="5" t="s">
        <v>203</v>
      </c>
      <c r="E6" s="5" t="s">
        <v>204</v>
      </c>
      <c r="F6" s="5" t="s">
        <v>205</v>
      </c>
      <c r="G6" s="5" t="s">
        <v>206</v>
      </c>
      <c r="H6" s="5" t="s">
        <v>75</v>
      </c>
      <c r="I6" s="5" t="s">
        <v>207</v>
      </c>
      <c r="J6" s="5" t="s">
        <v>208</v>
      </c>
    </row>
    <row r="7" spans="1:22">
      <c r="A7" t="s">
        <v>209</v>
      </c>
      <c r="B7" t="s">
        <v>84</v>
      </c>
      <c r="C7" s="6">
        <v>3.5942127999999997E-2</v>
      </c>
      <c r="D7" s="6">
        <v>6.6493850300000004E-2</v>
      </c>
      <c r="E7" s="7">
        <v>0.82962628869999999</v>
      </c>
      <c r="F7" s="6">
        <v>-5.0594849999999997E-2</v>
      </c>
      <c r="G7">
        <v>95</v>
      </c>
      <c r="H7" s="7">
        <v>138.33000000000001</v>
      </c>
      <c r="I7">
        <v>0</v>
      </c>
      <c r="J7">
        <v>0</v>
      </c>
    </row>
    <row r="8" spans="1:22">
      <c r="A8" t="s">
        <v>209</v>
      </c>
      <c r="B8" t="s">
        <v>87</v>
      </c>
      <c r="C8" s="6">
        <v>4.4740410000000001E-2</v>
      </c>
      <c r="D8" s="6">
        <v>7.2406091399999997E-2</v>
      </c>
      <c r="E8" s="7">
        <v>0.94237323549999996</v>
      </c>
      <c r="F8" s="6">
        <v>-2.83612442E-2</v>
      </c>
      <c r="G8">
        <v>135</v>
      </c>
      <c r="H8" s="7">
        <v>201.42</v>
      </c>
      <c r="I8">
        <v>0</v>
      </c>
      <c r="J8">
        <v>0</v>
      </c>
    </row>
    <row r="9" spans="1:22">
      <c r="A9" t="s">
        <v>209</v>
      </c>
      <c r="B9" t="s">
        <v>89</v>
      </c>
      <c r="C9" s="6">
        <v>0.11139267</v>
      </c>
      <c r="D9" s="6">
        <v>0.15499541380000001</v>
      </c>
      <c r="E9" s="7">
        <v>1.0968859633000001</v>
      </c>
      <c r="F9" s="6">
        <v>-4.8169849600000002E-2</v>
      </c>
      <c r="G9">
        <v>135</v>
      </c>
      <c r="H9" s="7">
        <v>534.91499999999996</v>
      </c>
      <c r="I9">
        <v>0</v>
      </c>
      <c r="J9">
        <v>0</v>
      </c>
    </row>
    <row r="10" spans="1:22">
      <c r="A10" t="s">
        <v>210</v>
      </c>
      <c r="B10" t="s">
        <v>84</v>
      </c>
      <c r="C10" s="6">
        <v>3.5942127999999997E-2</v>
      </c>
      <c r="D10" s="6">
        <v>6.6493850300000004E-2</v>
      </c>
      <c r="E10" s="7">
        <v>0.82962628869999999</v>
      </c>
      <c r="F10" s="6">
        <v>-5.0594849999999997E-2</v>
      </c>
      <c r="G10">
        <v>95</v>
      </c>
      <c r="H10" s="7">
        <v>138.33000000000001</v>
      </c>
      <c r="I10">
        <v>0</v>
      </c>
      <c r="J10">
        <v>0</v>
      </c>
    </row>
    <row r="11" spans="1:22">
      <c r="A11" t="s">
        <v>210</v>
      </c>
      <c r="B11" t="s">
        <v>87</v>
      </c>
      <c r="C11" s="6">
        <v>4.4740410000000001E-2</v>
      </c>
      <c r="D11" s="6">
        <v>7.2406091399999997E-2</v>
      </c>
      <c r="E11" s="7">
        <v>0.94237323549999996</v>
      </c>
      <c r="F11" s="6">
        <v>-2.83612442E-2</v>
      </c>
      <c r="G11">
        <v>135</v>
      </c>
      <c r="H11" s="7">
        <v>201.42</v>
      </c>
      <c r="I11">
        <v>0</v>
      </c>
      <c r="J11">
        <v>0</v>
      </c>
    </row>
    <row r="12" spans="1:22">
      <c r="A12" t="s">
        <v>210</v>
      </c>
      <c r="B12" t="s">
        <v>89</v>
      </c>
      <c r="C12" s="6">
        <v>0.11139267</v>
      </c>
      <c r="D12" s="6">
        <v>0.15499541380000001</v>
      </c>
      <c r="E12" s="7">
        <v>1.0968859633000001</v>
      </c>
      <c r="F12" s="6">
        <v>-4.8169849600000002E-2</v>
      </c>
      <c r="G12">
        <v>135</v>
      </c>
      <c r="H12" s="7">
        <v>534.91499999999996</v>
      </c>
      <c r="I12">
        <v>0</v>
      </c>
      <c r="J12">
        <v>0</v>
      </c>
    </row>
    <row r="13" spans="1:22">
      <c r="A13" t="s">
        <v>211</v>
      </c>
      <c r="B13" t="s">
        <v>84</v>
      </c>
      <c r="C13" s="6">
        <v>-3.1750347999999998E-2</v>
      </c>
      <c r="D13" s="6">
        <v>8.2488973699999996E-2</v>
      </c>
      <c r="E13" s="7">
        <v>-0.54497679759999995</v>
      </c>
      <c r="F13" s="6">
        <v>-8.62533682E-2</v>
      </c>
      <c r="G13">
        <v>89</v>
      </c>
      <c r="H13" s="7">
        <v>123.61499999999999</v>
      </c>
      <c r="I13">
        <v>95</v>
      </c>
      <c r="J13">
        <v>0</v>
      </c>
    </row>
    <row r="14" spans="1:22">
      <c r="A14" t="s">
        <v>211</v>
      </c>
      <c r="B14" t="s">
        <v>87</v>
      </c>
      <c r="C14" s="6">
        <v>1.2134245E-2</v>
      </c>
      <c r="D14" s="6">
        <v>6.6119544200000005E-2</v>
      </c>
      <c r="E14" s="7">
        <v>0.30628375949999997</v>
      </c>
      <c r="F14" s="6">
        <v>-3.97444411E-2</v>
      </c>
      <c r="G14">
        <v>121</v>
      </c>
      <c r="H14" s="7">
        <v>176.31</v>
      </c>
      <c r="I14">
        <v>135</v>
      </c>
      <c r="J14">
        <v>0</v>
      </c>
    </row>
    <row r="15" spans="1:22">
      <c r="A15" t="s">
        <v>211</v>
      </c>
      <c r="B15" t="s">
        <v>89</v>
      </c>
      <c r="C15" s="6">
        <v>3.9019362000000002E-2</v>
      </c>
      <c r="D15" s="6">
        <v>0.1174712685</v>
      </c>
      <c r="E15" s="7">
        <v>0.54639422469999999</v>
      </c>
      <c r="F15" s="6">
        <v>-5.4998749700000002E-2</v>
      </c>
      <c r="G15">
        <v>121</v>
      </c>
      <c r="H15" s="7">
        <v>459.23399999999998</v>
      </c>
      <c r="I15">
        <v>135</v>
      </c>
      <c r="J15">
        <v>0</v>
      </c>
    </row>
    <row r="16" spans="1:22">
      <c r="A16" t="s">
        <v>212</v>
      </c>
      <c r="B16" t="s">
        <v>84</v>
      </c>
      <c r="C16" s="6">
        <v>3.5942127999999997E-2</v>
      </c>
      <c r="D16" s="6">
        <v>6.6493850300000004E-2</v>
      </c>
      <c r="E16" s="7">
        <v>0.82962628869999999</v>
      </c>
      <c r="F16" s="6">
        <v>-5.0594849999999997E-2</v>
      </c>
      <c r="G16">
        <v>95</v>
      </c>
      <c r="H16" s="7">
        <v>138.33000000000001</v>
      </c>
      <c r="I16">
        <v>0</v>
      </c>
      <c r="J16">
        <v>0</v>
      </c>
    </row>
    <row r="17" spans="1:10">
      <c r="A17" t="s">
        <v>212</v>
      </c>
      <c r="B17" t="s">
        <v>87</v>
      </c>
      <c r="C17" s="6">
        <v>4.4740410000000001E-2</v>
      </c>
      <c r="D17" s="6">
        <v>7.2406091399999997E-2</v>
      </c>
      <c r="E17" s="7">
        <v>0.94237323549999996</v>
      </c>
      <c r="F17" s="6">
        <v>-2.83612442E-2</v>
      </c>
      <c r="G17">
        <v>135</v>
      </c>
      <c r="H17" s="7">
        <v>201.42</v>
      </c>
      <c r="I17">
        <v>0</v>
      </c>
      <c r="J17">
        <v>0</v>
      </c>
    </row>
    <row r="18" spans="1:10">
      <c r="A18" t="s">
        <v>212</v>
      </c>
      <c r="B18" t="s">
        <v>89</v>
      </c>
      <c r="C18" s="6">
        <v>0.11139267</v>
      </c>
      <c r="D18" s="6">
        <v>0.15499541380000001</v>
      </c>
      <c r="E18" s="7">
        <v>1.0968859633000001</v>
      </c>
      <c r="F18" s="6">
        <v>-4.8169849600000002E-2</v>
      </c>
      <c r="G18">
        <v>135</v>
      </c>
      <c r="H18" s="7">
        <v>534.91499999999996</v>
      </c>
      <c r="I18">
        <v>0</v>
      </c>
      <c r="J18">
        <v>0</v>
      </c>
    </row>
    <row r="19" spans="1:10">
      <c r="A19" t="s">
        <v>213</v>
      </c>
      <c r="B19" t="s">
        <v>84</v>
      </c>
      <c r="C19" s="6">
        <v>3.6185910000000002E-2</v>
      </c>
      <c r="D19" s="6">
        <v>6.6494142699999995E-2</v>
      </c>
      <c r="E19" s="7">
        <v>0.83493200889999997</v>
      </c>
      <c r="F19" s="6">
        <v>-5.0594849999999997E-2</v>
      </c>
      <c r="G19">
        <v>94</v>
      </c>
      <c r="H19" s="7">
        <v>136.92599999999999</v>
      </c>
      <c r="I19">
        <v>1</v>
      </c>
      <c r="J19">
        <v>4</v>
      </c>
    </row>
    <row r="20" spans="1:10">
      <c r="A20" t="s">
        <v>213</v>
      </c>
      <c r="B20" t="s">
        <v>87</v>
      </c>
      <c r="C20" s="6">
        <v>4.7457092999999999E-2</v>
      </c>
      <c r="D20" s="6">
        <v>7.2460907199999994E-2</v>
      </c>
      <c r="E20" s="7">
        <v>0.99548788919999998</v>
      </c>
      <c r="F20" s="6">
        <v>-2.83612442E-2</v>
      </c>
      <c r="G20">
        <v>132</v>
      </c>
      <c r="H20" s="7">
        <v>197.208</v>
      </c>
      <c r="I20">
        <v>4</v>
      </c>
      <c r="J20">
        <v>25</v>
      </c>
    </row>
    <row r="21" spans="1:10">
      <c r="A21" t="s">
        <v>213</v>
      </c>
      <c r="B21" t="s">
        <v>89</v>
      </c>
      <c r="C21" s="6">
        <v>0.122188989</v>
      </c>
      <c r="D21" s="6">
        <v>0.15505776039999999</v>
      </c>
      <c r="E21" s="7">
        <v>1.1900911605</v>
      </c>
      <c r="F21" s="6">
        <v>-4.8147198199999998E-2</v>
      </c>
      <c r="G21">
        <v>132</v>
      </c>
      <c r="H21" s="7">
        <v>520.77599999999995</v>
      </c>
      <c r="I21">
        <v>4</v>
      </c>
      <c r="J21">
        <v>82</v>
      </c>
    </row>
    <row r="22" spans="1:10">
      <c r="A22" t="s">
        <v>214</v>
      </c>
      <c r="B22" t="s">
        <v>84</v>
      </c>
      <c r="C22" s="6">
        <v>3.5155629000000001E-2</v>
      </c>
      <c r="D22" s="6">
        <v>6.6518534700000007E-2</v>
      </c>
      <c r="E22" s="7">
        <v>0.8122130058</v>
      </c>
      <c r="F22" s="6">
        <v>-5.0829014899999997E-2</v>
      </c>
      <c r="G22">
        <v>95</v>
      </c>
      <c r="H22" s="7">
        <v>215.06800000000001</v>
      </c>
      <c r="I22">
        <v>0</v>
      </c>
      <c r="J22">
        <v>8</v>
      </c>
    </row>
    <row r="23" spans="1:10">
      <c r="A23" t="s">
        <v>214</v>
      </c>
      <c r="B23" t="s">
        <v>87</v>
      </c>
      <c r="C23" s="6">
        <v>4.3680523999999998E-2</v>
      </c>
      <c r="D23" s="6">
        <v>7.2413406999999999E-2</v>
      </c>
      <c r="E23" s="7">
        <v>0.92125501050000003</v>
      </c>
      <c r="F23" s="6">
        <v>-2.8502798699999998E-2</v>
      </c>
      <c r="G23">
        <v>135</v>
      </c>
      <c r="H23" s="7">
        <v>313.04000000000002</v>
      </c>
      <c r="I23">
        <v>0</v>
      </c>
      <c r="J23">
        <v>20</v>
      </c>
    </row>
    <row r="24" spans="1:10">
      <c r="A24" t="s">
        <v>214</v>
      </c>
      <c r="B24" t="s">
        <v>89</v>
      </c>
      <c r="C24" s="6">
        <v>0.10807335699999999</v>
      </c>
      <c r="D24" s="6">
        <v>0.15494396620000001</v>
      </c>
      <c r="E24" s="7">
        <v>1.0682347023000001</v>
      </c>
      <c r="F24" s="6">
        <v>-4.8668211400000001E-2</v>
      </c>
      <c r="G24">
        <v>135</v>
      </c>
      <c r="H24" s="7">
        <v>830.87199999999996</v>
      </c>
      <c r="I24">
        <v>0</v>
      </c>
      <c r="J24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8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4"/>
  <cols>
    <col min="1" max="1" width="12" customWidth="1"/>
    <col min="2" max="2" width="14" customWidth="1"/>
    <col min="3" max="3" width="63" customWidth="1"/>
    <col min="4" max="8" width="20" customWidth="1"/>
  </cols>
  <sheetData>
    <row r="1" spans="1:22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" customHeight="1">
      <c r="A2" s="2" t="s">
        <v>215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2" customHeight="1">
      <c r="A3" s="3" t="s">
        <v>216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38" customHeight="1">
      <c r="A6" s="5" t="s">
        <v>217</v>
      </c>
      <c r="B6" s="5" t="s">
        <v>218</v>
      </c>
      <c r="C6" s="5" t="s">
        <v>219</v>
      </c>
      <c r="D6" s="5" t="s">
        <v>220</v>
      </c>
      <c r="E6" s="5" t="s">
        <v>221</v>
      </c>
      <c r="F6" s="5" t="s">
        <v>222</v>
      </c>
      <c r="G6" s="5" t="s">
        <v>223</v>
      </c>
      <c r="H6" s="5" t="s">
        <v>224</v>
      </c>
    </row>
    <row r="7" spans="1:22">
      <c r="A7" t="s">
        <v>225</v>
      </c>
      <c r="B7">
        <v>1</v>
      </c>
      <c r="C7" t="s">
        <v>226</v>
      </c>
      <c r="D7" s="7">
        <v>9480.384</v>
      </c>
      <c r="E7" s="6">
        <v>0.85107790309999998</v>
      </c>
      <c r="F7" s="6">
        <v>1.6622966600000001E-2</v>
      </c>
      <c r="G7" s="6">
        <v>9.4769703400000002E-2</v>
      </c>
      <c r="H7" s="6">
        <v>9.3220108699999998E-2</v>
      </c>
    </row>
    <row r="8" spans="1:22">
      <c r="A8" t="s">
        <v>225</v>
      </c>
      <c r="B8">
        <v>3</v>
      </c>
      <c r="C8" t="s">
        <v>227</v>
      </c>
      <c r="D8" s="7">
        <v>15760.743200000001</v>
      </c>
      <c r="E8" s="6">
        <v>1.4148815357</v>
      </c>
      <c r="F8" s="6">
        <v>-4.1857444700000003E-2</v>
      </c>
      <c r="G8" s="6">
        <v>0.1532501147</v>
      </c>
      <c r="H8" s="6">
        <v>0.15994500380000001</v>
      </c>
    </row>
    <row r="9" spans="1:22">
      <c r="A9" t="s">
        <v>225</v>
      </c>
      <c r="B9">
        <v>5</v>
      </c>
      <c r="C9" t="s">
        <v>228</v>
      </c>
      <c r="D9" s="7">
        <v>19903.235100000002</v>
      </c>
      <c r="E9" s="6">
        <v>1.7867634468</v>
      </c>
      <c r="F9" s="6">
        <v>-7.9515908600000004E-2</v>
      </c>
      <c r="G9" s="6">
        <v>0.19090857859999999</v>
      </c>
      <c r="H9" s="6">
        <v>0.2074001935</v>
      </c>
    </row>
    <row r="10" spans="1:22">
      <c r="A10" t="s">
        <v>229</v>
      </c>
      <c r="B10">
        <v>1</v>
      </c>
      <c r="C10" t="s">
        <v>230</v>
      </c>
      <c r="D10" s="7">
        <v>-2255.904</v>
      </c>
      <c r="E10" s="6">
        <v>-0.20251817289999999</v>
      </c>
      <c r="F10" s="6">
        <v>0.13420723979999999</v>
      </c>
      <c r="G10" s="6">
        <v>-2.28145698E-2</v>
      </c>
      <c r="H10" s="6">
        <v>-2.0114992200000001E-2</v>
      </c>
    </row>
    <row r="11" spans="1:22">
      <c r="A11" t="s">
        <v>229</v>
      </c>
      <c r="B11">
        <v>3</v>
      </c>
      <c r="C11" t="s">
        <v>231</v>
      </c>
      <c r="D11" s="7">
        <v>-5829.4697999999999</v>
      </c>
      <c r="E11" s="6">
        <v>-0.52332615780000002</v>
      </c>
      <c r="F11" s="6">
        <v>0.17424658649999999</v>
      </c>
      <c r="G11" s="6">
        <v>-6.2853916499999996E-2</v>
      </c>
      <c r="H11" s="6">
        <v>-5.3527016599999998E-2</v>
      </c>
    </row>
    <row r="12" spans="1:22">
      <c r="A12" t="s">
        <v>229</v>
      </c>
      <c r="B12">
        <v>5</v>
      </c>
      <c r="C12" t="s">
        <v>232</v>
      </c>
      <c r="D12" s="7">
        <v>-8720.9419999999991</v>
      </c>
      <c r="E12" s="6">
        <v>-0.78290088570000005</v>
      </c>
      <c r="F12" s="6">
        <v>0.2083376495</v>
      </c>
      <c r="G12" s="6">
        <v>-9.69449795E-2</v>
      </c>
      <c r="H12" s="6">
        <v>-8.0230041299999999E-2</v>
      </c>
    </row>
    <row r="16" spans="1:22">
      <c r="A16" t="s">
        <v>233</v>
      </c>
    </row>
    <row r="18" spans="1:7" ht="28" customHeight="1">
      <c r="A18" s="13" t="s">
        <v>217</v>
      </c>
      <c r="B18" s="13" t="s">
        <v>234</v>
      </c>
      <c r="C18" s="13" t="s">
        <v>35</v>
      </c>
      <c r="D18" s="13" t="s">
        <v>176</v>
      </c>
      <c r="E18" s="13" t="s">
        <v>76</v>
      </c>
      <c r="F18" s="13" t="s">
        <v>199</v>
      </c>
      <c r="G18" s="13" t="s">
        <v>221</v>
      </c>
    </row>
    <row r="19" spans="1:7">
      <c r="A19" t="s">
        <v>225</v>
      </c>
      <c r="B19">
        <v>1</v>
      </c>
      <c r="C19" s="10">
        <v>45940</v>
      </c>
      <c r="D19" s="6">
        <v>9.3220108699999998E-2</v>
      </c>
      <c r="E19" s="7">
        <v>9480.384</v>
      </c>
      <c r="F19" s="7">
        <v>101698.9160000001</v>
      </c>
      <c r="G19" s="6">
        <v>0.85107790309999998</v>
      </c>
    </row>
    <row r="20" spans="1:7">
      <c r="A20" t="s">
        <v>225</v>
      </c>
      <c r="B20">
        <v>2</v>
      </c>
      <c r="C20" s="10">
        <v>45756</v>
      </c>
      <c r="D20" s="6">
        <v>3.4974378899999999E-2</v>
      </c>
      <c r="E20" s="7">
        <v>3525.7572</v>
      </c>
      <c r="F20" s="7">
        <v>100809.7159</v>
      </c>
      <c r="G20" s="6">
        <v>0.31651608669999998</v>
      </c>
    </row>
    <row r="21" spans="1:7">
      <c r="A21" t="s">
        <v>225</v>
      </c>
      <c r="B21">
        <v>3</v>
      </c>
      <c r="C21" s="10">
        <v>45981</v>
      </c>
      <c r="D21" s="6">
        <v>2.5180149299999999E-2</v>
      </c>
      <c r="E21" s="7">
        <v>2754.6019999999999</v>
      </c>
      <c r="F21" s="7">
        <v>109395.77700000021</v>
      </c>
      <c r="G21" s="6">
        <v>0.24728754589999999</v>
      </c>
    </row>
    <row r="22" spans="1:7">
      <c r="A22" t="s">
        <v>225</v>
      </c>
      <c r="B22">
        <v>4</v>
      </c>
      <c r="C22" s="10">
        <v>45751</v>
      </c>
      <c r="D22" s="6">
        <v>2.4978469699999999E-2</v>
      </c>
      <c r="E22" s="7">
        <v>2471.8489</v>
      </c>
      <c r="F22" s="7">
        <v>98959.180999999997</v>
      </c>
      <c r="G22" s="6">
        <v>0.2219040894</v>
      </c>
    </row>
    <row r="23" spans="1:7">
      <c r="A23" t="s">
        <v>225</v>
      </c>
      <c r="B23">
        <v>5</v>
      </c>
      <c r="C23" s="10">
        <v>45974</v>
      </c>
      <c r="D23" s="6">
        <v>1.55448301E-2</v>
      </c>
      <c r="E23" s="7">
        <v>1670.643</v>
      </c>
      <c r="F23" s="7">
        <v>107472.5799000002</v>
      </c>
      <c r="G23" s="6">
        <v>0.14997782170000001</v>
      </c>
    </row>
    <row r="24" spans="1:7">
      <c r="A24" t="s">
        <v>229</v>
      </c>
      <c r="B24">
        <v>1</v>
      </c>
      <c r="C24" s="10">
        <v>45982</v>
      </c>
      <c r="D24" s="6">
        <v>-2.0114992200000001E-2</v>
      </c>
      <c r="E24" s="7">
        <v>-2255.904</v>
      </c>
      <c r="F24" s="7">
        <v>112150.3790000002</v>
      </c>
      <c r="G24" s="6">
        <v>-0.20251817289999999</v>
      </c>
    </row>
    <row r="25" spans="1:7">
      <c r="A25" t="s">
        <v>229</v>
      </c>
      <c r="B25">
        <v>2</v>
      </c>
      <c r="C25" s="10">
        <v>45917</v>
      </c>
      <c r="D25" s="6">
        <v>-1.78135923E-2</v>
      </c>
      <c r="E25" s="7">
        <v>-1866.9195999999999</v>
      </c>
      <c r="F25" s="7">
        <v>104803.0946</v>
      </c>
      <c r="G25" s="6">
        <v>-0.1675980655</v>
      </c>
    </row>
    <row r="26" spans="1:7">
      <c r="A26" t="s">
        <v>229</v>
      </c>
      <c r="B26">
        <v>3</v>
      </c>
      <c r="C26" s="10">
        <v>45918</v>
      </c>
      <c r="D26" s="6">
        <v>-1.65796543E-2</v>
      </c>
      <c r="E26" s="7">
        <v>-1706.6461999999001</v>
      </c>
      <c r="F26" s="7">
        <v>102936.1749999999</v>
      </c>
      <c r="G26" s="6">
        <v>-0.15320991950000001</v>
      </c>
    </row>
    <row r="27" spans="1:7">
      <c r="A27" t="s">
        <v>229</v>
      </c>
      <c r="B27">
        <v>4</v>
      </c>
      <c r="C27" s="10">
        <v>45933</v>
      </c>
      <c r="D27" s="6">
        <v>-1.5507059E-2</v>
      </c>
      <c r="E27" s="7">
        <v>-1600.845</v>
      </c>
      <c r="F27" s="7">
        <v>103233.3078</v>
      </c>
      <c r="G27" s="6">
        <v>-0.1437118798</v>
      </c>
    </row>
    <row r="28" spans="1:7">
      <c r="A28" t="s">
        <v>229</v>
      </c>
      <c r="B28">
        <v>5</v>
      </c>
      <c r="C28" s="10">
        <v>45749</v>
      </c>
      <c r="D28" s="6">
        <v>-1.2906272E-2</v>
      </c>
      <c r="E28" s="7">
        <v>-1290.6271999999999</v>
      </c>
      <c r="F28" s="7">
        <v>100000</v>
      </c>
      <c r="G28" s="6">
        <v>-0.1158628481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2550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4"/>
  <cols>
    <col min="1" max="1" width="20" customWidth="1"/>
    <col min="2" max="2" width="23" customWidth="1"/>
    <col min="3" max="3" width="17" customWidth="1"/>
    <col min="4" max="4" width="19" customWidth="1"/>
  </cols>
  <sheetData>
    <row r="1" spans="1:22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" customHeight="1">
      <c r="A2" s="2" t="s">
        <v>235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2" customHeight="1">
      <c r="A3" s="3" t="s">
        <v>236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38" customHeight="1">
      <c r="A6" s="5" t="s">
        <v>237</v>
      </c>
      <c r="B6" s="5" t="s">
        <v>238</v>
      </c>
      <c r="C6" s="5" t="s">
        <v>239</v>
      </c>
      <c r="D6" s="5" t="s">
        <v>240</v>
      </c>
    </row>
    <row r="7" spans="1:22">
      <c r="A7">
        <v>2</v>
      </c>
      <c r="B7" s="11">
        <v>45992.666666666664</v>
      </c>
      <c r="C7" s="7">
        <v>680.27</v>
      </c>
      <c r="D7">
        <v>16747236</v>
      </c>
    </row>
    <row r="8" spans="1:22">
      <c r="A8">
        <v>3</v>
      </c>
      <c r="B8" s="11">
        <v>45992.645833333336</v>
      </c>
      <c r="C8" s="7">
        <v>680.27</v>
      </c>
      <c r="D8">
        <v>12550585</v>
      </c>
    </row>
    <row r="9" spans="1:22">
      <c r="A9">
        <v>4</v>
      </c>
      <c r="B9" s="11">
        <v>45992.625</v>
      </c>
      <c r="C9" s="7">
        <v>680.76499999999999</v>
      </c>
      <c r="D9">
        <v>2548565</v>
      </c>
    </row>
    <row r="10" spans="1:22">
      <c r="A10">
        <v>5</v>
      </c>
      <c r="B10" s="11">
        <v>45992.604166666664</v>
      </c>
      <c r="C10" s="7">
        <v>680.14</v>
      </c>
      <c r="D10">
        <v>3033602</v>
      </c>
    </row>
    <row r="11" spans="1:22">
      <c r="A11">
        <v>6</v>
      </c>
      <c r="B11" s="11">
        <v>45992.583333333336</v>
      </c>
      <c r="C11" s="7">
        <v>680.49</v>
      </c>
      <c r="D11">
        <v>3145771</v>
      </c>
    </row>
    <row r="12" spans="1:22">
      <c r="A12">
        <v>7</v>
      </c>
      <c r="B12" s="11">
        <v>45992.5625</v>
      </c>
      <c r="C12" s="7">
        <v>682.81500000000005</v>
      </c>
      <c r="D12">
        <v>1582845</v>
      </c>
    </row>
    <row r="13" spans="1:22">
      <c r="A13">
        <v>8</v>
      </c>
      <c r="B13" s="11">
        <v>45992.541666666664</v>
      </c>
      <c r="C13" s="7">
        <v>682.49</v>
      </c>
      <c r="D13">
        <v>1345902</v>
      </c>
    </row>
    <row r="14" spans="1:22">
      <c r="A14">
        <v>9</v>
      </c>
      <c r="B14" s="11">
        <v>45992.520833333336</v>
      </c>
      <c r="C14" s="7">
        <v>682.005</v>
      </c>
      <c r="D14">
        <v>1374588</v>
      </c>
    </row>
    <row r="15" spans="1:22">
      <c r="A15">
        <v>10</v>
      </c>
      <c r="B15" s="11">
        <v>45992.5</v>
      </c>
      <c r="C15" s="7">
        <v>682.01</v>
      </c>
      <c r="D15">
        <v>1516606</v>
      </c>
    </row>
    <row r="16" spans="1:22">
      <c r="A16">
        <v>11</v>
      </c>
      <c r="B16" s="11">
        <v>45992.479166666664</v>
      </c>
      <c r="C16" s="7">
        <v>681.93</v>
      </c>
      <c r="D16">
        <v>1954095</v>
      </c>
    </row>
    <row r="17" spans="1:4">
      <c r="A17">
        <v>12</v>
      </c>
      <c r="B17" s="11">
        <v>45992.458333333336</v>
      </c>
      <c r="C17" s="7">
        <v>681.11</v>
      </c>
      <c r="D17">
        <v>1802813</v>
      </c>
    </row>
    <row r="18" spans="1:4">
      <c r="A18">
        <v>13</v>
      </c>
      <c r="B18" s="11">
        <v>45992.4375</v>
      </c>
      <c r="C18" s="7">
        <v>681.73</v>
      </c>
      <c r="D18">
        <v>3181322</v>
      </c>
    </row>
    <row r="19" spans="1:4">
      <c r="A19">
        <v>14</v>
      </c>
      <c r="B19" s="11">
        <v>45992.416666666664</v>
      </c>
      <c r="C19" s="7">
        <v>679.67499999999995</v>
      </c>
      <c r="D19">
        <v>3953647</v>
      </c>
    </row>
    <row r="20" spans="1:4">
      <c r="A20">
        <v>15</v>
      </c>
      <c r="B20" s="11">
        <v>45992.395833333336</v>
      </c>
      <c r="C20" s="7">
        <v>681.55</v>
      </c>
      <c r="D20">
        <v>6398375</v>
      </c>
    </row>
    <row r="21" spans="1:4">
      <c r="A21">
        <v>16</v>
      </c>
      <c r="B21" s="11">
        <v>45989.666666666664</v>
      </c>
      <c r="C21" s="7">
        <v>683.39</v>
      </c>
      <c r="D21">
        <v>17387935</v>
      </c>
    </row>
    <row r="22" spans="1:4">
      <c r="A22">
        <v>17</v>
      </c>
      <c r="B22" s="11">
        <v>45989.645833333336</v>
      </c>
      <c r="C22" s="7">
        <v>683.39</v>
      </c>
      <c r="D22">
        <v>0</v>
      </c>
    </row>
    <row r="23" spans="1:4">
      <c r="A23">
        <v>18</v>
      </c>
      <c r="B23" s="11">
        <v>45989.625</v>
      </c>
      <c r="C23" s="7">
        <v>683.39</v>
      </c>
      <c r="D23">
        <v>0</v>
      </c>
    </row>
    <row r="24" spans="1:4">
      <c r="A24">
        <v>19</v>
      </c>
      <c r="B24" s="11">
        <v>45989.583333333336</v>
      </c>
      <c r="C24" s="7">
        <v>683.39</v>
      </c>
      <c r="D24">
        <v>0</v>
      </c>
    </row>
    <row r="25" spans="1:4">
      <c r="A25">
        <v>20</v>
      </c>
      <c r="B25" s="11">
        <v>45989.541666666664</v>
      </c>
      <c r="C25" s="7">
        <v>683.39</v>
      </c>
      <c r="D25">
        <v>0</v>
      </c>
    </row>
    <row r="26" spans="1:4">
      <c r="A26">
        <v>21</v>
      </c>
      <c r="B26" s="11">
        <v>45989.520833333336</v>
      </c>
      <c r="C26" s="7">
        <v>683.39</v>
      </c>
      <c r="D26">
        <v>10363832</v>
      </c>
    </row>
    <row r="27" spans="1:4">
      <c r="A27">
        <v>22</v>
      </c>
      <c r="B27" s="11">
        <v>45989.5</v>
      </c>
      <c r="C27" s="7">
        <v>682.22</v>
      </c>
      <c r="D27">
        <v>3330290</v>
      </c>
    </row>
    <row r="28" spans="1:4">
      <c r="A28">
        <v>23</v>
      </c>
      <c r="B28" s="11">
        <v>45989.479166666664</v>
      </c>
      <c r="C28" s="7">
        <v>682.72</v>
      </c>
      <c r="D28">
        <v>3460775</v>
      </c>
    </row>
    <row r="29" spans="1:4">
      <c r="A29">
        <v>24</v>
      </c>
      <c r="B29" s="11">
        <v>45989.458333333336</v>
      </c>
      <c r="C29" s="7">
        <v>682.1499</v>
      </c>
      <c r="D29">
        <v>3453564</v>
      </c>
    </row>
    <row r="30" spans="1:4">
      <c r="A30">
        <v>25</v>
      </c>
      <c r="B30" s="11">
        <v>45989.4375</v>
      </c>
      <c r="C30" s="7">
        <v>682.47</v>
      </c>
      <c r="D30">
        <v>3250550</v>
      </c>
    </row>
    <row r="31" spans="1:4">
      <c r="A31">
        <v>26</v>
      </c>
      <c r="B31" s="11">
        <v>45989.416666666664</v>
      </c>
      <c r="C31" s="7">
        <v>681.69500000000005</v>
      </c>
      <c r="D31">
        <v>3602503</v>
      </c>
    </row>
    <row r="32" spans="1:4">
      <c r="A32">
        <v>27</v>
      </c>
      <c r="B32" s="11">
        <v>45989.395833333336</v>
      </c>
      <c r="C32" s="7">
        <v>681.26499999999999</v>
      </c>
      <c r="D32">
        <v>4362583</v>
      </c>
    </row>
    <row r="33" spans="1:4">
      <c r="A33">
        <v>28</v>
      </c>
      <c r="B33" s="11">
        <v>45987.666666666664</v>
      </c>
      <c r="C33" s="7">
        <v>679.68</v>
      </c>
      <c r="D33">
        <v>19351836</v>
      </c>
    </row>
    <row r="34" spans="1:4">
      <c r="A34">
        <v>29</v>
      </c>
      <c r="B34" s="11">
        <v>45987.645833333336</v>
      </c>
      <c r="C34" s="7">
        <v>679.7</v>
      </c>
      <c r="D34">
        <v>10852250</v>
      </c>
    </row>
    <row r="35" spans="1:4">
      <c r="A35">
        <v>30</v>
      </c>
      <c r="B35" s="11">
        <v>45987.625</v>
      </c>
      <c r="C35" s="7">
        <v>681.20500000000004</v>
      </c>
      <c r="D35">
        <v>3981080</v>
      </c>
    </row>
    <row r="36" spans="1:4">
      <c r="A36">
        <v>31</v>
      </c>
      <c r="B36" s="11">
        <v>45987.604166666664</v>
      </c>
      <c r="C36" s="7">
        <v>680.88</v>
      </c>
      <c r="D36">
        <v>3198195</v>
      </c>
    </row>
    <row r="37" spans="1:4">
      <c r="A37">
        <v>32</v>
      </c>
      <c r="B37" s="11">
        <v>45987.583333333336</v>
      </c>
      <c r="C37" s="7">
        <v>681.23</v>
      </c>
      <c r="D37">
        <v>2989060</v>
      </c>
    </row>
    <row r="38" spans="1:4">
      <c r="A38">
        <v>33</v>
      </c>
      <c r="B38" s="11">
        <v>45987.5625</v>
      </c>
      <c r="C38" s="7">
        <v>680.38469999999995</v>
      </c>
      <c r="D38">
        <v>2767456</v>
      </c>
    </row>
    <row r="39" spans="1:4">
      <c r="A39">
        <v>34</v>
      </c>
      <c r="B39" s="11">
        <v>45987.541666666664</v>
      </c>
      <c r="C39" s="7">
        <v>681.07</v>
      </c>
      <c r="D39">
        <v>3424580</v>
      </c>
    </row>
    <row r="40" spans="1:4">
      <c r="A40">
        <v>35</v>
      </c>
      <c r="B40" s="11">
        <v>45987.520833333336</v>
      </c>
      <c r="C40" s="7">
        <v>681.09</v>
      </c>
      <c r="D40">
        <v>2183488</v>
      </c>
    </row>
    <row r="41" spans="1:4">
      <c r="A41">
        <v>36</v>
      </c>
      <c r="B41" s="11">
        <v>45987.5</v>
      </c>
      <c r="C41" s="7">
        <v>680.97</v>
      </c>
      <c r="D41">
        <v>2483390</v>
      </c>
    </row>
    <row r="42" spans="1:4">
      <c r="A42">
        <v>37</v>
      </c>
      <c r="B42" s="11">
        <v>45987.479166666664</v>
      </c>
      <c r="C42" s="7">
        <v>681.40859999999998</v>
      </c>
      <c r="D42">
        <v>3385408</v>
      </c>
    </row>
    <row r="43" spans="1:4">
      <c r="A43">
        <v>38</v>
      </c>
      <c r="B43" s="11">
        <v>45987.458333333336</v>
      </c>
      <c r="C43" s="7">
        <v>680.64</v>
      </c>
      <c r="D43">
        <v>3215330</v>
      </c>
    </row>
    <row r="44" spans="1:4">
      <c r="A44">
        <v>39</v>
      </c>
      <c r="B44" s="11">
        <v>45987.4375</v>
      </c>
      <c r="C44" s="7">
        <v>679.59</v>
      </c>
      <c r="D44">
        <v>2992341</v>
      </c>
    </row>
    <row r="45" spans="1:4">
      <c r="A45">
        <v>40</v>
      </c>
      <c r="B45" s="11">
        <v>45987.416666666664</v>
      </c>
      <c r="C45" s="7">
        <v>678.2</v>
      </c>
      <c r="D45">
        <v>4053965</v>
      </c>
    </row>
    <row r="46" spans="1:4">
      <c r="A46">
        <v>41</v>
      </c>
      <c r="B46" s="11">
        <v>45987.395833333336</v>
      </c>
      <c r="C46" s="7">
        <v>677.18</v>
      </c>
      <c r="D46">
        <v>7001221</v>
      </c>
    </row>
    <row r="47" spans="1:4">
      <c r="A47">
        <v>42</v>
      </c>
      <c r="B47" s="11">
        <v>45986.666666666664</v>
      </c>
      <c r="C47" s="7">
        <v>675.02</v>
      </c>
      <c r="D47">
        <v>18510638</v>
      </c>
    </row>
    <row r="48" spans="1:4">
      <c r="A48">
        <v>43</v>
      </c>
      <c r="B48" s="11">
        <v>45986.645833333336</v>
      </c>
      <c r="C48" s="7">
        <v>675.02</v>
      </c>
      <c r="D48">
        <v>10452618</v>
      </c>
    </row>
    <row r="49" spans="1:4">
      <c r="A49">
        <v>44</v>
      </c>
      <c r="B49" s="11">
        <v>45986.625</v>
      </c>
      <c r="C49" s="7">
        <v>674.52</v>
      </c>
      <c r="D49">
        <v>4217875</v>
      </c>
    </row>
    <row r="50" spans="1:4">
      <c r="A50">
        <v>45</v>
      </c>
      <c r="B50" s="11">
        <v>45986.604166666664</v>
      </c>
      <c r="C50" s="7">
        <v>674</v>
      </c>
      <c r="D50">
        <v>3399604</v>
      </c>
    </row>
    <row r="51" spans="1:4">
      <c r="A51">
        <v>46</v>
      </c>
      <c r="B51" s="11">
        <v>45986.583333333336</v>
      </c>
      <c r="C51" s="7">
        <v>673.34</v>
      </c>
      <c r="D51">
        <v>3322590</v>
      </c>
    </row>
    <row r="52" spans="1:4">
      <c r="A52">
        <v>47</v>
      </c>
      <c r="B52" s="11">
        <v>45986.5625</v>
      </c>
      <c r="C52" s="7">
        <v>673.82</v>
      </c>
      <c r="D52">
        <v>2272627</v>
      </c>
    </row>
    <row r="53" spans="1:4">
      <c r="A53">
        <v>48</v>
      </c>
      <c r="B53" s="11">
        <v>45986.541666666664</v>
      </c>
      <c r="C53" s="7">
        <v>674.04</v>
      </c>
      <c r="D53">
        <v>2817500</v>
      </c>
    </row>
    <row r="54" spans="1:4">
      <c r="A54">
        <v>49</v>
      </c>
      <c r="B54" s="11">
        <v>45986.520833333336</v>
      </c>
      <c r="C54" s="7">
        <v>673.33100000000002</v>
      </c>
      <c r="D54">
        <v>3204484</v>
      </c>
    </row>
    <row r="55" spans="1:4">
      <c r="A55">
        <v>50</v>
      </c>
      <c r="B55" s="11">
        <v>45986.5</v>
      </c>
      <c r="C55" s="7">
        <v>673.33</v>
      </c>
      <c r="D55">
        <v>4137887</v>
      </c>
    </row>
    <row r="56" spans="1:4">
      <c r="A56">
        <v>51</v>
      </c>
      <c r="B56" s="11">
        <v>45986.479166666664</v>
      </c>
      <c r="C56" s="7">
        <v>671.75059999999996</v>
      </c>
      <c r="D56">
        <v>2988349</v>
      </c>
    </row>
    <row r="57" spans="1:4">
      <c r="A57">
        <v>52</v>
      </c>
      <c r="B57" s="11">
        <v>45986.458333333336</v>
      </c>
      <c r="C57" s="7">
        <v>670.62</v>
      </c>
      <c r="D57">
        <v>3772418</v>
      </c>
    </row>
    <row r="58" spans="1:4">
      <c r="A58">
        <v>53</v>
      </c>
      <c r="B58" s="11">
        <v>45986.4375</v>
      </c>
      <c r="C58" s="7">
        <v>669.54</v>
      </c>
      <c r="D58">
        <v>5367606</v>
      </c>
    </row>
    <row r="59" spans="1:4">
      <c r="A59">
        <v>54</v>
      </c>
      <c r="B59" s="11">
        <v>45986.416666666664</v>
      </c>
      <c r="C59" s="7">
        <v>668.46</v>
      </c>
      <c r="D59">
        <v>6537845</v>
      </c>
    </row>
    <row r="60" spans="1:4">
      <c r="A60">
        <v>55</v>
      </c>
      <c r="B60" s="11">
        <v>45986.395833333336</v>
      </c>
      <c r="C60" s="7">
        <v>668.81</v>
      </c>
      <c r="D60">
        <v>10075047</v>
      </c>
    </row>
    <row r="61" spans="1:4">
      <c r="A61">
        <v>56</v>
      </c>
      <c r="B61" s="11">
        <v>45985.666666666664</v>
      </c>
      <c r="C61" s="7">
        <v>668.73</v>
      </c>
      <c r="D61">
        <v>24077037</v>
      </c>
    </row>
    <row r="62" spans="1:4">
      <c r="A62">
        <v>57</v>
      </c>
      <c r="B62" s="11">
        <v>45985.645833333336</v>
      </c>
      <c r="C62" s="7">
        <v>668.67</v>
      </c>
      <c r="D62">
        <v>14041883</v>
      </c>
    </row>
    <row r="63" spans="1:4">
      <c r="A63">
        <v>58</v>
      </c>
      <c r="B63" s="11">
        <v>45985.625</v>
      </c>
      <c r="C63" s="7">
        <v>668.92</v>
      </c>
      <c r="D63">
        <v>3361335</v>
      </c>
    </row>
    <row r="64" spans="1:4">
      <c r="A64">
        <v>59</v>
      </c>
      <c r="B64" s="11">
        <v>45985.604166666664</v>
      </c>
      <c r="C64" s="7">
        <v>668.36</v>
      </c>
      <c r="D64">
        <v>3823076</v>
      </c>
    </row>
    <row r="65" spans="1:4">
      <c r="A65">
        <v>60</v>
      </c>
      <c r="B65" s="11">
        <v>45985.583333333336</v>
      </c>
      <c r="C65" s="7">
        <v>668.96</v>
      </c>
      <c r="D65">
        <v>2426362</v>
      </c>
    </row>
    <row r="66" spans="1:4">
      <c r="A66">
        <v>61</v>
      </c>
      <c r="B66" s="11">
        <v>45985.5625</v>
      </c>
      <c r="C66" s="7">
        <v>669.23</v>
      </c>
      <c r="D66">
        <v>1713978</v>
      </c>
    </row>
    <row r="67" spans="1:4">
      <c r="A67">
        <v>62</v>
      </c>
      <c r="B67" s="11">
        <v>45985.541666666664</v>
      </c>
      <c r="C67" s="7">
        <v>669.15</v>
      </c>
      <c r="D67">
        <v>2196681</v>
      </c>
    </row>
    <row r="68" spans="1:4">
      <c r="A68">
        <v>63</v>
      </c>
      <c r="B68" s="11">
        <v>45985.520833333336</v>
      </c>
      <c r="C68" s="7">
        <v>669.1</v>
      </c>
      <c r="D68">
        <v>2522911</v>
      </c>
    </row>
    <row r="69" spans="1:4">
      <c r="A69">
        <v>64</v>
      </c>
      <c r="B69" s="11">
        <v>45985.5</v>
      </c>
      <c r="C69" s="7">
        <v>668.21</v>
      </c>
      <c r="D69">
        <v>2205127</v>
      </c>
    </row>
    <row r="70" spans="1:4">
      <c r="A70">
        <v>65</v>
      </c>
      <c r="B70" s="11">
        <v>45985.479166666664</v>
      </c>
      <c r="C70" s="7">
        <v>667.48</v>
      </c>
      <c r="D70">
        <v>2464983</v>
      </c>
    </row>
    <row r="71" spans="1:4">
      <c r="A71">
        <v>66</v>
      </c>
      <c r="B71" s="11">
        <v>45985.458333333336</v>
      </c>
      <c r="C71" s="7">
        <v>667.91</v>
      </c>
      <c r="D71">
        <v>3698517</v>
      </c>
    </row>
    <row r="72" spans="1:4">
      <c r="A72">
        <v>67</v>
      </c>
      <c r="B72" s="11">
        <v>45985.4375</v>
      </c>
      <c r="C72" s="7">
        <v>666.6771</v>
      </c>
      <c r="D72">
        <v>3995140</v>
      </c>
    </row>
    <row r="73" spans="1:4">
      <c r="A73">
        <v>68</v>
      </c>
      <c r="B73" s="11">
        <v>45985.416666666664</v>
      </c>
      <c r="C73" s="7">
        <v>665.43499999999995</v>
      </c>
      <c r="D73">
        <v>5717053</v>
      </c>
    </row>
    <row r="74" spans="1:4">
      <c r="A74">
        <v>69</v>
      </c>
      <c r="B74" s="11">
        <v>45985.395833333336</v>
      </c>
      <c r="C74" s="7">
        <v>664.22</v>
      </c>
      <c r="D74">
        <v>8193853</v>
      </c>
    </row>
    <row r="75" spans="1:4">
      <c r="A75">
        <v>70</v>
      </c>
      <c r="B75" s="11">
        <v>45982.666666666664</v>
      </c>
      <c r="C75" s="7">
        <v>659.03</v>
      </c>
      <c r="D75">
        <v>36504397</v>
      </c>
    </row>
    <row r="76" spans="1:4">
      <c r="A76">
        <v>71</v>
      </c>
      <c r="B76" s="11">
        <v>45982.645833333336</v>
      </c>
      <c r="C76" s="7">
        <v>659</v>
      </c>
      <c r="D76">
        <v>14373103</v>
      </c>
    </row>
    <row r="77" spans="1:4">
      <c r="A77">
        <v>72</v>
      </c>
      <c r="B77" s="11">
        <v>45982.625</v>
      </c>
      <c r="C77" s="7">
        <v>659.44</v>
      </c>
      <c r="D77">
        <v>4792389</v>
      </c>
    </row>
    <row r="78" spans="1:4">
      <c r="A78">
        <v>73</v>
      </c>
      <c r="B78" s="11">
        <v>45982.604166666664</v>
      </c>
      <c r="C78" s="7">
        <v>661.67</v>
      </c>
      <c r="D78">
        <v>4758770</v>
      </c>
    </row>
    <row r="79" spans="1:4">
      <c r="A79">
        <v>74</v>
      </c>
      <c r="B79" s="11">
        <v>45982.583333333336</v>
      </c>
      <c r="C79" s="7">
        <v>664.23</v>
      </c>
      <c r="D79">
        <v>4637597</v>
      </c>
    </row>
    <row r="80" spans="1:4">
      <c r="A80">
        <v>75</v>
      </c>
      <c r="B80" s="11">
        <v>45982.5625</v>
      </c>
      <c r="C80" s="7">
        <v>662.29</v>
      </c>
      <c r="D80">
        <v>6028615</v>
      </c>
    </row>
    <row r="81" spans="1:4">
      <c r="A81">
        <v>76</v>
      </c>
      <c r="B81" s="11">
        <v>45982.541666666664</v>
      </c>
      <c r="C81" s="7">
        <v>658.13</v>
      </c>
      <c r="D81">
        <v>4654852</v>
      </c>
    </row>
    <row r="82" spans="1:4">
      <c r="A82">
        <v>77</v>
      </c>
      <c r="B82" s="11">
        <v>45982.520833333336</v>
      </c>
      <c r="C82" s="7">
        <v>660.23</v>
      </c>
      <c r="D82">
        <v>3669363</v>
      </c>
    </row>
    <row r="83" spans="1:4">
      <c r="A83">
        <v>78</v>
      </c>
      <c r="B83" s="11">
        <v>45982.5</v>
      </c>
      <c r="C83" s="7">
        <v>660.52</v>
      </c>
      <c r="D83">
        <v>6067053</v>
      </c>
    </row>
    <row r="84" spans="1:4">
      <c r="A84">
        <v>79</v>
      </c>
      <c r="B84" s="11">
        <v>45982.479166666664</v>
      </c>
      <c r="C84" s="7">
        <v>660.82</v>
      </c>
      <c r="D84">
        <v>6699364</v>
      </c>
    </row>
    <row r="85" spans="1:4">
      <c r="A85">
        <v>80</v>
      </c>
      <c r="B85" s="11">
        <v>45982.458333333336</v>
      </c>
      <c r="C85" s="7">
        <v>655.875</v>
      </c>
      <c r="D85">
        <v>4818814</v>
      </c>
    </row>
    <row r="86" spans="1:4">
      <c r="A86">
        <v>81</v>
      </c>
      <c r="B86" s="11">
        <v>45982.4375</v>
      </c>
      <c r="C86" s="7">
        <v>653.01</v>
      </c>
      <c r="D86">
        <v>7367896</v>
      </c>
    </row>
    <row r="87" spans="1:4">
      <c r="A87">
        <v>82</v>
      </c>
      <c r="B87" s="11">
        <v>45982.416666666664</v>
      </c>
      <c r="C87" s="7">
        <v>652.96</v>
      </c>
      <c r="D87">
        <v>8540855</v>
      </c>
    </row>
    <row r="88" spans="1:4">
      <c r="A88">
        <v>83</v>
      </c>
      <c r="B88" s="11">
        <v>45982.395833333336</v>
      </c>
      <c r="C88" s="7">
        <v>654.83000000000004</v>
      </c>
      <c r="D88">
        <v>11043132</v>
      </c>
    </row>
    <row r="89" spans="1:4">
      <c r="A89">
        <v>84</v>
      </c>
      <c r="B89" s="11">
        <v>45981.666666666664</v>
      </c>
      <c r="C89" s="7">
        <v>652.53</v>
      </c>
      <c r="D89">
        <v>37398823</v>
      </c>
    </row>
    <row r="90" spans="1:4">
      <c r="A90">
        <v>85</v>
      </c>
      <c r="B90" s="11">
        <v>45981.645833333336</v>
      </c>
      <c r="C90" s="7">
        <v>652.53</v>
      </c>
      <c r="D90">
        <v>18537154</v>
      </c>
    </row>
    <row r="91" spans="1:4">
      <c r="A91">
        <v>86</v>
      </c>
      <c r="B91" s="11">
        <v>45981.625</v>
      </c>
      <c r="C91" s="7">
        <v>656.21</v>
      </c>
      <c r="D91">
        <v>6617920</v>
      </c>
    </row>
    <row r="92" spans="1:4">
      <c r="A92">
        <v>87</v>
      </c>
      <c r="B92" s="11">
        <v>45981.604166666664</v>
      </c>
      <c r="C92" s="7">
        <v>658.07</v>
      </c>
      <c r="D92">
        <v>5835598</v>
      </c>
    </row>
    <row r="93" spans="1:4">
      <c r="A93">
        <v>88</v>
      </c>
      <c r="B93" s="11">
        <v>45981.583333333336</v>
      </c>
      <c r="C93" s="7">
        <v>656.94</v>
      </c>
      <c r="D93">
        <v>5844936</v>
      </c>
    </row>
    <row r="94" spans="1:4">
      <c r="A94">
        <v>89</v>
      </c>
      <c r="B94" s="11">
        <v>45981.5625</v>
      </c>
      <c r="C94" s="7">
        <v>655.08000000000004</v>
      </c>
      <c r="D94">
        <v>6457565</v>
      </c>
    </row>
    <row r="95" spans="1:4">
      <c r="A95">
        <v>90</v>
      </c>
      <c r="B95" s="11">
        <v>45981.541666666664</v>
      </c>
      <c r="C95" s="7">
        <v>659.44</v>
      </c>
      <c r="D95">
        <v>9531009</v>
      </c>
    </row>
    <row r="96" spans="1:4">
      <c r="A96">
        <v>91</v>
      </c>
      <c r="B96" s="11">
        <v>45981.520833333336</v>
      </c>
      <c r="C96" s="7">
        <v>657.01059999999995</v>
      </c>
      <c r="D96">
        <v>10500736</v>
      </c>
    </row>
    <row r="97" spans="1:4">
      <c r="A97">
        <v>92</v>
      </c>
      <c r="B97" s="11">
        <v>45981.5</v>
      </c>
      <c r="C97" s="7">
        <v>658.38</v>
      </c>
      <c r="D97">
        <v>15712958</v>
      </c>
    </row>
    <row r="98" spans="1:4">
      <c r="A98">
        <v>93</v>
      </c>
      <c r="B98" s="11">
        <v>45981.479166666664</v>
      </c>
      <c r="C98" s="7">
        <v>659.75</v>
      </c>
      <c r="D98">
        <v>15303407</v>
      </c>
    </row>
    <row r="99" spans="1:4">
      <c r="A99">
        <v>94</v>
      </c>
      <c r="B99" s="11">
        <v>45981.458333333336</v>
      </c>
      <c r="C99" s="7">
        <v>667.68</v>
      </c>
      <c r="D99">
        <v>11121366</v>
      </c>
    </row>
    <row r="100" spans="1:4">
      <c r="A100">
        <v>95</v>
      </c>
      <c r="B100" s="11">
        <v>45981.4375</v>
      </c>
      <c r="C100" s="7">
        <v>672.67</v>
      </c>
      <c r="D100">
        <v>4693231</v>
      </c>
    </row>
    <row r="101" spans="1:4">
      <c r="A101">
        <v>96</v>
      </c>
      <c r="B101" s="11">
        <v>45981.416666666664</v>
      </c>
      <c r="C101" s="7">
        <v>674.94</v>
      </c>
      <c r="D101">
        <v>6610609</v>
      </c>
    </row>
    <row r="102" spans="1:4">
      <c r="A102">
        <v>97</v>
      </c>
      <c r="B102" s="11">
        <v>45981.395833333336</v>
      </c>
      <c r="C102" s="7">
        <v>675.10990000000004</v>
      </c>
      <c r="D102">
        <v>11128208</v>
      </c>
    </row>
    <row r="103" spans="1:4">
      <c r="A103">
        <v>98</v>
      </c>
      <c r="B103" s="11">
        <v>45980.666666666664</v>
      </c>
      <c r="C103" s="7">
        <v>662.63</v>
      </c>
      <c r="D103">
        <v>22831485</v>
      </c>
    </row>
    <row r="104" spans="1:4">
      <c r="A104">
        <v>99</v>
      </c>
      <c r="B104" s="11">
        <v>45980.645833333336</v>
      </c>
      <c r="C104" s="7">
        <v>662.63</v>
      </c>
      <c r="D104">
        <v>9497011</v>
      </c>
    </row>
    <row r="105" spans="1:4">
      <c r="A105">
        <v>100</v>
      </c>
      <c r="B105" s="11">
        <v>45980.625</v>
      </c>
      <c r="C105" s="7">
        <v>663.52</v>
      </c>
      <c r="D105">
        <v>4843473</v>
      </c>
    </row>
    <row r="106" spans="1:4">
      <c r="A106">
        <v>101</v>
      </c>
      <c r="B106" s="11">
        <v>45980.604166666664</v>
      </c>
      <c r="C106" s="7">
        <v>661.12</v>
      </c>
      <c r="D106">
        <v>3835230</v>
      </c>
    </row>
    <row r="107" spans="1:4">
      <c r="A107">
        <v>102</v>
      </c>
      <c r="B107" s="11">
        <v>45980.583333333336</v>
      </c>
      <c r="C107" s="7">
        <v>659.74</v>
      </c>
      <c r="D107">
        <v>4305464</v>
      </c>
    </row>
    <row r="108" spans="1:4">
      <c r="A108">
        <v>103</v>
      </c>
      <c r="B108" s="11">
        <v>45980.5625</v>
      </c>
      <c r="C108" s="7">
        <v>662.69</v>
      </c>
      <c r="D108">
        <v>4420012</v>
      </c>
    </row>
    <row r="109" spans="1:4">
      <c r="A109">
        <v>104</v>
      </c>
      <c r="B109" s="11">
        <v>45980.541666666664</v>
      </c>
      <c r="C109" s="7">
        <v>660.84</v>
      </c>
      <c r="D109">
        <v>4084929</v>
      </c>
    </row>
    <row r="110" spans="1:4">
      <c r="A110">
        <v>105</v>
      </c>
      <c r="B110" s="11">
        <v>45980.520833333336</v>
      </c>
      <c r="C110" s="7">
        <v>661.3</v>
      </c>
      <c r="D110">
        <v>5667995</v>
      </c>
    </row>
    <row r="111" spans="1:4">
      <c r="A111">
        <v>106</v>
      </c>
      <c r="B111" s="11">
        <v>45980.5</v>
      </c>
      <c r="C111" s="7">
        <v>661.16</v>
      </c>
      <c r="D111">
        <v>4085293</v>
      </c>
    </row>
    <row r="112" spans="1:4">
      <c r="A112">
        <v>107</v>
      </c>
      <c r="B112" s="11">
        <v>45980.479166666664</v>
      </c>
      <c r="C112" s="7">
        <v>662.47</v>
      </c>
      <c r="D112">
        <v>4139582</v>
      </c>
    </row>
    <row r="113" spans="1:4">
      <c r="A113">
        <v>108</v>
      </c>
      <c r="B113" s="11">
        <v>45980.458333333336</v>
      </c>
      <c r="C113" s="7">
        <v>661.86</v>
      </c>
      <c r="D113">
        <v>5885206</v>
      </c>
    </row>
    <row r="114" spans="1:4">
      <c r="A114">
        <v>109</v>
      </c>
      <c r="B114" s="11">
        <v>45980.4375</v>
      </c>
      <c r="C114" s="7">
        <v>662.79</v>
      </c>
      <c r="D114">
        <v>5123602</v>
      </c>
    </row>
    <row r="115" spans="1:4">
      <c r="A115">
        <v>110</v>
      </c>
      <c r="B115" s="11">
        <v>45980.416666666664</v>
      </c>
      <c r="C115" s="7">
        <v>666.32</v>
      </c>
      <c r="D115">
        <v>7297990</v>
      </c>
    </row>
    <row r="116" spans="1:4">
      <c r="A116">
        <v>111</v>
      </c>
      <c r="B116" s="11">
        <v>45980.395833333336</v>
      </c>
      <c r="C116" s="7">
        <v>665.85</v>
      </c>
      <c r="D116">
        <v>8685680</v>
      </c>
    </row>
    <row r="117" spans="1:4">
      <c r="A117">
        <v>112</v>
      </c>
      <c r="B117" s="11">
        <v>45979.666666666664</v>
      </c>
      <c r="C117" s="7">
        <v>660.08</v>
      </c>
      <c r="D117">
        <v>23705529</v>
      </c>
    </row>
    <row r="118" spans="1:4">
      <c r="A118">
        <v>113</v>
      </c>
      <c r="B118" s="11">
        <v>45979.645833333336</v>
      </c>
      <c r="C118" s="7">
        <v>660.08</v>
      </c>
      <c r="D118">
        <v>13809027</v>
      </c>
    </row>
    <row r="119" spans="1:4">
      <c r="A119">
        <v>114</v>
      </c>
      <c r="B119" s="11">
        <v>45979.625</v>
      </c>
      <c r="C119" s="7">
        <v>662.45</v>
      </c>
      <c r="D119">
        <v>5473369</v>
      </c>
    </row>
    <row r="120" spans="1:4">
      <c r="A120">
        <v>115</v>
      </c>
      <c r="B120" s="11">
        <v>45979.604166666664</v>
      </c>
      <c r="C120" s="7">
        <v>664.41849999999999</v>
      </c>
      <c r="D120">
        <v>4679559</v>
      </c>
    </row>
    <row r="121" spans="1:4">
      <c r="A121">
        <v>116</v>
      </c>
      <c r="B121" s="11">
        <v>45979.583333333336</v>
      </c>
      <c r="C121" s="7">
        <v>662.97</v>
      </c>
      <c r="D121">
        <v>3556440</v>
      </c>
    </row>
    <row r="122" spans="1:4">
      <c r="A122">
        <v>117</v>
      </c>
      <c r="B122" s="11">
        <v>45979.5625</v>
      </c>
      <c r="C122" s="7">
        <v>663.14</v>
      </c>
      <c r="D122">
        <v>4562879</v>
      </c>
    </row>
    <row r="123" spans="1:4">
      <c r="A123">
        <v>118</v>
      </c>
      <c r="B123" s="11">
        <v>45979.541666666664</v>
      </c>
      <c r="C123" s="7">
        <v>663.47</v>
      </c>
      <c r="D123">
        <v>3933508</v>
      </c>
    </row>
    <row r="124" spans="1:4">
      <c r="A124">
        <v>119</v>
      </c>
      <c r="B124" s="11">
        <v>45979.520833333336</v>
      </c>
      <c r="C124" s="7">
        <v>663.75</v>
      </c>
      <c r="D124">
        <v>5761666</v>
      </c>
    </row>
    <row r="125" spans="1:4">
      <c r="A125">
        <v>120</v>
      </c>
      <c r="B125" s="11">
        <v>45979.5</v>
      </c>
      <c r="C125" s="7">
        <v>658.57</v>
      </c>
      <c r="D125">
        <v>3812004</v>
      </c>
    </row>
    <row r="126" spans="1:4">
      <c r="A126">
        <v>121</v>
      </c>
      <c r="B126" s="11">
        <v>45979.479166666664</v>
      </c>
      <c r="C126" s="7">
        <v>661.16989999999998</v>
      </c>
      <c r="D126">
        <v>5094226</v>
      </c>
    </row>
    <row r="127" spans="1:4">
      <c r="A127">
        <v>122</v>
      </c>
      <c r="B127" s="11">
        <v>45979.458333333336</v>
      </c>
      <c r="C127" s="7">
        <v>661.48</v>
      </c>
      <c r="D127">
        <v>7440123</v>
      </c>
    </row>
    <row r="128" spans="1:4">
      <c r="A128">
        <v>123</v>
      </c>
      <c r="B128" s="11">
        <v>45979.4375</v>
      </c>
      <c r="C128" s="7">
        <v>657.11</v>
      </c>
      <c r="D128">
        <v>6850688</v>
      </c>
    </row>
    <row r="129" spans="1:4">
      <c r="A129">
        <v>124</v>
      </c>
      <c r="B129" s="11">
        <v>45979.416666666664</v>
      </c>
      <c r="C129" s="7">
        <v>659.1</v>
      </c>
      <c r="D129">
        <v>10907580</v>
      </c>
    </row>
    <row r="130" spans="1:4">
      <c r="A130">
        <v>125</v>
      </c>
      <c r="B130" s="11">
        <v>45979.395833333336</v>
      </c>
      <c r="C130" s="7">
        <v>658.56</v>
      </c>
      <c r="D130">
        <v>14880890</v>
      </c>
    </row>
    <row r="131" spans="1:4">
      <c r="A131">
        <v>126</v>
      </c>
      <c r="B131" s="11">
        <v>45978.666666666664</v>
      </c>
      <c r="C131" s="7">
        <v>665.67</v>
      </c>
      <c r="D131">
        <v>19866690</v>
      </c>
    </row>
    <row r="132" spans="1:4">
      <c r="A132">
        <v>127</v>
      </c>
      <c r="B132" s="11">
        <v>45978.645833333336</v>
      </c>
      <c r="C132" s="7">
        <v>665.67</v>
      </c>
      <c r="D132">
        <v>14357186</v>
      </c>
    </row>
    <row r="133" spans="1:4">
      <c r="A133">
        <v>128</v>
      </c>
      <c r="B133" s="11">
        <v>45978.625</v>
      </c>
      <c r="C133" s="7">
        <v>663.88</v>
      </c>
      <c r="D133">
        <v>7345725</v>
      </c>
    </row>
    <row r="134" spans="1:4">
      <c r="A134">
        <v>129</v>
      </c>
      <c r="B134" s="11">
        <v>45978.604166666664</v>
      </c>
      <c r="C134" s="7">
        <v>662.56</v>
      </c>
      <c r="D134">
        <v>6041038</v>
      </c>
    </row>
    <row r="135" spans="1:4">
      <c r="A135">
        <v>130</v>
      </c>
      <c r="B135" s="11">
        <v>45978.583333333336</v>
      </c>
      <c r="C135" s="7">
        <v>665.77</v>
      </c>
      <c r="D135">
        <v>5489532</v>
      </c>
    </row>
    <row r="136" spans="1:4">
      <c r="A136">
        <v>131</v>
      </c>
      <c r="B136" s="11">
        <v>45978.5625</v>
      </c>
      <c r="C136" s="7">
        <v>666.5222</v>
      </c>
      <c r="D136">
        <v>3739115</v>
      </c>
    </row>
    <row r="137" spans="1:4">
      <c r="A137">
        <v>132</v>
      </c>
      <c r="B137" s="11">
        <v>45978.541666666664</v>
      </c>
      <c r="C137" s="7">
        <v>668.64</v>
      </c>
      <c r="D137">
        <v>3146641</v>
      </c>
    </row>
    <row r="138" spans="1:4">
      <c r="A138">
        <v>133</v>
      </c>
      <c r="B138" s="11">
        <v>45978.520833333336</v>
      </c>
      <c r="C138" s="7">
        <v>669.23299999999995</v>
      </c>
      <c r="D138">
        <v>3117844</v>
      </c>
    </row>
    <row r="139" spans="1:4">
      <c r="A139">
        <v>134</v>
      </c>
      <c r="B139" s="11">
        <v>45978.5</v>
      </c>
      <c r="C139" s="7">
        <v>672.39</v>
      </c>
      <c r="D139">
        <v>2096318</v>
      </c>
    </row>
    <row r="140" spans="1:4">
      <c r="A140">
        <v>135</v>
      </c>
      <c r="B140" s="11">
        <v>45978.479166666664</v>
      </c>
      <c r="C140" s="7">
        <v>673</v>
      </c>
      <c r="D140">
        <v>3662712</v>
      </c>
    </row>
    <row r="141" spans="1:4">
      <c r="A141">
        <v>136</v>
      </c>
      <c r="B141" s="11">
        <v>45978.458333333336</v>
      </c>
      <c r="C141" s="7">
        <v>670.52</v>
      </c>
      <c r="D141">
        <v>5660934</v>
      </c>
    </row>
    <row r="142" spans="1:4">
      <c r="A142">
        <v>137</v>
      </c>
      <c r="B142" s="11">
        <v>45978.4375</v>
      </c>
      <c r="C142" s="7">
        <v>670.67499999999995</v>
      </c>
      <c r="D142">
        <v>4254695</v>
      </c>
    </row>
    <row r="143" spans="1:4">
      <c r="A143">
        <v>138</v>
      </c>
      <c r="B143" s="11">
        <v>45978.416666666664</v>
      </c>
      <c r="C143" s="7">
        <v>672.05</v>
      </c>
      <c r="D143">
        <v>4448601</v>
      </c>
    </row>
    <row r="144" spans="1:4">
      <c r="A144">
        <v>139</v>
      </c>
      <c r="B144" s="11">
        <v>45978.395833333336</v>
      </c>
      <c r="C144" s="7">
        <v>672.82</v>
      </c>
      <c r="D144">
        <v>7229073</v>
      </c>
    </row>
    <row r="145" spans="1:4">
      <c r="A145">
        <v>140</v>
      </c>
      <c r="B145" s="11">
        <v>45975.666666666664</v>
      </c>
      <c r="C145" s="7">
        <v>671.93</v>
      </c>
      <c r="D145">
        <v>23786906</v>
      </c>
    </row>
    <row r="146" spans="1:4">
      <c r="A146">
        <v>141</v>
      </c>
      <c r="B146" s="11">
        <v>45975.645833333336</v>
      </c>
      <c r="C146" s="7">
        <v>671.91</v>
      </c>
      <c r="D146">
        <v>9590459</v>
      </c>
    </row>
    <row r="147" spans="1:4">
      <c r="A147">
        <v>142</v>
      </c>
      <c r="B147" s="11">
        <v>45975.625</v>
      </c>
      <c r="C147" s="7">
        <v>672.46</v>
      </c>
      <c r="D147">
        <v>4511262</v>
      </c>
    </row>
    <row r="148" spans="1:4">
      <c r="A148">
        <v>143</v>
      </c>
      <c r="B148" s="11">
        <v>45975.604166666664</v>
      </c>
      <c r="C148" s="7">
        <v>674.67</v>
      </c>
      <c r="D148">
        <v>3200676</v>
      </c>
    </row>
    <row r="149" spans="1:4">
      <c r="A149">
        <v>144</v>
      </c>
      <c r="B149" s="11">
        <v>45975.583333333336</v>
      </c>
      <c r="C149" s="7">
        <v>674.04010000000005</v>
      </c>
      <c r="D149">
        <v>3927741</v>
      </c>
    </row>
    <row r="150" spans="1:4">
      <c r="A150">
        <v>145</v>
      </c>
      <c r="B150" s="11">
        <v>45975.5625</v>
      </c>
      <c r="C150" s="7">
        <v>673.25</v>
      </c>
      <c r="D150">
        <v>4518391</v>
      </c>
    </row>
    <row r="151" spans="1:4">
      <c r="A151">
        <v>146</v>
      </c>
      <c r="B151" s="11">
        <v>45975.541666666664</v>
      </c>
      <c r="C151" s="7">
        <v>672.99</v>
      </c>
      <c r="D151">
        <v>4547401</v>
      </c>
    </row>
    <row r="152" spans="1:4">
      <c r="A152">
        <v>147</v>
      </c>
      <c r="B152" s="11">
        <v>45975.520833333336</v>
      </c>
      <c r="C152" s="7">
        <v>674.02710000000002</v>
      </c>
      <c r="D152">
        <v>4271472</v>
      </c>
    </row>
    <row r="153" spans="1:4">
      <c r="A153">
        <v>148</v>
      </c>
      <c r="B153" s="11">
        <v>45975.5</v>
      </c>
      <c r="C153" s="7">
        <v>674.94</v>
      </c>
      <c r="D153">
        <v>3015286</v>
      </c>
    </row>
    <row r="154" spans="1:4">
      <c r="A154">
        <v>149</v>
      </c>
      <c r="B154" s="11">
        <v>45975.479166666664</v>
      </c>
      <c r="C154" s="7">
        <v>674.65</v>
      </c>
      <c r="D154">
        <v>3787360</v>
      </c>
    </row>
    <row r="155" spans="1:4">
      <c r="A155">
        <v>150</v>
      </c>
      <c r="B155" s="11">
        <v>45975.458333333336</v>
      </c>
      <c r="C155" s="7">
        <v>674.48</v>
      </c>
      <c r="D155">
        <v>4879283</v>
      </c>
    </row>
    <row r="156" spans="1:4">
      <c r="A156">
        <v>151</v>
      </c>
      <c r="B156" s="11">
        <v>45975.4375</v>
      </c>
      <c r="C156" s="7">
        <v>672.36360000000002</v>
      </c>
      <c r="D156">
        <v>6712977</v>
      </c>
    </row>
    <row r="157" spans="1:4">
      <c r="A157">
        <v>152</v>
      </c>
      <c r="B157" s="11">
        <v>45975.416666666664</v>
      </c>
      <c r="C157" s="7">
        <v>669.74</v>
      </c>
      <c r="D157">
        <v>7052865</v>
      </c>
    </row>
    <row r="158" spans="1:4">
      <c r="A158">
        <v>153</v>
      </c>
      <c r="B158" s="11">
        <v>45975.395833333336</v>
      </c>
      <c r="C158" s="7">
        <v>668.75</v>
      </c>
      <c r="D158">
        <v>13044593</v>
      </c>
    </row>
    <row r="159" spans="1:4">
      <c r="A159">
        <v>154</v>
      </c>
      <c r="B159" s="11">
        <v>45974.666666666664</v>
      </c>
      <c r="C159" s="7">
        <v>672.04</v>
      </c>
      <c r="D159">
        <v>29262865</v>
      </c>
    </row>
    <row r="160" spans="1:4">
      <c r="A160">
        <v>155</v>
      </c>
      <c r="B160" s="11">
        <v>45974.645833333336</v>
      </c>
      <c r="C160" s="7">
        <v>672.04</v>
      </c>
      <c r="D160">
        <v>14569200</v>
      </c>
    </row>
    <row r="161" spans="1:4">
      <c r="A161">
        <v>156</v>
      </c>
      <c r="B161" s="11">
        <v>45974.625</v>
      </c>
      <c r="C161" s="7">
        <v>671.68</v>
      </c>
      <c r="D161">
        <v>6134418</v>
      </c>
    </row>
    <row r="162" spans="1:4">
      <c r="A162">
        <v>157</v>
      </c>
      <c r="B162" s="11">
        <v>45974.604166666664</v>
      </c>
      <c r="C162" s="7">
        <v>671.66</v>
      </c>
      <c r="D162">
        <v>4996112</v>
      </c>
    </row>
    <row r="163" spans="1:4">
      <c r="A163">
        <v>158</v>
      </c>
      <c r="B163" s="11">
        <v>45974.583333333336</v>
      </c>
      <c r="C163" s="7">
        <v>673.45</v>
      </c>
      <c r="D163">
        <v>3948352</v>
      </c>
    </row>
    <row r="164" spans="1:4">
      <c r="A164">
        <v>159</v>
      </c>
      <c r="B164" s="11">
        <v>45974.5625</v>
      </c>
      <c r="C164" s="7">
        <v>672.76</v>
      </c>
      <c r="D164">
        <v>4804392</v>
      </c>
    </row>
    <row r="165" spans="1:4">
      <c r="A165">
        <v>160</v>
      </c>
      <c r="B165" s="11">
        <v>45974.541666666664</v>
      </c>
      <c r="C165" s="7">
        <v>672.76</v>
      </c>
      <c r="D165">
        <v>3586345</v>
      </c>
    </row>
    <row r="166" spans="1:4">
      <c r="A166">
        <v>161</v>
      </c>
      <c r="B166" s="11">
        <v>45974.520833333336</v>
      </c>
      <c r="C166" s="7">
        <v>674.23</v>
      </c>
      <c r="D166">
        <v>3616735</v>
      </c>
    </row>
    <row r="167" spans="1:4">
      <c r="A167">
        <v>162</v>
      </c>
      <c r="B167" s="11">
        <v>45974.5</v>
      </c>
      <c r="C167" s="7">
        <v>675.90409999999997</v>
      </c>
      <c r="D167">
        <v>3768722</v>
      </c>
    </row>
    <row r="168" spans="1:4">
      <c r="A168">
        <v>163</v>
      </c>
      <c r="B168" s="11">
        <v>45974.479166666664</v>
      </c>
      <c r="C168" s="7">
        <v>675.11</v>
      </c>
      <c r="D168">
        <v>4363872</v>
      </c>
    </row>
    <row r="169" spans="1:4">
      <c r="A169">
        <v>164</v>
      </c>
      <c r="B169" s="11">
        <v>45974.458333333336</v>
      </c>
      <c r="C169" s="7">
        <v>675.64</v>
      </c>
      <c r="D169">
        <v>4856252</v>
      </c>
    </row>
    <row r="170" spans="1:4">
      <c r="A170">
        <v>165</v>
      </c>
      <c r="B170" s="11">
        <v>45974.4375</v>
      </c>
      <c r="C170" s="7">
        <v>676.3</v>
      </c>
      <c r="D170">
        <v>6706710</v>
      </c>
    </row>
    <row r="171" spans="1:4">
      <c r="A171">
        <v>166</v>
      </c>
      <c r="B171" s="11">
        <v>45974.416666666664</v>
      </c>
      <c r="C171" s="7">
        <v>678.9</v>
      </c>
      <c r="D171">
        <v>5194692</v>
      </c>
    </row>
    <row r="172" spans="1:4">
      <c r="A172">
        <v>167</v>
      </c>
      <c r="B172" s="11">
        <v>45974.395833333336</v>
      </c>
      <c r="C172" s="7">
        <v>678.72</v>
      </c>
      <c r="D172">
        <v>7649125</v>
      </c>
    </row>
    <row r="173" spans="1:4">
      <c r="A173">
        <v>168</v>
      </c>
      <c r="B173" s="11">
        <v>45973.666666666664</v>
      </c>
      <c r="C173" s="7">
        <v>683.38</v>
      </c>
      <c r="D173">
        <v>15503008</v>
      </c>
    </row>
    <row r="174" spans="1:4">
      <c r="A174">
        <v>169</v>
      </c>
      <c r="B174" s="11">
        <v>45973.645833333336</v>
      </c>
      <c r="C174" s="7">
        <v>683.38</v>
      </c>
      <c r="D174">
        <v>10631041</v>
      </c>
    </row>
    <row r="175" spans="1:4">
      <c r="A175">
        <v>170</v>
      </c>
      <c r="B175" s="11">
        <v>45973.625</v>
      </c>
      <c r="C175" s="7">
        <v>683.32500000000005</v>
      </c>
      <c r="D175">
        <v>2874617</v>
      </c>
    </row>
    <row r="176" spans="1:4">
      <c r="A176">
        <v>171</v>
      </c>
      <c r="B176" s="11">
        <v>45973.604166666664</v>
      </c>
      <c r="C176" s="7">
        <v>682.73500000000001</v>
      </c>
      <c r="D176">
        <v>2917133</v>
      </c>
    </row>
    <row r="177" spans="1:4">
      <c r="A177">
        <v>172</v>
      </c>
      <c r="B177" s="11">
        <v>45973.583333333336</v>
      </c>
      <c r="C177" s="7">
        <v>682.74</v>
      </c>
      <c r="D177">
        <v>2546259</v>
      </c>
    </row>
    <row r="178" spans="1:4">
      <c r="A178">
        <v>173</v>
      </c>
      <c r="B178" s="11">
        <v>45973.5625</v>
      </c>
      <c r="C178" s="7">
        <v>683.64</v>
      </c>
      <c r="D178">
        <v>1879714</v>
      </c>
    </row>
    <row r="179" spans="1:4">
      <c r="A179">
        <v>174</v>
      </c>
      <c r="B179" s="11">
        <v>45973.541666666664</v>
      </c>
      <c r="C179" s="7">
        <v>683.46169999999995</v>
      </c>
      <c r="D179">
        <v>1860792</v>
      </c>
    </row>
    <row r="180" spans="1:4">
      <c r="A180">
        <v>175</v>
      </c>
      <c r="B180" s="11">
        <v>45973.520833333336</v>
      </c>
      <c r="C180" s="7">
        <v>683.68</v>
      </c>
      <c r="D180">
        <v>2439079</v>
      </c>
    </row>
    <row r="181" spans="1:4">
      <c r="A181">
        <v>176</v>
      </c>
      <c r="B181" s="11">
        <v>45973.5</v>
      </c>
      <c r="C181" s="7">
        <v>682.44</v>
      </c>
      <c r="D181">
        <v>2179192</v>
      </c>
    </row>
    <row r="182" spans="1:4">
      <c r="A182">
        <v>177</v>
      </c>
      <c r="B182" s="11">
        <v>45973.479166666664</v>
      </c>
      <c r="C182" s="7">
        <v>681.81</v>
      </c>
      <c r="D182">
        <v>2913717</v>
      </c>
    </row>
    <row r="183" spans="1:4">
      <c r="A183">
        <v>178</v>
      </c>
      <c r="B183" s="11">
        <v>45973.458333333336</v>
      </c>
      <c r="C183" s="7">
        <v>682.35</v>
      </c>
      <c r="D183">
        <v>2954031</v>
      </c>
    </row>
    <row r="184" spans="1:4">
      <c r="A184">
        <v>179</v>
      </c>
      <c r="B184" s="11">
        <v>45973.4375</v>
      </c>
      <c r="C184" s="7">
        <v>682.29</v>
      </c>
      <c r="D184">
        <v>3364587</v>
      </c>
    </row>
    <row r="185" spans="1:4">
      <c r="A185">
        <v>180</v>
      </c>
      <c r="B185" s="11">
        <v>45973.416666666664</v>
      </c>
      <c r="C185" s="7">
        <v>683.23</v>
      </c>
      <c r="D185">
        <v>3800790</v>
      </c>
    </row>
    <row r="186" spans="1:4">
      <c r="A186">
        <v>181</v>
      </c>
      <c r="B186" s="11">
        <v>45973.395833333336</v>
      </c>
      <c r="C186" s="7">
        <v>683.61</v>
      </c>
      <c r="D186">
        <v>6448524</v>
      </c>
    </row>
    <row r="187" spans="1:4">
      <c r="A187">
        <v>182</v>
      </c>
      <c r="B187" s="11">
        <v>45972.666666666664</v>
      </c>
      <c r="C187" s="7">
        <v>683</v>
      </c>
      <c r="D187">
        <v>15479870</v>
      </c>
    </row>
    <row r="188" spans="1:4">
      <c r="A188">
        <v>183</v>
      </c>
      <c r="B188" s="11">
        <v>45972.645833333336</v>
      </c>
      <c r="C188" s="7">
        <v>683</v>
      </c>
      <c r="D188">
        <v>10221125</v>
      </c>
    </row>
    <row r="189" spans="1:4">
      <c r="A189">
        <v>184</v>
      </c>
      <c r="B189" s="11">
        <v>45972.625</v>
      </c>
      <c r="C189" s="7">
        <v>682.84</v>
      </c>
      <c r="D189">
        <v>3049702</v>
      </c>
    </row>
    <row r="190" spans="1:4">
      <c r="A190">
        <v>185</v>
      </c>
      <c r="B190" s="11">
        <v>45972.604166666664</v>
      </c>
      <c r="C190" s="7">
        <v>683.14499999999998</v>
      </c>
      <c r="D190">
        <v>2072638</v>
      </c>
    </row>
    <row r="191" spans="1:4">
      <c r="A191">
        <v>186</v>
      </c>
      <c r="B191" s="11">
        <v>45972.583333333336</v>
      </c>
      <c r="C191" s="7">
        <v>683.14</v>
      </c>
      <c r="D191">
        <v>2390509</v>
      </c>
    </row>
    <row r="192" spans="1:4">
      <c r="A192">
        <v>187</v>
      </c>
      <c r="B192" s="11">
        <v>45972.5625</v>
      </c>
      <c r="C192" s="7">
        <v>683.09199999999998</v>
      </c>
      <c r="D192">
        <v>2638673</v>
      </c>
    </row>
    <row r="193" spans="1:4">
      <c r="A193">
        <v>188</v>
      </c>
      <c r="B193" s="11">
        <v>45972.541666666664</v>
      </c>
      <c r="C193" s="7">
        <v>682.89</v>
      </c>
      <c r="D193">
        <v>2998419</v>
      </c>
    </row>
    <row r="194" spans="1:4">
      <c r="A194">
        <v>189</v>
      </c>
      <c r="B194" s="11">
        <v>45972.520833333336</v>
      </c>
      <c r="C194" s="7">
        <v>682.09</v>
      </c>
      <c r="D194">
        <v>2147881</v>
      </c>
    </row>
    <row r="195" spans="1:4">
      <c r="A195">
        <v>190</v>
      </c>
      <c r="B195" s="11">
        <v>45972.5</v>
      </c>
      <c r="C195" s="7">
        <v>681.02</v>
      </c>
      <c r="D195">
        <v>2365125</v>
      </c>
    </row>
    <row r="196" spans="1:4">
      <c r="A196">
        <v>191</v>
      </c>
      <c r="B196" s="11">
        <v>45972.479166666664</v>
      </c>
      <c r="C196" s="7">
        <v>679.7</v>
      </c>
      <c r="D196">
        <v>2127360</v>
      </c>
    </row>
    <row r="197" spans="1:4">
      <c r="A197">
        <v>192</v>
      </c>
      <c r="B197" s="11">
        <v>45972.458333333336</v>
      </c>
      <c r="C197" s="7">
        <v>679.29</v>
      </c>
      <c r="D197">
        <v>2630504</v>
      </c>
    </row>
    <row r="198" spans="1:4">
      <c r="A198">
        <v>193</v>
      </c>
      <c r="B198" s="11">
        <v>45972.4375</v>
      </c>
      <c r="C198" s="7">
        <v>679.25</v>
      </c>
      <c r="D198">
        <v>2558803</v>
      </c>
    </row>
    <row r="199" spans="1:4">
      <c r="A199">
        <v>194</v>
      </c>
      <c r="B199" s="11">
        <v>45972.416666666664</v>
      </c>
      <c r="C199" s="7">
        <v>679.36500000000001</v>
      </c>
      <c r="D199">
        <v>3506420</v>
      </c>
    </row>
    <row r="200" spans="1:4">
      <c r="A200">
        <v>195</v>
      </c>
      <c r="B200" s="11">
        <v>45972.395833333336</v>
      </c>
      <c r="C200" s="7">
        <v>680.64499999999998</v>
      </c>
      <c r="D200">
        <v>4766355</v>
      </c>
    </row>
    <row r="201" spans="1:4">
      <c r="A201">
        <v>196</v>
      </c>
      <c r="B201" s="11">
        <v>45971.666666666664</v>
      </c>
      <c r="C201" s="7">
        <v>681.44</v>
      </c>
      <c r="D201">
        <v>18351938</v>
      </c>
    </row>
    <row r="202" spans="1:4">
      <c r="A202">
        <v>197</v>
      </c>
      <c r="B202" s="11">
        <v>45971.645833333336</v>
      </c>
      <c r="C202" s="7">
        <v>681.43</v>
      </c>
      <c r="D202">
        <v>11625992</v>
      </c>
    </row>
    <row r="203" spans="1:4">
      <c r="A203">
        <v>198</v>
      </c>
      <c r="B203" s="11">
        <v>45971.625</v>
      </c>
      <c r="C203" s="7">
        <v>681.22</v>
      </c>
      <c r="D203">
        <v>3603174</v>
      </c>
    </row>
    <row r="204" spans="1:4">
      <c r="A204">
        <v>199</v>
      </c>
      <c r="B204" s="11">
        <v>45971.604166666664</v>
      </c>
      <c r="C204" s="7">
        <v>681.27</v>
      </c>
      <c r="D204">
        <v>3387156</v>
      </c>
    </row>
    <row r="205" spans="1:4">
      <c r="A205">
        <v>200</v>
      </c>
      <c r="B205" s="11">
        <v>45971.583333333336</v>
      </c>
      <c r="C205" s="7">
        <v>680.755</v>
      </c>
      <c r="D205">
        <v>2200272</v>
      </c>
    </row>
    <row r="206" spans="1:4">
      <c r="A206">
        <v>201</v>
      </c>
      <c r="B206" s="11">
        <v>45971.5625</v>
      </c>
      <c r="C206" s="7">
        <v>679.84879999999998</v>
      </c>
      <c r="D206">
        <v>2232572</v>
      </c>
    </row>
    <row r="207" spans="1:4">
      <c r="A207">
        <v>202</v>
      </c>
      <c r="B207" s="11">
        <v>45971.541666666664</v>
      </c>
      <c r="C207" s="7">
        <v>679.51</v>
      </c>
      <c r="D207">
        <v>2502673</v>
      </c>
    </row>
    <row r="208" spans="1:4">
      <c r="A208">
        <v>203</v>
      </c>
      <c r="B208" s="11">
        <v>45971.520833333336</v>
      </c>
      <c r="C208" s="7">
        <v>679.42</v>
      </c>
      <c r="D208">
        <v>3095441</v>
      </c>
    </row>
    <row r="209" spans="1:4">
      <c r="A209">
        <v>204</v>
      </c>
      <c r="B209" s="11">
        <v>45971.5</v>
      </c>
      <c r="C209" s="7">
        <v>677.52</v>
      </c>
      <c r="D209">
        <v>2942370</v>
      </c>
    </row>
    <row r="210" spans="1:4">
      <c r="A210">
        <v>205</v>
      </c>
      <c r="B210" s="11">
        <v>45971.479166666664</v>
      </c>
      <c r="C210" s="7">
        <v>676.62</v>
      </c>
      <c r="D210">
        <v>2675966</v>
      </c>
    </row>
    <row r="211" spans="1:4">
      <c r="A211">
        <v>206</v>
      </c>
      <c r="B211" s="11">
        <v>45971.458333333336</v>
      </c>
      <c r="C211" s="7">
        <v>675.64</v>
      </c>
      <c r="D211">
        <v>4392697</v>
      </c>
    </row>
    <row r="212" spans="1:4">
      <c r="A212">
        <v>207</v>
      </c>
      <c r="B212" s="11">
        <v>45971.4375</v>
      </c>
      <c r="C212" s="7">
        <v>676.18</v>
      </c>
      <c r="D212">
        <v>4627555</v>
      </c>
    </row>
    <row r="213" spans="1:4">
      <c r="A213">
        <v>208</v>
      </c>
      <c r="B213" s="11">
        <v>45971.416666666664</v>
      </c>
      <c r="C213" s="7">
        <v>678.88</v>
      </c>
      <c r="D213">
        <v>4149593</v>
      </c>
    </row>
    <row r="214" spans="1:4">
      <c r="A214">
        <v>209</v>
      </c>
      <c r="B214" s="11">
        <v>45971.395833333336</v>
      </c>
      <c r="C214" s="7">
        <v>678.52499999999998</v>
      </c>
      <c r="D214">
        <v>10055489</v>
      </c>
    </row>
    <row r="215" spans="1:4">
      <c r="A215">
        <v>210</v>
      </c>
      <c r="B215" s="11">
        <v>45968.666666666664</v>
      </c>
      <c r="C215" s="7">
        <v>670.97</v>
      </c>
      <c r="D215">
        <v>21535601</v>
      </c>
    </row>
    <row r="216" spans="1:4">
      <c r="A216">
        <v>211</v>
      </c>
      <c r="B216" s="11">
        <v>45968.645833333336</v>
      </c>
      <c r="C216" s="7">
        <v>670.97</v>
      </c>
      <c r="D216">
        <v>10560701</v>
      </c>
    </row>
    <row r="217" spans="1:4">
      <c r="A217">
        <v>212</v>
      </c>
      <c r="B217" s="11">
        <v>45968.625</v>
      </c>
      <c r="C217" s="7">
        <v>668.72</v>
      </c>
      <c r="D217">
        <v>6723249</v>
      </c>
    </row>
    <row r="218" spans="1:4">
      <c r="A218">
        <v>213</v>
      </c>
      <c r="B218" s="11">
        <v>45968.604166666664</v>
      </c>
      <c r="C218" s="7">
        <v>669.79</v>
      </c>
      <c r="D218">
        <v>8328720</v>
      </c>
    </row>
    <row r="219" spans="1:4">
      <c r="A219">
        <v>214</v>
      </c>
      <c r="B219" s="11">
        <v>45968.583333333336</v>
      </c>
      <c r="C219" s="7">
        <v>666.55010000000004</v>
      </c>
      <c r="D219">
        <v>3609428</v>
      </c>
    </row>
    <row r="220" spans="1:4">
      <c r="A220">
        <v>215</v>
      </c>
      <c r="B220" s="11">
        <v>45968.5625</v>
      </c>
      <c r="C220" s="7">
        <v>665.44989999999996</v>
      </c>
      <c r="D220">
        <v>3160712</v>
      </c>
    </row>
    <row r="221" spans="1:4">
      <c r="A221">
        <v>216</v>
      </c>
      <c r="B221" s="11">
        <v>45968.541666666664</v>
      </c>
      <c r="C221" s="7">
        <v>665.3</v>
      </c>
      <c r="D221">
        <v>3318704</v>
      </c>
    </row>
    <row r="222" spans="1:4">
      <c r="A222">
        <v>217</v>
      </c>
      <c r="B222" s="11">
        <v>45968.520833333336</v>
      </c>
      <c r="C222" s="7">
        <v>663.95</v>
      </c>
      <c r="D222">
        <v>3590967</v>
      </c>
    </row>
    <row r="223" spans="1:4">
      <c r="A223">
        <v>218</v>
      </c>
      <c r="B223" s="11">
        <v>45968.5</v>
      </c>
      <c r="C223" s="7">
        <v>663.5</v>
      </c>
      <c r="D223">
        <v>4525295</v>
      </c>
    </row>
    <row r="224" spans="1:4">
      <c r="A224">
        <v>219</v>
      </c>
      <c r="B224" s="11">
        <v>45968.479166666664</v>
      </c>
      <c r="C224" s="7">
        <v>662.03</v>
      </c>
      <c r="D224">
        <v>4741872</v>
      </c>
    </row>
    <row r="225" spans="1:4">
      <c r="A225">
        <v>220</v>
      </c>
      <c r="B225" s="11">
        <v>45968.458333333336</v>
      </c>
      <c r="C225" s="7">
        <v>662.76</v>
      </c>
      <c r="D225">
        <v>6369441</v>
      </c>
    </row>
    <row r="226" spans="1:4">
      <c r="A226">
        <v>221</v>
      </c>
      <c r="B226" s="11">
        <v>45968.4375</v>
      </c>
      <c r="C226" s="7">
        <v>663.36</v>
      </c>
      <c r="D226">
        <v>6451361</v>
      </c>
    </row>
    <row r="227" spans="1:4">
      <c r="A227">
        <v>222</v>
      </c>
      <c r="B227" s="11">
        <v>45968.416666666664</v>
      </c>
      <c r="C227" s="7">
        <v>665.88</v>
      </c>
      <c r="D227">
        <v>6775582</v>
      </c>
    </row>
    <row r="228" spans="1:4">
      <c r="A228">
        <v>223</v>
      </c>
      <c r="B228" s="11">
        <v>45968.395833333336</v>
      </c>
      <c r="C228" s="7">
        <v>666.34500000000003</v>
      </c>
      <c r="D228">
        <v>10900807</v>
      </c>
    </row>
    <row r="229" spans="1:4">
      <c r="A229">
        <v>224</v>
      </c>
      <c r="B229" s="11">
        <v>45967.666666666664</v>
      </c>
      <c r="C229" s="7">
        <v>670.31</v>
      </c>
      <c r="D229">
        <v>19627489</v>
      </c>
    </row>
    <row r="230" spans="1:4">
      <c r="A230">
        <v>225</v>
      </c>
      <c r="B230" s="11">
        <v>45967.645833333336</v>
      </c>
      <c r="C230" s="7">
        <v>670.31</v>
      </c>
      <c r="D230">
        <v>13135499</v>
      </c>
    </row>
    <row r="231" spans="1:4">
      <c r="A231">
        <v>226</v>
      </c>
      <c r="B231" s="11">
        <v>45967.625</v>
      </c>
      <c r="C231" s="7">
        <v>672.36749999999995</v>
      </c>
      <c r="D231">
        <v>3191483</v>
      </c>
    </row>
    <row r="232" spans="1:4">
      <c r="A232">
        <v>227</v>
      </c>
      <c r="B232" s="11">
        <v>45967.604166666664</v>
      </c>
      <c r="C232" s="7">
        <v>673.01</v>
      </c>
      <c r="D232">
        <v>3866257</v>
      </c>
    </row>
    <row r="233" spans="1:4">
      <c r="A233">
        <v>228</v>
      </c>
      <c r="B233" s="11">
        <v>45967.583333333336</v>
      </c>
      <c r="C233" s="7">
        <v>673.4</v>
      </c>
      <c r="D233">
        <v>3366419</v>
      </c>
    </row>
    <row r="234" spans="1:4">
      <c r="A234">
        <v>229</v>
      </c>
      <c r="B234" s="11">
        <v>45967.5625</v>
      </c>
      <c r="C234" s="7">
        <v>671.43</v>
      </c>
      <c r="D234">
        <v>2461193</v>
      </c>
    </row>
    <row r="235" spans="1:4">
      <c r="A235">
        <v>230</v>
      </c>
      <c r="B235" s="11">
        <v>45967.541666666664</v>
      </c>
      <c r="C235" s="7">
        <v>670.95</v>
      </c>
      <c r="D235">
        <v>3525997</v>
      </c>
    </row>
    <row r="236" spans="1:4">
      <c r="A236">
        <v>231</v>
      </c>
      <c r="B236" s="11">
        <v>45967.520833333336</v>
      </c>
      <c r="C236" s="7">
        <v>671.04</v>
      </c>
      <c r="D236">
        <v>3235021</v>
      </c>
    </row>
    <row r="237" spans="1:4">
      <c r="A237">
        <v>232</v>
      </c>
      <c r="B237" s="11">
        <v>45967.5</v>
      </c>
      <c r="C237" s="7">
        <v>669.54</v>
      </c>
      <c r="D237">
        <v>3785228</v>
      </c>
    </row>
    <row r="238" spans="1:4">
      <c r="A238">
        <v>233</v>
      </c>
      <c r="B238" s="11">
        <v>45967.479166666664</v>
      </c>
      <c r="C238" s="7">
        <v>669.44</v>
      </c>
      <c r="D238">
        <v>3829637</v>
      </c>
    </row>
    <row r="239" spans="1:4">
      <c r="A239">
        <v>234</v>
      </c>
      <c r="B239" s="11">
        <v>45967.458333333336</v>
      </c>
      <c r="C239" s="7">
        <v>671.34</v>
      </c>
      <c r="D239">
        <v>4312779</v>
      </c>
    </row>
    <row r="240" spans="1:4">
      <c r="A240">
        <v>235</v>
      </c>
      <c r="B240" s="11">
        <v>45967.4375</v>
      </c>
      <c r="C240" s="7">
        <v>670.91</v>
      </c>
      <c r="D240">
        <v>7033850</v>
      </c>
    </row>
    <row r="241" spans="1:4">
      <c r="A241">
        <v>236</v>
      </c>
      <c r="B241" s="11">
        <v>45967.416666666664</v>
      </c>
      <c r="C241" s="7">
        <v>674.61</v>
      </c>
      <c r="D241">
        <v>7322498</v>
      </c>
    </row>
    <row r="242" spans="1:4">
      <c r="A242">
        <v>237</v>
      </c>
      <c r="B242" s="11">
        <v>45967.395833333336</v>
      </c>
      <c r="C242" s="7">
        <v>674.05</v>
      </c>
      <c r="D242">
        <v>6341946</v>
      </c>
    </row>
    <row r="243" spans="1:4">
      <c r="A243">
        <v>238</v>
      </c>
      <c r="B243" s="11">
        <v>45966.666666666664</v>
      </c>
      <c r="C243" s="7">
        <v>677.58</v>
      </c>
      <c r="D243">
        <v>22655147</v>
      </c>
    </row>
    <row r="244" spans="1:4">
      <c r="A244">
        <v>239</v>
      </c>
      <c r="B244" s="11">
        <v>45966.645833333336</v>
      </c>
      <c r="C244" s="7">
        <v>677.54499999999996</v>
      </c>
      <c r="D244">
        <v>12882110</v>
      </c>
    </row>
    <row r="245" spans="1:4">
      <c r="A245">
        <v>240</v>
      </c>
      <c r="B245" s="11">
        <v>45966.625</v>
      </c>
      <c r="C245" s="7">
        <v>679.76</v>
      </c>
      <c r="D245">
        <v>2805710</v>
      </c>
    </row>
    <row r="246" spans="1:4">
      <c r="A246">
        <v>241</v>
      </c>
      <c r="B246" s="11">
        <v>45966.604166666664</v>
      </c>
      <c r="C246" s="7">
        <v>680.21500000000003</v>
      </c>
      <c r="D246">
        <v>1800669</v>
      </c>
    </row>
    <row r="247" spans="1:4">
      <c r="A247">
        <v>242</v>
      </c>
      <c r="B247" s="11">
        <v>45966.583333333336</v>
      </c>
      <c r="C247" s="7">
        <v>680.2</v>
      </c>
      <c r="D247">
        <v>2558259</v>
      </c>
    </row>
    <row r="248" spans="1:4">
      <c r="A248">
        <v>243</v>
      </c>
      <c r="B248" s="11">
        <v>45966.5625</v>
      </c>
      <c r="C248" s="7">
        <v>680.59500000000003</v>
      </c>
      <c r="D248">
        <v>1672864</v>
      </c>
    </row>
    <row r="249" spans="1:4">
      <c r="A249">
        <v>244</v>
      </c>
      <c r="B249" s="11">
        <v>45966.541666666664</v>
      </c>
      <c r="C249" s="7">
        <v>680.38</v>
      </c>
      <c r="D249">
        <v>1872566</v>
      </c>
    </row>
    <row r="250" spans="1:4">
      <c r="A250">
        <v>245</v>
      </c>
      <c r="B250" s="11">
        <v>45966.520833333336</v>
      </c>
      <c r="C250" s="7">
        <v>680.19799999999998</v>
      </c>
      <c r="D250">
        <v>2781963</v>
      </c>
    </row>
    <row r="251" spans="1:4">
      <c r="A251">
        <v>246</v>
      </c>
      <c r="B251" s="11">
        <v>45966.5</v>
      </c>
      <c r="C251" s="7">
        <v>680.0299</v>
      </c>
      <c r="D251">
        <v>2379887</v>
      </c>
    </row>
    <row r="252" spans="1:4">
      <c r="A252">
        <v>247</v>
      </c>
      <c r="B252" s="11">
        <v>45966.479166666664</v>
      </c>
      <c r="C252" s="7">
        <v>679.3682</v>
      </c>
      <c r="D252">
        <v>3556790</v>
      </c>
    </row>
    <row r="253" spans="1:4">
      <c r="A253">
        <v>248</v>
      </c>
      <c r="B253" s="11">
        <v>45966.458333333336</v>
      </c>
      <c r="C253" s="7">
        <v>678.34</v>
      </c>
      <c r="D253">
        <v>3203921</v>
      </c>
    </row>
    <row r="254" spans="1:4">
      <c r="A254">
        <v>249</v>
      </c>
      <c r="B254" s="11">
        <v>45966.4375</v>
      </c>
      <c r="C254" s="7">
        <v>677.85</v>
      </c>
      <c r="D254">
        <v>3188136</v>
      </c>
    </row>
    <row r="255" spans="1:4">
      <c r="A255">
        <v>250</v>
      </c>
      <c r="B255" s="11">
        <v>45966.416666666664</v>
      </c>
      <c r="C255" s="7">
        <v>677.41</v>
      </c>
      <c r="D255">
        <v>6154960</v>
      </c>
    </row>
    <row r="256" spans="1:4">
      <c r="A256">
        <v>251</v>
      </c>
      <c r="B256" s="11">
        <v>45966.395833333336</v>
      </c>
      <c r="C256" s="7">
        <v>677.17</v>
      </c>
      <c r="D256">
        <v>6889394</v>
      </c>
    </row>
    <row r="257" spans="1:4">
      <c r="A257">
        <v>252</v>
      </c>
      <c r="B257" s="11">
        <v>45965.666666666664</v>
      </c>
      <c r="C257" s="7">
        <v>675.24</v>
      </c>
      <c r="D257">
        <v>21554042</v>
      </c>
    </row>
    <row r="258" spans="1:4">
      <c r="A258">
        <v>253</v>
      </c>
      <c r="B258" s="11">
        <v>45965.645833333336</v>
      </c>
      <c r="C258" s="7">
        <v>675.24</v>
      </c>
      <c r="D258">
        <v>11500869</v>
      </c>
    </row>
    <row r="259" spans="1:4">
      <c r="A259">
        <v>254</v>
      </c>
      <c r="B259" s="11">
        <v>45965.625</v>
      </c>
      <c r="C259" s="7">
        <v>675.98500000000001</v>
      </c>
      <c r="D259">
        <v>3616653</v>
      </c>
    </row>
    <row r="260" spans="1:4">
      <c r="A260">
        <v>255</v>
      </c>
      <c r="B260" s="11">
        <v>45965.604166666664</v>
      </c>
      <c r="C260" s="7">
        <v>675.22500000000002</v>
      </c>
      <c r="D260">
        <v>3402308</v>
      </c>
    </row>
    <row r="261" spans="1:4">
      <c r="A261">
        <v>256</v>
      </c>
      <c r="B261" s="11">
        <v>45965.583333333336</v>
      </c>
      <c r="C261" s="7">
        <v>676.23</v>
      </c>
      <c r="D261">
        <v>3699800</v>
      </c>
    </row>
    <row r="262" spans="1:4">
      <c r="A262">
        <v>257</v>
      </c>
      <c r="B262" s="11">
        <v>45965.5625</v>
      </c>
      <c r="C262" s="7">
        <v>676.08</v>
      </c>
      <c r="D262">
        <v>3342166</v>
      </c>
    </row>
    <row r="263" spans="1:4">
      <c r="A263">
        <v>258</v>
      </c>
      <c r="B263" s="11">
        <v>45965.541666666664</v>
      </c>
      <c r="C263" s="7">
        <v>675.22</v>
      </c>
      <c r="D263">
        <v>2422527</v>
      </c>
    </row>
    <row r="264" spans="1:4">
      <c r="A264">
        <v>259</v>
      </c>
      <c r="B264" s="11">
        <v>45965.520833333336</v>
      </c>
      <c r="C264" s="7">
        <v>675.92</v>
      </c>
      <c r="D264">
        <v>2734638</v>
      </c>
    </row>
    <row r="265" spans="1:4">
      <c r="A265">
        <v>260</v>
      </c>
      <c r="B265" s="11">
        <v>45965.5</v>
      </c>
      <c r="C265" s="7">
        <v>676.94</v>
      </c>
      <c r="D265">
        <v>3533177</v>
      </c>
    </row>
    <row r="266" spans="1:4">
      <c r="A266">
        <v>261</v>
      </c>
      <c r="B266" s="11">
        <v>45965.479166666664</v>
      </c>
      <c r="C266" s="7">
        <v>678.13</v>
      </c>
      <c r="D266">
        <v>2767591</v>
      </c>
    </row>
    <row r="267" spans="1:4">
      <c r="A267">
        <v>262</v>
      </c>
      <c r="B267" s="11">
        <v>45965.458333333336</v>
      </c>
      <c r="C267" s="7">
        <v>678.15</v>
      </c>
      <c r="D267">
        <v>3029974</v>
      </c>
    </row>
    <row r="268" spans="1:4">
      <c r="A268">
        <v>263</v>
      </c>
      <c r="B268" s="11">
        <v>45965.4375</v>
      </c>
      <c r="C268" s="7">
        <v>678.13</v>
      </c>
      <c r="D268">
        <v>3320847</v>
      </c>
    </row>
    <row r="269" spans="1:4">
      <c r="A269">
        <v>264</v>
      </c>
      <c r="B269" s="11">
        <v>45965.416666666664</v>
      </c>
      <c r="C269" s="7">
        <v>679.24</v>
      </c>
      <c r="D269">
        <v>4089751</v>
      </c>
    </row>
    <row r="270" spans="1:4">
      <c r="A270">
        <v>265</v>
      </c>
      <c r="B270" s="11">
        <v>45965.395833333336</v>
      </c>
      <c r="C270" s="7">
        <v>678.8</v>
      </c>
      <c r="D270">
        <v>9412625</v>
      </c>
    </row>
    <row r="271" spans="1:4">
      <c r="A271">
        <v>266</v>
      </c>
      <c r="B271" s="11">
        <v>45964.666666666664</v>
      </c>
      <c r="C271" s="7">
        <v>683.34</v>
      </c>
      <c r="D271">
        <v>15000</v>
      </c>
    </row>
    <row r="272" spans="1:4">
      <c r="A272">
        <v>267</v>
      </c>
      <c r="B272" s="11">
        <v>45964.645833333336</v>
      </c>
      <c r="C272" s="7">
        <v>683.34</v>
      </c>
      <c r="D272">
        <v>8066997</v>
      </c>
    </row>
    <row r="273" spans="1:4">
      <c r="A273">
        <v>268</v>
      </c>
      <c r="B273" s="11">
        <v>45964.625</v>
      </c>
      <c r="C273" s="7">
        <v>683.13</v>
      </c>
      <c r="D273">
        <v>2236635</v>
      </c>
    </row>
    <row r="274" spans="1:4">
      <c r="A274">
        <v>269</v>
      </c>
      <c r="B274" s="11">
        <v>45964.604166666664</v>
      </c>
      <c r="C274" s="7">
        <v>683.47</v>
      </c>
      <c r="D274">
        <v>2389341</v>
      </c>
    </row>
    <row r="275" spans="1:4">
      <c r="A275">
        <v>270</v>
      </c>
      <c r="B275" s="11">
        <v>45964.583333333336</v>
      </c>
      <c r="C275" s="7">
        <v>683.25070000000005</v>
      </c>
      <c r="D275">
        <v>2197413</v>
      </c>
    </row>
    <row r="276" spans="1:4">
      <c r="A276">
        <v>271</v>
      </c>
      <c r="B276" s="11">
        <v>45964.5625</v>
      </c>
      <c r="C276" s="7">
        <v>683.82</v>
      </c>
      <c r="D276">
        <v>1364008</v>
      </c>
    </row>
    <row r="277" spans="1:4">
      <c r="A277">
        <v>272</v>
      </c>
      <c r="B277" s="11">
        <v>45964.541666666664</v>
      </c>
      <c r="C277" s="7">
        <v>683.64</v>
      </c>
      <c r="D277">
        <v>1472354</v>
      </c>
    </row>
    <row r="278" spans="1:4">
      <c r="A278">
        <v>273</v>
      </c>
      <c r="B278" s="11">
        <v>45964.520833333336</v>
      </c>
      <c r="C278" s="7">
        <v>683.85500000000002</v>
      </c>
      <c r="D278">
        <v>1554945</v>
      </c>
    </row>
    <row r="279" spans="1:4">
      <c r="A279">
        <v>274</v>
      </c>
      <c r="B279" s="11">
        <v>45964.5</v>
      </c>
      <c r="C279" s="7">
        <v>682.755</v>
      </c>
      <c r="D279">
        <v>2149125</v>
      </c>
    </row>
    <row r="280" spans="1:4">
      <c r="A280">
        <v>275</v>
      </c>
      <c r="B280" s="11">
        <v>45964.479166666664</v>
      </c>
      <c r="C280" s="7">
        <v>683.43</v>
      </c>
      <c r="D280">
        <v>2289146</v>
      </c>
    </row>
    <row r="281" spans="1:4">
      <c r="A281">
        <v>276</v>
      </c>
      <c r="B281" s="11">
        <v>45964.458333333336</v>
      </c>
      <c r="C281" s="7">
        <v>682.05</v>
      </c>
      <c r="D281">
        <v>2041916</v>
      </c>
    </row>
    <row r="282" spans="1:4">
      <c r="A282">
        <v>277</v>
      </c>
      <c r="B282" s="11">
        <v>45964.4375</v>
      </c>
      <c r="C282" s="7">
        <v>682.42</v>
      </c>
      <c r="D282">
        <v>3985107</v>
      </c>
    </row>
    <row r="283" spans="1:4">
      <c r="A283">
        <v>278</v>
      </c>
      <c r="B283" s="11">
        <v>45964.416666666664</v>
      </c>
      <c r="C283" s="7">
        <v>680.38990000000001</v>
      </c>
      <c r="D283">
        <v>4981801</v>
      </c>
    </row>
    <row r="284" spans="1:4">
      <c r="A284">
        <v>279</v>
      </c>
      <c r="B284" s="11">
        <v>45964.395833333336</v>
      </c>
      <c r="C284" s="7">
        <v>682.52</v>
      </c>
      <c r="D284">
        <v>6966296</v>
      </c>
    </row>
    <row r="285" spans="1:4">
      <c r="A285">
        <v>280</v>
      </c>
      <c r="B285" s="11">
        <v>45961.666666666664</v>
      </c>
      <c r="C285" s="7">
        <v>682.06</v>
      </c>
      <c r="D285">
        <v>34388498</v>
      </c>
    </row>
    <row r="286" spans="1:4">
      <c r="A286">
        <v>281</v>
      </c>
      <c r="B286" s="11">
        <v>45961.645833333336</v>
      </c>
      <c r="C286" s="7">
        <v>682.06</v>
      </c>
      <c r="D286">
        <v>15130306</v>
      </c>
    </row>
    <row r="287" spans="1:4">
      <c r="A287">
        <v>282</v>
      </c>
      <c r="B287" s="11">
        <v>45961.625</v>
      </c>
      <c r="C287" s="7">
        <v>684.08</v>
      </c>
      <c r="D287">
        <v>3549439</v>
      </c>
    </row>
    <row r="288" spans="1:4">
      <c r="A288">
        <v>283</v>
      </c>
      <c r="B288" s="11">
        <v>45961.604166666664</v>
      </c>
      <c r="C288" s="7">
        <v>682.59</v>
      </c>
      <c r="D288">
        <v>2451090</v>
      </c>
    </row>
    <row r="289" spans="1:4">
      <c r="A289">
        <v>284</v>
      </c>
      <c r="B289" s="11">
        <v>45961.583333333336</v>
      </c>
      <c r="C289" s="7">
        <v>682.298</v>
      </c>
      <c r="D289">
        <v>2712924</v>
      </c>
    </row>
    <row r="290" spans="1:4">
      <c r="A290">
        <v>285</v>
      </c>
      <c r="B290" s="11">
        <v>45961.5625</v>
      </c>
      <c r="C290" s="7">
        <v>680.84929999999997</v>
      </c>
      <c r="D290">
        <v>2210722</v>
      </c>
    </row>
    <row r="291" spans="1:4">
      <c r="A291">
        <v>286</v>
      </c>
      <c r="B291" s="11">
        <v>45961.541666666664</v>
      </c>
      <c r="C291" s="7">
        <v>679.79</v>
      </c>
      <c r="D291">
        <v>3339748</v>
      </c>
    </row>
    <row r="292" spans="1:4">
      <c r="A292">
        <v>287</v>
      </c>
      <c r="B292" s="11">
        <v>45961.520833333336</v>
      </c>
      <c r="C292" s="7">
        <v>680.36500000000001</v>
      </c>
      <c r="D292">
        <v>2283647</v>
      </c>
    </row>
    <row r="293" spans="1:4">
      <c r="A293">
        <v>288</v>
      </c>
      <c r="B293" s="11">
        <v>45961.5</v>
      </c>
      <c r="C293" s="7">
        <v>681.77</v>
      </c>
      <c r="D293">
        <v>3861851</v>
      </c>
    </row>
    <row r="294" spans="1:4">
      <c r="A294">
        <v>289</v>
      </c>
      <c r="B294" s="11">
        <v>45961.479166666664</v>
      </c>
      <c r="C294" s="7">
        <v>682.06</v>
      </c>
      <c r="D294">
        <v>3610522</v>
      </c>
    </row>
    <row r="295" spans="1:4">
      <c r="A295">
        <v>290</v>
      </c>
      <c r="B295" s="11">
        <v>45961.458333333336</v>
      </c>
      <c r="C295" s="7">
        <v>683.75990000000002</v>
      </c>
      <c r="D295">
        <v>2291699</v>
      </c>
    </row>
    <row r="296" spans="1:4">
      <c r="A296">
        <v>291</v>
      </c>
      <c r="B296" s="11">
        <v>45961.4375</v>
      </c>
      <c r="C296" s="7">
        <v>684.48</v>
      </c>
      <c r="D296">
        <v>2579272</v>
      </c>
    </row>
    <row r="297" spans="1:4">
      <c r="A297">
        <v>292</v>
      </c>
      <c r="B297" s="11">
        <v>45961.416666666664</v>
      </c>
      <c r="C297" s="7">
        <v>683.24</v>
      </c>
      <c r="D297">
        <v>3218244</v>
      </c>
    </row>
    <row r="298" spans="1:4">
      <c r="A298">
        <v>293</v>
      </c>
      <c r="B298" s="11">
        <v>45961.395833333336</v>
      </c>
      <c r="C298" s="7">
        <v>683.55</v>
      </c>
      <c r="D298">
        <v>5536158</v>
      </c>
    </row>
    <row r="299" spans="1:4">
      <c r="A299">
        <v>294</v>
      </c>
      <c r="B299" s="11">
        <v>45960.666666666664</v>
      </c>
      <c r="C299" s="7">
        <v>679.83</v>
      </c>
      <c r="D299">
        <v>29338607</v>
      </c>
    </row>
    <row r="300" spans="1:4">
      <c r="A300">
        <v>295</v>
      </c>
      <c r="B300" s="11">
        <v>45960.645833333336</v>
      </c>
      <c r="C300" s="7">
        <v>679.83</v>
      </c>
      <c r="D300">
        <v>10199511</v>
      </c>
    </row>
    <row r="301" spans="1:4">
      <c r="A301">
        <v>296</v>
      </c>
      <c r="B301" s="11">
        <v>45960.625</v>
      </c>
      <c r="C301" s="7">
        <v>681.31</v>
      </c>
      <c r="D301">
        <v>3945813</v>
      </c>
    </row>
    <row r="302" spans="1:4">
      <c r="A302">
        <v>297</v>
      </c>
      <c r="B302" s="11">
        <v>45960.604166666664</v>
      </c>
      <c r="C302" s="7">
        <v>682.35</v>
      </c>
      <c r="D302">
        <v>2604523</v>
      </c>
    </row>
    <row r="303" spans="1:4">
      <c r="A303">
        <v>298</v>
      </c>
      <c r="B303" s="11">
        <v>45960.583333333336</v>
      </c>
      <c r="C303" s="7">
        <v>682.96</v>
      </c>
      <c r="D303">
        <v>2785709</v>
      </c>
    </row>
    <row r="304" spans="1:4">
      <c r="A304">
        <v>299</v>
      </c>
      <c r="B304" s="11">
        <v>45960.5625</v>
      </c>
      <c r="C304" s="7">
        <v>684.38</v>
      </c>
      <c r="D304">
        <v>1617928</v>
      </c>
    </row>
    <row r="305" spans="1:4">
      <c r="A305">
        <v>300</v>
      </c>
      <c r="B305" s="11">
        <v>45960.541666666664</v>
      </c>
      <c r="C305" s="7">
        <v>684.33</v>
      </c>
      <c r="D305">
        <v>1848790</v>
      </c>
    </row>
    <row r="306" spans="1:4">
      <c r="A306">
        <v>301</v>
      </c>
      <c r="B306" s="11">
        <v>45960.520833333336</v>
      </c>
      <c r="C306" s="7">
        <v>684.41</v>
      </c>
      <c r="D306">
        <v>1756649</v>
      </c>
    </row>
    <row r="307" spans="1:4">
      <c r="A307">
        <v>302</v>
      </c>
      <c r="B307" s="11">
        <v>45960.5</v>
      </c>
      <c r="C307" s="7">
        <v>684.9</v>
      </c>
      <c r="D307">
        <v>1839499</v>
      </c>
    </row>
    <row r="308" spans="1:4">
      <c r="A308">
        <v>303</v>
      </c>
      <c r="B308" s="11">
        <v>45960.479166666664</v>
      </c>
      <c r="C308" s="7">
        <v>683.35</v>
      </c>
      <c r="D308">
        <v>2474038</v>
      </c>
    </row>
    <row r="309" spans="1:4">
      <c r="A309">
        <v>304</v>
      </c>
      <c r="B309" s="11">
        <v>45960.458333333336</v>
      </c>
      <c r="C309" s="7">
        <v>684.8</v>
      </c>
      <c r="D309">
        <v>1808362</v>
      </c>
    </row>
    <row r="310" spans="1:4">
      <c r="A310">
        <v>305</v>
      </c>
      <c r="B310" s="11">
        <v>45960.4375</v>
      </c>
      <c r="C310" s="7">
        <v>684.49</v>
      </c>
      <c r="D310">
        <v>3106609</v>
      </c>
    </row>
    <row r="311" spans="1:4">
      <c r="A311">
        <v>306</v>
      </c>
      <c r="B311" s="11">
        <v>45960.416666666664</v>
      </c>
      <c r="C311" s="7">
        <v>683.44</v>
      </c>
      <c r="D311">
        <v>4549223</v>
      </c>
    </row>
    <row r="312" spans="1:4">
      <c r="A312">
        <v>307</v>
      </c>
      <c r="B312" s="11">
        <v>45960.395833333336</v>
      </c>
      <c r="C312" s="7">
        <v>685.05</v>
      </c>
      <c r="D312">
        <v>8460491</v>
      </c>
    </row>
    <row r="313" spans="1:4">
      <c r="A313">
        <v>308</v>
      </c>
      <c r="B313" s="11">
        <v>45959.666666666664</v>
      </c>
      <c r="C313" s="7">
        <v>687.39</v>
      </c>
      <c r="D313">
        <v>30049615</v>
      </c>
    </row>
    <row r="314" spans="1:4">
      <c r="A314">
        <v>309</v>
      </c>
      <c r="B314" s="11">
        <v>45959.645833333336</v>
      </c>
      <c r="C314" s="7">
        <v>687.39</v>
      </c>
      <c r="D314">
        <v>9228824</v>
      </c>
    </row>
    <row r="315" spans="1:4">
      <c r="A315">
        <v>310</v>
      </c>
      <c r="B315" s="11">
        <v>45959.625</v>
      </c>
      <c r="C315" s="7">
        <v>685.45</v>
      </c>
      <c r="D315">
        <v>4660243</v>
      </c>
    </row>
    <row r="316" spans="1:4">
      <c r="A316">
        <v>311</v>
      </c>
      <c r="B316" s="11">
        <v>45959.604166666664</v>
      </c>
      <c r="C316" s="7">
        <v>686.12</v>
      </c>
      <c r="D316">
        <v>11901486</v>
      </c>
    </row>
    <row r="317" spans="1:4">
      <c r="A317">
        <v>312</v>
      </c>
      <c r="B317" s="11">
        <v>45959.583333333336</v>
      </c>
      <c r="C317" s="7">
        <v>688.04</v>
      </c>
      <c r="D317">
        <v>3168449</v>
      </c>
    </row>
    <row r="318" spans="1:4">
      <c r="A318">
        <v>313</v>
      </c>
      <c r="B318" s="11">
        <v>45959.5625</v>
      </c>
      <c r="C318" s="7">
        <v>688.17</v>
      </c>
      <c r="D318">
        <v>1722399</v>
      </c>
    </row>
    <row r="319" spans="1:4">
      <c r="A319">
        <v>314</v>
      </c>
      <c r="B319" s="11">
        <v>45959.541666666664</v>
      </c>
      <c r="C319" s="7">
        <v>687.86</v>
      </c>
      <c r="D319">
        <v>1285040</v>
      </c>
    </row>
    <row r="320" spans="1:4">
      <c r="A320">
        <v>315</v>
      </c>
      <c r="B320" s="11">
        <v>45959.520833333336</v>
      </c>
      <c r="C320" s="7">
        <v>688.5675</v>
      </c>
      <c r="D320">
        <v>1340541</v>
      </c>
    </row>
    <row r="321" spans="1:4">
      <c r="A321">
        <v>316</v>
      </c>
      <c r="B321" s="11">
        <v>45959.5</v>
      </c>
      <c r="C321" s="7">
        <v>688.48</v>
      </c>
      <c r="D321">
        <v>1773432</v>
      </c>
    </row>
    <row r="322" spans="1:4">
      <c r="A322">
        <v>317</v>
      </c>
      <c r="B322" s="11">
        <v>45959.479166666664</v>
      </c>
      <c r="C322" s="7">
        <v>688</v>
      </c>
      <c r="D322">
        <v>2874439</v>
      </c>
    </row>
    <row r="323" spans="1:4">
      <c r="A323">
        <v>318</v>
      </c>
      <c r="B323" s="11">
        <v>45959.458333333336</v>
      </c>
      <c r="C323" s="7">
        <v>688.24</v>
      </c>
      <c r="D323">
        <v>3555989</v>
      </c>
    </row>
    <row r="324" spans="1:4">
      <c r="A324">
        <v>319</v>
      </c>
      <c r="B324" s="11">
        <v>45959.4375</v>
      </c>
      <c r="C324" s="7">
        <v>688.375</v>
      </c>
      <c r="D324">
        <v>3991548</v>
      </c>
    </row>
    <row r="325" spans="1:4">
      <c r="A325">
        <v>320</v>
      </c>
      <c r="B325" s="11">
        <v>45959.416666666664</v>
      </c>
      <c r="C325" s="7">
        <v>688.99</v>
      </c>
      <c r="D325">
        <v>3642926</v>
      </c>
    </row>
    <row r="326" spans="1:4">
      <c r="A326">
        <v>321</v>
      </c>
      <c r="B326" s="11">
        <v>45959.395833333336</v>
      </c>
      <c r="C326" s="7">
        <v>689.64</v>
      </c>
      <c r="D326">
        <v>6167277</v>
      </c>
    </row>
    <row r="327" spans="1:4">
      <c r="A327">
        <v>322</v>
      </c>
      <c r="B327" s="11">
        <v>45958.666666666664</v>
      </c>
      <c r="C327" s="7">
        <v>687.06</v>
      </c>
      <c r="D327">
        <v>22282619</v>
      </c>
    </row>
    <row r="328" spans="1:4">
      <c r="A328">
        <v>323</v>
      </c>
      <c r="B328" s="11">
        <v>45958.645833333336</v>
      </c>
      <c r="C328" s="7">
        <v>687.05</v>
      </c>
      <c r="D328">
        <v>9451838</v>
      </c>
    </row>
    <row r="329" spans="1:4">
      <c r="A329">
        <v>324</v>
      </c>
      <c r="B329" s="11">
        <v>45958.625</v>
      </c>
      <c r="C329" s="7">
        <v>688.69500000000005</v>
      </c>
      <c r="D329">
        <v>3110467</v>
      </c>
    </row>
    <row r="330" spans="1:4">
      <c r="A330">
        <v>325</v>
      </c>
      <c r="B330" s="11">
        <v>45958.604166666664</v>
      </c>
      <c r="C330" s="7">
        <v>688.13</v>
      </c>
      <c r="D330">
        <v>1860159</v>
      </c>
    </row>
    <row r="331" spans="1:4">
      <c r="A331">
        <v>326</v>
      </c>
      <c r="B331" s="11">
        <v>45958.583333333336</v>
      </c>
      <c r="C331" s="7">
        <v>688.04</v>
      </c>
      <c r="D331">
        <v>2421132</v>
      </c>
    </row>
    <row r="332" spans="1:4">
      <c r="A332">
        <v>327</v>
      </c>
      <c r="B332" s="11">
        <v>45958.5625</v>
      </c>
      <c r="C332" s="7">
        <v>687.625</v>
      </c>
      <c r="D332">
        <v>2014364</v>
      </c>
    </row>
    <row r="333" spans="1:4">
      <c r="A333">
        <v>328</v>
      </c>
      <c r="B333" s="11">
        <v>45958.541666666664</v>
      </c>
      <c r="C333" s="7">
        <v>686.98</v>
      </c>
      <c r="D333">
        <v>1712700</v>
      </c>
    </row>
    <row r="334" spans="1:4">
      <c r="A334">
        <v>329</v>
      </c>
      <c r="B334" s="11">
        <v>45958.520833333336</v>
      </c>
      <c r="C334" s="7">
        <v>686.87</v>
      </c>
      <c r="D334">
        <v>3525361</v>
      </c>
    </row>
    <row r="335" spans="1:4">
      <c r="A335">
        <v>330</v>
      </c>
      <c r="B335" s="11">
        <v>45958.5</v>
      </c>
      <c r="C335" s="7">
        <v>686.18</v>
      </c>
      <c r="D335">
        <v>1540607</v>
      </c>
    </row>
    <row r="336" spans="1:4">
      <c r="A336">
        <v>331</v>
      </c>
      <c r="B336" s="11">
        <v>45958.479166666664</v>
      </c>
      <c r="C336" s="7">
        <v>685.58500000000004</v>
      </c>
      <c r="D336">
        <v>1978277</v>
      </c>
    </row>
    <row r="337" spans="1:4">
      <c r="A337">
        <v>332</v>
      </c>
      <c r="B337" s="11">
        <v>45958.458333333336</v>
      </c>
      <c r="C337" s="7">
        <v>685.52</v>
      </c>
      <c r="D337">
        <v>1297690</v>
      </c>
    </row>
    <row r="338" spans="1:4">
      <c r="A338">
        <v>333</v>
      </c>
      <c r="B338" s="11">
        <v>45958.4375</v>
      </c>
      <c r="C338" s="7">
        <v>685.82</v>
      </c>
      <c r="D338">
        <v>2472484</v>
      </c>
    </row>
    <row r="339" spans="1:4">
      <c r="A339">
        <v>334</v>
      </c>
      <c r="B339" s="11">
        <v>45958.416666666664</v>
      </c>
      <c r="C339" s="7">
        <v>686.11</v>
      </c>
      <c r="D339">
        <v>2245732</v>
      </c>
    </row>
    <row r="340" spans="1:4">
      <c r="A340">
        <v>335</v>
      </c>
      <c r="B340" s="11">
        <v>45958.395833333336</v>
      </c>
      <c r="C340" s="7">
        <v>685.73</v>
      </c>
      <c r="D340">
        <v>5824642</v>
      </c>
    </row>
    <row r="341" spans="1:4">
      <c r="A341">
        <v>336</v>
      </c>
      <c r="B341" s="11">
        <v>45957.666666666664</v>
      </c>
      <c r="C341" s="7">
        <v>685.24</v>
      </c>
      <c r="D341">
        <v>21264094</v>
      </c>
    </row>
    <row r="342" spans="1:4">
      <c r="A342">
        <v>337</v>
      </c>
      <c r="B342" s="11">
        <v>45957.645833333336</v>
      </c>
      <c r="C342" s="7">
        <v>685.24</v>
      </c>
      <c r="D342">
        <v>11765461</v>
      </c>
    </row>
    <row r="343" spans="1:4">
      <c r="A343">
        <v>338</v>
      </c>
      <c r="B343" s="11">
        <v>45957.625</v>
      </c>
      <c r="C343" s="7">
        <v>684.24</v>
      </c>
      <c r="D343">
        <v>2567590</v>
      </c>
    </row>
    <row r="344" spans="1:4">
      <c r="A344">
        <v>339</v>
      </c>
      <c r="B344" s="11">
        <v>45957.604166666664</v>
      </c>
      <c r="C344" s="7">
        <v>684.13400000000001</v>
      </c>
      <c r="D344">
        <v>2460274</v>
      </c>
    </row>
    <row r="345" spans="1:4">
      <c r="A345">
        <v>340</v>
      </c>
      <c r="B345" s="11">
        <v>45957.583333333336</v>
      </c>
      <c r="C345" s="7">
        <v>683.86</v>
      </c>
      <c r="D345">
        <v>1265480</v>
      </c>
    </row>
    <row r="346" spans="1:4">
      <c r="A346">
        <v>341</v>
      </c>
      <c r="B346" s="11">
        <v>45957.5625</v>
      </c>
      <c r="C346" s="7">
        <v>683.9</v>
      </c>
      <c r="D346">
        <v>2521634</v>
      </c>
    </row>
    <row r="347" spans="1:4">
      <c r="A347">
        <v>342</v>
      </c>
      <c r="B347" s="11">
        <v>45957.541666666664</v>
      </c>
      <c r="C347" s="7">
        <v>683.46</v>
      </c>
      <c r="D347">
        <v>1871031</v>
      </c>
    </row>
    <row r="348" spans="1:4">
      <c r="A348">
        <v>343</v>
      </c>
      <c r="B348" s="11">
        <v>45957.520833333336</v>
      </c>
      <c r="C348" s="7">
        <v>683.77</v>
      </c>
      <c r="D348">
        <v>1534923</v>
      </c>
    </row>
    <row r="349" spans="1:4">
      <c r="A349">
        <v>344</v>
      </c>
      <c r="B349" s="11">
        <v>45957.5</v>
      </c>
      <c r="C349" s="7">
        <v>683.53</v>
      </c>
      <c r="D349">
        <v>1838711</v>
      </c>
    </row>
    <row r="350" spans="1:4">
      <c r="A350">
        <v>345</v>
      </c>
      <c r="B350" s="11">
        <v>45957.479166666664</v>
      </c>
      <c r="C350" s="7">
        <v>683.41800000000001</v>
      </c>
      <c r="D350">
        <v>1861660</v>
      </c>
    </row>
    <row r="351" spans="1:4">
      <c r="A351">
        <v>346</v>
      </c>
      <c r="B351" s="11">
        <v>45957.458333333336</v>
      </c>
      <c r="C351" s="7">
        <v>683.36500000000001</v>
      </c>
      <c r="D351">
        <v>1950768</v>
      </c>
    </row>
    <row r="352" spans="1:4">
      <c r="A352">
        <v>347</v>
      </c>
      <c r="B352" s="11">
        <v>45957.4375</v>
      </c>
      <c r="C352" s="7">
        <v>682.65</v>
      </c>
      <c r="D352">
        <v>2593194</v>
      </c>
    </row>
    <row r="353" spans="1:4">
      <c r="A353">
        <v>348</v>
      </c>
      <c r="B353" s="11">
        <v>45957.416666666664</v>
      </c>
      <c r="C353" s="7">
        <v>683.02</v>
      </c>
      <c r="D353">
        <v>4079001</v>
      </c>
    </row>
    <row r="354" spans="1:4">
      <c r="A354">
        <v>349</v>
      </c>
      <c r="B354" s="11">
        <v>45957.395833333336</v>
      </c>
      <c r="C354" s="7">
        <v>683.14499999999998</v>
      </c>
      <c r="D354">
        <v>5765971</v>
      </c>
    </row>
    <row r="355" spans="1:4">
      <c r="A355">
        <v>350</v>
      </c>
      <c r="B355" s="11">
        <v>45954.666666666664</v>
      </c>
      <c r="C355" s="7">
        <v>677.25</v>
      </c>
      <c r="D355">
        <v>32798473</v>
      </c>
    </row>
    <row r="356" spans="1:4">
      <c r="A356">
        <v>351</v>
      </c>
      <c r="B356" s="11">
        <v>45954.645833333336</v>
      </c>
      <c r="C356" s="7">
        <v>677.26</v>
      </c>
      <c r="D356">
        <v>11619461</v>
      </c>
    </row>
    <row r="357" spans="1:4">
      <c r="A357">
        <v>352</v>
      </c>
      <c r="B357" s="11">
        <v>45954.625</v>
      </c>
      <c r="C357" s="7">
        <v>678.22</v>
      </c>
      <c r="D357">
        <v>2374989</v>
      </c>
    </row>
    <row r="358" spans="1:4">
      <c r="A358">
        <v>353</v>
      </c>
      <c r="B358" s="11">
        <v>45954.604166666664</v>
      </c>
      <c r="C358" s="7">
        <v>678.2</v>
      </c>
      <c r="D358">
        <v>1669400</v>
      </c>
    </row>
    <row r="359" spans="1:4">
      <c r="A359">
        <v>354</v>
      </c>
      <c r="B359" s="11">
        <v>45954.583333333336</v>
      </c>
      <c r="C359" s="7">
        <v>678.15</v>
      </c>
      <c r="D359">
        <v>1271205</v>
      </c>
    </row>
    <row r="360" spans="1:4">
      <c r="A360">
        <v>355</v>
      </c>
      <c r="B360" s="11">
        <v>45954.5625</v>
      </c>
      <c r="C360" s="7">
        <v>678.06</v>
      </c>
      <c r="D360">
        <v>1372238</v>
      </c>
    </row>
    <row r="361" spans="1:4">
      <c r="A361">
        <v>356</v>
      </c>
      <c r="B361" s="11">
        <v>45954.541666666664</v>
      </c>
      <c r="C361" s="7">
        <v>678.04</v>
      </c>
      <c r="D361">
        <v>1039575</v>
      </c>
    </row>
    <row r="362" spans="1:4">
      <c r="A362">
        <v>357</v>
      </c>
      <c r="B362" s="11">
        <v>45954.520833333336</v>
      </c>
      <c r="C362" s="7">
        <v>677.90800000000002</v>
      </c>
      <c r="D362">
        <v>1848955</v>
      </c>
    </row>
    <row r="363" spans="1:4">
      <c r="A363">
        <v>358</v>
      </c>
      <c r="B363" s="11">
        <v>45954.5</v>
      </c>
      <c r="C363" s="7">
        <v>677.88</v>
      </c>
      <c r="D363">
        <v>1810182</v>
      </c>
    </row>
    <row r="364" spans="1:4">
      <c r="A364">
        <v>359</v>
      </c>
      <c r="B364" s="11">
        <v>45954.479166666664</v>
      </c>
      <c r="C364" s="7">
        <v>677.96</v>
      </c>
      <c r="D364">
        <v>2499033</v>
      </c>
    </row>
    <row r="365" spans="1:4">
      <c r="A365">
        <v>360</v>
      </c>
      <c r="B365" s="11">
        <v>45954.458333333336</v>
      </c>
      <c r="C365" s="7">
        <v>678.19</v>
      </c>
      <c r="D365">
        <v>3199351</v>
      </c>
    </row>
    <row r="366" spans="1:4">
      <c r="A366">
        <v>361</v>
      </c>
      <c r="B366" s="11">
        <v>45954.4375</v>
      </c>
      <c r="C366" s="7">
        <v>676.68</v>
      </c>
      <c r="D366">
        <v>2813888</v>
      </c>
    </row>
    <row r="367" spans="1:4">
      <c r="A367">
        <v>362</v>
      </c>
      <c r="B367" s="11">
        <v>45954.416666666664</v>
      </c>
      <c r="C367" s="7">
        <v>676.74</v>
      </c>
      <c r="D367">
        <v>3416477</v>
      </c>
    </row>
    <row r="368" spans="1:4">
      <c r="A368">
        <v>363</v>
      </c>
      <c r="B368" s="11">
        <v>45954.395833333336</v>
      </c>
      <c r="C368" s="7">
        <v>677.47</v>
      </c>
      <c r="D368">
        <v>6623301</v>
      </c>
    </row>
    <row r="369" spans="1:4">
      <c r="A369">
        <v>364</v>
      </c>
      <c r="B369" s="11">
        <v>45953.666666666664</v>
      </c>
      <c r="C369" s="7">
        <v>671.76</v>
      </c>
      <c r="D369">
        <v>24483005</v>
      </c>
    </row>
    <row r="370" spans="1:4">
      <c r="A370">
        <v>365</v>
      </c>
      <c r="B370" s="11">
        <v>45953.645833333336</v>
      </c>
      <c r="C370" s="7">
        <v>671.66</v>
      </c>
      <c r="D370">
        <v>10284979</v>
      </c>
    </row>
    <row r="371" spans="1:4">
      <c r="A371">
        <v>366</v>
      </c>
      <c r="B371" s="11">
        <v>45953.625</v>
      </c>
      <c r="C371" s="7">
        <v>672.43499999999995</v>
      </c>
      <c r="D371">
        <v>2355927</v>
      </c>
    </row>
    <row r="372" spans="1:4">
      <c r="A372">
        <v>367</v>
      </c>
      <c r="B372" s="11">
        <v>45953.604166666664</v>
      </c>
      <c r="C372" s="7">
        <v>672.59</v>
      </c>
      <c r="D372">
        <v>1522696</v>
      </c>
    </row>
    <row r="373" spans="1:4">
      <c r="A373">
        <v>368</v>
      </c>
      <c r="B373" s="11">
        <v>45953.583333333336</v>
      </c>
      <c r="C373" s="7">
        <v>672.48</v>
      </c>
      <c r="D373">
        <v>1954329</v>
      </c>
    </row>
    <row r="374" spans="1:4">
      <c r="A374">
        <v>369</v>
      </c>
      <c r="B374" s="11">
        <v>45953.5625</v>
      </c>
      <c r="C374" s="7">
        <v>672.38699999999994</v>
      </c>
      <c r="D374">
        <v>2548084</v>
      </c>
    </row>
    <row r="375" spans="1:4">
      <c r="A375">
        <v>370</v>
      </c>
      <c r="B375" s="11">
        <v>45953.541666666664</v>
      </c>
      <c r="C375" s="7">
        <v>670.99030000000005</v>
      </c>
      <c r="D375">
        <v>2712728</v>
      </c>
    </row>
    <row r="376" spans="1:4">
      <c r="A376">
        <v>371</v>
      </c>
      <c r="B376" s="11">
        <v>45953.520833333336</v>
      </c>
      <c r="C376" s="7">
        <v>671.46</v>
      </c>
      <c r="D376">
        <v>1936419</v>
      </c>
    </row>
    <row r="377" spans="1:4">
      <c r="A377">
        <v>372</v>
      </c>
      <c r="B377" s="11">
        <v>45953.5</v>
      </c>
      <c r="C377" s="7">
        <v>670.52</v>
      </c>
      <c r="D377">
        <v>1890097</v>
      </c>
    </row>
    <row r="378" spans="1:4">
      <c r="A378">
        <v>373</v>
      </c>
      <c r="B378" s="11">
        <v>45953.479166666664</v>
      </c>
      <c r="C378" s="7">
        <v>670.24</v>
      </c>
      <c r="D378">
        <v>2016869</v>
      </c>
    </row>
    <row r="379" spans="1:4">
      <c r="A379">
        <v>374</v>
      </c>
      <c r="B379" s="11">
        <v>45953.458333333336</v>
      </c>
      <c r="C379" s="7">
        <v>670.09</v>
      </c>
      <c r="D379">
        <v>1962058</v>
      </c>
    </row>
    <row r="380" spans="1:4">
      <c r="A380">
        <v>375</v>
      </c>
      <c r="B380" s="11">
        <v>45953.4375</v>
      </c>
      <c r="C380" s="7">
        <v>670.22</v>
      </c>
      <c r="D380">
        <v>2511700</v>
      </c>
    </row>
    <row r="381" spans="1:4">
      <c r="A381">
        <v>376</v>
      </c>
      <c r="B381" s="11">
        <v>45953.416666666664</v>
      </c>
      <c r="C381" s="7">
        <v>669.37</v>
      </c>
      <c r="D381">
        <v>3941819</v>
      </c>
    </row>
    <row r="382" spans="1:4">
      <c r="A382">
        <v>377</v>
      </c>
      <c r="B382" s="11">
        <v>45953.395833333336</v>
      </c>
      <c r="C382" s="7">
        <v>670.11839999999995</v>
      </c>
      <c r="D382">
        <v>5483750</v>
      </c>
    </row>
    <row r="383" spans="1:4">
      <c r="A383">
        <v>378</v>
      </c>
      <c r="B383" s="11">
        <v>45952.666666666664</v>
      </c>
      <c r="C383" s="7">
        <v>667.8</v>
      </c>
      <c r="D383">
        <v>25110786</v>
      </c>
    </row>
    <row r="384" spans="1:4">
      <c r="A384">
        <v>379</v>
      </c>
      <c r="B384" s="11">
        <v>45952.645833333336</v>
      </c>
      <c r="C384" s="7">
        <v>667.86</v>
      </c>
      <c r="D384">
        <v>8790732</v>
      </c>
    </row>
    <row r="385" spans="1:4">
      <c r="A385">
        <v>380</v>
      </c>
      <c r="B385" s="11">
        <v>45952.625</v>
      </c>
      <c r="C385" s="7">
        <v>667.46</v>
      </c>
      <c r="D385">
        <v>4694892</v>
      </c>
    </row>
    <row r="386" spans="1:4">
      <c r="A386">
        <v>381</v>
      </c>
      <c r="B386" s="11">
        <v>45952.604166666664</v>
      </c>
      <c r="C386" s="7">
        <v>666.49</v>
      </c>
      <c r="D386">
        <v>2465559</v>
      </c>
    </row>
    <row r="387" spans="1:4">
      <c r="A387">
        <v>382</v>
      </c>
      <c r="B387" s="11">
        <v>45952.583333333336</v>
      </c>
      <c r="C387" s="7">
        <v>665.64</v>
      </c>
      <c r="D387">
        <v>3283899</v>
      </c>
    </row>
    <row r="388" spans="1:4">
      <c r="A388">
        <v>383</v>
      </c>
      <c r="B388" s="11">
        <v>45952.5625</v>
      </c>
      <c r="C388" s="7">
        <v>664.78</v>
      </c>
      <c r="D388">
        <v>3811183</v>
      </c>
    </row>
    <row r="389" spans="1:4">
      <c r="A389">
        <v>384</v>
      </c>
      <c r="B389" s="11">
        <v>45952.541666666664</v>
      </c>
      <c r="C389" s="7">
        <v>665.31010000000003</v>
      </c>
      <c r="D389">
        <v>2904815</v>
      </c>
    </row>
    <row r="390" spans="1:4">
      <c r="A390">
        <v>385</v>
      </c>
      <c r="B390" s="11">
        <v>45952.520833333336</v>
      </c>
      <c r="C390" s="7">
        <v>667.19</v>
      </c>
      <c r="D390">
        <v>8470844</v>
      </c>
    </row>
    <row r="391" spans="1:4">
      <c r="A391">
        <v>386</v>
      </c>
      <c r="B391" s="11">
        <v>45952.5</v>
      </c>
      <c r="C391" s="7">
        <v>667.63</v>
      </c>
      <c r="D391">
        <v>2084920</v>
      </c>
    </row>
    <row r="392" spans="1:4">
      <c r="A392">
        <v>387</v>
      </c>
      <c r="B392" s="11">
        <v>45952.479166666664</v>
      </c>
      <c r="C392" s="7">
        <v>669.00800000000004</v>
      </c>
      <c r="D392">
        <v>2985556</v>
      </c>
    </row>
    <row r="393" spans="1:4">
      <c r="A393">
        <v>388</v>
      </c>
      <c r="B393" s="11">
        <v>45952.458333333336</v>
      </c>
      <c r="C393" s="7">
        <v>667.89</v>
      </c>
      <c r="D393">
        <v>3657272</v>
      </c>
    </row>
    <row r="394" spans="1:4">
      <c r="A394">
        <v>389</v>
      </c>
      <c r="B394" s="11">
        <v>45952.4375</v>
      </c>
      <c r="C394" s="7">
        <v>670.08</v>
      </c>
      <c r="D394">
        <v>5137910</v>
      </c>
    </row>
    <row r="395" spans="1:4">
      <c r="A395">
        <v>390</v>
      </c>
      <c r="B395" s="11">
        <v>45952.416666666664</v>
      </c>
      <c r="C395" s="7">
        <v>669.33749999999998</v>
      </c>
      <c r="D395">
        <v>3117723</v>
      </c>
    </row>
    <row r="396" spans="1:4">
      <c r="A396">
        <v>391</v>
      </c>
      <c r="B396" s="11">
        <v>45952.395833333336</v>
      </c>
      <c r="C396" s="7">
        <v>671.21500000000003</v>
      </c>
      <c r="D396">
        <v>4047917</v>
      </c>
    </row>
    <row r="397" spans="1:4">
      <c r="A397">
        <v>392</v>
      </c>
      <c r="B397" s="11">
        <v>45951.666666666664</v>
      </c>
      <c r="C397" s="7">
        <v>671.29</v>
      </c>
      <c r="D397">
        <v>18940906</v>
      </c>
    </row>
    <row r="398" spans="1:4">
      <c r="A398">
        <v>393</v>
      </c>
      <c r="B398" s="11">
        <v>45951.645833333336</v>
      </c>
      <c r="C398" s="7">
        <v>671.29</v>
      </c>
      <c r="D398">
        <v>6088426</v>
      </c>
    </row>
    <row r="399" spans="1:4">
      <c r="A399">
        <v>394</v>
      </c>
      <c r="B399" s="11">
        <v>45951.625</v>
      </c>
      <c r="C399" s="7">
        <v>671.88499999999999</v>
      </c>
      <c r="D399">
        <v>2055411</v>
      </c>
    </row>
    <row r="400" spans="1:4">
      <c r="A400">
        <v>395</v>
      </c>
      <c r="B400" s="11">
        <v>45951.604166666664</v>
      </c>
      <c r="C400" s="7">
        <v>671.93</v>
      </c>
      <c r="D400">
        <v>1451423</v>
      </c>
    </row>
    <row r="401" spans="1:4">
      <c r="A401">
        <v>396</v>
      </c>
      <c r="B401" s="11">
        <v>45951.583333333336</v>
      </c>
      <c r="C401" s="7">
        <v>672.28579999999999</v>
      </c>
      <c r="D401">
        <v>1883249</v>
      </c>
    </row>
    <row r="402" spans="1:4">
      <c r="A402">
        <v>397</v>
      </c>
      <c r="B402" s="11">
        <v>45951.5625</v>
      </c>
      <c r="C402" s="7">
        <v>672.2</v>
      </c>
      <c r="D402">
        <v>1455300</v>
      </c>
    </row>
    <row r="403" spans="1:4">
      <c r="A403">
        <v>398</v>
      </c>
      <c r="B403" s="11">
        <v>45951.541666666664</v>
      </c>
      <c r="C403" s="7">
        <v>671.6</v>
      </c>
      <c r="D403">
        <v>2819711</v>
      </c>
    </row>
    <row r="404" spans="1:4">
      <c r="A404">
        <v>399</v>
      </c>
      <c r="B404" s="11">
        <v>45951.520833333336</v>
      </c>
      <c r="C404" s="7">
        <v>671.42</v>
      </c>
      <c r="D404">
        <v>3263327</v>
      </c>
    </row>
    <row r="405" spans="1:4">
      <c r="A405">
        <v>400</v>
      </c>
      <c r="B405" s="11">
        <v>45951.5</v>
      </c>
      <c r="C405" s="7">
        <v>672.65</v>
      </c>
      <c r="D405">
        <v>1893536</v>
      </c>
    </row>
    <row r="406" spans="1:4">
      <c r="A406">
        <v>401</v>
      </c>
      <c r="B406" s="11">
        <v>45951.479166666664</v>
      </c>
      <c r="C406" s="7">
        <v>672.21799999999996</v>
      </c>
      <c r="D406">
        <v>2090613</v>
      </c>
    </row>
    <row r="407" spans="1:4">
      <c r="A407">
        <v>402</v>
      </c>
      <c r="B407" s="11">
        <v>45951.458333333336</v>
      </c>
      <c r="C407" s="7">
        <v>671.95</v>
      </c>
      <c r="D407">
        <v>2844499</v>
      </c>
    </row>
    <row r="408" spans="1:4">
      <c r="A408">
        <v>403</v>
      </c>
      <c r="B408" s="11">
        <v>45951.4375</v>
      </c>
      <c r="C408" s="7">
        <v>672.60500000000002</v>
      </c>
      <c r="D408">
        <v>3072595</v>
      </c>
    </row>
    <row r="409" spans="1:4">
      <c r="A409">
        <v>404</v>
      </c>
      <c r="B409" s="11">
        <v>45951.416666666664</v>
      </c>
      <c r="C409" s="7">
        <v>670.59</v>
      </c>
      <c r="D409">
        <v>3684516</v>
      </c>
    </row>
    <row r="410" spans="1:4">
      <c r="A410">
        <v>405</v>
      </c>
      <c r="B410" s="11">
        <v>45951.395833333336</v>
      </c>
      <c r="C410" s="7">
        <v>670.58</v>
      </c>
      <c r="D410">
        <v>4705520</v>
      </c>
    </row>
    <row r="411" spans="1:4">
      <c r="A411">
        <v>406</v>
      </c>
      <c r="B411" s="11">
        <v>45950.666666666664</v>
      </c>
      <c r="C411" s="7">
        <v>671.3</v>
      </c>
      <c r="D411">
        <v>23569381</v>
      </c>
    </row>
    <row r="412" spans="1:4">
      <c r="A412">
        <v>407</v>
      </c>
      <c r="B412" s="11">
        <v>45950.645833333336</v>
      </c>
      <c r="C412" s="7">
        <v>671.3</v>
      </c>
      <c r="D412">
        <v>8173985</v>
      </c>
    </row>
    <row r="413" spans="1:4">
      <c r="A413">
        <v>408</v>
      </c>
      <c r="B413" s="11">
        <v>45950.625</v>
      </c>
      <c r="C413" s="7">
        <v>671.72</v>
      </c>
      <c r="D413">
        <v>2205112</v>
      </c>
    </row>
    <row r="414" spans="1:4">
      <c r="A414">
        <v>409</v>
      </c>
      <c r="B414" s="11">
        <v>45950.604166666664</v>
      </c>
      <c r="C414" s="7">
        <v>671.65</v>
      </c>
      <c r="D414">
        <v>2037653</v>
      </c>
    </row>
    <row r="415" spans="1:4">
      <c r="A415">
        <v>410</v>
      </c>
      <c r="B415" s="11">
        <v>45950.583333333336</v>
      </c>
      <c r="C415" s="7">
        <v>671.88</v>
      </c>
      <c r="D415">
        <v>1578409</v>
      </c>
    </row>
    <row r="416" spans="1:4">
      <c r="A416">
        <v>411</v>
      </c>
      <c r="B416" s="11">
        <v>45950.5625</v>
      </c>
      <c r="C416" s="7">
        <v>671.77</v>
      </c>
      <c r="D416">
        <v>1236692</v>
      </c>
    </row>
    <row r="417" spans="1:4">
      <c r="A417">
        <v>412</v>
      </c>
      <c r="B417" s="11">
        <v>45950.541666666664</v>
      </c>
      <c r="C417" s="7">
        <v>671.61950000000002</v>
      </c>
      <c r="D417">
        <v>1943256</v>
      </c>
    </row>
    <row r="418" spans="1:4">
      <c r="A418">
        <v>413</v>
      </c>
      <c r="B418" s="11">
        <v>45950.520833333336</v>
      </c>
      <c r="C418" s="7">
        <v>671.02</v>
      </c>
      <c r="D418">
        <v>1349418</v>
      </c>
    </row>
    <row r="419" spans="1:4">
      <c r="A419">
        <v>414</v>
      </c>
      <c r="B419" s="11">
        <v>45950.5</v>
      </c>
      <c r="C419" s="7">
        <v>670.83</v>
      </c>
      <c r="D419">
        <v>1558334</v>
      </c>
    </row>
    <row r="420" spans="1:4">
      <c r="A420">
        <v>415</v>
      </c>
      <c r="B420" s="11">
        <v>45950.479166666664</v>
      </c>
      <c r="C420" s="7">
        <v>670.64</v>
      </c>
      <c r="D420">
        <v>2427353</v>
      </c>
    </row>
    <row r="421" spans="1:4">
      <c r="A421">
        <v>416</v>
      </c>
      <c r="B421" s="11">
        <v>45950.458333333336</v>
      </c>
      <c r="C421" s="7">
        <v>670.97</v>
      </c>
      <c r="D421">
        <v>2161407</v>
      </c>
    </row>
    <row r="422" spans="1:4">
      <c r="A422">
        <v>417</v>
      </c>
      <c r="B422" s="11">
        <v>45950.4375</v>
      </c>
      <c r="C422" s="7">
        <v>671.22</v>
      </c>
      <c r="D422">
        <v>2963140</v>
      </c>
    </row>
    <row r="423" spans="1:4">
      <c r="A423">
        <v>418</v>
      </c>
      <c r="B423" s="11">
        <v>45950.416666666664</v>
      </c>
      <c r="C423" s="7">
        <v>670.3</v>
      </c>
      <c r="D423">
        <v>3575692</v>
      </c>
    </row>
    <row r="424" spans="1:4">
      <c r="A424">
        <v>419</v>
      </c>
      <c r="B424" s="11">
        <v>45950.395833333336</v>
      </c>
      <c r="C424" s="7">
        <v>668.76</v>
      </c>
      <c r="D424">
        <v>5713520</v>
      </c>
    </row>
    <row r="425" spans="1:4">
      <c r="A425">
        <v>420</v>
      </c>
      <c r="B425" s="11">
        <v>45947.666666666664</v>
      </c>
      <c r="C425" s="7">
        <v>664.39</v>
      </c>
      <c r="D425">
        <v>42781969</v>
      </c>
    </row>
    <row r="426" spans="1:4">
      <c r="A426">
        <v>421</v>
      </c>
      <c r="B426" s="11">
        <v>45947.645833333336</v>
      </c>
      <c r="C426" s="7">
        <v>664.39</v>
      </c>
      <c r="D426">
        <v>8441151</v>
      </c>
    </row>
    <row r="427" spans="1:4">
      <c r="A427">
        <v>422</v>
      </c>
      <c r="B427" s="11">
        <v>45947.625</v>
      </c>
      <c r="C427" s="7">
        <v>665.11500000000001</v>
      </c>
      <c r="D427">
        <v>3062281</v>
      </c>
    </row>
    <row r="428" spans="1:4">
      <c r="A428">
        <v>423</v>
      </c>
      <c r="B428" s="11">
        <v>45947.604166666664</v>
      </c>
      <c r="C428" s="7">
        <v>664.37</v>
      </c>
      <c r="D428">
        <v>2439929</v>
      </c>
    </row>
    <row r="429" spans="1:4">
      <c r="A429">
        <v>424</v>
      </c>
      <c r="B429" s="11">
        <v>45947.583333333336</v>
      </c>
      <c r="C429" s="7">
        <v>664.65</v>
      </c>
      <c r="D429">
        <v>3279184</v>
      </c>
    </row>
    <row r="430" spans="1:4">
      <c r="A430">
        <v>425</v>
      </c>
      <c r="B430" s="11">
        <v>45947.5625</v>
      </c>
      <c r="C430" s="7">
        <v>662.87</v>
      </c>
      <c r="D430">
        <v>2575193</v>
      </c>
    </row>
    <row r="431" spans="1:4">
      <c r="A431">
        <v>426</v>
      </c>
      <c r="B431" s="11">
        <v>45947.541666666664</v>
      </c>
      <c r="C431" s="7">
        <v>661.19</v>
      </c>
      <c r="D431">
        <v>2083470</v>
      </c>
    </row>
    <row r="432" spans="1:4">
      <c r="A432">
        <v>427</v>
      </c>
      <c r="B432" s="11">
        <v>45947.520833333336</v>
      </c>
      <c r="C432" s="7">
        <v>662</v>
      </c>
      <c r="D432">
        <v>2699570</v>
      </c>
    </row>
    <row r="433" spans="1:4">
      <c r="A433">
        <v>428</v>
      </c>
      <c r="B433" s="11">
        <v>45947.5</v>
      </c>
      <c r="C433" s="7">
        <v>663.12</v>
      </c>
      <c r="D433">
        <v>2569079</v>
      </c>
    </row>
    <row r="434" spans="1:4">
      <c r="A434">
        <v>429</v>
      </c>
      <c r="B434" s="11">
        <v>45947.479166666664</v>
      </c>
      <c r="C434" s="7">
        <v>661.73</v>
      </c>
      <c r="D434">
        <v>3696034</v>
      </c>
    </row>
    <row r="435" spans="1:4">
      <c r="A435">
        <v>430</v>
      </c>
      <c r="B435" s="11">
        <v>45947.458333333336</v>
      </c>
      <c r="C435" s="7">
        <v>659.41</v>
      </c>
      <c r="D435">
        <v>3723178</v>
      </c>
    </row>
    <row r="436" spans="1:4">
      <c r="A436">
        <v>431</v>
      </c>
      <c r="B436" s="11">
        <v>45947.4375</v>
      </c>
      <c r="C436" s="7">
        <v>659.57</v>
      </c>
      <c r="D436">
        <v>3799633</v>
      </c>
    </row>
    <row r="437" spans="1:4">
      <c r="A437">
        <v>432</v>
      </c>
      <c r="B437" s="11">
        <v>45947.416666666664</v>
      </c>
      <c r="C437" s="7">
        <v>662.4</v>
      </c>
      <c r="D437">
        <v>5032286</v>
      </c>
    </row>
    <row r="438" spans="1:4">
      <c r="A438">
        <v>433</v>
      </c>
      <c r="B438" s="11">
        <v>45947.395833333336</v>
      </c>
      <c r="C438" s="7">
        <v>660.65</v>
      </c>
      <c r="D438">
        <v>10317915</v>
      </c>
    </row>
    <row r="439" spans="1:4">
      <c r="A439">
        <v>434</v>
      </c>
      <c r="B439" s="11">
        <v>45946.666666666664</v>
      </c>
      <c r="C439" s="7">
        <v>660.64</v>
      </c>
      <c r="D439">
        <v>39048457</v>
      </c>
    </row>
    <row r="440" spans="1:4">
      <c r="A440">
        <v>435</v>
      </c>
      <c r="B440" s="11">
        <v>45946.645833333336</v>
      </c>
      <c r="C440" s="7">
        <v>660.68</v>
      </c>
      <c r="D440">
        <v>11974899</v>
      </c>
    </row>
    <row r="441" spans="1:4">
      <c r="A441">
        <v>436</v>
      </c>
      <c r="B441" s="11">
        <v>45946.625</v>
      </c>
      <c r="C441" s="7">
        <v>659.01</v>
      </c>
      <c r="D441">
        <v>4483562</v>
      </c>
    </row>
    <row r="442" spans="1:4">
      <c r="A442">
        <v>437</v>
      </c>
      <c r="B442" s="11">
        <v>45946.604166666664</v>
      </c>
      <c r="C442" s="7">
        <v>660.58</v>
      </c>
      <c r="D442">
        <v>4905675</v>
      </c>
    </row>
    <row r="443" spans="1:4">
      <c r="A443">
        <v>438</v>
      </c>
      <c r="B443" s="11">
        <v>45946.583333333336</v>
      </c>
      <c r="C443" s="7">
        <v>658.35</v>
      </c>
      <c r="D443">
        <v>6322698</v>
      </c>
    </row>
    <row r="444" spans="1:4">
      <c r="A444">
        <v>439</v>
      </c>
      <c r="B444" s="11">
        <v>45946.5625</v>
      </c>
      <c r="C444" s="7">
        <v>661.81</v>
      </c>
      <c r="D444">
        <v>3394562</v>
      </c>
    </row>
    <row r="445" spans="1:4">
      <c r="A445">
        <v>440</v>
      </c>
      <c r="B445" s="11">
        <v>45946.541666666664</v>
      </c>
      <c r="C445" s="7">
        <v>663.47</v>
      </c>
      <c r="D445">
        <v>5136943</v>
      </c>
    </row>
    <row r="446" spans="1:4">
      <c r="A446">
        <v>441</v>
      </c>
      <c r="B446" s="11">
        <v>45946.520833333336</v>
      </c>
      <c r="C446" s="7">
        <v>663.28</v>
      </c>
      <c r="D446">
        <v>7881612</v>
      </c>
    </row>
    <row r="447" spans="1:4">
      <c r="A447">
        <v>442</v>
      </c>
      <c r="B447" s="11">
        <v>45946.5</v>
      </c>
      <c r="C447" s="7">
        <v>662.46</v>
      </c>
      <c r="D447">
        <v>4085611</v>
      </c>
    </row>
    <row r="448" spans="1:4">
      <c r="A448">
        <v>443</v>
      </c>
      <c r="B448" s="11">
        <v>45946.479166666664</v>
      </c>
      <c r="C448" s="7">
        <v>664.44</v>
      </c>
      <c r="D448">
        <v>5005656</v>
      </c>
    </row>
    <row r="449" spans="1:4">
      <c r="A449">
        <v>444</v>
      </c>
      <c r="B449" s="11">
        <v>45946.458333333336</v>
      </c>
      <c r="C449" s="7">
        <v>665.75</v>
      </c>
      <c r="D449">
        <v>3250979</v>
      </c>
    </row>
    <row r="450" spans="1:4">
      <c r="A450">
        <v>445</v>
      </c>
      <c r="B450" s="11">
        <v>45946.4375</v>
      </c>
      <c r="C450" s="7">
        <v>667.11</v>
      </c>
      <c r="D450">
        <v>3840578</v>
      </c>
    </row>
    <row r="451" spans="1:4">
      <c r="A451">
        <v>446</v>
      </c>
      <c r="B451" s="11">
        <v>45946.416666666664</v>
      </c>
      <c r="C451" s="7">
        <v>666.93989999999997</v>
      </c>
      <c r="D451">
        <v>5043538</v>
      </c>
    </row>
    <row r="452" spans="1:4">
      <c r="A452">
        <v>447</v>
      </c>
      <c r="B452" s="11">
        <v>45946.395833333336</v>
      </c>
      <c r="C452" s="7">
        <v>666.66499999999996</v>
      </c>
      <c r="D452">
        <v>6188574</v>
      </c>
    </row>
    <row r="453" spans="1:4">
      <c r="A453">
        <v>448</v>
      </c>
      <c r="B453" s="11">
        <v>45945.666666666664</v>
      </c>
      <c r="C453" s="7">
        <v>665.17</v>
      </c>
      <c r="D453">
        <v>28985983</v>
      </c>
    </row>
    <row r="454" spans="1:4">
      <c r="A454">
        <v>449</v>
      </c>
      <c r="B454" s="11">
        <v>45945.645833333336</v>
      </c>
      <c r="C454" s="7">
        <v>665.17</v>
      </c>
      <c r="D454">
        <v>11080478</v>
      </c>
    </row>
    <row r="455" spans="1:4">
      <c r="A455">
        <v>450</v>
      </c>
      <c r="B455" s="11">
        <v>45945.625</v>
      </c>
      <c r="C455" s="7">
        <v>665.37</v>
      </c>
      <c r="D455">
        <v>2494614</v>
      </c>
    </row>
    <row r="456" spans="1:4">
      <c r="A456">
        <v>451</v>
      </c>
      <c r="B456" s="11">
        <v>45945.604166666664</v>
      </c>
      <c r="C456" s="7">
        <v>665.7</v>
      </c>
      <c r="D456">
        <v>1965786</v>
      </c>
    </row>
    <row r="457" spans="1:4">
      <c r="A457">
        <v>452</v>
      </c>
      <c r="B457" s="11">
        <v>45945.583333333336</v>
      </c>
      <c r="C457" s="7">
        <v>664.26130000000001</v>
      </c>
      <c r="D457">
        <v>2202558</v>
      </c>
    </row>
    <row r="458" spans="1:4">
      <c r="A458">
        <v>453</v>
      </c>
      <c r="B458" s="11">
        <v>45945.5625</v>
      </c>
      <c r="C458" s="7">
        <v>664.23</v>
      </c>
      <c r="D458">
        <v>2972579</v>
      </c>
    </row>
    <row r="459" spans="1:4">
      <c r="A459">
        <v>454</v>
      </c>
      <c r="B459" s="11">
        <v>45945.541666666664</v>
      </c>
      <c r="C459" s="7">
        <v>660.78</v>
      </c>
      <c r="D459">
        <v>7317288</v>
      </c>
    </row>
    <row r="460" spans="1:4">
      <c r="A460">
        <v>455</v>
      </c>
      <c r="B460" s="11">
        <v>45945.520833333336</v>
      </c>
      <c r="C460" s="7">
        <v>664.1</v>
      </c>
      <c r="D460">
        <v>1774952</v>
      </c>
    </row>
    <row r="461" spans="1:4">
      <c r="A461">
        <v>456</v>
      </c>
      <c r="B461" s="11">
        <v>45945.5</v>
      </c>
      <c r="C461" s="7">
        <v>665.58</v>
      </c>
      <c r="D461">
        <v>2782855</v>
      </c>
    </row>
    <row r="462" spans="1:4">
      <c r="A462">
        <v>457</v>
      </c>
      <c r="B462" s="11">
        <v>45945.479166666664</v>
      </c>
      <c r="C462" s="7">
        <v>665.26</v>
      </c>
      <c r="D462">
        <v>4392639</v>
      </c>
    </row>
    <row r="463" spans="1:4">
      <c r="A463">
        <v>458</v>
      </c>
      <c r="B463" s="11">
        <v>45945.458333333336</v>
      </c>
      <c r="C463" s="7">
        <v>667.64120000000003</v>
      </c>
      <c r="D463">
        <v>2049624</v>
      </c>
    </row>
    <row r="464" spans="1:4">
      <c r="A464">
        <v>459</v>
      </c>
      <c r="B464" s="11">
        <v>45945.4375</v>
      </c>
      <c r="C464" s="7">
        <v>669.02</v>
      </c>
      <c r="D464">
        <v>2068803</v>
      </c>
    </row>
    <row r="465" spans="1:4">
      <c r="A465">
        <v>460</v>
      </c>
      <c r="B465" s="11">
        <v>45945.416666666664</v>
      </c>
      <c r="C465" s="7">
        <v>669.68</v>
      </c>
      <c r="D465">
        <v>3676429</v>
      </c>
    </row>
    <row r="466" spans="1:4">
      <c r="A466">
        <v>461</v>
      </c>
      <c r="B466" s="11">
        <v>45945.395833333336</v>
      </c>
      <c r="C466" s="7">
        <v>668.41049999999996</v>
      </c>
      <c r="D466">
        <v>7937964</v>
      </c>
    </row>
    <row r="467" spans="1:4">
      <c r="A467">
        <v>462</v>
      </c>
      <c r="B467" s="11">
        <v>45944.666666666664</v>
      </c>
      <c r="C467" s="7">
        <v>662.23</v>
      </c>
      <c r="D467">
        <v>29592302</v>
      </c>
    </row>
    <row r="468" spans="1:4">
      <c r="A468">
        <v>463</v>
      </c>
      <c r="B468" s="11">
        <v>45944.645833333336</v>
      </c>
      <c r="C468" s="7">
        <v>662.16</v>
      </c>
      <c r="D468">
        <v>15931589</v>
      </c>
    </row>
    <row r="469" spans="1:4">
      <c r="A469">
        <v>464</v>
      </c>
      <c r="B469" s="11">
        <v>45944.625</v>
      </c>
      <c r="C469" s="7">
        <v>664.75</v>
      </c>
      <c r="D469">
        <v>2438846</v>
      </c>
    </row>
    <row r="470" spans="1:4">
      <c r="A470">
        <v>465</v>
      </c>
      <c r="B470" s="11">
        <v>45944.604166666664</v>
      </c>
      <c r="C470" s="7">
        <v>664.95</v>
      </c>
      <c r="D470">
        <v>1820099</v>
      </c>
    </row>
    <row r="471" spans="1:4">
      <c r="A471">
        <v>466</v>
      </c>
      <c r="B471" s="11">
        <v>45944.583333333336</v>
      </c>
      <c r="C471" s="7">
        <v>665.14</v>
      </c>
      <c r="D471">
        <v>2220470</v>
      </c>
    </row>
    <row r="472" spans="1:4">
      <c r="A472">
        <v>467</v>
      </c>
      <c r="B472" s="11">
        <v>45944.5625</v>
      </c>
      <c r="C472" s="7">
        <v>665.20929999999998</v>
      </c>
      <c r="D472">
        <v>2114072</v>
      </c>
    </row>
    <row r="473" spans="1:4">
      <c r="A473">
        <v>468</v>
      </c>
      <c r="B473" s="11">
        <v>45944.541666666664</v>
      </c>
      <c r="C473" s="7">
        <v>665.33</v>
      </c>
      <c r="D473">
        <v>2261416</v>
      </c>
    </row>
    <row r="474" spans="1:4">
      <c r="A474">
        <v>469</v>
      </c>
      <c r="B474" s="11">
        <v>45944.520833333336</v>
      </c>
      <c r="C474" s="7">
        <v>664.35500000000002</v>
      </c>
      <c r="D474">
        <v>3434340</v>
      </c>
    </row>
    <row r="475" spans="1:4">
      <c r="A475">
        <v>470</v>
      </c>
      <c r="B475" s="11">
        <v>45944.5</v>
      </c>
      <c r="C475" s="7">
        <v>663.67</v>
      </c>
      <c r="D475">
        <v>3207004</v>
      </c>
    </row>
    <row r="476" spans="1:4">
      <c r="A476">
        <v>471</v>
      </c>
      <c r="B476" s="11">
        <v>45944.479166666664</v>
      </c>
      <c r="C476" s="7">
        <v>662.46</v>
      </c>
      <c r="D476">
        <v>4095883</v>
      </c>
    </row>
    <row r="477" spans="1:4">
      <c r="A477">
        <v>472</v>
      </c>
      <c r="B477" s="11">
        <v>45944.458333333336</v>
      </c>
      <c r="C477" s="7">
        <v>659.68</v>
      </c>
      <c r="D477">
        <v>2532506</v>
      </c>
    </row>
    <row r="478" spans="1:4">
      <c r="A478">
        <v>473</v>
      </c>
      <c r="B478" s="11">
        <v>45944.4375</v>
      </c>
      <c r="C478" s="7">
        <v>659.85</v>
      </c>
      <c r="D478">
        <v>3320399</v>
      </c>
    </row>
    <row r="479" spans="1:4">
      <c r="A479">
        <v>474</v>
      </c>
      <c r="B479" s="11">
        <v>45944.416666666664</v>
      </c>
      <c r="C479" s="7">
        <v>659.77</v>
      </c>
      <c r="D479">
        <v>6002223</v>
      </c>
    </row>
    <row r="480" spans="1:4">
      <c r="A480">
        <v>475</v>
      </c>
      <c r="B480" s="11">
        <v>45944.395833333336</v>
      </c>
      <c r="C480" s="7">
        <v>656.8</v>
      </c>
      <c r="D480">
        <v>9808411</v>
      </c>
    </row>
    <row r="481" spans="1:4">
      <c r="A481">
        <v>476</v>
      </c>
      <c r="B481" s="11">
        <v>45943.666666666664</v>
      </c>
      <c r="C481" s="7">
        <v>663.04</v>
      </c>
      <c r="D481">
        <v>25203931</v>
      </c>
    </row>
    <row r="482" spans="1:4">
      <c r="A482">
        <v>477</v>
      </c>
      <c r="B482" s="11">
        <v>45943.645833333336</v>
      </c>
      <c r="C482" s="7">
        <v>663.04</v>
      </c>
      <c r="D482">
        <v>8803629</v>
      </c>
    </row>
    <row r="483" spans="1:4">
      <c r="A483">
        <v>478</v>
      </c>
      <c r="B483" s="11">
        <v>45943.625</v>
      </c>
      <c r="C483" s="7">
        <v>662.72500000000002</v>
      </c>
      <c r="D483">
        <v>3544635</v>
      </c>
    </row>
    <row r="484" spans="1:4">
      <c r="A484">
        <v>479</v>
      </c>
      <c r="B484" s="11">
        <v>45943.604166666664</v>
      </c>
      <c r="C484" s="7">
        <v>662.21</v>
      </c>
      <c r="D484">
        <v>3294501</v>
      </c>
    </row>
    <row r="485" spans="1:4">
      <c r="A485">
        <v>480</v>
      </c>
      <c r="B485" s="11">
        <v>45943.583333333336</v>
      </c>
      <c r="C485" s="7">
        <v>663.95</v>
      </c>
      <c r="D485">
        <v>2070112</v>
      </c>
    </row>
    <row r="486" spans="1:4">
      <c r="A486">
        <v>481</v>
      </c>
      <c r="B486" s="11">
        <v>45943.5625</v>
      </c>
      <c r="C486" s="7">
        <v>663.26</v>
      </c>
      <c r="D486">
        <v>1702041</v>
      </c>
    </row>
    <row r="487" spans="1:4">
      <c r="A487">
        <v>482</v>
      </c>
      <c r="B487" s="11">
        <v>45943.541666666664</v>
      </c>
      <c r="C487" s="7">
        <v>663.18</v>
      </c>
      <c r="D487">
        <v>2069267</v>
      </c>
    </row>
    <row r="488" spans="1:4">
      <c r="A488">
        <v>483</v>
      </c>
      <c r="B488" s="11">
        <v>45943.520833333336</v>
      </c>
      <c r="C488" s="7">
        <v>664.27</v>
      </c>
      <c r="D488">
        <v>2049361</v>
      </c>
    </row>
    <row r="489" spans="1:4">
      <c r="A489">
        <v>484</v>
      </c>
      <c r="B489" s="11">
        <v>45943.5</v>
      </c>
      <c r="C489" s="7">
        <v>663.49</v>
      </c>
      <c r="D489">
        <v>3658602</v>
      </c>
    </row>
    <row r="490" spans="1:4">
      <c r="A490">
        <v>485</v>
      </c>
      <c r="B490" s="11">
        <v>45943.479166666664</v>
      </c>
      <c r="C490" s="7">
        <v>662.99</v>
      </c>
      <c r="D490">
        <v>2591026</v>
      </c>
    </row>
    <row r="491" spans="1:4">
      <c r="A491">
        <v>486</v>
      </c>
      <c r="B491" s="11">
        <v>45943.458333333336</v>
      </c>
      <c r="C491" s="7">
        <v>662.69500000000005</v>
      </c>
      <c r="D491">
        <v>3556082</v>
      </c>
    </row>
    <row r="492" spans="1:4">
      <c r="A492">
        <v>487</v>
      </c>
      <c r="B492" s="11">
        <v>45943.4375</v>
      </c>
      <c r="C492" s="7">
        <v>660.21119999999996</v>
      </c>
      <c r="D492">
        <v>3797946</v>
      </c>
    </row>
    <row r="493" spans="1:4">
      <c r="A493">
        <v>488</v>
      </c>
      <c r="B493" s="11">
        <v>45943.416666666664</v>
      </c>
      <c r="C493" s="7">
        <v>660.87</v>
      </c>
      <c r="D493">
        <v>6255059</v>
      </c>
    </row>
    <row r="494" spans="1:4">
      <c r="A494">
        <v>489</v>
      </c>
      <c r="B494" s="11">
        <v>45943.395833333336</v>
      </c>
      <c r="C494" s="7">
        <v>662.88</v>
      </c>
      <c r="D494">
        <v>10964328</v>
      </c>
    </row>
    <row r="495" spans="1:4">
      <c r="A495">
        <v>490</v>
      </c>
      <c r="B495" s="11">
        <v>45940.666666666664</v>
      </c>
      <c r="C495" s="7">
        <v>653.02</v>
      </c>
      <c r="D495">
        <v>47859507</v>
      </c>
    </row>
    <row r="496" spans="1:4">
      <c r="A496">
        <v>491</v>
      </c>
      <c r="B496" s="11">
        <v>45940.645833333336</v>
      </c>
      <c r="C496" s="7">
        <v>653.02</v>
      </c>
      <c r="D496">
        <v>19075100</v>
      </c>
    </row>
    <row r="497" spans="1:4">
      <c r="A497">
        <v>492</v>
      </c>
      <c r="B497" s="11">
        <v>45940.625</v>
      </c>
      <c r="C497" s="7">
        <v>656.12</v>
      </c>
      <c r="D497">
        <v>5154336</v>
      </c>
    </row>
    <row r="498" spans="1:4">
      <c r="A498">
        <v>493</v>
      </c>
      <c r="B498" s="11">
        <v>45940.604166666664</v>
      </c>
      <c r="C498" s="7">
        <v>657.21500000000003</v>
      </c>
      <c r="D498">
        <v>4528662</v>
      </c>
    </row>
    <row r="499" spans="1:4">
      <c r="A499">
        <v>494</v>
      </c>
      <c r="B499" s="11">
        <v>45940.583333333336</v>
      </c>
      <c r="C499" s="7">
        <v>659.11</v>
      </c>
      <c r="D499">
        <v>3678936</v>
      </c>
    </row>
    <row r="500" spans="1:4">
      <c r="A500">
        <v>495</v>
      </c>
      <c r="B500" s="11">
        <v>45940.5625</v>
      </c>
      <c r="C500" s="7">
        <v>659.64</v>
      </c>
      <c r="D500">
        <v>4075539</v>
      </c>
    </row>
    <row r="501" spans="1:4">
      <c r="A501">
        <v>496</v>
      </c>
      <c r="B501" s="11">
        <v>45940.541666666664</v>
      </c>
      <c r="C501" s="7">
        <v>659.84</v>
      </c>
      <c r="D501">
        <v>5303657</v>
      </c>
    </row>
    <row r="502" spans="1:4">
      <c r="A502">
        <v>497</v>
      </c>
      <c r="B502" s="11">
        <v>45940.520833333336</v>
      </c>
      <c r="C502" s="7">
        <v>659.04</v>
      </c>
      <c r="D502">
        <v>5907052</v>
      </c>
    </row>
    <row r="503" spans="1:4">
      <c r="A503">
        <v>498</v>
      </c>
      <c r="B503" s="11">
        <v>45940.5</v>
      </c>
      <c r="C503" s="7">
        <v>661.5</v>
      </c>
      <c r="D503">
        <v>7123150</v>
      </c>
    </row>
    <row r="504" spans="1:4">
      <c r="A504">
        <v>499</v>
      </c>
      <c r="B504" s="11">
        <v>45940.479166666664</v>
      </c>
      <c r="C504" s="7">
        <v>661.52</v>
      </c>
      <c r="D504">
        <v>15537008</v>
      </c>
    </row>
    <row r="505" spans="1:4">
      <c r="A505">
        <v>500</v>
      </c>
      <c r="B505" s="11">
        <v>45940.458333333336</v>
      </c>
      <c r="C505" s="7">
        <v>662.42</v>
      </c>
      <c r="D505">
        <v>24806214</v>
      </c>
    </row>
    <row r="506" spans="1:4">
      <c r="A506">
        <v>501</v>
      </c>
      <c r="B506" s="11">
        <v>45940.4375</v>
      </c>
      <c r="C506" s="7">
        <v>668.72500000000002</v>
      </c>
      <c r="D506">
        <v>5993044</v>
      </c>
    </row>
    <row r="507" spans="1:4">
      <c r="A507">
        <v>502</v>
      </c>
      <c r="B507" s="11">
        <v>45940.416666666664</v>
      </c>
      <c r="C507" s="7">
        <v>672.56500000000005</v>
      </c>
      <c r="D507">
        <v>3841054</v>
      </c>
    </row>
    <row r="508" spans="1:4">
      <c r="A508">
        <v>503</v>
      </c>
      <c r="B508" s="11">
        <v>45940.395833333336</v>
      </c>
      <c r="C508" s="7">
        <v>673.17</v>
      </c>
      <c r="D508">
        <v>6539333</v>
      </c>
    </row>
    <row r="509" spans="1:4">
      <c r="A509">
        <v>504</v>
      </c>
      <c r="B509" s="11">
        <v>45939.666666666664</v>
      </c>
      <c r="C509" s="7">
        <v>671.16</v>
      </c>
      <c r="D509">
        <v>18805206</v>
      </c>
    </row>
    <row r="510" spans="1:4">
      <c r="A510">
        <v>505</v>
      </c>
      <c r="B510" s="11">
        <v>45939.645833333336</v>
      </c>
      <c r="C510" s="7">
        <v>671.08</v>
      </c>
      <c r="D510">
        <v>9335711</v>
      </c>
    </row>
    <row r="511" spans="1:4">
      <c r="A511">
        <v>506</v>
      </c>
      <c r="B511" s="11">
        <v>45939.625</v>
      </c>
      <c r="C511" s="7">
        <v>670.48</v>
      </c>
      <c r="D511">
        <v>2990931</v>
      </c>
    </row>
    <row r="512" spans="1:4">
      <c r="A512">
        <v>507</v>
      </c>
      <c r="B512" s="11">
        <v>45939.604166666664</v>
      </c>
      <c r="C512" s="7">
        <v>669.92</v>
      </c>
      <c r="D512">
        <v>1687433</v>
      </c>
    </row>
    <row r="513" spans="1:4">
      <c r="A513">
        <v>508</v>
      </c>
      <c r="B513" s="11">
        <v>45939.583333333336</v>
      </c>
      <c r="C513" s="7">
        <v>669.81500000000005</v>
      </c>
      <c r="D513">
        <v>1995276</v>
      </c>
    </row>
    <row r="514" spans="1:4">
      <c r="A514">
        <v>509</v>
      </c>
      <c r="B514" s="11">
        <v>45939.5625</v>
      </c>
      <c r="C514" s="7">
        <v>670.18</v>
      </c>
      <c r="D514">
        <v>2355896</v>
      </c>
    </row>
    <row r="515" spans="1:4">
      <c r="A515">
        <v>510</v>
      </c>
      <c r="B515" s="11">
        <v>45939.541666666664</v>
      </c>
      <c r="C515" s="7">
        <v>669.47</v>
      </c>
      <c r="D515">
        <v>3277290</v>
      </c>
    </row>
    <row r="516" spans="1:4">
      <c r="A516">
        <v>511</v>
      </c>
      <c r="B516" s="11">
        <v>45939.520833333336</v>
      </c>
      <c r="C516" s="7">
        <v>669.76</v>
      </c>
      <c r="D516">
        <v>2162337</v>
      </c>
    </row>
    <row r="517" spans="1:4">
      <c r="A517">
        <v>512</v>
      </c>
      <c r="B517" s="11">
        <v>45939.5</v>
      </c>
      <c r="C517" s="7">
        <v>670.96500000000003</v>
      </c>
      <c r="D517">
        <v>1701604</v>
      </c>
    </row>
    <row r="518" spans="1:4">
      <c r="A518">
        <v>513</v>
      </c>
      <c r="B518" s="11">
        <v>45939.479166666664</v>
      </c>
      <c r="C518" s="7">
        <v>671.33</v>
      </c>
      <c r="D518">
        <v>3030773</v>
      </c>
    </row>
    <row r="519" spans="1:4">
      <c r="A519">
        <v>514</v>
      </c>
      <c r="B519" s="11">
        <v>45939.458333333336</v>
      </c>
      <c r="C519" s="7">
        <v>670.75</v>
      </c>
      <c r="D519">
        <v>2659396</v>
      </c>
    </row>
    <row r="520" spans="1:4">
      <c r="A520">
        <v>515</v>
      </c>
      <c r="B520" s="11">
        <v>45939.4375</v>
      </c>
      <c r="C520" s="7">
        <v>671.4</v>
      </c>
      <c r="D520">
        <v>5057093</v>
      </c>
    </row>
    <row r="521" spans="1:4">
      <c r="A521">
        <v>516</v>
      </c>
      <c r="B521" s="11">
        <v>45939.416666666664</v>
      </c>
      <c r="C521" s="7">
        <v>671.18</v>
      </c>
      <c r="D521">
        <v>4176116</v>
      </c>
    </row>
    <row r="522" spans="1:4">
      <c r="A522">
        <v>517</v>
      </c>
      <c r="B522" s="11">
        <v>45939.395833333336</v>
      </c>
      <c r="C522" s="7">
        <v>671.73</v>
      </c>
      <c r="D522">
        <v>7266878</v>
      </c>
    </row>
    <row r="523" spans="1:4">
      <c r="A523">
        <v>518</v>
      </c>
      <c r="B523" s="11">
        <v>45938.666666666664</v>
      </c>
      <c r="C523" s="7">
        <v>673.11</v>
      </c>
      <c r="D523">
        <v>17376668</v>
      </c>
    </row>
    <row r="524" spans="1:4">
      <c r="A524">
        <v>519</v>
      </c>
      <c r="B524" s="11">
        <v>45938.645833333336</v>
      </c>
      <c r="C524" s="7">
        <v>673.11</v>
      </c>
      <c r="D524">
        <v>9794114</v>
      </c>
    </row>
    <row r="525" spans="1:4">
      <c r="A525">
        <v>520</v>
      </c>
      <c r="B525" s="11">
        <v>45938.625</v>
      </c>
      <c r="C525" s="7">
        <v>672.875</v>
      </c>
      <c r="D525">
        <v>3044969</v>
      </c>
    </row>
    <row r="526" spans="1:4">
      <c r="A526">
        <v>521</v>
      </c>
      <c r="B526" s="11">
        <v>45938.604166666664</v>
      </c>
      <c r="C526" s="7">
        <v>672.24069999999995</v>
      </c>
      <c r="D526">
        <v>2187735</v>
      </c>
    </row>
    <row r="527" spans="1:4">
      <c r="A527">
        <v>522</v>
      </c>
      <c r="B527" s="11">
        <v>45938.583333333336</v>
      </c>
      <c r="C527" s="7">
        <v>672.85</v>
      </c>
      <c r="D527">
        <v>2708937</v>
      </c>
    </row>
    <row r="528" spans="1:4">
      <c r="A528">
        <v>523</v>
      </c>
      <c r="B528" s="11">
        <v>45938.5625</v>
      </c>
      <c r="C528" s="7">
        <v>672.65</v>
      </c>
      <c r="D528">
        <v>1604507</v>
      </c>
    </row>
    <row r="529" spans="1:4">
      <c r="A529">
        <v>524</v>
      </c>
      <c r="B529" s="11">
        <v>45938.541666666664</v>
      </c>
      <c r="C529" s="7">
        <v>672.91499999999996</v>
      </c>
      <c r="D529">
        <v>1312185</v>
      </c>
    </row>
    <row r="530" spans="1:4">
      <c r="A530">
        <v>525</v>
      </c>
      <c r="B530" s="11">
        <v>45938.520833333336</v>
      </c>
      <c r="C530" s="7">
        <v>672.72</v>
      </c>
      <c r="D530">
        <v>1471107</v>
      </c>
    </row>
    <row r="531" spans="1:4">
      <c r="A531">
        <v>526</v>
      </c>
      <c r="B531" s="11">
        <v>45938.5</v>
      </c>
      <c r="C531" s="7">
        <v>672.64499999999998</v>
      </c>
      <c r="D531">
        <v>1819217</v>
      </c>
    </row>
    <row r="532" spans="1:4">
      <c r="A532">
        <v>527</v>
      </c>
      <c r="B532" s="11">
        <v>45938.479166666664</v>
      </c>
      <c r="C532" s="7">
        <v>672.8</v>
      </c>
      <c r="D532">
        <v>2093811</v>
      </c>
    </row>
    <row r="533" spans="1:4">
      <c r="A533">
        <v>528</v>
      </c>
      <c r="B533" s="11">
        <v>45938.458333333336</v>
      </c>
      <c r="C533" s="7">
        <v>672.53</v>
      </c>
      <c r="D533">
        <v>2833528</v>
      </c>
    </row>
    <row r="534" spans="1:4">
      <c r="A534">
        <v>529</v>
      </c>
      <c r="B534" s="11">
        <v>45938.4375</v>
      </c>
      <c r="C534" s="7">
        <v>671.75</v>
      </c>
      <c r="D534">
        <v>3237325</v>
      </c>
    </row>
    <row r="535" spans="1:4">
      <c r="A535">
        <v>530</v>
      </c>
      <c r="B535" s="11">
        <v>45938.416666666664</v>
      </c>
      <c r="C535" s="7">
        <v>671.91</v>
      </c>
      <c r="D535">
        <v>4535845</v>
      </c>
    </row>
    <row r="536" spans="1:4">
      <c r="A536">
        <v>531</v>
      </c>
      <c r="B536" s="11">
        <v>45938.395833333336</v>
      </c>
      <c r="C536" s="7">
        <v>670.38499999999999</v>
      </c>
      <c r="D536">
        <v>6682292</v>
      </c>
    </row>
    <row r="537" spans="1:4">
      <c r="A537">
        <v>532</v>
      </c>
      <c r="B537" s="11">
        <v>45937.666666666664</v>
      </c>
      <c r="C537" s="7">
        <v>669.12</v>
      </c>
      <c r="D537">
        <v>18256476</v>
      </c>
    </row>
    <row r="538" spans="1:4">
      <c r="A538">
        <v>533</v>
      </c>
      <c r="B538" s="11">
        <v>45937.645833333336</v>
      </c>
      <c r="C538" s="7">
        <v>669.12</v>
      </c>
      <c r="D538">
        <v>8083200</v>
      </c>
    </row>
    <row r="539" spans="1:4">
      <c r="A539">
        <v>534</v>
      </c>
      <c r="B539" s="11">
        <v>45937.625</v>
      </c>
      <c r="C539" s="7">
        <v>668.57</v>
      </c>
      <c r="D539">
        <v>2218937</v>
      </c>
    </row>
    <row r="540" spans="1:4">
      <c r="A540">
        <v>535</v>
      </c>
      <c r="B540" s="11">
        <v>45937.604166666664</v>
      </c>
      <c r="C540" s="7">
        <v>669</v>
      </c>
      <c r="D540">
        <v>1669368</v>
      </c>
    </row>
    <row r="541" spans="1:4">
      <c r="A541">
        <v>536</v>
      </c>
      <c r="B541" s="11">
        <v>45937.583333333336</v>
      </c>
      <c r="C541" s="7">
        <v>668.64</v>
      </c>
      <c r="D541">
        <v>2204298</v>
      </c>
    </row>
    <row r="542" spans="1:4">
      <c r="A542">
        <v>537</v>
      </c>
      <c r="B542" s="11">
        <v>45937.5625</v>
      </c>
      <c r="C542" s="7">
        <v>668.33</v>
      </c>
      <c r="D542">
        <v>1741476</v>
      </c>
    </row>
    <row r="543" spans="1:4">
      <c r="A543">
        <v>538</v>
      </c>
      <c r="B543" s="11">
        <v>45937.541666666664</v>
      </c>
      <c r="C543" s="7">
        <v>668.92</v>
      </c>
      <c r="D543">
        <v>2073371</v>
      </c>
    </row>
    <row r="544" spans="1:4">
      <c r="A544">
        <v>539</v>
      </c>
      <c r="B544" s="11">
        <v>45937.520833333336</v>
      </c>
      <c r="C544" s="7">
        <v>668.36</v>
      </c>
      <c r="D544">
        <v>2934538</v>
      </c>
    </row>
    <row r="545" spans="1:4">
      <c r="A545">
        <v>540</v>
      </c>
      <c r="B545" s="11">
        <v>45937.5</v>
      </c>
      <c r="C545" s="7">
        <v>668.39</v>
      </c>
      <c r="D545">
        <v>4233517</v>
      </c>
    </row>
    <row r="546" spans="1:4">
      <c r="A546">
        <v>541</v>
      </c>
      <c r="B546" s="11">
        <v>45937.479166666664</v>
      </c>
      <c r="C546" s="7">
        <v>668.23</v>
      </c>
      <c r="D546">
        <v>7297708</v>
      </c>
    </row>
    <row r="547" spans="1:4">
      <c r="A547">
        <v>542</v>
      </c>
      <c r="B547" s="11">
        <v>45937.458333333336</v>
      </c>
      <c r="C547" s="7">
        <v>669.23</v>
      </c>
      <c r="D547">
        <v>8734450</v>
      </c>
    </row>
    <row r="548" spans="1:4">
      <c r="A548">
        <v>543</v>
      </c>
      <c r="B548" s="11">
        <v>45937.4375</v>
      </c>
      <c r="C548" s="7">
        <v>670.91</v>
      </c>
      <c r="D548">
        <v>3835883</v>
      </c>
    </row>
    <row r="549" spans="1:4">
      <c r="A549">
        <v>544</v>
      </c>
      <c r="B549" s="11">
        <v>45937.416666666664</v>
      </c>
      <c r="C549" s="7">
        <v>671.3</v>
      </c>
      <c r="D549">
        <v>3221920</v>
      </c>
    </row>
    <row r="550" spans="1:4">
      <c r="A550">
        <v>545</v>
      </c>
      <c r="B550" s="11">
        <v>45937.395833333336</v>
      </c>
      <c r="C550" s="7">
        <v>672.09500000000003</v>
      </c>
      <c r="D550">
        <v>5514922</v>
      </c>
    </row>
    <row r="551" spans="1:4">
      <c r="A551">
        <v>546</v>
      </c>
      <c r="B551" s="11">
        <v>45936.666666666664</v>
      </c>
      <c r="C551" s="7">
        <v>671.61</v>
      </c>
      <c r="D551">
        <v>16528733</v>
      </c>
    </row>
    <row r="552" spans="1:4">
      <c r="A552">
        <v>547</v>
      </c>
      <c r="B552" s="11">
        <v>45936.645833333336</v>
      </c>
      <c r="C552" s="7">
        <v>671.61</v>
      </c>
      <c r="D552">
        <v>7281199</v>
      </c>
    </row>
    <row r="553" spans="1:4">
      <c r="A553">
        <v>548</v>
      </c>
      <c r="B553" s="11">
        <v>45936.625</v>
      </c>
      <c r="C553" s="7">
        <v>671.73</v>
      </c>
      <c r="D553">
        <v>2156797</v>
      </c>
    </row>
    <row r="554" spans="1:4">
      <c r="A554">
        <v>549</v>
      </c>
      <c r="B554" s="11">
        <v>45936.604166666664</v>
      </c>
      <c r="C554" s="7">
        <v>672.11</v>
      </c>
      <c r="D554">
        <v>1835848</v>
      </c>
    </row>
    <row r="555" spans="1:4">
      <c r="A555">
        <v>550</v>
      </c>
      <c r="B555" s="11">
        <v>45936.583333333336</v>
      </c>
      <c r="C555" s="7">
        <v>672.24</v>
      </c>
      <c r="D555">
        <v>2098191</v>
      </c>
    </row>
    <row r="556" spans="1:4">
      <c r="A556">
        <v>551</v>
      </c>
      <c r="B556" s="11">
        <v>45936.5625</v>
      </c>
      <c r="C556" s="7">
        <v>672.28</v>
      </c>
      <c r="D556">
        <v>1890286</v>
      </c>
    </row>
    <row r="557" spans="1:4">
      <c r="A557">
        <v>552</v>
      </c>
      <c r="B557" s="11">
        <v>45936.541666666664</v>
      </c>
      <c r="C557" s="7">
        <v>672.08</v>
      </c>
      <c r="D557">
        <v>1946359</v>
      </c>
    </row>
    <row r="558" spans="1:4">
      <c r="A558">
        <v>553</v>
      </c>
      <c r="B558" s="11">
        <v>45936.520833333336</v>
      </c>
      <c r="C558" s="7">
        <v>671.71</v>
      </c>
      <c r="D558">
        <v>1291302</v>
      </c>
    </row>
    <row r="559" spans="1:4">
      <c r="A559">
        <v>554</v>
      </c>
      <c r="B559" s="11">
        <v>45936.5</v>
      </c>
      <c r="C559" s="7">
        <v>671.8</v>
      </c>
      <c r="D559">
        <v>1581436</v>
      </c>
    </row>
    <row r="560" spans="1:4">
      <c r="A560">
        <v>555</v>
      </c>
      <c r="B560" s="11">
        <v>45936.479166666664</v>
      </c>
      <c r="C560" s="7">
        <v>671.83</v>
      </c>
      <c r="D560">
        <v>2224150</v>
      </c>
    </row>
    <row r="561" spans="1:4">
      <c r="A561">
        <v>556</v>
      </c>
      <c r="B561" s="11">
        <v>45936.458333333336</v>
      </c>
      <c r="C561" s="7">
        <v>671.17</v>
      </c>
      <c r="D561">
        <v>2037968</v>
      </c>
    </row>
    <row r="562" spans="1:4">
      <c r="A562">
        <v>557</v>
      </c>
      <c r="B562" s="11">
        <v>45936.4375</v>
      </c>
      <c r="C562" s="7">
        <v>670.77</v>
      </c>
      <c r="D562">
        <v>2370910</v>
      </c>
    </row>
    <row r="563" spans="1:4">
      <c r="A563">
        <v>558</v>
      </c>
      <c r="B563" s="11">
        <v>45936.416666666664</v>
      </c>
      <c r="C563" s="7">
        <v>670.5</v>
      </c>
      <c r="D563">
        <v>4175636</v>
      </c>
    </row>
    <row r="564" spans="1:4">
      <c r="A564">
        <v>559</v>
      </c>
      <c r="B564" s="11">
        <v>45936.395833333336</v>
      </c>
      <c r="C564" s="7">
        <v>669.95</v>
      </c>
      <c r="D564">
        <v>7204445</v>
      </c>
    </row>
    <row r="565" spans="1:4">
      <c r="A565">
        <v>560</v>
      </c>
      <c r="B565" s="11">
        <v>45933.666666666664</v>
      </c>
      <c r="C565" s="7">
        <v>669.21</v>
      </c>
      <c r="D565">
        <v>20990274</v>
      </c>
    </row>
    <row r="566" spans="1:4">
      <c r="A566">
        <v>561</v>
      </c>
      <c r="B566" s="11">
        <v>45933.645833333336</v>
      </c>
      <c r="C566" s="7">
        <v>669.24</v>
      </c>
      <c r="D566">
        <v>7776043</v>
      </c>
    </row>
    <row r="567" spans="1:4">
      <c r="A567">
        <v>562</v>
      </c>
      <c r="B567" s="11">
        <v>45933.625</v>
      </c>
      <c r="C567" s="7">
        <v>669.62</v>
      </c>
      <c r="D567">
        <v>3208394</v>
      </c>
    </row>
    <row r="568" spans="1:4">
      <c r="A568">
        <v>563</v>
      </c>
      <c r="B568" s="11">
        <v>45933.604166666664</v>
      </c>
      <c r="C568" s="7">
        <v>669.9</v>
      </c>
      <c r="D568">
        <v>2709723</v>
      </c>
    </row>
    <row r="569" spans="1:4">
      <c r="A569">
        <v>564</v>
      </c>
      <c r="B569" s="11">
        <v>45933.583333333336</v>
      </c>
      <c r="C569" s="7">
        <v>670.55</v>
      </c>
      <c r="D569">
        <v>5035306</v>
      </c>
    </row>
    <row r="570" spans="1:4">
      <c r="A570">
        <v>565</v>
      </c>
      <c r="B570" s="11">
        <v>45933.5625</v>
      </c>
      <c r="C570" s="7">
        <v>669.24</v>
      </c>
      <c r="D570">
        <v>5610748</v>
      </c>
    </row>
    <row r="571" spans="1:4">
      <c r="A571">
        <v>566</v>
      </c>
      <c r="B571" s="11">
        <v>45933.541666666664</v>
      </c>
      <c r="C571" s="7">
        <v>670.26499999999999</v>
      </c>
      <c r="D571">
        <v>4782275</v>
      </c>
    </row>
    <row r="572" spans="1:4">
      <c r="A572">
        <v>567</v>
      </c>
      <c r="B572" s="11">
        <v>45933.520833333336</v>
      </c>
      <c r="C572" s="7">
        <v>672.2</v>
      </c>
      <c r="D572">
        <v>1456880</v>
      </c>
    </row>
    <row r="573" spans="1:4">
      <c r="A573">
        <v>568</v>
      </c>
      <c r="B573" s="11">
        <v>45933.5</v>
      </c>
      <c r="C573" s="7">
        <v>672.43</v>
      </c>
      <c r="D573">
        <v>1619856</v>
      </c>
    </row>
    <row r="574" spans="1:4">
      <c r="A574">
        <v>569</v>
      </c>
      <c r="B574" s="11">
        <v>45933.479166666664</v>
      </c>
      <c r="C574" s="7">
        <v>672.51</v>
      </c>
      <c r="D574">
        <v>2720911</v>
      </c>
    </row>
    <row r="575" spans="1:4">
      <c r="A575">
        <v>570</v>
      </c>
      <c r="B575" s="11">
        <v>45933.458333333336</v>
      </c>
      <c r="C575" s="7">
        <v>671.76</v>
      </c>
      <c r="D575">
        <v>2315499</v>
      </c>
    </row>
    <row r="576" spans="1:4">
      <c r="A576">
        <v>571</v>
      </c>
      <c r="B576" s="11">
        <v>45933.4375</v>
      </c>
      <c r="C576" s="7">
        <v>672.1</v>
      </c>
      <c r="D576">
        <v>3001404</v>
      </c>
    </row>
    <row r="577" spans="1:4">
      <c r="A577">
        <v>572</v>
      </c>
      <c r="B577" s="11">
        <v>45933.416666666664</v>
      </c>
      <c r="C577" s="7">
        <v>671.36500000000001</v>
      </c>
      <c r="D577">
        <v>4044802</v>
      </c>
    </row>
    <row r="578" spans="1:4">
      <c r="A578">
        <v>573</v>
      </c>
      <c r="B578" s="11">
        <v>45933.395833333336</v>
      </c>
      <c r="C578" s="7">
        <v>670.67</v>
      </c>
      <c r="D578">
        <v>5222237</v>
      </c>
    </row>
    <row r="579" spans="1:4">
      <c r="A579">
        <v>574</v>
      </c>
      <c r="B579" s="11">
        <v>45932.666666666664</v>
      </c>
      <c r="C579" s="7">
        <v>669.22</v>
      </c>
      <c r="D579">
        <v>16821737</v>
      </c>
    </row>
    <row r="580" spans="1:4">
      <c r="A580">
        <v>575</v>
      </c>
      <c r="B580" s="11">
        <v>45932.645833333336</v>
      </c>
      <c r="C580" s="7">
        <v>669.22</v>
      </c>
      <c r="D580">
        <v>9403111</v>
      </c>
    </row>
    <row r="581" spans="1:4">
      <c r="A581">
        <v>576</v>
      </c>
      <c r="B581" s="11">
        <v>45932.625</v>
      </c>
      <c r="C581" s="7">
        <v>669.45</v>
      </c>
      <c r="D581">
        <v>1908535</v>
      </c>
    </row>
    <row r="582" spans="1:4">
      <c r="A582">
        <v>577</v>
      </c>
      <c r="B582" s="11">
        <v>45932.604166666664</v>
      </c>
      <c r="C582" s="7">
        <v>669.42</v>
      </c>
      <c r="D582">
        <v>1832191</v>
      </c>
    </row>
    <row r="583" spans="1:4">
      <c r="A583">
        <v>578</v>
      </c>
      <c r="B583" s="11">
        <v>45932.583333333336</v>
      </c>
      <c r="C583" s="7">
        <v>669.56</v>
      </c>
      <c r="D583">
        <v>2115514</v>
      </c>
    </row>
    <row r="584" spans="1:4">
      <c r="A584">
        <v>579</v>
      </c>
      <c r="B584" s="11">
        <v>45932.5625</v>
      </c>
      <c r="C584" s="7">
        <v>668.89499999999998</v>
      </c>
      <c r="D584">
        <v>1993107</v>
      </c>
    </row>
    <row r="585" spans="1:4">
      <c r="A585">
        <v>580</v>
      </c>
      <c r="B585" s="11">
        <v>45932.541666666664</v>
      </c>
      <c r="C585" s="7">
        <v>668.495</v>
      </c>
      <c r="D585">
        <v>1512186</v>
      </c>
    </row>
    <row r="586" spans="1:4">
      <c r="A586">
        <v>581</v>
      </c>
      <c r="B586" s="11">
        <v>45932.520833333336</v>
      </c>
      <c r="C586" s="7">
        <v>668.37</v>
      </c>
      <c r="D586">
        <v>1463333</v>
      </c>
    </row>
    <row r="587" spans="1:4">
      <c r="A587">
        <v>582</v>
      </c>
      <c r="B587" s="11">
        <v>45932.5</v>
      </c>
      <c r="C587" s="7">
        <v>668.13530000000003</v>
      </c>
      <c r="D587">
        <v>1549520</v>
      </c>
    </row>
    <row r="588" spans="1:4">
      <c r="A588">
        <v>583</v>
      </c>
      <c r="B588" s="11">
        <v>45932.479166666664</v>
      </c>
      <c r="C588" s="7">
        <v>668.30499999999995</v>
      </c>
      <c r="D588">
        <v>2107782</v>
      </c>
    </row>
    <row r="589" spans="1:4">
      <c r="A589">
        <v>584</v>
      </c>
      <c r="B589" s="11">
        <v>45932.458333333336</v>
      </c>
      <c r="C589" s="7">
        <v>667.61</v>
      </c>
      <c r="D589">
        <v>2867074</v>
      </c>
    </row>
    <row r="590" spans="1:4">
      <c r="A590">
        <v>585</v>
      </c>
      <c r="B590" s="11">
        <v>45932.4375</v>
      </c>
      <c r="C590" s="7">
        <v>667.56</v>
      </c>
      <c r="D590">
        <v>2930215</v>
      </c>
    </row>
    <row r="591" spans="1:4">
      <c r="A591">
        <v>586</v>
      </c>
      <c r="B591" s="11">
        <v>45932.416666666664</v>
      </c>
      <c r="C591" s="7">
        <v>668.73500000000001</v>
      </c>
      <c r="D591">
        <v>3459009</v>
      </c>
    </row>
    <row r="592" spans="1:4">
      <c r="A592">
        <v>587</v>
      </c>
      <c r="B592" s="11">
        <v>45932.395833333336</v>
      </c>
      <c r="C592" s="7">
        <v>669.3</v>
      </c>
      <c r="D592">
        <v>6932678</v>
      </c>
    </row>
    <row r="593" spans="1:4">
      <c r="A593">
        <v>588</v>
      </c>
      <c r="B593" s="11">
        <v>45931.666666666664</v>
      </c>
      <c r="C593" s="7">
        <v>668.45</v>
      </c>
      <c r="D593">
        <v>23088885</v>
      </c>
    </row>
    <row r="594" spans="1:4">
      <c r="A594">
        <v>589</v>
      </c>
      <c r="B594" s="11">
        <v>45931.645833333336</v>
      </c>
      <c r="C594" s="7">
        <v>668.50009999999997</v>
      </c>
      <c r="D594">
        <v>10397374</v>
      </c>
    </row>
    <row r="595" spans="1:4">
      <c r="A595">
        <v>590</v>
      </c>
      <c r="B595" s="11">
        <v>45931.625</v>
      </c>
      <c r="C595" s="7">
        <v>669.1</v>
      </c>
      <c r="D595">
        <v>3042767</v>
      </c>
    </row>
    <row r="596" spans="1:4">
      <c r="A596">
        <v>591</v>
      </c>
      <c r="B596" s="11">
        <v>45931.604166666664</v>
      </c>
      <c r="C596" s="7">
        <v>669.1</v>
      </c>
      <c r="D596">
        <v>2343186</v>
      </c>
    </row>
    <row r="597" spans="1:4">
      <c r="A597">
        <v>592</v>
      </c>
      <c r="B597" s="11">
        <v>45931.583333333336</v>
      </c>
      <c r="C597" s="7">
        <v>668.76</v>
      </c>
      <c r="D597">
        <v>2849116</v>
      </c>
    </row>
    <row r="598" spans="1:4">
      <c r="A598">
        <v>593</v>
      </c>
      <c r="B598" s="11">
        <v>45931.5625</v>
      </c>
      <c r="C598" s="7">
        <v>667.952</v>
      </c>
      <c r="D598">
        <v>1640891</v>
      </c>
    </row>
    <row r="599" spans="1:4">
      <c r="A599">
        <v>594</v>
      </c>
      <c r="B599" s="11">
        <v>45931.541666666664</v>
      </c>
      <c r="C599" s="7">
        <v>667.99869999999999</v>
      </c>
      <c r="D599">
        <v>2854743</v>
      </c>
    </row>
    <row r="600" spans="1:4">
      <c r="A600">
        <v>595</v>
      </c>
      <c r="B600" s="11">
        <v>45931.520833333336</v>
      </c>
      <c r="C600" s="7">
        <v>666.91</v>
      </c>
      <c r="D600">
        <v>1766033</v>
      </c>
    </row>
    <row r="601" spans="1:4">
      <c r="A601">
        <v>596</v>
      </c>
      <c r="B601" s="11">
        <v>45931.5</v>
      </c>
      <c r="C601" s="7">
        <v>666.9</v>
      </c>
      <c r="D601">
        <v>1895100</v>
      </c>
    </row>
    <row r="602" spans="1:4">
      <c r="A602">
        <v>597</v>
      </c>
      <c r="B602" s="11">
        <v>45931.479166666664</v>
      </c>
      <c r="C602" s="7">
        <v>667</v>
      </c>
      <c r="D602">
        <v>3019978</v>
      </c>
    </row>
    <row r="603" spans="1:4">
      <c r="A603">
        <v>598</v>
      </c>
      <c r="B603" s="11">
        <v>45931.458333333336</v>
      </c>
      <c r="C603" s="7">
        <v>666.32799999999997</v>
      </c>
      <c r="D603">
        <v>2908154</v>
      </c>
    </row>
    <row r="604" spans="1:4">
      <c r="A604">
        <v>599</v>
      </c>
      <c r="B604" s="11">
        <v>45931.4375</v>
      </c>
      <c r="C604" s="7">
        <v>665.81</v>
      </c>
      <c r="D604">
        <v>3537509</v>
      </c>
    </row>
    <row r="605" spans="1:4">
      <c r="A605">
        <v>600</v>
      </c>
      <c r="B605" s="11">
        <v>45931.416666666664</v>
      </c>
      <c r="C605" s="7">
        <v>665.58500000000004</v>
      </c>
      <c r="D605">
        <v>4182780</v>
      </c>
    </row>
    <row r="606" spans="1:4">
      <c r="A606">
        <v>601</v>
      </c>
      <c r="B606" s="11">
        <v>45931.395833333336</v>
      </c>
      <c r="C606" s="7">
        <v>663.68240000000003</v>
      </c>
      <c r="D606">
        <v>9018852</v>
      </c>
    </row>
    <row r="607" spans="1:4">
      <c r="A607">
        <v>602</v>
      </c>
      <c r="B607" s="11">
        <v>45930.666666666664</v>
      </c>
      <c r="C607" s="7">
        <v>666.18</v>
      </c>
      <c r="D607">
        <v>29735027</v>
      </c>
    </row>
    <row r="608" spans="1:4">
      <c r="A608">
        <v>603</v>
      </c>
      <c r="B608" s="11">
        <v>45930.645833333336</v>
      </c>
      <c r="C608" s="7">
        <v>666.20500000000004</v>
      </c>
      <c r="D608">
        <v>19029084</v>
      </c>
    </row>
    <row r="609" spans="1:4">
      <c r="A609">
        <v>604</v>
      </c>
      <c r="B609" s="11">
        <v>45930.625</v>
      </c>
      <c r="C609" s="7">
        <v>665.40499999999997</v>
      </c>
      <c r="D609">
        <v>4464176</v>
      </c>
    </row>
    <row r="610" spans="1:4">
      <c r="A610">
        <v>605</v>
      </c>
      <c r="B610" s="11">
        <v>45930.604166666664</v>
      </c>
      <c r="C610" s="7">
        <v>664.43</v>
      </c>
      <c r="D610">
        <v>2676405</v>
      </c>
    </row>
    <row r="611" spans="1:4">
      <c r="A611">
        <v>606</v>
      </c>
      <c r="B611" s="11">
        <v>45930.583333333336</v>
      </c>
      <c r="C611" s="7">
        <v>663.84990000000005</v>
      </c>
      <c r="D611">
        <v>3661834</v>
      </c>
    </row>
    <row r="612" spans="1:4">
      <c r="A612">
        <v>607</v>
      </c>
      <c r="B612" s="11">
        <v>45930.5625</v>
      </c>
      <c r="C612" s="7">
        <v>662.51</v>
      </c>
      <c r="D612">
        <v>2351864</v>
      </c>
    </row>
    <row r="613" spans="1:4">
      <c r="A613">
        <v>608</v>
      </c>
      <c r="B613" s="11">
        <v>45930.541666666664</v>
      </c>
      <c r="C613" s="7">
        <v>662.06</v>
      </c>
      <c r="D613">
        <v>2451626</v>
      </c>
    </row>
    <row r="614" spans="1:4">
      <c r="A614">
        <v>609</v>
      </c>
      <c r="B614" s="11">
        <v>45930.520833333336</v>
      </c>
      <c r="C614" s="7">
        <v>662.78</v>
      </c>
      <c r="D614">
        <v>1580359</v>
      </c>
    </row>
    <row r="615" spans="1:4">
      <c r="A615">
        <v>610</v>
      </c>
      <c r="B615" s="11">
        <v>45930.5</v>
      </c>
      <c r="C615" s="7">
        <v>663.41</v>
      </c>
      <c r="D615">
        <v>2051394</v>
      </c>
    </row>
    <row r="616" spans="1:4">
      <c r="A616">
        <v>611</v>
      </c>
      <c r="B616" s="11">
        <v>45930.479166666664</v>
      </c>
      <c r="C616" s="7">
        <v>663.00189999999998</v>
      </c>
      <c r="D616">
        <v>2548894</v>
      </c>
    </row>
    <row r="617" spans="1:4">
      <c r="A617">
        <v>612</v>
      </c>
      <c r="B617" s="11">
        <v>45930.458333333336</v>
      </c>
      <c r="C617" s="7">
        <v>662.19</v>
      </c>
      <c r="D617">
        <v>2846151</v>
      </c>
    </row>
    <row r="618" spans="1:4">
      <c r="A618">
        <v>613</v>
      </c>
      <c r="B618" s="11">
        <v>45930.4375</v>
      </c>
      <c r="C618" s="7">
        <v>663.23</v>
      </c>
      <c r="D618">
        <v>3538986</v>
      </c>
    </row>
    <row r="619" spans="1:4">
      <c r="A619">
        <v>614</v>
      </c>
      <c r="B619" s="11">
        <v>45930.416666666664</v>
      </c>
      <c r="C619" s="7">
        <v>662.89</v>
      </c>
      <c r="D619">
        <v>3869893</v>
      </c>
    </row>
    <row r="620" spans="1:4">
      <c r="A620">
        <v>615</v>
      </c>
      <c r="B620" s="11">
        <v>45930.395833333336</v>
      </c>
      <c r="C620" s="7">
        <v>663.06500000000005</v>
      </c>
      <c r="D620">
        <v>5482339</v>
      </c>
    </row>
    <row r="621" spans="1:4">
      <c r="A621">
        <v>616</v>
      </c>
      <c r="B621" s="11">
        <v>45929.666666666664</v>
      </c>
      <c r="C621" s="7">
        <v>663.68</v>
      </c>
      <c r="D621">
        <v>22821796</v>
      </c>
    </row>
    <row r="622" spans="1:4">
      <c r="A622">
        <v>617</v>
      </c>
      <c r="B622" s="11">
        <v>45929.645833333336</v>
      </c>
      <c r="C622" s="7">
        <v>663.68</v>
      </c>
      <c r="D622">
        <v>10979093</v>
      </c>
    </row>
    <row r="623" spans="1:4">
      <c r="A623">
        <v>618</v>
      </c>
      <c r="B623" s="11">
        <v>45929.625</v>
      </c>
      <c r="C623" s="7">
        <v>662.64</v>
      </c>
      <c r="D623">
        <v>5401507</v>
      </c>
    </row>
    <row r="624" spans="1:4">
      <c r="A624">
        <v>619</v>
      </c>
      <c r="B624" s="11">
        <v>45929.604166666664</v>
      </c>
      <c r="C624" s="7">
        <v>663.34</v>
      </c>
      <c r="D624">
        <v>2474917</v>
      </c>
    </row>
    <row r="625" spans="1:4">
      <c r="A625">
        <v>620</v>
      </c>
      <c r="B625" s="11">
        <v>45929.583333333336</v>
      </c>
      <c r="C625" s="7">
        <v>663.46010000000001</v>
      </c>
      <c r="D625">
        <v>2509028</v>
      </c>
    </row>
    <row r="626" spans="1:4">
      <c r="A626">
        <v>621</v>
      </c>
      <c r="B626" s="11">
        <v>45929.5625</v>
      </c>
      <c r="C626" s="7">
        <v>662.96</v>
      </c>
      <c r="D626">
        <v>2669628</v>
      </c>
    </row>
    <row r="627" spans="1:4">
      <c r="A627">
        <v>622</v>
      </c>
      <c r="B627" s="11">
        <v>45929.541666666664</v>
      </c>
      <c r="C627" s="7">
        <v>662.56</v>
      </c>
      <c r="D627">
        <v>2386349</v>
      </c>
    </row>
    <row r="628" spans="1:4">
      <c r="A628">
        <v>623</v>
      </c>
      <c r="B628" s="11">
        <v>45929.520833333336</v>
      </c>
      <c r="C628" s="7">
        <v>663.06500000000005</v>
      </c>
      <c r="D628">
        <v>1484450</v>
      </c>
    </row>
    <row r="629" spans="1:4">
      <c r="A629">
        <v>624</v>
      </c>
      <c r="B629" s="11">
        <v>45929.5</v>
      </c>
      <c r="C629" s="7">
        <v>663.47500000000002</v>
      </c>
      <c r="D629">
        <v>2251872</v>
      </c>
    </row>
    <row r="630" spans="1:4">
      <c r="A630">
        <v>625</v>
      </c>
      <c r="B630" s="11">
        <v>45929.479166666664</v>
      </c>
      <c r="C630" s="7">
        <v>663.33</v>
      </c>
      <c r="D630">
        <v>3170399</v>
      </c>
    </row>
    <row r="631" spans="1:4">
      <c r="A631">
        <v>626</v>
      </c>
      <c r="B631" s="11">
        <v>45929.458333333336</v>
      </c>
      <c r="C631" s="7">
        <v>663.52499999999998</v>
      </c>
      <c r="D631">
        <v>3844422</v>
      </c>
    </row>
    <row r="632" spans="1:4">
      <c r="A632">
        <v>627</v>
      </c>
      <c r="B632" s="11">
        <v>45929.4375</v>
      </c>
      <c r="C632" s="7">
        <v>664.47</v>
      </c>
      <c r="D632">
        <v>2764912</v>
      </c>
    </row>
    <row r="633" spans="1:4">
      <c r="A633">
        <v>628</v>
      </c>
      <c r="B633" s="11">
        <v>45929.416666666664</v>
      </c>
      <c r="C633" s="7">
        <v>664.76</v>
      </c>
      <c r="D633">
        <v>4245329</v>
      </c>
    </row>
    <row r="634" spans="1:4">
      <c r="A634">
        <v>629</v>
      </c>
      <c r="B634" s="11">
        <v>45929.395833333336</v>
      </c>
      <c r="C634" s="7">
        <v>664.61</v>
      </c>
      <c r="D634">
        <v>6495314</v>
      </c>
    </row>
    <row r="635" spans="1:4">
      <c r="A635">
        <v>630</v>
      </c>
      <c r="B635" s="11">
        <v>45926.666666666664</v>
      </c>
      <c r="C635" s="7">
        <v>661.82</v>
      </c>
      <c r="D635">
        <v>22979181</v>
      </c>
    </row>
    <row r="636" spans="1:4">
      <c r="A636">
        <v>631</v>
      </c>
      <c r="B636" s="11">
        <v>45926.645833333336</v>
      </c>
      <c r="C636" s="7">
        <v>661.82</v>
      </c>
      <c r="D636">
        <v>8059855</v>
      </c>
    </row>
    <row r="637" spans="1:4">
      <c r="A637">
        <v>632</v>
      </c>
      <c r="B637" s="11">
        <v>45926.625</v>
      </c>
      <c r="C637" s="7">
        <v>661.59</v>
      </c>
      <c r="D637">
        <v>1882116</v>
      </c>
    </row>
    <row r="638" spans="1:4">
      <c r="A638">
        <v>633</v>
      </c>
      <c r="B638" s="11">
        <v>45926.604166666664</v>
      </c>
      <c r="C638" s="7">
        <v>661.89499999999998</v>
      </c>
      <c r="D638">
        <v>2221379</v>
      </c>
    </row>
    <row r="639" spans="1:4">
      <c r="A639">
        <v>634</v>
      </c>
      <c r="B639" s="11">
        <v>45926.583333333336</v>
      </c>
      <c r="C639" s="7">
        <v>661.77</v>
      </c>
      <c r="D639">
        <v>2571681</v>
      </c>
    </row>
    <row r="640" spans="1:4">
      <c r="A640">
        <v>635</v>
      </c>
      <c r="B640" s="11">
        <v>45926.5625</v>
      </c>
      <c r="C640" s="7">
        <v>661.33</v>
      </c>
      <c r="D640">
        <v>2035646</v>
      </c>
    </row>
    <row r="641" spans="1:4">
      <c r="A641">
        <v>636</v>
      </c>
      <c r="B641" s="11">
        <v>45926.541666666664</v>
      </c>
      <c r="C641" s="7">
        <v>661.63</v>
      </c>
      <c r="D641">
        <v>2018997</v>
      </c>
    </row>
    <row r="642" spans="1:4">
      <c r="A642">
        <v>637</v>
      </c>
      <c r="B642" s="11">
        <v>45926.520833333336</v>
      </c>
      <c r="C642" s="7">
        <v>661.29</v>
      </c>
      <c r="D642">
        <v>2277360</v>
      </c>
    </row>
    <row r="643" spans="1:4">
      <c r="A643">
        <v>638</v>
      </c>
      <c r="B643" s="11">
        <v>45926.5</v>
      </c>
      <c r="C643" s="7">
        <v>660.43</v>
      </c>
      <c r="D643">
        <v>2353614</v>
      </c>
    </row>
    <row r="644" spans="1:4">
      <c r="A644">
        <v>639</v>
      </c>
      <c r="B644" s="11">
        <v>45926.479166666664</v>
      </c>
      <c r="C644" s="7">
        <v>658.71559999999999</v>
      </c>
      <c r="D644">
        <v>2391836</v>
      </c>
    </row>
    <row r="645" spans="1:4">
      <c r="A645">
        <v>640</v>
      </c>
      <c r="B645" s="11">
        <v>45926.458333333336</v>
      </c>
      <c r="C645" s="7">
        <v>659.89</v>
      </c>
      <c r="D645">
        <v>2413679</v>
      </c>
    </row>
    <row r="646" spans="1:4">
      <c r="A646">
        <v>641</v>
      </c>
      <c r="B646" s="11">
        <v>45926.4375</v>
      </c>
      <c r="C646" s="7">
        <v>658.45</v>
      </c>
      <c r="D646">
        <v>3465455</v>
      </c>
    </row>
    <row r="647" spans="1:4">
      <c r="A647">
        <v>642</v>
      </c>
      <c r="B647" s="11">
        <v>45926.416666666664</v>
      </c>
      <c r="C647" s="7">
        <v>658.69</v>
      </c>
      <c r="D647">
        <v>6334356</v>
      </c>
    </row>
    <row r="648" spans="1:4">
      <c r="A648">
        <v>643</v>
      </c>
      <c r="B648" s="11">
        <v>45926.395833333336</v>
      </c>
      <c r="C648" s="7">
        <v>661.83</v>
      </c>
      <c r="D648">
        <v>8174053</v>
      </c>
    </row>
    <row r="649" spans="1:4">
      <c r="A649">
        <v>644</v>
      </c>
      <c r="B649" s="11">
        <v>45925.666666666664</v>
      </c>
      <c r="C649" s="7">
        <v>658.05</v>
      </c>
      <c r="D649">
        <v>28463983</v>
      </c>
    </row>
    <row r="650" spans="1:4">
      <c r="A650">
        <v>645</v>
      </c>
      <c r="B650" s="11">
        <v>45925.645833333336</v>
      </c>
      <c r="C650" s="7">
        <v>658.05</v>
      </c>
      <c r="D650">
        <v>7801830</v>
      </c>
    </row>
    <row r="651" spans="1:4">
      <c r="A651">
        <v>646</v>
      </c>
      <c r="B651" s="11">
        <v>45925.625</v>
      </c>
      <c r="C651" s="7">
        <v>657.47</v>
      </c>
      <c r="D651">
        <v>3124805</v>
      </c>
    </row>
    <row r="652" spans="1:4">
      <c r="A652">
        <v>647</v>
      </c>
      <c r="B652" s="11">
        <v>45925.604166666664</v>
      </c>
      <c r="C652" s="7">
        <v>657.8</v>
      </c>
      <c r="D652">
        <v>4143031</v>
      </c>
    </row>
    <row r="653" spans="1:4">
      <c r="A653">
        <v>648</v>
      </c>
      <c r="B653" s="11">
        <v>45925.583333333336</v>
      </c>
      <c r="C653" s="7">
        <v>656.96900000000005</v>
      </c>
      <c r="D653">
        <v>6568456</v>
      </c>
    </row>
    <row r="654" spans="1:4">
      <c r="A654">
        <v>649</v>
      </c>
      <c r="B654" s="11">
        <v>45925.5625</v>
      </c>
      <c r="C654" s="7">
        <v>655.56500000000005</v>
      </c>
      <c r="D654">
        <v>3021565</v>
      </c>
    </row>
    <row r="655" spans="1:4">
      <c r="A655">
        <v>650</v>
      </c>
      <c r="B655" s="11">
        <v>45925.541666666664</v>
      </c>
      <c r="C655" s="7">
        <v>657.24</v>
      </c>
      <c r="D655">
        <v>2953734</v>
      </c>
    </row>
    <row r="656" spans="1:4">
      <c r="A656">
        <v>651</v>
      </c>
      <c r="B656" s="11">
        <v>45925.520833333336</v>
      </c>
      <c r="C656" s="7">
        <v>657.77499999999998</v>
      </c>
      <c r="D656">
        <v>2338742</v>
      </c>
    </row>
    <row r="657" spans="1:4">
      <c r="A657">
        <v>652</v>
      </c>
      <c r="B657" s="11">
        <v>45925.5</v>
      </c>
      <c r="C657" s="7">
        <v>658.05499999999995</v>
      </c>
      <c r="D657">
        <v>2411244</v>
      </c>
    </row>
    <row r="658" spans="1:4">
      <c r="A658">
        <v>653</v>
      </c>
      <c r="B658" s="11">
        <v>45925.479166666664</v>
      </c>
      <c r="C658" s="7">
        <v>658.91</v>
      </c>
      <c r="D658">
        <v>3591616</v>
      </c>
    </row>
    <row r="659" spans="1:4">
      <c r="A659">
        <v>654</v>
      </c>
      <c r="B659" s="11">
        <v>45925.458333333336</v>
      </c>
      <c r="C659" s="7">
        <v>657.52829999999994</v>
      </c>
      <c r="D659">
        <v>3945767</v>
      </c>
    </row>
    <row r="660" spans="1:4">
      <c r="A660">
        <v>655</v>
      </c>
      <c r="B660" s="11">
        <v>45925.4375</v>
      </c>
      <c r="C660" s="7">
        <v>658.78</v>
      </c>
      <c r="D660">
        <v>3305377</v>
      </c>
    </row>
    <row r="661" spans="1:4">
      <c r="A661">
        <v>656</v>
      </c>
      <c r="B661" s="11">
        <v>45925.416666666664</v>
      </c>
      <c r="C661" s="7">
        <v>658.52</v>
      </c>
      <c r="D661">
        <v>7091107</v>
      </c>
    </row>
    <row r="662" spans="1:4">
      <c r="A662">
        <v>657</v>
      </c>
      <c r="B662" s="11">
        <v>45925.395833333336</v>
      </c>
      <c r="C662" s="7">
        <v>655.99</v>
      </c>
      <c r="D662">
        <v>10860807</v>
      </c>
    </row>
    <row r="663" spans="1:4">
      <c r="A663">
        <v>658</v>
      </c>
      <c r="B663" s="11">
        <v>45924.666666666664</v>
      </c>
      <c r="C663" s="7">
        <v>661.1</v>
      </c>
      <c r="D663">
        <v>19867362</v>
      </c>
    </row>
    <row r="664" spans="1:4">
      <c r="A664">
        <v>659</v>
      </c>
      <c r="B664" s="11">
        <v>45924.645833333336</v>
      </c>
      <c r="C664" s="7">
        <v>661.1</v>
      </c>
      <c r="D664">
        <v>8816951</v>
      </c>
    </row>
    <row r="665" spans="1:4">
      <c r="A665">
        <v>660</v>
      </c>
      <c r="B665" s="11">
        <v>45924.625</v>
      </c>
      <c r="C665" s="7">
        <v>660.80250000000001</v>
      </c>
      <c r="D665">
        <v>2249743</v>
      </c>
    </row>
    <row r="666" spans="1:4">
      <c r="A666">
        <v>661</v>
      </c>
      <c r="B666" s="11">
        <v>45924.604166666664</v>
      </c>
      <c r="C666" s="7">
        <v>661.11249999999995</v>
      </c>
      <c r="D666">
        <v>2689825</v>
      </c>
    </row>
    <row r="667" spans="1:4">
      <c r="A667">
        <v>662</v>
      </c>
      <c r="B667" s="11">
        <v>45924.583333333336</v>
      </c>
      <c r="C667" s="7">
        <v>660.39</v>
      </c>
      <c r="D667">
        <v>2974369</v>
      </c>
    </row>
    <row r="668" spans="1:4">
      <c r="A668">
        <v>663</v>
      </c>
      <c r="B668" s="11">
        <v>45924.5625</v>
      </c>
      <c r="C668" s="7">
        <v>660.54</v>
      </c>
      <c r="D668">
        <v>2815290</v>
      </c>
    </row>
    <row r="669" spans="1:4">
      <c r="A669">
        <v>664</v>
      </c>
      <c r="B669" s="11">
        <v>45924.541666666664</v>
      </c>
      <c r="C669" s="7">
        <v>661.38</v>
      </c>
      <c r="D669">
        <v>2370366</v>
      </c>
    </row>
    <row r="670" spans="1:4">
      <c r="A670">
        <v>665</v>
      </c>
      <c r="B670" s="11">
        <v>45924.520833333336</v>
      </c>
      <c r="C670" s="7">
        <v>660.51</v>
      </c>
      <c r="D670">
        <v>2050414</v>
      </c>
    </row>
    <row r="671" spans="1:4">
      <c r="A671">
        <v>666</v>
      </c>
      <c r="B671" s="11">
        <v>45924.5</v>
      </c>
      <c r="C671" s="7">
        <v>660.92</v>
      </c>
      <c r="D671">
        <v>5204705</v>
      </c>
    </row>
    <row r="672" spans="1:4">
      <c r="A672">
        <v>667</v>
      </c>
      <c r="B672" s="11">
        <v>45924.479166666664</v>
      </c>
      <c r="C672" s="7">
        <v>660.38</v>
      </c>
      <c r="D672">
        <v>4263067</v>
      </c>
    </row>
    <row r="673" spans="1:4">
      <c r="A673">
        <v>668</v>
      </c>
      <c r="B673" s="11">
        <v>45924.458333333336</v>
      </c>
      <c r="C673" s="7">
        <v>662.66499999999996</v>
      </c>
      <c r="D673">
        <v>2044097</v>
      </c>
    </row>
    <row r="674" spans="1:4">
      <c r="A674">
        <v>669</v>
      </c>
      <c r="B674" s="11">
        <v>45924.4375</v>
      </c>
      <c r="C674" s="7">
        <v>663.02</v>
      </c>
      <c r="D674">
        <v>2670211</v>
      </c>
    </row>
    <row r="675" spans="1:4">
      <c r="A675">
        <v>670</v>
      </c>
      <c r="B675" s="11">
        <v>45924.416666666664</v>
      </c>
      <c r="C675" s="7">
        <v>663.17</v>
      </c>
      <c r="D675">
        <v>3755304</v>
      </c>
    </row>
    <row r="676" spans="1:4">
      <c r="A676">
        <v>671</v>
      </c>
      <c r="B676" s="11">
        <v>45924.395833333336</v>
      </c>
      <c r="C676" s="7">
        <v>663.01499999999999</v>
      </c>
      <c r="D676">
        <v>6310528</v>
      </c>
    </row>
    <row r="677" spans="1:4">
      <c r="A677">
        <v>672</v>
      </c>
      <c r="B677" s="11">
        <v>45923.666666666664</v>
      </c>
      <c r="C677" s="7">
        <v>663.21</v>
      </c>
      <c r="D677">
        <v>26058110</v>
      </c>
    </row>
    <row r="678" spans="1:4">
      <c r="A678">
        <v>673</v>
      </c>
      <c r="B678" s="11">
        <v>45923.645833333336</v>
      </c>
      <c r="C678" s="7">
        <v>663.21</v>
      </c>
      <c r="D678">
        <v>10922301</v>
      </c>
    </row>
    <row r="679" spans="1:4">
      <c r="A679">
        <v>674</v>
      </c>
      <c r="B679" s="11">
        <v>45923.625</v>
      </c>
      <c r="C679" s="7">
        <v>662.39</v>
      </c>
      <c r="D679">
        <v>3458367</v>
      </c>
    </row>
    <row r="680" spans="1:4">
      <c r="A680">
        <v>675</v>
      </c>
      <c r="B680" s="11">
        <v>45923.604166666664</v>
      </c>
      <c r="C680" s="7">
        <v>662.12</v>
      </c>
      <c r="D680">
        <v>3358039</v>
      </c>
    </row>
    <row r="681" spans="1:4">
      <c r="A681">
        <v>676</v>
      </c>
      <c r="B681" s="11">
        <v>45923.583333333336</v>
      </c>
      <c r="C681" s="7">
        <v>662.67</v>
      </c>
      <c r="D681">
        <v>3563212</v>
      </c>
    </row>
    <row r="682" spans="1:4">
      <c r="A682">
        <v>677</v>
      </c>
      <c r="B682" s="11">
        <v>45923.5625</v>
      </c>
      <c r="C682" s="7">
        <v>663.21</v>
      </c>
      <c r="D682">
        <v>6861715</v>
      </c>
    </row>
    <row r="683" spans="1:4">
      <c r="A683">
        <v>678</v>
      </c>
      <c r="B683" s="11">
        <v>45923.541666666664</v>
      </c>
      <c r="C683" s="7">
        <v>663.61</v>
      </c>
      <c r="D683">
        <v>3500027</v>
      </c>
    </row>
    <row r="684" spans="1:4">
      <c r="A684">
        <v>679</v>
      </c>
      <c r="B684" s="11">
        <v>45923.520833333336</v>
      </c>
      <c r="C684" s="7">
        <v>665.14</v>
      </c>
      <c r="D684">
        <v>3235866</v>
      </c>
    </row>
    <row r="685" spans="1:4">
      <c r="A685">
        <v>680</v>
      </c>
      <c r="B685" s="11">
        <v>45923.5</v>
      </c>
      <c r="C685" s="7">
        <v>665.23</v>
      </c>
      <c r="D685">
        <v>3233399</v>
      </c>
    </row>
    <row r="686" spans="1:4">
      <c r="A686">
        <v>681</v>
      </c>
      <c r="B686" s="11">
        <v>45923.479166666664</v>
      </c>
      <c r="C686" s="7">
        <v>665.57069999999999</v>
      </c>
      <c r="D686">
        <v>2345432</v>
      </c>
    </row>
    <row r="687" spans="1:4">
      <c r="A687">
        <v>682</v>
      </c>
      <c r="B687" s="11">
        <v>45923.458333333336</v>
      </c>
      <c r="C687" s="7">
        <v>666.16</v>
      </c>
      <c r="D687">
        <v>2108698</v>
      </c>
    </row>
    <row r="688" spans="1:4">
      <c r="A688">
        <v>683</v>
      </c>
      <c r="B688" s="11">
        <v>45923.4375</v>
      </c>
      <c r="C688" s="7">
        <v>666.35</v>
      </c>
      <c r="D688">
        <v>2824140</v>
      </c>
    </row>
    <row r="689" spans="1:4">
      <c r="A689">
        <v>684</v>
      </c>
      <c r="B689" s="11">
        <v>45923.416666666664</v>
      </c>
      <c r="C689" s="7">
        <v>666.61009999999999</v>
      </c>
      <c r="D689">
        <v>4200636</v>
      </c>
    </row>
    <row r="690" spans="1:4">
      <c r="A690">
        <v>685</v>
      </c>
      <c r="B690" s="11">
        <v>45923.395833333336</v>
      </c>
      <c r="C690" s="7">
        <v>666.78</v>
      </c>
      <c r="D690">
        <v>6038930</v>
      </c>
    </row>
    <row r="691" spans="1:4">
      <c r="A691">
        <v>686</v>
      </c>
      <c r="B691" s="11">
        <v>45922.666666666664</v>
      </c>
      <c r="C691" s="7">
        <v>666.84</v>
      </c>
      <c r="D691">
        <v>1100</v>
      </c>
    </row>
    <row r="692" spans="1:4">
      <c r="A692">
        <v>687</v>
      </c>
      <c r="B692" s="11">
        <v>45922.645833333336</v>
      </c>
      <c r="C692" s="7">
        <v>666.84</v>
      </c>
      <c r="D692">
        <v>9173419</v>
      </c>
    </row>
    <row r="693" spans="1:4">
      <c r="A693">
        <v>688</v>
      </c>
      <c r="B693" s="11">
        <v>45922.625</v>
      </c>
      <c r="C693" s="7">
        <v>667.13499999999999</v>
      </c>
      <c r="D693">
        <v>2661520</v>
      </c>
    </row>
    <row r="694" spans="1:4">
      <c r="A694">
        <v>689</v>
      </c>
      <c r="B694" s="11">
        <v>45922.604166666664</v>
      </c>
      <c r="C694" s="7">
        <v>666.78</v>
      </c>
      <c r="D694">
        <v>2068949</v>
      </c>
    </row>
    <row r="695" spans="1:4">
      <c r="A695">
        <v>690</v>
      </c>
      <c r="B695" s="11">
        <v>45922.583333333336</v>
      </c>
      <c r="C695" s="7">
        <v>666.55</v>
      </c>
      <c r="D695">
        <v>3195115</v>
      </c>
    </row>
    <row r="696" spans="1:4">
      <c r="A696">
        <v>691</v>
      </c>
      <c r="B696" s="11">
        <v>45922.5625</v>
      </c>
      <c r="C696" s="7">
        <v>666.36</v>
      </c>
      <c r="D696">
        <v>2258214</v>
      </c>
    </row>
    <row r="697" spans="1:4">
      <c r="A697">
        <v>692</v>
      </c>
      <c r="B697" s="11">
        <v>45922.541666666664</v>
      </c>
      <c r="C697" s="7">
        <v>666.49</v>
      </c>
      <c r="D697">
        <v>2037264</v>
      </c>
    </row>
    <row r="698" spans="1:4">
      <c r="A698">
        <v>693</v>
      </c>
      <c r="B698" s="11">
        <v>45922.520833333336</v>
      </c>
      <c r="C698" s="7">
        <v>666.40499999999997</v>
      </c>
      <c r="D698">
        <v>3459603</v>
      </c>
    </row>
    <row r="699" spans="1:4">
      <c r="A699">
        <v>694</v>
      </c>
      <c r="B699" s="11">
        <v>45922.5</v>
      </c>
      <c r="C699" s="7">
        <v>665.85500000000002</v>
      </c>
      <c r="D699">
        <v>4409707</v>
      </c>
    </row>
    <row r="700" spans="1:4">
      <c r="A700">
        <v>695</v>
      </c>
      <c r="B700" s="11">
        <v>45922.479166666664</v>
      </c>
      <c r="C700" s="7">
        <v>664.58500000000004</v>
      </c>
      <c r="D700">
        <v>2252363</v>
      </c>
    </row>
    <row r="701" spans="1:4">
      <c r="A701">
        <v>696</v>
      </c>
      <c r="B701" s="11">
        <v>45922.458333333336</v>
      </c>
      <c r="C701" s="7">
        <v>664.93</v>
      </c>
      <c r="D701">
        <v>3010803</v>
      </c>
    </row>
    <row r="702" spans="1:4">
      <c r="A702">
        <v>697</v>
      </c>
      <c r="B702" s="11">
        <v>45922.4375</v>
      </c>
      <c r="C702" s="7">
        <v>664.96</v>
      </c>
      <c r="D702">
        <v>3659337</v>
      </c>
    </row>
    <row r="703" spans="1:4">
      <c r="A703">
        <v>698</v>
      </c>
      <c r="B703" s="11">
        <v>45922.416666666664</v>
      </c>
      <c r="C703" s="7">
        <v>664.07</v>
      </c>
      <c r="D703">
        <v>3966920</v>
      </c>
    </row>
    <row r="704" spans="1:4">
      <c r="A704">
        <v>699</v>
      </c>
      <c r="B704" s="11">
        <v>45922.395833333336</v>
      </c>
      <c r="C704" s="7">
        <v>663.43</v>
      </c>
      <c r="D704">
        <v>6410580</v>
      </c>
    </row>
    <row r="705" spans="1:4">
      <c r="A705">
        <v>700</v>
      </c>
      <c r="B705" s="11">
        <v>45919.666666666664</v>
      </c>
      <c r="C705" s="7">
        <v>663.7</v>
      </c>
      <c r="D705">
        <v>44464716</v>
      </c>
    </row>
    <row r="706" spans="1:4">
      <c r="A706">
        <v>701</v>
      </c>
      <c r="B706" s="11">
        <v>45919.645833333336</v>
      </c>
      <c r="C706" s="7">
        <v>663.62</v>
      </c>
      <c r="D706">
        <v>14353976</v>
      </c>
    </row>
    <row r="707" spans="1:4">
      <c r="A707">
        <v>702</v>
      </c>
      <c r="B707" s="11">
        <v>45919.625</v>
      </c>
      <c r="C707" s="7">
        <v>663.85</v>
      </c>
      <c r="D707">
        <v>4989312</v>
      </c>
    </row>
    <row r="708" spans="1:4">
      <c r="A708">
        <v>703</v>
      </c>
      <c r="B708" s="11">
        <v>45919.604166666664</v>
      </c>
      <c r="C708" s="7">
        <v>663.07</v>
      </c>
      <c r="D708">
        <v>2508853</v>
      </c>
    </row>
    <row r="709" spans="1:4">
      <c r="A709">
        <v>704</v>
      </c>
      <c r="B709" s="11">
        <v>45919.583333333336</v>
      </c>
      <c r="C709" s="7">
        <v>662.52499999999998</v>
      </c>
      <c r="D709">
        <v>2859046</v>
      </c>
    </row>
    <row r="710" spans="1:4">
      <c r="A710">
        <v>705</v>
      </c>
      <c r="B710" s="11">
        <v>45919.5625</v>
      </c>
      <c r="C710" s="7">
        <v>662.7</v>
      </c>
      <c r="D710">
        <v>2046014</v>
      </c>
    </row>
    <row r="711" spans="1:4">
      <c r="A711">
        <v>706</v>
      </c>
      <c r="B711" s="11">
        <v>45919.541666666664</v>
      </c>
      <c r="C711" s="7">
        <v>662.46</v>
      </c>
      <c r="D711">
        <v>1568501</v>
      </c>
    </row>
    <row r="712" spans="1:4">
      <c r="A712">
        <v>707</v>
      </c>
      <c r="B712" s="11">
        <v>45919.520833333336</v>
      </c>
      <c r="C712" s="7">
        <v>662.51499999999999</v>
      </c>
      <c r="D712">
        <v>2156998</v>
      </c>
    </row>
    <row r="713" spans="1:4">
      <c r="A713">
        <v>708</v>
      </c>
      <c r="B713" s="11">
        <v>45919.5</v>
      </c>
      <c r="C713" s="7">
        <v>662.46</v>
      </c>
      <c r="D713">
        <v>3022592</v>
      </c>
    </row>
    <row r="714" spans="1:4">
      <c r="A714">
        <v>709</v>
      </c>
      <c r="B714" s="11">
        <v>45919.479166666664</v>
      </c>
      <c r="C714" s="7">
        <v>661.59</v>
      </c>
      <c r="D714">
        <v>2433049</v>
      </c>
    </row>
    <row r="715" spans="1:4">
      <c r="A715">
        <v>710</v>
      </c>
      <c r="B715" s="11">
        <v>45919.458333333336</v>
      </c>
      <c r="C715" s="7">
        <v>660.7</v>
      </c>
      <c r="D715">
        <v>2833472</v>
      </c>
    </row>
    <row r="716" spans="1:4">
      <c r="A716">
        <v>711</v>
      </c>
      <c r="B716" s="11">
        <v>45919.4375</v>
      </c>
      <c r="C716" s="7">
        <v>661.6</v>
      </c>
      <c r="D716">
        <v>3389325</v>
      </c>
    </row>
    <row r="717" spans="1:4">
      <c r="A717">
        <v>712</v>
      </c>
      <c r="B717" s="11">
        <v>45919.416666666664</v>
      </c>
      <c r="C717" s="7">
        <v>661.875</v>
      </c>
      <c r="D717">
        <v>3229278</v>
      </c>
    </row>
    <row r="718" spans="1:4">
      <c r="A718">
        <v>713</v>
      </c>
      <c r="B718" s="11">
        <v>45919.395833333336</v>
      </c>
      <c r="C718" s="7">
        <v>662.125</v>
      </c>
      <c r="D718">
        <v>8090484</v>
      </c>
    </row>
    <row r="719" spans="1:4">
      <c r="A719">
        <v>714</v>
      </c>
      <c r="B719" s="11">
        <v>45918.666666666664</v>
      </c>
      <c r="C719" s="7">
        <v>660.42899999999997</v>
      </c>
      <c r="D719">
        <v>32010385</v>
      </c>
    </row>
    <row r="720" spans="1:4">
      <c r="A720">
        <v>715</v>
      </c>
      <c r="B720" s="11">
        <v>45918.645833333336</v>
      </c>
      <c r="C720" s="7">
        <v>660.42899999999997</v>
      </c>
      <c r="D720">
        <v>12326079</v>
      </c>
    </row>
    <row r="721" spans="1:4">
      <c r="A721">
        <v>716</v>
      </c>
      <c r="B721" s="11">
        <v>45918.625</v>
      </c>
      <c r="C721" s="7">
        <v>660.84780000000001</v>
      </c>
      <c r="D721">
        <v>3752219</v>
      </c>
    </row>
    <row r="722" spans="1:4">
      <c r="A722">
        <v>717</v>
      </c>
      <c r="B722" s="11">
        <v>45918.604166666664</v>
      </c>
      <c r="C722" s="7">
        <v>661.42610000000002</v>
      </c>
      <c r="D722">
        <v>2481645</v>
      </c>
    </row>
    <row r="723" spans="1:4">
      <c r="A723">
        <v>718</v>
      </c>
      <c r="B723" s="11">
        <v>45918.583333333336</v>
      </c>
      <c r="C723" s="7">
        <v>660.9674</v>
      </c>
      <c r="D723">
        <v>2032896</v>
      </c>
    </row>
    <row r="724" spans="1:4">
      <c r="A724">
        <v>719</v>
      </c>
      <c r="B724" s="11">
        <v>45918.5625</v>
      </c>
      <c r="C724" s="7">
        <v>660.92759999999998</v>
      </c>
      <c r="D724">
        <v>2445760</v>
      </c>
    </row>
    <row r="725" spans="1:4">
      <c r="A725">
        <v>720</v>
      </c>
      <c r="B725" s="11">
        <v>45918.541666666664</v>
      </c>
      <c r="C725" s="7">
        <v>661.48599999999999</v>
      </c>
      <c r="D725">
        <v>2084382</v>
      </c>
    </row>
    <row r="726" spans="1:4">
      <c r="A726">
        <v>721</v>
      </c>
      <c r="B726" s="11">
        <v>45918.520833333336</v>
      </c>
      <c r="C726" s="7">
        <v>662.14419999999996</v>
      </c>
      <c r="D726">
        <v>2162056</v>
      </c>
    </row>
    <row r="727" spans="1:4">
      <c r="A727">
        <v>722</v>
      </c>
      <c r="B727" s="11">
        <v>45918.5</v>
      </c>
      <c r="C727" s="7">
        <v>661.64549999999997</v>
      </c>
      <c r="D727">
        <v>2199402</v>
      </c>
    </row>
    <row r="728" spans="1:4">
      <c r="A728">
        <v>723</v>
      </c>
      <c r="B728" s="11">
        <v>45918.479166666664</v>
      </c>
      <c r="C728" s="7">
        <v>660.72810000000004</v>
      </c>
      <c r="D728">
        <v>2705514</v>
      </c>
    </row>
    <row r="729" spans="1:4">
      <c r="A729">
        <v>724</v>
      </c>
      <c r="B729" s="11">
        <v>45918.458333333336</v>
      </c>
      <c r="C729" s="7">
        <v>661.55579999999998</v>
      </c>
      <c r="D729">
        <v>3701212</v>
      </c>
    </row>
    <row r="730" spans="1:4">
      <c r="A730">
        <v>725</v>
      </c>
      <c r="B730" s="11">
        <v>45918.4375</v>
      </c>
      <c r="C730" s="7">
        <v>660.92759999999998</v>
      </c>
      <c r="D730">
        <v>4861788</v>
      </c>
    </row>
    <row r="731" spans="1:4">
      <c r="A731">
        <v>726</v>
      </c>
      <c r="B731" s="11">
        <v>45918.416666666664</v>
      </c>
      <c r="C731" s="7">
        <v>662.65279999999996</v>
      </c>
      <c r="D731">
        <v>6896158</v>
      </c>
    </row>
    <row r="732" spans="1:4">
      <c r="A732">
        <v>727</v>
      </c>
      <c r="B732" s="11">
        <v>45918.395833333336</v>
      </c>
      <c r="C732" s="7">
        <v>660.25940000000003</v>
      </c>
      <c r="D732">
        <v>10799744</v>
      </c>
    </row>
    <row r="733" spans="1:4">
      <c r="A733">
        <v>728</v>
      </c>
      <c r="B733" s="11">
        <v>45917.666666666664</v>
      </c>
      <c r="C733" s="7">
        <v>657.35739999999998</v>
      </c>
      <c r="D733">
        <v>35514366</v>
      </c>
    </row>
    <row r="734" spans="1:4">
      <c r="A734">
        <v>729</v>
      </c>
      <c r="B734" s="11">
        <v>45917.645833333336</v>
      </c>
      <c r="C734" s="7">
        <v>657.35739999999998</v>
      </c>
      <c r="D734">
        <v>10858915</v>
      </c>
    </row>
    <row r="735" spans="1:4">
      <c r="A735">
        <v>730</v>
      </c>
      <c r="B735" s="11">
        <v>45917.625</v>
      </c>
      <c r="C735" s="7">
        <v>658.245</v>
      </c>
      <c r="D735">
        <v>9500854</v>
      </c>
    </row>
    <row r="736" spans="1:4">
      <c r="A736">
        <v>731</v>
      </c>
      <c r="B736" s="11">
        <v>45917.604166666664</v>
      </c>
      <c r="C736" s="7">
        <v>655.89149999999995</v>
      </c>
      <c r="D736">
        <v>13736131</v>
      </c>
    </row>
    <row r="737" spans="1:4">
      <c r="A737">
        <v>732</v>
      </c>
      <c r="B737" s="11">
        <v>45917.583333333336</v>
      </c>
      <c r="C737" s="7">
        <v>658.53420000000006</v>
      </c>
      <c r="D737">
        <v>11033222</v>
      </c>
    </row>
    <row r="738" spans="1:4">
      <c r="A738">
        <v>733</v>
      </c>
      <c r="B738" s="11">
        <v>45917.5625</v>
      </c>
      <c r="C738" s="7">
        <v>657.85609999999997</v>
      </c>
      <c r="D738">
        <v>2071635</v>
      </c>
    </row>
    <row r="739" spans="1:4">
      <c r="A739">
        <v>734</v>
      </c>
      <c r="B739" s="11">
        <v>45917.541666666664</v>
      </c>
      <c r="C739" s="7">
        <v>656.85080000000005</v>
      </c>
      <c r="D739">
        <v>1471484</v>
      </c>
    </row>
    <row r="740" spans="1:4">
      <c r="A740">
        <v>735</v>
      </c>
      <c r="B740" s="11">
        <v>45917.520833333336</v>
      </c>
      <c r="C740" s="7">
        <v>656.48990000000003</v>
      </c>
      <c r="D740">
        <v>1953532</v>
      </c>
    </row>
    <row r="741" spans="1:4">
      <c r="A741">
        <v>736</v>
      </c>
      <c r="B741" s="11">
        <v>45917.5</v>
      </c>
      <c r="C741" s="7">
        <v>657.08820000000003</v>
      </c>
      <c r="D741">
        <v>1100400</v>
      </c>
    </row>
    <row r="742" spans="1:4">
      <c r="A742">
        <v>737</v>
      </c>
      <c r="B742" s="11">
        <v>45917.479166666664</v>
      </c>
      <c r="C742" s="7">
        <v>657.44719999999995</v>
      </c>
      <c r="D742">
        <v>1400468</v>
      </c>
    </row>
    <row r="743" spans="1:4">
      <c r="A743">
        <v>738</v>
      </c>
      <c r="B743" s="11">
        <v>45917.458333333336</v>
      </c>
      <c r="C743" s="7">
        <v>657.12310000000002</v>
      </c>
      <c r="D743">
        <v>1577817</v>
      </c>
    </row>
    <row r="744" spans="1:4">
      <c r="A744">
        <v>739</v>
      </c>
      <c r="B744" s="11">
        <v>45917.4375</v>
      </c>
      <c r="C744" s="7">
        <v>657.53689999999995</v>
      </c>
      <c r="D744">
        <v>2464172</v>
      </c>
    </row>
    <row r="745" spans="1:4">
      <c r="A745">
        <v>740</v>
      </c>
      <c r="B745" s="11">
        <v>45917.416666666664</v>
      </c>
      <c r="C745" s="7">
        <v>657.34749999999997</v>
      </c>
      <c r="D745">
        <v>3693472</v>
      </c>
    </row>
    <row r="746" spans="1:4">
      <c r="A746">
        <v>741</v>
      </c>
      <c r="B746" s="11">
        <v>45917.395833333336</v>
      </c>
      <c r="C746" s="7">
        <v>658.09040000000005</v>
      </c>
      <c r="D746">
        <v>5575772</v>
      </c>
    </row>
    <row r="747" spans="1:4">
      <c r="A747">
        <v>742</v>
      </c>
      <c r="B747" s="11">
        <v>45916.666666666664</v>
      </c>
      <c r="C747" s="7">
        <v>658.17520000000002</v>
      </c>
      <c r="D747">
        <v>18910301</v>
      </c>
    </row>
    <row r="748" spans="1:4">
      <c r="A748">
        <v>743</v>
      </c>
      <c r="B748" s="11">
        <v>45916.645833333336</v>
      </c>
      <c r="C748" s="7">
        <v>658.11540000000002</v>
      </c>
      <c r="D748">
        <v>10303150</v>
      </c>
    </row>
    <row r="749" spans="1:4">
      <c r="A749">
        <v>744</v>
      </c>
      <c r="B749" s="11">
        <v>45916.625</v>
      </c>
      <c r="C749" s="7">
        <v>658.33969999999999</v>
      </c>
      <c r="D749">
        <v>2773265</v>
      </c>
    </row>
    <row r="750" spans="1:4">
      <c r="A750">
        <v>745</v>
      </c>
      <c r="B750" s="11">
        <v>45916.604166666664</v>
      </c>
      <c r="C750" s="7">
        <v>658.77350000000001</v>
      </c>
      <c r="D750">
        <v>2067146</v>
      </c>
    </row>
    <row r="751" spans="1:4">
      <c r="A751">
        <v>746</v>
      </c>
      <c r="B751" s="11">
        <v>45916.583333333336</v>
      </c>
      <c r="C751" s="7">
        <v>658.37959999999998</v>
      </c>
      <c r="D751">
        <v>1569088</v>
      </c>
    </row>
    <row r="752" spans="1:4">
      <c r="A752">
        <v>747</v>
      </c>
      <c r="B752" s="11">
        <v>45916.5625</v>
      </c>
      <c r="C752" s="7">
        <v>658.35469999999998</v>
      </c>
      <c r="D752">
        <v>1586188</v>
      </c>
    </row>
    <row r="753" spans="1:4">
      <c r="A753">
        <v>748</v>
      </c>
      <c r="B753" s="11">
        <v>45916.541666666664</v>
      </c>
      <c r="C753" s="7">
        <v>658.45370000000003</v>
      </c>
      <c r="D753">
        <v>1535396</v>
      </c>
    </row>
    <row r="754" spans="1:4">
      <c r="A754">
        <v>749</v>
      </c>
      <c r="B754" s="11">
        <v>45916.520833333336</v>
      </c>
      <c r="C754" s="7">
        <v>658.08040000000005</v>
      </c>
      <c r="D754">
        <v>1696275</v>
      </c>
    </row>
    <row r="755" spans="1:4">
      <c r="A755">
        <v>750</v>
      </c>
      <c r="B755" s="11">
        <v>45916.5</v>
      </c>
      <c r="C755" s="7">
        <v>658.05550000000005</v>
      </c>
      <c r="D755">
        <v>1446374</v>
      </c>
    </row>
    <row r="756" spans="1:4">
      <c r="A756">
        <v>751</v>
      </c>
      <c r="B756" s="11">
        <v>45916.479166666664</v>
      </c>
      <c r="C756" s="7">
        <v>657.83119999999997</v>
      </c>
      <c r="D756">
        <v>2425647</v>
      </c>
    </row>
    <row r="757" spans="1:4">
      <c r="A757">
        <v>752</v>
      </c>
      <c r="B757" s="11">
        <v>45916.458333333336</v>
      </c>
      <c r="C757" s="7">
        <v>657.77760000000001</v>
      </c>
      <c r="D757">
        <v>2649531</v>
      </c>
    </row>
    <row r="758" spans="1:4">
      <c r="A758">
        <v>753</v>
      </c>
      <c r="B758" s="11">
        <v>45916.4375</v>
      </c>
      <c r="C758" s="7">
        <v>658.06550000000004</v>
      </c>
      <c r="D758">
        <v>2490671</v>
      </c>
    </row>
    <row r="759" spans="1:4">
      <c r="A759">
        <v>754</v>
      </c>
      <c r="B759" s="11">
        <v>45916.416666666664</v>
      </c>
      <c r="C759" s="7">
        <v>658.08540000000005</v>
      </c>
      <c r="D759">
        <v>4886664</v>
      </c>
    </row>
    <row r="760" spans="1:4">
      <c r="A760">
        <v>755</v>
      </c>
      <c r="B760" s="11">
        <v>45916.395833333336</v>
      </c>
      <c r="C760" s="7">
        <v>658.37459999999999</v>
      </c>
      <c r="D760">
        <v>6829256</v>
      </c>
    </row>
    <row r="761" spans="1:4">
      <c r="A761">
        <v>756</v>
      </c>
      <c r="B761" s="11">
        <v>45915.666666666664</v>
      </c>
      <c r="C761" s="7">
        <v>659.08259999999996</v>
      </c>
      <c r="D761">
        <v>17609160</v>
      </c>
    </row>
    <row r="762" spans="1:4">
      <c r="A762">
        <v>757</v>
      </c>
      <c r="B762" s="11">
        <v>45915.645833333336</v>
      </c>
      <c r="C762" s="7">
        <v>659.08259999999996</v>
      </c>
      <c r="D762">
        <v>9711736</v>
      </c>
    </row>
    <row r="763" spans="1:4">
      <c r="A763">
        <v>758</v>
      </c>
      <c r="B763" s="11">
        <v>45915.625</v>
      </c>
      <c r="C763" s="7">
        <v>658.20510000000002</v>
      </c>
      <c r="D763">
        <v>2730160</v>
      </c>
    </row>
    <row r="764" spans="1:4">
      <c r="A764">
        <v>759</v>
      </c>
      <c r="B764" s="11">
        <v>45915.604166666664</v>
      </c>
      <c r="C764" s="7">
        <v>658.16520000000003</v>
      </c>
      <c r="D764">
        <v>3100002</v>
      </c>
    </row>
    <row r="765" spans="1:4">
      <c r="A765">
        <v>760</v>
      </c>
      <c r="B765" s="11">
        <v>45915.583333333336</v>
      </c>
      <c r="C765" s="7">
        <v>658.06550000000004</v>
      </c>
      <c r="D765">
        <v>2458550</v>
      </c>
    </row>
    <row r="766" spans="1:4">
      <c r="A766">
        <v>761</v>
      </c>
      <c r="B766" s="11">
        <v>45915.5625</v>
      </c>
      <c r="C766" s="7">
        <v>658.76350000000002</v>
      </c>
      <c r="D766">
        <v>2399210</v>
      </c>
    </row>
    <row r="767" spans="1:4">
      <c r="A767">
        <v>762</v>
      </c>
      <c r="B767" s="11">
        <v>45915.541666666664</v>
      </c>
      <c r="C767" s="7">
        <v>657.89589999999998</v>
      </c>
      <c r="D767">
        <v>2616018</v>
      </c>
    </row>
    <row r="768" spans="1:4">
      <c r="A768">
        <v>763</v>
      </c>
      <c r="B768" s="11">
        <v>45915.520833333336</v>
      </c>
      <c r="C768" s="7">
        <v>658.2998</v>
      </c>
      <c r="D768">
        <v>1950928</v>
      </c>
    </row>
    <row r="769" spans="1:4">
      <c r="A769">
        <v>764</v>
      </c>
      <c r="B769" s="11">
        <v>45915.5</v>
      </c>
      <c r="C769" s="7">
        <v>658.79349999999999</v>
      </c>
      <c r="D769">
        <v>2012186</v>
      </c>
    </row>
    <row r="770" spans="1:4">
      <c r="A770">
        <v>765</v>
      </c>
      <c r="B770" s="11">
        <v>45915.479166666664</v>
      </c>
      <c r="C770" s="7">
        <v>658.77850000000001</v>
      </c>
      <c r="D770">
        <v>2177889</v>
      </c>
    </row>
    <row r="771" spans="1:4">
      <c r="A771">
        <v>766</v>
      </c>
      <c r="B771" s="11">
        <v>45915.458333333336</v>
      </c>
      <c r="C771" s="7">
        <v>658.53920000000005</v>
      </c>
      <c r="D771">
        <v>2913610</v>
      </c>
    </row>
    <row r="772" spans="1:4">
      <c r="A772">
        <v>767</v>
      </c>
      <c r="B772" s="11">
        <v>45915.4375</v>
      </c>
      <c r="C772" s="7">
        <v>659.20230000000004</v>
      </c>
      <c r="D772">
        <v>3491136</v>
      </c>
    </row>
    <row r="773" spans="1:4">
      <c r="A773">
        <v>768</v>
      </c>
      <c r="B773" s="11">
        <v>45915.416666666664</v>
      </c>
      <c r="C773" s="7">
        <v>658.86329999999998</v>
      </c>
      <c r="D773">
        <v>3618180</v>
      </c>
    </row>
    <row r="774" spans="1:4">
      <c r="A774">
        <v>769</v>
      </c>
      <c r="B774" s="11">
        <v>45915.395833333336</v>
      </c>
      <c r="C774" s="7">
        <v>658.89319999999998</v>
      </c>
      <c r="D774">
        <v>6983647</v>
      </c>
    </row>
    <row r="775" spans="1:4">
      <c r="A775">
        <v>770</v>
      </c>
      <c r="B775" s="11">
        <v>45912.666666666664</v>
      </c>
      <c r="C775" s="7">
        <v>655.59230000000002</v>
      </c>
      <c r="D775">
        <v>23768095</v>
      </c>
    </row>
    <row r="776" spans="1:4">
      <c r="A776">
        <v>771</v>
      </c>
      <c r="B776" s="11">
        <v>45912.645833333336</v>
      </c>
      <c r="C776" s="7">
        <v>655.59230000000002</v>
      </c>
      <c r="D776">
        <v>13924448</v>
      </c>
    </row>
    <row r="777" spans="1:4">
      <c r="A777">
        <v>772</v>
      </c>
      <c r="B777" s="11">
        <v>45912.625</v>
      </c>
      <c r="C777" s="7">
        <v>656.32039999999995</v>
      </c>
      <c r="D777">
        <v>4608264</v>
      </c>
    </row>
    <row r="778" spans="1:4">
      <c r="A778">
        <v>773</v>
      </c>
      <c r="B778" s="11">
        <v>45912.604166666664</v>
      </c>
      <c r="C778" s="7">
        <v>656.97349999999994</v>
      </c>
      <c r="D778">
        <v>3658342</v>
      </c>
    </row>
    <row r="779" spans="1:4">
      <c r="A779">
        <v>774</v>
      </c>
      <c r="B779" s="11">
        <v>45912.583333333336</v>
      </c>
      <c r="C779" s="7">
        <v>656.6893</v>
      </c>
      <c r="D779">
        <v>2442729</v>
      </c>
    </row>
    <row r="780" spans="1:4">
      <c r="A780">
        <v>775</v>
      </c>
      <c r="B780" s="11">
        <v>45912.5625</v>
      </c>
      <c r="C780" s="7">
        <v>656.56460000000004</v>
      </c>
      <c r="D780">
        <v>1935124</v>
      </c>
    </row>
    <row r="781" spans="1:4">
      <c r="A781">
        <v>776</v>
      </c>
      <c r="B781" s="11">
        <v>45912.541666666664</v>
      </c>
      <c r="C781" s="7">
        <v>656.28039999999999</v>
      </c>
      <c r="D781">
        <v>1857194</v>
      </c>
    </row>
    <row r="782" spans="1:4">
      <c r="A782">
        <v>777</v>
      </c>
      <c r="B782" s="11">
        <v>45912.520833333336</v>
      </c>
      <c r="C782" s="7">
        <v>656.26049999999998</v>
      </c>
      <c r="D782">
        <v>2092363</v>
      </c>
    </row>
    <row r="783" spans="1:4">
      <c r="A783">
        <v>778</v>
      </c>
      <c r="B783" s="11">
        <v>45912.5</v>
      </c>
      <c r="C783" s="7">
        <v>656.2405</v>
      </c>
      <c r="D783">
        <v>1899098</v>
      </c>
    </row>
    <row r="784" spans="1:4">
      <c r="A784">
        <v>779</v>
      </c>
      <c r="B784" s="11">
        <v>45912.479166666664</v>
      </c>
      <c r="C784" s="7">
        <v>655.78179999999998</v>
      </c>
      <c r="D784">
        <v>2195737</v>
      </c>
    </row>
    <row r="785" spans="1:4">
      <c r="A785">
        <v>780</v>
      </c>
      <c r="B785" s="11">
        <v>45912.458333333336</v>
      </c>
      <c r="C785" s="7">
        <v>655.82169999999996</v>
      </c>
      <c r="D785">
        <v>2329069</v>
      </c>
    </row>
    <row r="786" spans="1:4">
      <c r="A786">
        <v>781</v>
      </c>
      <c r="B786" s="11">
        <v>45912.4375</v>
      </c>
      <c r="C786" s="7">
        <v>656.56460000000004</v>
      </c>
      <c r="D786">
        <v>2617818</v>
      </c>
    </row>
    <row r="787" spans="1:4">
      <c r="A787">
        <v>782</v>
      </c>
      <c r="B787" s="11">
        <v>45912.416666666664</v>
      </c>
      <c r="C787" s="7">
        <v>656.14089999999999</v>
      </c>
      <c r="D787">
        <v>3584808</v>
      </c>
    </row>
    <row r="788" spans="1:4">
      <c r="A788">
        <v>783</v>
      </c>
      <c r="B788" s="11">
        <v>45912.395833333336</v>
      </c>
      <c r="C788" s="7">
        <v>655.82169999999996</v>
      </c>
      <c r="D788">
        <v>5867047</v>
      </c>
    </row>
    <row r="789" spans="1:4">
      <c r="A789">
        <v>784</v>
      </c>
      <c r="B789" s="11">
        <v>45911.666666666664</v>
      </c>
      <c r="C789" s="7">
        <v>655.81169999999997</v>
      </c>
      <c r="D789">
        <v>23163545</v>
      </c>
    </row>
    <row r="790" spans="1:4">
      <c r="A790">
        <v>785</v>
      </c>
      <c r="B790" s="11">
        <v>45911.645833333336</v>
      </c>
      <c r="C790" s="7">
        <v>655.81169999999997</v>
      </c>
      <c r="D790">
        <v>10704125</v>
      </c>
    </row>
    <row r="791" spans="1:4">
      <c r="A791">
        <v>786</v>
      </c>
      <c r="B791" s="11">
        <v>45911.625</v>
      </c>
      <c r="C791" s="7">
        <v>655.92139999999995</v>
      </c>
      <c r="D791">
        <v>3021699</v>
      </c>
    </row>
    <row r="792" spans="1:4">
      <c r="A792">
        <v>787</v>
      </c>
      <c r="B792" s="11">
        <v>45911.604166666664</v>
      </c>
      <c r="C792" s="7">
        <v>655.68709999999999</v>
      </c>
      <c r="D792">
        <v>2193014</v>
      </c>
    </row>
    <row r="793" spans="1:4">
      <c r="A793">
        <v>788</v>
      </c>
      <c r="B793" s="11">
        <v>45911.583333333336</v>
      </c>
      <c r="C793" s="7">
        <v>655.51260000000002</v>
      </c>
      <c r="D793">
        <v>2830419</v>
      </c>
    </row>
    <row r="794" spans="1:4">
      <c r="A794">
        <v>789</v>
      </c>
      <c r="B794" s="11">
        <v>45911.5625</v>
      </c>
      <c r="C794" s="7">
        <v>655.76189999999997</v>
      </c>
      <c r="D794">
        <v>1641125</v>
      </c>
    </row>
    <row r="795" spans="1:4">
      <c r="A795">
        <v>790</v>
      </c>
      <c r="B795" s="11">
        <v>45911.541666666664</v>
      </c>
      <c r="C795" s="7">
        <v>655.29819999999995</v>
      </c>
      <c r="D795">
        <v>1797225</v>
      </c>
    </row>
    <row r="796" spans="1:4">
      <c r="A796">
        <v>791</v>
      </c>
      <c r="B796" s="11">
        <v>45911.520833333336</v>
      </c>
      <c r="C796" s="7">
        <v>655.30319999999995</v>
      </c>
      <c r="D796">
        <v>1562753</v>
      </c>
    </row>
    <row r="797" spans="1:4">
      <c r="A797">
        <v>792</v>
      </c>
      <c r="B797" s="11">
        <v>45911.5</v>
      </c>
      <c r="C797" s="7">
        <v>655.56240000000003</v>
      </c>
      <c r="D797">
        <v>2062764</v>
      </c>
    </row>
    <row r="798" spans="1:4">
      <c r="A798">
        <v>793</v>
      </c>
      <c r="B798" s="11">
        <v>45911.479166666664</v>
      </c>
      <c r="C798" s="7">
        <v>655.39290000000005</v>
      </c>
      <c r="D798">
        <v>2716666</v>
      </c>
    </row>
    <row r="799" spans="1:4">
      <c r="A799">
        <v>794</v>
      </c>
      <c r="B799" s="11">
        <v>45911.458333333336</v>
      </c>
      <c r="C799" s="7">
        <v>655.63229999999999</v>
      </c>
      <c r="D799">
        <v>3116269</v>
      </c>
    </row>
    <row r="800" spans="1:4">
      <c r="A800">
        <v>795</v>
      </c>
      <c r="B800" s="11">
        <v>45911.4375</v>
      </c>
      <c r="C800" s="7">
        <v>654.81449999999995</v>
      </c>
      <c r="D800">
        <v>3901094</v>
      </c>
    </row>
    <row r="801" spans="1:4">
      <c r="A801">
        <v>796</v>
      </c>
      <c r="B801" s="11">
        <v>45911.416666666664</v>
      </c>
      <c r="C801" s="7">
        <v>654.13639999999998</v>
      </c>
      <c r="D801">
        <v>4076095</v>
      </c>
    </row>
    <row r="802" spans="1:4">
      <c r="A802">
        <v>797</v>
      </c>
      <c r="B802" s="11">
        <v>45911.395833333336</v>
      </c>
      <c r="C802" s="7">
        <v>653.80229999999995</v>
      </c>
      <c r="D802">
        <v>7147567</v>
      </c>
    </row>
    <row r="803" spans="1:4">
      <c r="A803">
        <v>798</v>
      </c>
      <c r="B803" s="11">
        <v>45910.666666666664</v>
      </c>
      <c r="C803" s="7">
        <v>650.4067</v>
      </c>
      <c r="D803">
        <v>27430388</v>
      </c>
    </row>
    <row r="804" spans="1:4">
      <c r="A804">
        <v>799</v>
      </c>
      <c r="B804" s="11">
        <v>45910.645833333336</v>
      </c>
      <c r="C804" s="7">
        <v>650.4067</v>
      </c>
      <c r="D804">
        <v>9780332</v>
      </c>
    </row>
    <row r="805" spans="1:4">
      <c r="A805">
        <v>800</v>
      </c>
      <c r="B805" s="11">
        <v>45910.625</v>
      </c>
      <c r="C805" s="7">
        <v>649.06039999999996</v>
      </c>
      <c r="D805">
        <v>4264411</v>
      </c>
    </row>
    <row r="806" spans="1:4">
      <c r="A806">
        <v>801</v>
      </c>
      <c r="B806" s="11">
        <v>45910.604166666664</v>
      </c>
      <c r="C806" s="7">
        <v>650.18730000000005</v>
      </c>
      <c r="D806">
        <v>3092900</v>
      </c>
    </row>
    <row r="807" spans="1:4">
      <c r="A807">
        <v>802</v>
      </c>
      <c r="B807" s="11">
        <v>45910.583333333336</v>
      </c>
      <c r="C807" s="7">
        <v>649.85820000000001</v>
      </c>
      <c r="D807">
        <v>2878052</v>
      </c>
    </row>
    <row r="808" spans="1:4">
      <c r="A808">
        <v>803</v>
      </c>
      <c r="B808" s="11">
        <v>45910.5625</v>
      </c>
      <c r="C808" s="7">
        <v>650.50639999999999</v>
      </c>
      <c r="D808">
        <v>2143827</v>
      </c>
    </row>
    <row r="809" spans="1:4">
      <c r="A809">
        <v>804</v>
      </c>
      <c r="B809" s="11">
        <v>45910.541666666664</v>
      </c>
      <c r="C809" s="7">
        <v>650.47159999999997</v>
      </c>
      <c r="D809">
        <v>2095874</v>
      </c>
    </row>
    <row r="810" spans="1:4">
      <c r="A810">
        <v>805</v>
      </c>
      <c r="B810" s="11">
        <v>45910.520833333336</v>
      </c>
      <c r="C810" s="7">
        <v>651.10469999999998</v>
      </c>
      <c r="D810">
        <v>1755961</v>
      </c>
    </row>
    <row r="811" spans="1:4">
      <c r="A811">
        <v>806</v>
      </c>
      <c r="B811" s="11">
        <v>45910.5</v>
      </c>
      <c r="C811" s="7">
        <v>650.84550000000002</v>
      </c>
      <c r="D811">
        <v>1702786</v>
      </c>
    </row>
    <row r="812" spans="1:4">
      <c r="A812">
        <v>807</v>
      </c>
      <c r="B812" s="11">
        <v>45910.479166666664</v>
      </c>
      <c r="C812" s="7">
        <v>651.51869999999997</v>
      </c>
      <c r="D812">
        <v>2625853</v>
      </c>
    </row>
    <row r="813" spans="1:4">
      <c r="A813">
        <v>808</v>
      </c>
      <c r="B813" s="11">
        <v>45910.458333333336</v>
      </c>
      <c r="C813" s="7">
        <v>651.04489999999998</v>
      </c>
      <c r="D813">
        <v>4143067</v>
      </c>
    </row>
    <row r="814" spans="1:4">
      <c r="A814">
        <v>809</v>
      </c>
      <c r="B814" s="11">
        <v>45910.4375</v>
      </c>
      <c r="C814" s="7">
        <v>651.61329999999998</v>
      </c>
      <c r="D814">
        <v>3581019</v>
      </c>
    </row>
    <row r="815" spans="1:4">
      <c r="A815">
        <v>810</v>
      </c>
      <c r="B815" s="11">
        <v>45910.416666666664</v>
      </c>
      <c r="C815" s="7">
        <v>652.08709999999996</v>
      </c>
      <c r="D815">
        <v>4645773</v>
      </c>
    </row>
    <row r="816" spans="1:4">
      <c r="A816">
        <v>811</v>
      </c>
      <c r="B816" s="11">
        <v>45910.395833333336</v>
      </c>
      <c r="C816" s="7">
        <v>651.75459999999998</v>
      </c>
      <c r="D816">
        <v>7894285</v>
      </c>
    </row>
    <row r="817" spans="1:4">
      <c r="A817">
        <v>812</v>
      </c>
      <c r="B817" s="11">
        <v>45909.666666666664</v>
      </c>
      <c r="C817" s="7">
        <v>648.53189999999995</v>
      </c>
      <c r="D817">
        <v>25908652</v>
      </c>
    </row>
    <row r="818" spans="1:4">
      <c r="A818">
        <v>813</v>
      </c>
      <c r="B818" s="11">
        <v>45909.645833333336</v>
      </c>
      <c r="C818" s="7">
        <v>648.57180000000005</v>
      </c>
      <c r="D818">
        <v>7445627</v>
      </c>
    </row>
    <row r="819" spans="1:4">
      <c r="A819">
        <v>814</v>
      </c>
      <c r="B819" s="11">
        <v>45909.625</v>
      </c>
      <c r="C819" s="7">
        <v>648.26760000000002</v>
      </c>
      <c r="D819">
        <v>2381221</v>
      </c>
    </row>
    <row r="820" spans="1:4">
      <c r="A820">
        <v>815</v>
      </c>
      <c r="B820" s="11">
        <v>45909.604166666664</v>
      </c>
      <c r="C820" s="7">
        <v>648.05319999999995</v>
      </c>
      <c r="D820">
        <v>2059936</v>
      </c>
    </row>
    <row r="821" spans="1:4">
      <c r="A821">
        <v>816</v>
      </c>
      <c r="B821" s="11">
        <v>45909.583333333336</v>
      </c>
      <c r="C821" s="7">
        <v>648.04330000000004</v>
      </c>
      <c r="D821">
        <v>1854390</v>
      </c>
    </row>
    <row r="822" spans="1:4">
      <c r="A822">
        <v>817</v>
      </c>
      <c r="B822" s="11">
        <v>45909.5625</v>
      </c>
      <c r="C822" s="7">
        <v>647.98350000000005</v>
      </c>
      <c r="D822">
        <v>1789615</v>
      </c>
    </row>
    <row r="823" spans="1:4">
      <c r="A823">
        <v>818</v>
      </c>
      <c r="B823" s="11">
        <v>45909.541666666664</v>
      </c>
      <c r="C823" s="7">
        <v>647.76900000000001</v>
      </c>
      <c r="D823">
        <v>2482484</v>
      </c>
    </row>
    <row r="824" spans="1:4">
      <c r="A824">
        <v>819</v>
      </c>
      <c r="B824" s="11">
        <v>45909.520833333336</v>
      </c>
      <c r="C824" s="7">
        <v>647.2355</v>
      </c>
      <c r="D824">
        <v>1748365</v>
      </c>
    </row>
    <row r="825" spans="1:4">
      <c r="A825">
        <v>820</v>
      </c>
      <c r="B825" s="11">
        <v>45909.5</v>
      </c>
      <c r="C825" s="7">
        <v>647.06060000000002</v>
      </c>
      <c r="D825">
        <v>2201340</v>
      </c>
    </row>
    <row r="826" spans="1:4">
      <c r="A826">
        <v>821</v>
      </c>
      <c r="B826" s="11">
        <v>45909.479166666664</v>
      </c>
      <c r="C826" s="7">
        <v>646.48760000000004</v>
      </c>
      <c r="D826">
        <v>2145975</v>
      </c>
    </row>
    <row r="827" spans="1:4">
      <c r="A827">
        <v>822</v>
      </c>
      <c r="B827" s="11">
        <v>45909.458333333336</v>
      </c>
      <c r="C827" s="7">
        <v>646.95630000000006</v>
      </c>
      <c r="D827">
        <v>2563110</v>
      </c>
    </row>
    <row r="828" spans="1:4">
      <c r="A828">
        <v>823</v>
      </c>
      <c r="B828" s="11">
        <v>45909.4375</v>
      </c>
      <c r="C828" s="7">
        <v>646.55740000000003</v>
      </c>
      <c r="D828">
        <v>4677759</v>
      </c>
    </row>
    <row r="829" spans="1:4">
      <c r="A829">
        <v>824</v>
      </c>
      <c r="B829" s="11">
        <v>45909.416666666664</v>
      </c>
      <c r="C829" s="7">
        <v>646.94629999999995</v>
      </c>
      <c r="D829">
        <v>4565043</v>
      </c>
    </row>
    <row r="830" spans="1:4">
      <c r="A830">
        <v>825</v>
      </c>
      <c r="B830" s="11">
        <v>45909.395833333336</v>
      </c>
      <c r="C830" s="7">
        <v>647.24549999999999</v>
      </c>
      <c r="D830">
        <v>4310339</v>
      </c>
    </row>
    <row r="831" spans="1:4">
      <c r="A831">
        <v>826</v>
      </c>
      <c r="B831" s="11">
        <v>45908.666666666664</v>
      </c>
      <c r="C831" s="7">
        <v>647.03610000000003</v>
      </c>
      <c r="D831">
        <v>21434739</v>
      </c>
    </row>
    <row r="832" spans="1:4">
      <c r="A832">
        <v>827</v>
      </c>
      <c r="B832" s="11">
        <v>45908.645833333336</v>
      </c>
      <c r="C832" s="7">
        <v>647.03610000000003</v>
      </c>
      <c r="D832">
        <v>10472152</v>
      </c>
    </row>
    <row r="833" spans="1:4">
      <c r="A833">
        <v>828</v>
      </c>
      <c r="B833" s="11">
        <v>45908.625</v>
      </c>
      <c r="C833" s="7">
        <v>645.81939999999997</v>
      </c>
      <c r="D833">
        <v>3228769</v>
      </c>
    </row>
    <row r="834" spans="1:4">
      <c r="A834">
        <v>829</v>
      </c>
      <c r="B834" s="11">
        <v>45908.604166666664</v>
      </c>
      <c r="C834" s="7">
        <v>646.39779999999996</v>
      </c>
      <c r="D834">
        <v>1928307</v>
      </c>
    </row>
    <row r="835" spans="1:4">
      <c r="A835">
        <v>830</v>
      </c>
      <c r="B835" s="11">
        <v>45908.583333333336</v>
      </c>
      <c r="C835" s="7">
        <v>646.61220000000003</v>
      </c>
      <c r="D835">
        <v>2263502</v>
      </c>
    </row>
    <row r="836" spans="1:4">
      <c r="A836">
        <v>831</v>
      </c>
      <c r="B836" s="11">
        <v>45908.5625</v>
      </c>
      <c r="C836" s="7">
        <v>645.78530000000001</v>
      </c>
      <c r="D836">
        <v>1511160</v>
      </c>
    </row>
    <row r="837" spans="1:4">
      <c r="A837">
        <v>832</v>
      </c>
      <c r="B837" s="11">
        <v>45908.541666666664</v>
      </c>
      <c r="C837" s="7">
        <v>646.71699999999998</v>
      </c>
      <c r="D837">
        <v>1517027</v>
      </c>
    </row>
    <row r="838" spans="1:4">
      <c r="A838">
        <v>833</v>
      </c>
      <c r="B838" s="11">
        <v>45908.520833333336</v>
      </c>
      <c r="C838" s="7">
        <v>646.7568</v>
      </c>
      <c r="D838">
        <v>2002856</v>
      </c>
    </row>
    <row r="839" spans="1:4">
      <c r="A839">
        <v>834</v>
      </c>
      <c r="B839" s="11">
        <v>45908.5</v>
      </c>
      <c r="C839" s="7">
        <v>646.82669999999996</v>
      </c>
      <c r="D839">
        <v>1876172</v>
      </c>
    </row>
    <row r="840" spans="1:4">
      <c r="A840">
        <v>835</v>
      </c>
      <c r="B840" s="11">
        <v>45908.479166666664</v>
      </c>
      <c r="C840" s="7">
        <v>647.56460000000004</v>
      </c>
      <c r="D840">
        <v>2342330</v>
      </c>
    </row>
    <row r="841" spans="1:4">
      <c r="A841">
        <v>836</v>
      </c>
      <c r="B841" s="11">
        <v>45908.458333333336</v>
      </c>
      <c r="C841" s="7">
        <v>647.96849999999995</v>
      </c>
      <c r="D841">
        <v>2325284</v>
      </c>
    </row>
    <row r="842" spans="1:4">
      <c r="A842">
        <v>837</v>
      </c>
      <c r="B842" s="11">
        <v>45908.4375</v>
      </c>
      <c r="C842" s="7">
        <v>647.55460000000005</v>
      </c>
      <c r="D842">
        <v>2829384</v>
      </c>
    </row>
    <row r="843" spans="1:4">
      <c r="A843">
        <v>838</v>
      </c>
      <c r="B843" s="11">
        <v>45908.416666666664</v>
      </c>
      <c r="C843" s="7">
        <v>646.97969999999998</v>
      </c>
      <c r="D843">
        <v>3442232</v>
      </c>
    </row>
    <row r="844" spans="1:4">
      <c r="A844">
        <v>839</v>
      </c>
      <c r="B844" s="11">
        <v>45908.395833333336</v>
      </c>
      <c r="C844" s="7">
        <v>646.56240000000003</v>
      </c>
      <c r="D844">
        <v>5959190</v>
      </c>
    </row>
    <row r="845" spans="1:4">
      <c r="A845">
        <v>840</v>
      </c>
      <c r="B845" s="11">
        <v>45905.666666666664</v>
      </c>
      <c r="C845" s="7">
        <v>645.45039999999995</v>
      </c>
      <c r="D845">
        <v>26832650</v>
      </c>
    </row>
    <row r="846" spans="1:4">
      <c r="A846">
        <v>841</v>
      </c>
      <c r="B846" s="11">
        <v>45905.645833333336</v>
      </c>
      <c r="C846" s="7">
        <v>645.42060000000004</v>
      </c>
      <c r="D846">
        <v>8585542</v>
      </c>
    </row>
    <row r="847" spans="1:4">
      <c r="A847">
        <v>842</v>
      </c>
      <c r="B847" s="11">
        <v>45905.625</v>
      </c>
      <c r="C847" s="7">
        <v>645.37869999999998</v>
      </c>
      <c r="D847">
        <v>3695402</v>
      </c>
    </row>
    <row r="848" spans="1:4">
      <c r="A848">
        <v>843</v>
      </c>
      <c r="B848" s="11">
        <v>45905.604166666664</v>
      </c>
      <c r="C848" s="7">
        <v>644.48320000000001</v>
      </c>
      <c r="D848">
        <v>2321924</v>
      </c>
    </row>
    <row r="849" spans="1:4">
      <c r="A849">
        <v>844</v>
      </c>
      <c r="B849" s="11">
        <v>45905.583333333336</v>
      </c>
      <c r="C849" s="7">
        <v>643.92219999999998</v>
      </c>
      <c r="D849">
        <v>2646760</v>
      </c>
    </row>
    <row r="850" spans="1:4">
      <c r="A850">
        <v>845</v>
      </c>
      <c r="B850" s="11">
        <v>45905.5625</v>
      </c>
      <c r="C850" s="7">
        <v>643.35739999999998</v>
      </c>
      <c r="D850">
        <v>2511081</v>
      </c>
    </row>
    <row r="851" spans="1:4">
      <c r="A851">
        <v>846</v>
      </c>
      <c r="B851" s="11">
        <v>45905.541666666664</v>
      </c>
      <c r="C851" s="7">
        <v>643.87980000000005</v>
      </c>
      <c r="D851">
        <v>2360574</v>
      </c>
    </row>
    <row r="852" spans="1:4">
      <c r="A852">
        <v>847</v>
      </c>
      <c r="B852" s="11">
        <v>45905.520833333336</v>
      </c>
      <c r="C852" s="7">
        <v>644.65260000000001</v>
      </c>
      <c r="D852">
        <v>2325481</v>
      </c>
    </row>
    <row r="853" spans="1:4">
      <c r="A853">
        <v>848</v>
      </c>
      <c r="B853" s="11">
        <v>45905.5</v>
      </c>
      <c r="C853" s="7">
        <v>643.96460000000002</v>
      </c>
      <c r="D853">
        <v>2671413</v>
      </c>
    </row>
    <row r="854" spans="1:4">
      <c r="A854">
        <v>849</v>
      </c>
      <c r="B854" s="11">
        <v>45905.479166666664</v>
      </c>
      <c r="C854" s="7">
        <v>643.91970000000003</v>
      </c>
      <c r="D854">
        <v>3658254</v>
      </c>
    </row>
    <row r="855" spans="1:4">
      <c r="A855">
        <v>850</v>
      </c>
      <c r="B855" s="11">
        <v>45905.458333333336</v>
      </c>
      <c r="C855" s="7">
        <v>644.43399999999997</v>
      </c>
      <c r="D855">
        <v>4895405</v>
      </c>
    </row>
    <row r="856" spans="1:4">
      <c r="A856">
        <v>851</v>
      </c>
      <c r="B856" s="11">
        <v>45905.4375</v>
      </c>
      <c r="C856" s="7">
        <v>642.42880000000002</v>
      </c>
      <c r="D856">
        <v>7125021</v>
      </c>
    </row>
    <row r="857" spans="1:4">
      <c r="A857">
        <v>852</v>
      </c>
      <c r="B857" s="11">
        <v>45905.416666666664</v>
      </c>
      <c r="C857" s="7">
        <v>644.71749999999997</v>
      </c>
      <c r="D857">
        <v>7836989</v>
      </c>
    </row>
    <row r="858" spans="1:4">
      <c r="A858">
        <v>853</v>
      </c>
      <c r="B858" s="11">
        <v>45905.395833333336</v>
      </c>
      <c r="C858" s="7">
        <v>649.25990000000002</v>
      </c>
      <c r="D858">
        <v>7712440</v>
      </c>
    </row>
    <row r="859" spans="1:4">
      <c r="A859">
        <v>854</v>
      </c>
      <c r="B859" s="11">
        <v>45904.666666666664</v>
      </c>
      <c r="C859" s="7">
        <v>647.32529999999997</v>
      </c>
      <c r="D859">
        <v>21566575</v>
      </c>
    </row>
    <row r="860" spans="1:4">
      <c r="A860">
        <v>855</v>
      </c>
      <c r="B860" s="11">
        <v>45904.645833333336</v>
      </c>
      <c r="C860" s="7">
        <v>647.25540000000001</v>
      </c>
      <c r="D860">
        <v>11340058</v>
      </c>
    </row>
    <row r="861" spans="1:4">
      <c r="A861">
        <v>856</v>
      </c>
      <c r="B861" s="11">
        <v>45904.625</v>
      </c>
      <c r="C861" s="7">
        <v>646.09939999999995</v>
      </c>
      <c r="D861">
        <v>3075583</v>
      </c>
    </row>
    <row r="862" spans="1:4">
      <c r="A862">
        <v>857</v>
      </c>
      <c r="B862" s="11">
        <v>45904.604166666664</v>
      </c>
      <c r="C862" s="7">
        <v>645.83939999999996</v>
      </c>
      <c r="D862">
        <v>1893705</v>
      </c>
    </row>
    <row r="863" spans="1:4">
      <c r="A863">
        <v>858</v>
      </c>
      <c r="B863" s="11">
        <v>45904.583333333336</v>
      </c>
      <c r="C863" s="7">
        <v>645.44050000000004</v>
      </c>
      <c r="D863">
        <v>1901876</v>
      </c>
    </row>
    <row r="864" spans="1:4">
      <c r="A864">
        <v>859</v>
      </c>
      <c r="B864" s="11">
        <v>45904.5625</v>
      </c>
      <c r="C864" s="7">
        <v>645.3528</v>
      </c>
      <c r="D864">
        <v>2157719</v>
      </c>
    </row>
    <row r="865" spans="1:4">
      <c r="A865">
        <v>860</v>
      </c>
      <c r="B865" s="11">
        <v>45904.541666666664</v>
      </c>
      <c r="C865" s="7">
        <v>645.09019999999998</v>
      </c>
      <c r="D865">
        <v>1829562</v>
      </c>
    </row>
    <row r="866" spans="1:4">
      <c r="A866">
        <v>861</v>
      </c>
      <c r="B866" s="11">
        <v>45904.520833333336</v>
      </c>
      <c r="C866" s="7">
        <v>644.15419999999995</v>
      </c>
      <c r="D866">
        <v>1580240</v>
      </c>
    </row>
    <row r="867" spans="1:4">
      <c r="A867">
        <v>862</v>
      </c>
      <c r="B867" s="11">
        <v>45904.5</v>
      </c>
      <c r="C867" s="7">
        <v>644.15470000000005</v>
      </c>
      <c r="D867">
        <v>1641350</v>
      </c>
    </row>
    <row r="868" spans="1:4">
      <c r="A868">
        <v>863</v>
      </c>
      <c r="B868" s="11">
        <v>45904.479166666664</v>
      </c>
      <c r="C868" s="7">
        <v>644.41330000000005</v>
      </c>
      <c r="D868">
        <v>2070009</v>
      </c>
    </row>
    <row r="869" spans="1:4">
      <c r="A869">
        <v>864</v>
      </c>
      <c r="B869" s="11">
        <v>45904.458333333336</v>
      </c>
      <c r="C869" s="7">
        <v>644.46820000000002</v>
      </c>
      <c r="D869">
        <v>2933002</v>
      </c>
    </row>
    <row r="870" spans="1:4">
      <c r="A870">
        <v>865</v>
      </c>
      <c r="B870" s="11">
        <v>45904.4375</v>
      </c>
      <c r="C870" s="7">
        <v>643.86490000000003</v>
      </c>
      <c r="D870">
        <v>3405393</v>
      </c>
    </row>
    <row r="871" spans="1:4">
      <c r="A871">
        <v>866</v>
      </c>
      <c r="B871" s="11">
        <v>45904.416666666664</v>
      </c>
      <c r="C871" s="7">
        <v>643.077</v>
      </c>
      <c r="D871">
        <v>4676892</v>
      </c>
    </row>
    <row r="872" spans="1:4">
      <c r="A872">
        <v>867</v>
      </c>
      <c r="B872" s="11">
        <v>45904.395833333336</v>
      </c>
      <c r="C872" s="7">
        <v>643.23509999999999</v>
      </c>
      <c r="D872">
        <v>5147264</v>
      </c>
    </row>
    <row r="873" spans="1:4">
      <c r="A873">
        <v>868</v>
      </c>
      <c r="B873" s="11">
        <v>45903.666666666664</v>
      </c>
      <c r="C873" s="7">
        <v>641.96010000000001</v>
      </c>
      <c r="D873">
        <v>22219753</v>
      </c>
    </row>
    <row r="874" spans="1:4">
      <c r="A874">
        <v>869</v>
      </c>
      <c r="B874" s="11">
        <v>45903.645833333336</v>
      </c>
      <c r="C874" s="7">
        <v>641.82050000000004</v>
      </c>
      <c r="D874">
        <v>11987499</v>
      </c>
    </row>
    <row r="875" spans="1:4">
      <c r="A875">
        <v>870</v>
      </c>
      <c r="B875" s="11">
        <v>45903.625</v>
      </c>
      <c r="C875" s="7">
        <v>639.26260000000002</v>
      </c>
      <c r="D875">
        <v>2405180</v>
      </c>
    </row>
    <row r="876" spans="1:4">
      <c r="A876">
        <v>871</v>
      </c>
      <c r="B876" s="11">
        <v>45903.604166666664</v>
      </c>
      <c r="C876" s="7">
        <v>639.08810000000005</v>
      </c>
      <c r="D876">
        <v>2487021</v>
      </c>
    </row>
    <row r="877" spans="1:4">
      <c r="A877">
        <v>872</v>
      </c>
      <c r="B877" s="11">
        <v>45903.583333333336</v>
      </c>
      <c r="C877" s="7">
        <v>639.31899999999996</v>
      </c>
      <c r="D877">
        <v>2367265</v>
      </c>
    </row>
    <row r="878" spans="1:4">
      <c r="A878">
        <v>873</v>
      </c>
      <c r="B878" s="11">
        <v>45903.5625</v>
      </c>
      <c r="C878" s="7">
        <v>639.19849999999997</v>
      </c>
      <c r="D878">
        <v>2760677</v>
      </c>
    </row>
    <row r="879" spans="1:4">
      <c r="A879">
        <v>874</v>
      </c>
      <c r="B879" s="11">
        <v>45903.541666666664</v>
      </c>
      <c r="C879" s="7">
        <v>640.47919999999999</v>
      </c>
      <c r="D879">
        <v>1832935</v>
      </c>
    </row>
    <row r="880" spans="1:4">
      <c r="A880">
        <v>875</v>
      </c>
      <c r="B880" s="11">
        <v>45903.520833333336</v>
      </c>
      <c r="C880" s="7">
        <v>640.05039999999997</v>
      </c>
      <c r="D880">
        <v>2349142</v>
      </c>
    </row>
    <row r="881" spans="1:4">
      <c r="A881">
        <v>876</v>
      </c>
      <c r="B881" s="11">
        <v>45903.5</v>
      </c>
      <c r="C881" s="7">
        <v>640.66380000000004</v>
      </c>
      <c r="D881">
        <v>1964722</v>
      </c>
    </row>
    <row r="882" spans="1:4">
      <c r="A882">
        <v>877</v>
      </c>
      <c r="B882" s="11">
        <v>45903.479166666664</v>
      </c>
      <c r="C882" s="7">
        <v>640.54409999999996</v>
      </c>
      <c r="D882">
        <v>2612737</v>
      </c>
    </row>
    <row r="883" spans="1:4">
      <c r="A883">
        <v>878</v>
      </c>
      <c r="B883" s="11">
        <v>45903.458333333336</v>
      </c>
      <c r="C883" s="7">
        <v>640.67370000000005</v>
      </c>
      <c r="D883">
        <v>3144258</v>
      </c>
    </row>
    <row r="884" spans="1:4">
      <c r="A884">
        <v>879</v>
      </c>
      <c r="B884" s="11">
        <v>45903.4375</v>
      </c>
      <c r="C884" s="7">
        <v>642.20939999999996</v>
      </c>
      <c r="D884">
        <v>3431185</v>
      </c>
    </row>
    <row r="885" spans="1:4">
      <c r="A885">
        <v>880</v>
      </c>
      <c r="B885" s="11">
        <v>45903.416666666664</v>
      </c>
      <c r="C885" s="7">
        <v>640.63879999999995</v>
      </c>
      <c r="D885">
        <v>4371120</v>
      </c>
    </row>
    <row r="886" spans="1:4">
      <c r="A886">
        <v>881</v>
      </c>
      <c r="B886" s="11">
        <v>45903.395833333336</v>
      </c>
      <c r="C886" s="7">
        <v>640.27980000000002</v>
      </c>
      <c r="D886">
        <v>6887402</v>
      </c>
    </row>
    <row r="887" spans="1:4">
      <c r="A887">
        <v>882</v>
      </c>
      <c r="B887" s="11">
        <v>45902.666666666664</v>
      </c>
      <c r="C887" s="7">
        <v>638.49980000000005</v>
      </c>
      <c r="D887">
        <v>30191848</v>
      </c>
    </row>
    <row r="888" spans="1:4">
      <c r="A888">
        <v>883</v>
      </c>
      <c r="B888" s="11">
        <v>45902.645833333336</v>
      </c>
      <c r="C888" s="7">
        <v>638.59450000000004</v>
      </c>
      <c r="D888">
        <v>11737377</v>
      </c>
    </row>
    <row r="889" spans="1:4">
      <c r="A889">
        <v>884</v>
      </c>
      <c r="B889" s="11">
        <v>45902.625</v>
      </c>
      <c r="C889" s="7">
        <v>637.35789999999997</v>
      </c>
      <c r="D889">
        <v>2636613</v>
      </c>
    </row>
    <row r="890" spans="1:4">
      <c r="A890">
        <v>885</v>
      </c>
      <c r="B890" s="11">
        <v>45902.604166666664</v>
      </c>
      <c r="C890" s="7">
        <v>636.33569999999997</v>
      </c>
      <c r="D890">
        <v>2618896</v>
      </c>
    </row>
    <row r="891" spans="1:4">
      <c r="A891">
        <v>886</v>
      </c>
      <c r="B891" s="11">
        <v>45902.583333333336</v>
      </c>
      <c r="C891" s="7">
        <v>635.94680000000005</v>
      </c>
      <c r="D891">
        <v>1757453</v>
      </c>
    </row>
    <row r="892" spans="1:4">
      <c r="A892">
        <v>887</v>
      </c>
      <c r="B892" s="11">
        <v>45902.5625</v>
      </c>
      <c r="C892" s="7">
        <v>636.53520000000003</v>
      </c>
      <c r="D892">
        <v>3013532</v>
      </c>
    </row>
    <row r="893" spans="1:4">
      <c r="A893">
        <v>888</v>
      </c>
      <c r="B893" s="11">
        <v>45902.541666666664</v>
      </c>
      <c r="C893" s="7">
        <v>635.86739999999998</v>
      </c>
      <c r="D893">
        <v>2277702</v>
      </c>
    </row>
    <row r="894" spans="1:4">
      <c r="A894">
        <v>889</v>
      </c>
      <c r="B894" s="11">
        <v>45902.520833333336</v>
      </c>
      <c r="C894" s="7">
        <v>635.149</v>
      </c>
      <c r="D894">
        <v>2240552</v>
      </c>
    </row>
    <row r="895" spans="1:4">
      <c r="A895">
        <v>890</v>
      </c>
      <c r="B895" s="11">
        <v>45902.5</v>
      </c>
      <c r="C895" s="7">
        <v>633.86260000000004</v>
      </c>
      <c r="D895">
        <v>2299231</v>
      </c>
    </row>
    <row r="896" spans="1:4">
      <c r="A896">
        <v>891</v>
      </c>
      <c r="B896" s="11">
        <v>45902.479166666664</v>
      </c>
      <c r="C896" s="7">
        <v>633.43380000000002</v>
      </c>
      <c r="D896">
        <v>3131119</v>
      </c>
    </row>
    <row r="897" spans="1:4">
      <c r="A897">
        <v>892</v>
      </c>
      <c r="B897" s="11">
        <v>45902.458333333336</v>
      </c>
      <c r="C897" s="7">
        <v>634.74019999999996</v>
      </c>
      <c r="D897">
        <v>2721900</v>
      </c>
    </row>
    <row r="898" spans="1:4">
      <c r="A898">
        <v>893</v>
      </c>
      <c r="B898" s="11">
        <v>45902.4375</v>
      </c>
      <c r="C898" s="7">
        <v>635.88699999999994</v>
      </c>
      <c r="D898">
        <v>3297740</v>
      </c>
    </row>
    <row r="899" spans="1:4">
      <c r="A899">
        <v>894</v>
      </c>
      <c r="B899" s="11">
        <v>45902.416666666664</v>
      </c>
      <c r="C899" s="7">
        <v>637.58230000000003</v>
      </c>
      <c r="D899">
        <v>4192303</v>
      </c>
    </row>
    <row r="900" spans="1:4">
      <c r="A900">
        <v>895</v>
      </c>
      <c r="B900" s="11">
        <v>45902.395833333336</v>
      </c>
      <c r="C900" s="7">
        <v>637.56230000000005</v>
      </c>
      <c r="D900">
        <v>9867278</v>
      </c>
    </row>
    <row r="901" spans="1:4">
      <c r="A901">
        <v>896</v>
      </c>
      <c r="B901" s="11">
        <v>45898.666666666664</v>
      </c>
      <c r="C901" s="7">
        <v>643.26649999999995</v>
      </c>
      <c r="D901">
        <v>24529791</v>
      </c>
    </row>
    <row r="902" spans="1:4">
      <c r="A902">
        <v>897</v>
      </c>
      <c r="B902" s="11">
        <v>45898.645833333336</v>
      </c>
      <c r="C902" s="7">
        <v>643.36630000000002</v>
      </c>
      <c r="D902">
        <v>13692131</v>
      </c>
    </row>
    <row r="903" spans="1:4">
      <c r="A903">
        <v>898</v>
      </c>
      <c r="B903" s="11">
        <v>45898.625</v>
      </c>
      <c r="C903" s="7">
        <v>642.84770000000003</v>
      </c>
      <c r="D903">
        <v>3065886</v>
      </c>
    </row>
    <row r="904" spans="1:4">
      <c r="A904">
        <v>899</v>
      </c>
      <c r="B904" s="11">
        <v>45898.604166666664</v>
      </c>
      <c r="C904" s="7">
        <v>642.69809999999995</v>
      </c>
      <c r="D904">
        <v>1566847</v>
      </c>
    </row>
    <row r="905" spans="1:4">
      <c r="A905">
        <v>900</v>
      </c>
      <c r="B905" s="11">
        <v>45898.583333333336</v>
      </c>
      <c r="C905" s="7">
        <v>642.5086</v>
      </c>
      <c r="D905">
        <v>1819965</v>
      </c>
    </row>
    <row r="906" spans="1:4">
      <c r="A906">
        <v>901</v>
      </c>
      <c r="B906" s="11">
        <v>45898.5625</v>
      </c>
      <c r="C906" s="7">
        <v>642.85770000000002</v>
      </c>
      <c r="D906">
        <v>1943982</v>
      </c>
    </row>
    <row r="907" spans="1:4">
      <c r="A907">
        <v>902</v>
      </c>
      <c r="B907" s="11">
        <v>45898.541666666664</v>
      </c>
      <c r="C907" s="7">
        <v>642.20939999999996</v>
      </c>
      <c r="D907">
        <v>2374393</v>
      </c>
    </row>
    <row r="908" spans="1:4">
      <c r="A908">
        <v>903</v>
      </c>
      <c r="B908" s="11">
        <v>45898.520833333336</v>
      </c>
      <c r="C908" s="7">
        <v>642.91750000000002</v>
      </c>
      <c r="D908">
        <v>1619586</v>
      </c>
    </row>
    <row r="909" spans="1:4">
      <c r="A909">
        <v>904</v>
      </c>
      <c r="B909" s="11">
        <v>45898.5</v>
      </c>
      <c r="C909" s="7">
        <v>642.42880000000002</v>
      </c>
      <c r="D909">
        <v>1861256</v>
      </c>
    </row>
    <row r="910" spans="1:4">
      <c r="A910">
        <v>905</v>
      </c>
      <c r="B910" s="11">
        <v>45898.479166666664</v>
      </c>
      <c r="C910" s="7">
        <v>641.98009999999999</v>
      </c>
      <c r="D910">
        <v>2066755</v>
      </c>
    </row>
    <row r="911" spans="1:4">
      <c r="A911">
        <v>906</v>
      </c>
      <c r="B911" s="11">
        <v>45898.458333333336</v>
      </c>
      <c r="C911" s="7">
        <v>642.65729999999996</v>
      </c>
      <c r="D911">
        <v>2267753</v>
      </c>
    </row>
    <row r="912" spans="1:4">
      <c r="A912">
        <v>907</v>
      </c>
      <c r="B912" s="11">
        <v>45898.4375</v>
      </c>
      <c r="C912" s="7">
        <v>641.95510000000002</v>
      </c>
      <c r="D912">
        <v>3876706</v>
      </c>
    </row>
    <row r="913" spans="1:4">
      <c r="A913">
        <v>908</v>
      </c>
      <c r="B913" s="11">
        <v>45898.416666666664</v>
      </c>
      <c r="C913" s="7">
        <v>642.84270000000004</v>
      </c>
      <c r="D913">
        <v>7032185</v>
      </c>
    </row>
    <row r="914" spans="1:4">
      <c r="A914">
        <v>909</v>
      </c>
      <c r="B914" s="11">
        <v>45898.395833333336</v>
      </c>
      <c r="C914" s="7">
        <v>643.71280000000002</v>
      </c>
      <c r="D914">
        <v>6804956</v>
      </c>
    </row>
    <row r="915" spans="1:4">
      <c r="A915">
        <v>910</v>
      </c>
      <c r="B915" s="11">
        <v>45897.666666666664</v>
      </c>
      <c r="C915" s="7">
        <v>647.12580000000003</v>
      </c>
      <c r="D915">
        <v>21426750</v>
      </c>
    </row>
    <row r="916" spans="1:4">
      <c r="A916">
        <v>911</v>
      </c>
      <c r="B916" s="11">
        <v>45897.645833333336</v>
      </c>
      <c r="C916" s="7">
        <v>647.13959999999997</v>
      </c>
      <c r="D916">
        <v>9034557</v>
      </c>
    </row>
    <row r="917" spans="1:4">
      <c r="A917">
        <v>912</v>
      </c>
      <c r="B917" s="11">
        <v>45897.625</v>
      </c>
      <c r="C917" s="7">
        <v>647.14070000000004</v>
      </c>
      <c r="D917">
        <v>2389459</v>
      </c>
    </row>
    <row r="918" spans="1:4">
      <c r="A918">
        <v>913</v>
      </c>
      <c r="B918" s="11">
        <v>45897.604166666664</v>
      </c>
      <c r="C918" s="7">
        <v>647.18550000000005</v>
      </c>
      <c r="D918">
        <v>2834036</v>
      </c>
    </row>
    <row r="919" spans="1:4">
      <c r="A919">
        <v>914</v>
      </c>
      <c r="B919" s="11">
        <v>45897.583333333336</v>
      </c>
      <c r="C919" s="7">
        <v>646.85659999999996</v>
      </c>
      <c r="D919">
        <v>2076434</v>
      </c>
    </row>
    <row r="920" spans="1:4">
      <c r="A920">
        <v>915</v>
      </c>
      <c r="B920" s="11">
        <v>45897.5625</v>
      </c>
      <c r="C920" s="7">
        <v>646.58360000000005</v>
      </c>
      <c r="D920">
        <v>1813752</v>
      </c>
    </row>
    <row r="921" spans="1:4">
      <c r="A921">
        <v>916</v>
      </c>
      <c r="B921" s="11">
        <v>45897.541666666664</v>
      </c>
      <c r="C921" s="7">
        <v>646.33799999999997</v>
      </c>
      <c r="D921">
        <v>1457753</v>
      </c>
    </row>
    <row r="922" spans="1:4">
      <c r="A922">
        <v>917</v>
      </c>
      <c r="B922" s="11">
        <v>45897.520833333336</v>
      </c>
      <c r="C922" s="7">
        <v>645.88919999999996</v>
      </c>
      <c r="D922">
        <v>1715779</v>
      </c>
    </row>
    <row r="923" spans="1:4">
      <c r="A923">
        <v>918</v>
      </c>
      <c r="B923" s="11">
        <v>45897.5</v>
      </c>
      <c r="C923" s="7">
        <v>646.36789999999996</v>
      </c>
      <c r="D923">
        <v>2122788</v>
      </c>
    </row>
    <row r="924" spans="1:4">
      <c r="A924">
        <v>919</v>
      </c>
      <c r="B924" s="11">
        <v>45897.479166666664</v>
      </c>
      <c r="C924" s="7">
        <v>645.27800000000002</v>
      </c>
      <c r="D924">
        <v>1856436</v>
      </c>
    </row>
    <row r="925" spans="1:4">
      <c r="A925">
        <v>920</v>
      </c>
      <c r="B925" s="11">
        <v>45897.458333333336</v>
      </c>
      <c r="C925" s="7">
        <v>644.48320000000001</v>
      </c>
      <c r="D925">
        <v>2611648</v>
      </c>
    </row>
    <row r="926" spans="1:4">
      <c r="A926">
        <v>921</v>
      </c>
      <c r="B926" s="11">
        <v>45897.4375</v>
      </c>
      <c r="C926" s="7">
        <v>645.0865</v>
      </c>
      <c r="D926">
        <v>2605231</v>
      </c>
    </row>
    <row r="927" spans="1:4">
      <c r="A927">
        <v>922</v>
      </c>
      <c r="B927" s="11">
        <v>45897.416666666664</v>
      </c>
      <c r="C927" s="7">
        <v>644.24379999999996</v>
      </c>
      <c r="D927">
        <v>3090824</v>
      </c>
    </row>
    <row r="928" spans="1:4">
      <c r="A928">
        <v>923</v>
      </c>
      <c r="B928" s="11">
        <v>45897.395833333336</v>
      </c>
      <c r="C928" s="7">
        <v>644.27369999999996</v>
      </c>
      <c r="D928">
        <v>6484013</v>
      </c>
    </row>
    <row r="929" spans="1:4">
      <c r="A929">
        <v>924</v>
      </c>
      <c r="B929" s="11">
        <v>45896.666666666664</v>
      </c>
      <c r="C929" s="7">
        <v>644.84220000000005</v>
      </c>
      <c r="D929">
        <v>16766559</v>
      </c>
    </row>
    <row r="930" spans="1:4">
      <c r="A930">
        <v>925</v>
      </c>
      <c r="B930" s="11">
        <v>45896.645833333336</v>
      </c>
      <c r="C930" s="7">
        <v>644.78229999999996</v>
      </c>
      <c r="D930">
        <v>5905935</v>
      </c>
    </row>
    <row r="931" spans="1:4">
      <c r="A931">
        <v>926</v>
      </c>
      <c r="B931" s="11">
        <v>45896.625</v>
      </c>
      <c r="C931" s="7">
        <v>644.90200000000004</v>
      </c>
      <c r="D931">
        <v>3270770</v>
      </c>
    </row>
    <row r="932" spans="1:4">
      <c r="A932">
        <v>927</v>
      </c>
      <c r="B932" s="11">
        <v>45896.604166666664</v>
      </c>
      <c r="C932" s="7">
        <v>645.23109999999997</v>
      </c>
      <c r="D932">
        <v>1522612</v>
      </c>
    </row>
    <row r="933" spans="1:4">
      <c r="A933">
        <v>928</v>
      </c>
      <c r="B933" s="11">
        <v>45896.583333333336</v>
      </c>
      <c r="C933" s="7">
        <v>645.44050000000004</v>
      </c>
      <c r="D933">
        <v>2140459</v>
      </c>
    </row>
    <row r="934" spans="1:4">
      <c r="A934">
        <v>929</v>
      </c>
      <c r="B934" s="11">
        <v>45896.5625</v>
      </c>
      <c r="C934" s="7">
        <v>644.96180000000004</v>
      </c>
      <c r="D934">
        <v>1174339</v>
      </c>
    </row>
    <row r="935" spans="1:4">
      <c r="A935">
        <v>930</v>
      </c>
      <c r="B935" s="11">
        <v>45896.541666666664</v>
      </c>
      <c r="C935" s="7">
        <v>644.66269999999997</v>
      </c>
      <c r="D935">
        <v>1518023</v>
      </c>
    </row>
    <row r="936" spans="1:4">
      <c r="A936">
        <v>931</v>
      </c>
      <c r="B936" s="11">
        <v>45896.520833333336</v>
      </c>
      <c r="C936" s="7">
        <v>644.4932</v>
      </c>
      <c r="D936">
        <v>1916922</v>
      </c>
    </row>
    <row r="937" spans="1:4">
      <c r="A937">
        <v>932</v>
      </c>
      <c r="B937" s="11">
        <v>45896.5</v>
      </c>
      <c r="C937" s="7">
        <v>644.15409999999997</v>
      </c>
      <c r="D937">
        <v>1677365</v>
      </c>
    </row>
    <row r="938" spans="1:4">
      <c r="A938">
        <v>933</v>
      </c>
      <c r="B938" s="11">
        <v>45896.479166666664</v>
      </c>
      <c r="C938" s="7">
        <v>644.75239999999997</v>
      </c>
      <c r="D938">
        <v>1688277</v>
      </c>
    </row>
    <row r="939" spans="1:4">
      <c r="A939">
        <v>934</v>
      </c>
      <c r="B939" s="11">
        <v>45896.458333333336</v>
      </c>
      <c r="C939" s="7">
        <v>644.5181</v>
      </c>
      <c r="D939">
        <v>1552957</v>
      </c>
    </row>
    <row r="940" spans="1:4">
      <c r="A940">
        <v>935</v>
      </c>
      <c r="B940" s="11">
        <v>45896.4375</v>
      </c>
      <c r="C940" s="7">
        <v>644.45820000000003</v>
      </c>
      <c r="D940">
        <v>2056507</v>
      </c>
    </row>
    <row r="941" spans="1:4">
      <c r="A941">
        <v>936</v>
      </c>
      <c r="B941" s="11">
        <v>45896.416666666664</v>
      </c>
      <c r="C941" s="7">
        <v>644.33360000000005</v>
      </c>
      <c r="D941">
        <v>2986956</v>
      </c>
    </row>
    <row r="942" spans="1:4">
      <c r="A942">
        <v>937</v>
      </c>
      <c r="B942" s="11">
        <v>45896.395833333336</v>
      </c>
      <c r="C942" s="7">
        <v>643.54330000000004</v>
      </c>
      <c r="D942">
        <v>4163387</v>
      </c>
    </row>
    <row r="943" spans="1:4">
      <c r="A943">
        <v>938</v>
      </c>
      <c r="B943" s="11">
        <v>45895.666666666664</v>
      </c>
      <c r="C943" s="7">
        <v>643.37620000000004</v>
      </c>
      <c r="D943">
        <v>18888670</v>
      </c>
    </row>
    <row r="944" spans="1:4">
      <c r="A944">
        <v>939</v>
      </c>
      <c r="B944" s="11">
        <v>45895.645833333336</v>
      </c>
      <c r="C944" s="7">
        <v>643.23659999999995</v>
      </c>
      <c r="D944">
        <v>9398213</v>
      </c>
    </row>
    <row r="945" spans="1:4">
      <c r="A945">
        <v>940</v>
      </c>
      <c r="B945" s="11">
        <v>45895.625</v>
      </c>
      <c r="C945" s="7">
        <v>642.75789999999995</v>
      </c>
      <c r="D945">
        <v>2673379</v>
      </c>
    </row>
    <row r="946" spans="1:4">
      <c r="A946">
        <v>941</v>
      </c>
      <c r="B946" s="11">
        <v>45895.604166666664</v>
      </c>
      <c r="C946" s="7">
        <v>642.08979999999997</v>
      </c>
      <c r="D946">
        <v>1850150</v>
      </c>
    </row>
    <row r="947" spans="1:4">
      <c r="A947">
        <v>942</v>
      </c>
      <c r="B947" s="11">
        <v>45895.583333333336</v>
      </c>
      <c r="C947" s="7">
        <v>641.74080000000004</v>
      </c>
      <c r="D947">
        <v>1497557</v>
      </c>
    </row>
    <row r="948" spans="1:4">
      <c r="A948">
        <v>943</v>
      </c>
      <c r="B948" s="11">
        <v>45895.5625</v>
      </c>
      <c r="C948" s="7">
        <v>641.08749999999998</v>
      </c>
      <c r="D948">
        <v>1494131</v>
      </c>
    </row>
    <row r="949" spans="1:4">
      <c r="A949">
        <v>944</v>
      </c>
      <c r="B949" s="11">
        <v>45895.541666666664</v>
      </c>
      <c r="C949" s="7">
        <v>641.75070000000005</v>
      </c>
      <c r="D949">
        <v>1139855</v>
      </c>
    </row>
    <row r="950" spans="1:4">
      <c r="A950">
        <v>945</v>
      </c>
      <c r="B950" s="11">
        <v>45895.520833333336</v>
      </c>
      <c r="C950" s="7">
        <v>641.50239999999997</v>
      </c>
      <c r="D950">
        <v>1044420</v>
      </c>
    </row>
    <row r="951" spans="1:4">
      <c r="A951">
        <v>946</v>
      </c>
      <c r="B951" s="11">
        <v>45895.5</v>
      </c>
      <c r="C951" s="7">
        <v>641.55129999999997</v>
      </c>
      <c r="D951">
        <v>1647352</v>
      </c>
    </row>
    <row r="952" spans="1:4">
      <c r="A952">
        <v>947</v>
      </c>
      <c r="B952" s="11">
        <v>45895.479166666664</v>
      </c>
      <c r="C952" s="7">
        <v>641.00279999999998</v>
      </c>
      <c r="D952">
        <v>1041363</v>
      </c>
    </row>
    <row r="953" spans="1:4">
      <c r="A953">
        <v>948</v>
      </c>
      <c r="B953" s="11">
        <v>45895.458333333336</v>
      </c>
      <c r="C953" s="7">
        <v>640.65369999999996</v>
      </c>
      <c r="D953">
        <v>1647790</v>
      </c>
    </row>
    <row r="954" spans="1:4">
      <c r="A954">
        <v>949</v>
      </c>
      <c r="B954" s="11">
        <v>45895.4375</v>
      </c>
      <c r="C954" s="7">
        <v>640.90309999999999</v>
      </c>
      <c r="D954">
        <v>1922580</v>
      </c>
    </row>
    <row r="955" spans="1:4">
      <c r="A955">
        <v>950</v>
      </c>
      <c r="B955" s="11">
        <v>45895.416666666664</v>
      </c>
      <c r="C955" s="7">
        <v>641.29129999999998</v>
      </c>
      <c r="D955">
        <v>2966848</v>
      </c>
    </row>
    <row r="956" spans="1:4">
      <c r="A956">
        <v>951</v>
      </c>
      <c r="B956" s="11">
        <v>45895.395833333336</v>
      </c>
      <c r="C956" s="7">
        <v>640.71360000000004</v>
      </c>
      <c r="D956">
        <v>4369256</v>
      </c>
    </row>
    <row r="957" spans="1:4">
      <c r="A957">
        <v>952</v>
      </c>
      <c r="B957" s="11">
        <v>45894.666666666664</v>
      </c>
      <c r="C957" s="7">
        <v>640.69359999999995</v>
      </c>
      <c r="D957">
        <v>17059006</v>
      </c>
    </row>
    <row r="958" spans="1:4">
      <c r="A958">
        <v>953</v>
      </c>
      <c r="B958" s="11">
        <v>45894.645833333336</v>
      </c>
      <c r="C958" s="7">
        <v>640.69359999999995</v>
      </c>
      <c r="D958">
        <v>7723502</v>
      </c>
    </row>
    <row r="959" spans="1:4">
      <c r="A959">
        <v>954</v>
      </c>
      <c r="B959" s="11">
        <v>45894.625</v>
      </c>
      <c r="C959" s="7">
        <v>641.91030000000001</v>
      </c>
      <c r="D959">
        <v>2429032</v>
      </c>
    </row>
    <row r="960" spans="1:4">
      <c r="A960">
        <v>955</v>
      </c>
      <c r="B960" s="11">
        <v>45894.604166666664</v>
      </c>
      <c r="C960" s="7">
        <v>642.17960000000005</v>
      </c>
      <c r="D960">
        <v>1567654</v>
      </c>
    </row>
    <row r="961" spans="1:4">
      <c r="A961">
        <v>956</v>
      </c>
      <c r="B961" s="11">
        <v>45894.583333333336</v>
      </c>
      <c r="C961" s="7">
        <v>642.41890000000001</v>
      </c>
      <c r="D961">
        <v>1840350</v>
      </c>
    </row>
    <row r="962" spans="1:4">
      <c r="A962">
        <v>957</v>
      </c>
      <c r="B962" s="11">
        <v>45894.5625</v>
      </c>
      <c r="C962" s="7">
        <v>642.71310000000005</v>
      </c>
      <c r="D962">
        <v>1697157</v>
      </c>
    </row>
    <row r="963" spans="1:4">
      <c r="A963">
        <v>958</v>
      </c>
      <c r="B963" s="11">
        <v>45894.541666666664</v>
      </c>
      <c r="C963" s="7">
        <v>642.86760000000004</v>
      </c>
      <c r="D963">
        <v>1479055</v>
      </c>
    </row>
    <row r="964" spans="1:4">
      <c r="A964">
        <v>959</v>
      </c>
      <c r="B964" s="11">
        <v>45894.520833333336</v>
      </c>
      <c r="C964" s="7">
        <v>643.20169999999996</v>
      </c>
      <c r="D964">
        <v>1302930</v>
      </c>
    </row>
    <row r="965" spans="1:4">
      <c r="A965">
        <v>960</v>
      </c>
      <c r="B965" s="11">
        <v>45894.5</v>
      </c>
      <c r="C965" s="7">
        <v>643.12689999999998</v>
      </c>
      <c r="D965">
        <v>1453685</v>
      </c>
    </row>
    <row r="966" spans="1:4">
      <c r="A966">
        <v>961</v>
      </c>
      <c r="B966" s="11">
        <v>45894.479166666664</v>
      </c>
      <c r="C966" s="7">
        <v>643.17679999999996</v>
      </c>
      <c r="D966">
        <v>1692739</v>
      </c>
    </row>
    <row r="967" spans="1:4">
      <c r="A967">
        <v>962</v>
      </c>
      <c r="B967" s="11">
        <v>45894.458333333336</v>
      </c>
      <c r="C967" s="7">
        <v>643.12689999999998</v>
      </c>
      <c r="D967">
        <v>2024484</v>
      </c>
    </row>
    <row r="968" spans="1:4">
      <c r="A968">
        <v>963</v>
      </c>
      <c r="B968" s="11">
        <v>45894.4375</v>
      </c>
      <c r="C968" s="7">
        <v>642.59839999999997</v>
      </c>
      <c r="D968">
        <v>2119322</v>
      </c>
    </row>
    <row r="969" spans="1:4">
      <c r="A969">
        <v>964</v>
      </c>
      <c r="B969" s="11">
        <v>45894.416666666664</v>
      </c>
      <c r="C969" s="7">
        <v>642.34910000000002</v>
      </c>
      <c r="D969">
        <v>3415496</v>
      </c>
    </row>
    <row r="970" spans="1:4">
      <c r="A970">
        <v>965</v>
      </c>
      <c r="B970" s="11">
        <v>45894.395833333336</v>
      </c>
      <c r="C970" s="7">
        <v>642.55849999999998</v>
      </c>
      <c r="D970">
        <v>5469920</v>
      </c>
    </row>
    <row r="971" spans="1:4">
      <c r="A971">
        <v>966</v>
      </c>
      <c r="B971" s="11">
        <v>45891.666666666664</v>
      </c>
      <c r="C971" s="7">
        <v>643.5258</v>
      </c>
      <c r="D971">
        <v>22222512</v>
      </c>
    </row>
    <row r="972" spans="1:4">
      <c r="A972">
        <v>967</v>
      </c>
      <c r="B972" s="11">
        <v>45891.645833333336</v>
      </c>
      <c r="C972" s="7">
        <v>643.51580000000001</v>
      </c>
      <c r="D972">
        <v>12826651</v>
      </c>
    </row>
    <row r="973" spans="1:4">
      <c r="A973">
        <v>968</v>
      </c>
      <c r="B973" s="11">
        <v>45891.625</v>
      </c>
      <c r="C973" s="7">
        <v>643.29639999999995</v>
      </c>
      <c r="D973">
        <v>3178877</v>
      </c>
    </row>
    <row r="974" spans="1:4">
      <c r="A974">
        <v>969</v>
      </c>
      <c r="B974" s="11">
        <v>45891.604166666664</v>
      </c>
      <c r="C974" s="7">
        <v>643.68529999999998</v>
      </c>
      <c r="D974">
        <v>2605034</v>
      </c>
    </row>
    <row r="975" spans="1:4">
      <c r="A975">
        <v>970</v>
      </c>
      <c r="B975" s="11">
        <v>45891.583333333336</v>
      </c>
      <c r="C975" s="7">
        <v>643.6454</v>
      </c>
      <c r="D975">
        <v>2379579</v>
      </c>
    </row>
    <row r="976" spans="1:4">
      <c r="A976">
        <v>971</v>
      </c>
      <c r="B976" s="11">
        <v>45891.5625</v>
      </c>
      <c r="C976" s="7">
        <v>644.01440000000002</v>
      </c>
      <c r="D976">
        <v>1782770</v>
      </c>
    </row>
    <row r="977" spans="1:4">
      <c r="A977">
        <v>972</v>
      </c>
      <c r="B977" s="11">
        <v>45891.541666666664</v>
      </c>
      <c r="C977" s="7">
        <v>644.37339999999995</v>
      </c>
      <c r="D977">
        <v>2475370</v>
      </c>
    </row>
    <row r="978" spans="1:4">
      <c r="A978">
        <v>973</v>
      </c>
      <c r="B978" s="11">
        <v>45891.520833333336</v>
      </c>
      <c r="C978" s="7">
        <v>642.9973</v>
      </c>
      <c r="D978">
        <v>1631693</v>
      </c>
    </row>
    <row r="979" spans="1:4">
      <c r="A979">
        <v>974</v>
      </c>
      <c r="B979" s="11">
        <v>45891.5</v>
      </c>
      <c r="C979" s="7">
        <v>643.0172</v>
      </c>
      <c r="D979">
        <v>2719927</v>
      </c>
    </row>
    <row r="980" spans="1:4">
      <c r="A980">
        <v>975</v>
      </c>
      <c r="B980" s="11">
        <v>45891.479166666664</v>
      </c>
      <c r="C980" s="7">
        <v>643.65440000000001</v>
      </c>
      <c r="D980">
        <v>3161064</v>
      </c>
    </row>
    <row r="981" spans="1:4">
      <c r="A981">
        <v>976</v>
      </c>
      <c r="B981" s="11">
        <v>45891.458333333336</v>
      </c>
      <c r="C981" s="7">
        <v>644.19389999999999</v>
      </c>
      <c r="D981">
        <v>4448115</v>
      </c>
    </row>
    <row r="982" spans="1:4">
      <c r="A982">
        <v>977</v>
      </c>
      <c r="B982" s="11">
        <v>45891.4375</v>
      </c>
      <c r="C982" s="7">
        <v>643.90470000000005</v>
      </c>
      <c r="D982">
        <v>4992432</v>
      </c>
    </row>
    <row r="983" spans="1:4">
      <c r="A983">
        <v>978</v>
      </c>
      <c r="B983" s="11">
        <v>45891.416666666664</v>
      </c>
      <c r="C983" s="7">
        <v>642.4683</v>
      </c>
      <c r="D983">
        <v>14188096</v>
      </c>
    </row>
    <row r="984" spans="1:4">
      <c r="A984">
        <v>979</v>
      </c>
      <c r="B984" s="11">
        <v>45891.395833333336</v>
      </c>
      <c r="C984" s="7">
        <v>637.14350000000002</v>
      </c>
      <c r="D984">
        <v>5471096</v>
      </c>
    </row>
    <row r="985" spans="1:4">
      <c r="A985">
        <v>980</v>
      </c>
      <c r="B985" s="11">
        <v>45890.666666666664</v>
      </c>
      <c r="C985" s="7">
        <v>633.79280000000006</v>
      </c>
      <c r="D985">
        <v>19440427</v>
      </c>
    </row>
    <row r="986" spans="1:4">
      <c r="A986">
        <v>981</v>
      </c>
      <c r="B986" s="11">
        <v>45890.645833333336</v>
      </c>
      <c r="C986" s="7">
        <v>633.79280000000006</v>
      </c>
      <c r="D986">
        <v>7141123</v>
      </c>
    </row>
    <row r="987" spans="1:4">
      <c r="A987">
        <v>982</v>
      </c>
      <c r="B987" s="11">
        <v>45890.625</v>
      </c>
      <c r="C987" s="7">
        <v>634.1617</v>
      </c>
      <c r="D987">
        <v>1941567</v>
      </c>
    </row>
    <row r="988" spans="1:4">
      <c r="A988">
        <v>983</v>
      </c>
      <c r="B988" s="11">
        <v>45890.604166666664</v>
      </c>
      <c r="C988" s="7">
        <v>634.28639999999996</v>
      </c>
      <c r="D988">
        <v>1981015</v>
      </c>
    </row>
    <row r="989" spans="1:4">
      <c r="A989">
        <v>984</v>
      </c>
      <c r="B989" s="11">
        <v>45890.583333333336</v>
      </c>
      <c r="C989" s="7">
        <v>633.76480000000004</v>
      </c>
      <c r="D989">
        <v>1498465</v>
      </c>
    </row>
    <row r="990" spans="1:4">
      <c r="A990">
        <v>985</v>
      </c>
      <c r="B990" s="11">
        <v>45890.5625</v>
      </c>
      <c r="C990" s="7">
        <v>634.11189999999999</v>
      </c>
      <c r="D990">
        <v>2118794</v>
      </c>
    </row>
    <row r="991" spans="1:4">
      <c r="A991">
        <v>986</v>
      </c>
      <c r="B991" s="11">
        <v>45890.541666666664</v>
      </c>
      <c r="C991" s="7">
        <v>632.64099999999996</v>
      </c>
      <c r="D991">
        <v>2019751</v>
      </c>
    </row>
    <row r="992" spans="1:4">
      <c r="A992">
        <v>987</v>
      </c>
      <c r="B992" s="11">
        <v>45890.520833333336</v>
      </c>
      <c r="C992" s="7">
        <v>633.12459999999999</v>
      </c>
      <c r="D992">
        <v>1554284</v>
      </c>
    </row>
    <row r="993" spans="1:4">
      <c r="A993">
        <v>988</v>
      </c>
      <c r="B993" s="11">
        <v>45890.5</v>
      </c>
      <c r="C993" s="7">
        <v>633.46370000000002</v>
      </c>
      <c r="D993">
        <v>2168078</v>
      </c>
    </row>
    <row r="994" spans="1:4">
      <c r="A994">
        <v>989</v>
      </c>
      <c r="B994" s="11">
        <v>45890.479166666664</v>
      </c>
      <c r="C994" s="7">
        <v>633.86260000000004</v>
      </c>
      <c r="D994">
        <v>1872232</v>
      </c>
    </row>
    <row r="995" spans="1:4">
      <c r="A995">
        <v>990</v>
      </c>
      <c r="B995" s="11">
        <v>45890.458333333336</v>
      </c>
      <c r="C995" s="7">
        <v>634.92960000000005</v>
      </c>
      <c r="D995">
        <v>2357104</v>
      </c>
    </row>
    <row r="996" spans="1:4">
      <c r="A996">
        <v>991</v>
      </c>
      <c r="B996" s="11">
        <v>45890.4375</v>
      </c>
      <c r="C996" s="7">
        <v>635.44820000000004</v>
      </c>
      <c r="D996">
        <v>1844874</v>
      </c>
    </row>
    <row r="997" spans="1:4">
      <c r="A997">
        <v>992</v>
      </c>
      <c r="B997" s="11">
        <v>45890.416666666664</v>
      </c>
      <c r="C997" s="7">
        <v>636.06650000000002</v>
      </c>
      <c r="D997">
        <v>3081287</v>
      </c>
    </row>
    <row r="998" spans="1:4">
      <c r="A998">
        <v>993</v>
      </c>
      <c r="B998" s="11">
        <v>45890.395833333336</v>
      </c>
      <c r="C998" s="7">
        <v>633.30409999999995</v>
      </c>
      <c r="D998">
        <v>5786775</v>
      </c>
    </row>
    <row r="999" spans="1:4">
      <c r="A999">
        <v>994</v>
      </c>
      <c r="B999" s="11">
        <v>45889.666666666664</v>
      </c>
      <c r="C999" s="7">
        <v>636.34569999999997</v>
      </c>
      <c r="D999">
        <v>30337246</v>
      </c>
    </row>
    <row r="1000" spans="1:4">
      <c r="A1000">
        <v>995</v>
      </c>
      <c r="B1000" s="11">
        <v>45889.645833333336</v>
      </c>
      <c r="C1000" s="7">
        <v>636.34569999999997</v>
      </c>
      <c r="D1000">
        <v>8528843</v>
      </c>
    </row>
    <row r="1001" spans="1:4">
      <c r="A1001">
        <v>996</v>
      </c>
      <c r="B1001" s="11">
        <v>45889.625</v>
      </c>
      <c r="C1001" s="7">
        <v>636.50519999999995</v>
      </c>
      <c r="D1001">
        <v>3868900</v>
      </c>
    </row>
    <row r="1002" spans="1:4">
      <c r="A1002">
        <v>997</v>
      </c>
      <c r="B1002" s="11">
        <v>45889.604166666664</v>
      </c>
      <c r="C1002" s="7">
        <v>634.96950000000004</v>
      </c>
      <c r="D1002">
        <v>2824430</v>
      </c>
    </row>
    <row r="1003" spans="1:4">
      <c r="A1003">
        <v>998</v>
      </c>
      <c r="B1003" s="11">
        <v>45889.583333333336</v>
      </c>
      <c r="C1003" s="7">
        <v>634.06200000000001</v>
      </c>
      <c r="D1003">
        <v>3728960</v>
      </c>
    </row>
    <row r="1004" spans="1:4">
      <c r="A1004">
        <v>999</v>
      </c>
      <c r="B1004" s="11">
        <v>45889.5625</v>
      </c>
      <c r="C1004" s="7">
        <v>635.41830000000004</v>
      </c>
      <c r="D1004">
        <v>1776844</v>
      </c>
    </row>
    <row r="1005" spans="1:4">
      <c r="A1005">
        <v>1000</v>
      </c>
      <c r="B1005" s="11">
        <v>45889.541666666664</v>
      </c>
      <c r="C1005" s="7">
        <v>634.80999999999995</v>
      </c>
      <c r="D1005">
        <v>1694415</v>
      </c>
    </row>
    <row r="1006" spans="1:4">
      <c r="A1006">
        <v>1001</v>
      </c>
      <c r="B1006" s="11">
        <v>45889.520833333336</v>
      </c>
      <c r="C1006" s="7">
        <v>634.46090000000004</v>
      </c>
      <c r="D1006">
        <v>2317887</v>
      </c>
    </row>
    <row r="1007" spans="1:4">
      <c r="A1007">
        <v>1002</v>
      </c>
      <c r="B1007" s="11">
        <v>45889.5</v>
      </c>
      <c r="C1007" s="7">
        <v>635.66759999999999</v>
      </c>
      <c r="D1007">
        <v>3208795</v>
      </c>
    </row>
    <row r="1008" spans="1:4">
      <c r="A1008">
        <v>1003</v>
      </c>
      <c r="B1008" s="11">
        <v>45889.479166666664</v>
      </c>
      <c r="C1008" s="7">
        <v>633.42380000000003</v>
      </c>
      <c r="D1008">
        <v>3323580</v>
      </c>
    </row>
    <row r="1009" spans="1:4">
      <c r="A1009">
        <v>1004</v>
      </c>
      <c r="B1009" s="11">
        <v>45889.458333333336</v>
      </c>
      <c r="C1009" s="7">
        <v>634.5806</v>
      </c>
      <c r="D1009">
        <v>4601057</v>
      </c>
    </row>
    <row r="1010" spans="1:4">
      <c r="A1010">
        <v>1005</v>
      </c>
      <c r="B1010" s="11">
        <v>45889.4375</v>
      </c>
      <c r="C1010" s="7">
        <v>631.42930000000001</v>
      </c>
      <c r="D1010">
        <v>4243728</v>
      </c>
    </row>
    <row r="1011" spans="1:4">
      <c r="A1011">
        <v>1006</v>
      </c>
      <c r="B1011" s="11">
        <v>45889.416666666664</v>
      </c>
      <c r="C1011" s="7">
        <v>632.18730000000005</v>
      </c>
      <c r="D1011">
        <v>7629039</v>
      </c>
    </row>
    <row r="1012" spans="1:4">
      <c r="A1012">
        <v>1007</v>
      </c>
      <c r="B1012" s="11">
        <v>45889.395833333336</v>
      </c>
      <c r="C1012" s="7">
        <v>633.55349999999999</v>
      </c>
      <c r="D1012">
        <v>10806572</v>
      </c>
    </row>
    <row r="1013" spans="1:4">
      <c r="A1013">
        <v>1008</v>
      </c>
      <c r="B1013" s="11">
        <v>45888.666666666664</v>
      </c>
      <c r="C1013" s="7">
        <v>638.04100000000005</v>
      </c>
      <c r="D1013">
        <v>21671708</v>
      </c>
    </row>
    <row r="1014" spans="1:4">
      <c r="A1014">
        <v>1009</v>
      </c>
      <c r="B1014" s="11">
        <v>45888.645833333336</v>
      </c>
      <c r="C1014" s="7">
        <v>638.04100000000005</v>
      </c>
      <c r="D1014">
        <v>9412757</v>
      </c>
    </row>
    <row r="1015" spans="1:4">
      <c r="A1015">
        <v>1010</v>
      </c>
      <c r="B1015" s="11">
        <v>45888.625</v>
      </c>
      <c r="C1015" s="7">
        <v>637.44269999999995</v>
      </c>
      <c r="D1015">
        <v>3713105</v>
      </c>
    </row>
    <row r="1016" spans="1:4">
      <c r="A1016">
        <v>1011</v>
      </c>
      <c r="B1016" s="11">
        <v>45888.604166666664</v>
      </c>
      <c r="C1016" s="7">
        <v>637.26319999999998</v>
      </c>
      <c r="D1016">
        <v>2237062</v>
      </c>
    </row>
    <row r="1017" spans="1:4">
      <c r="A1017">
        <v>1012</v>
      </c>
      <c r="B1017" s="11">
        <v>45888.583333333336</v>
      </c>
      <c r="C1017" s="7">
        <v>637.303</v>
      </c>
      <c r="D1017">
        <v>2316145</v>
      </c>
    </row>
    <row r="1018" spans="1:4">
      <c r="A1018">
        <v>1013</v>
      </c>
      <c r="B1018" s="11">
        <v>45888.5625</v>
      </c>
      <c r="C1018" s="7">
        <v>638.07090000000005</v>
      </c>
      <c r="D1018">
        <v>1872200</v>
      </c>
    </row>
    <row r="1019" spans="1:4">
      <c r="A1019">
        <v>1014</v>
      </c>
      <c r="B1019" s="11">
        <v>45888.541666666664</v>
      </c>
      <c r="C1019" s="7">
        <v>637.91139999999996</v>
      </c>
      <c r="D1019">
        <v>2894677</v>
      </c>
    </row>
    <row r="1020" spans="1:4">
      <c r="A1020">
        <v>1015</v>
      </c>
      <c r="B1020" s="11">
        <v>45888.520833333336</v>
      </c>
      <c r="C1020" s="7">
        <v>637.94129999999996</v>
      </c>
      <c r="D1020">
        <v>2995417</v>
      </c>
    </row>
    <row r="1021" spans="1:4">
      <c r="A1021">
        <v>1016</v>
      </c>
      <c r="B1021" s="11">
        <v>45888.5</v>
      </c>
      <c r="C1021" s="7">
        <v>638.55460000000005</v>
      </c>
      <c r="D1021">
        <v>2280344</v>
      </c>
    </row>
    <row r="1022" spans="1:4">
      <c r="A1022">
        <v>1017</v>
      </c>
      <c r="B1022" s="11">
        <v>45888.479166666664</v>
      </c>
      <c r="C1022" s="7">
        <v>638.95839999999998</v>
      </c>
      <c r="D1022">
        <v>2399548</v>
      </c>
    </row>
    <row r="1023" spans="1:4">
      <c r="A1023">
        <v>1018</v>
      </c>
      <c r="B1023" s="11">
        <v>45888.458333333336</v>
      </c>
      <c r="C1023" s="7">
        <v>639.79610000000002</v>
      </c>
      <c r="D1023">
        <v>3453486</v>
      </c>
    </row>
    <row r="1024" spans="1:4">
      <c r="A1024">
        <v>1019</v>
      </c>
      <c r="B1024" s="11">
        <v>45888.4375</v>
      </c>
      <c r="C1024" s="7">
        <v>639.48199999999997</v>
      </c>
      <c r="D1024">
        <v>5009553</v>
      </c>
    </row>
    <row r="1025" spans="1:4">
      <c r="A1025">
        <v>1020</v>
      </c>
      <c r="B1025" s="11">
        <v>45888.416666666664</v>
      </c>
      <c r="C1025" s="7">
        <v>641.27200000000005</v>
      </c>
      <c r="D1025">
        <v>3756868</v>
      </c>
    </row>
    <row r="1026" spans="1:4">
      <c r="A1026">
        <v>1021</v>
      </c>
      <c r="B1026" s="11">
        <v>45888.395833333336</v>
      </c>
      <c r="C1026" s="7">
        <v>641.10249999999996</v>
      </c>
      <c r="D1026">
        <v>5737858</v>
      </c>
    </row>
    <row r="1027" spans="1:4">
      <c r="A1027">
        <v>1022</v>
      </c>
      <c r="B1027" s="11">
        <v>45887.666666666664</v>
      </c>
      <c r="C1027" s="7">
        <v>641.52139999999997</v>
      </c>
      <c r="D1027">
        <v>14691624</v>
      </c>
    </row>
    <row r="1028" spans="1:4">
      <c r="A1028">
        <v>1023</v>
      </c>
      <c r="B1028" s="11">
        <v>45887.645833333336</v>
      </c>
      <c r="C1028" s="7">
        <v>641.52139999999997</v>
      </c>
      <c r="D1028">
        <v>5692897</v>
      </c>
    </row>
    <row r="1029" spans="1:4">
      <c r="A1029">
        <v>1024</v>
      </c>
      <c r="B1029" s="11">
        <v>45887.625</v>
      </c>
      <c r="C1029" s="7">
        <v>641.4615</v>
      </c>
      <c r="D1029">
        <v>1893647</v>
      </c>
    </row>
    <row r="1030" spans="1:4">
      <c r="A1030">
        <v>1025</v>
      </c>
      <c r="B1030" s="11">
        <v>45887.604166666664</v>
      </c>
      <c r="C1030" s="7">
        <v>641.62609999999995</v>
      </c>
      <c r="D1030">
        <v>2039652</v>
      </c>
    </row>
    <row r="1031" spans="1:4">
      <c r="A1031">
        <v>1026</v>
      </c>
      <c r="B1031" s="11">
        <v>45887.583333333336</v>
      </c>
      <c r="C1031" s="7">
        <v>640.97289999999998</v>
      </c>
      <c r="D1031">
        <v>1452772</v>
      </c>
    </row>
    <row r="1032" spans="1:4">
      <c r="A1032">
        <v>1027</v>
      </c>
      <c r="B1032" s="11">
        <v>45887.5625</v>
      </c>
      <c r="C1032" s="7">
        <v>641.01279999999997</v>
      </c>
      <c r="D1032">
        <v>1846572</v>
      </c>
    </row>
    <row r="1033" spans="1:4">
      <c r="A1033">
        <v>1028</v>
      </c>
      <c r="B1033" s="11">
        <v>45887.541666666664</v>
      </c>
      <c r="C1033" s="7">
        <v>641.38670000000002</v>
      </c>
      <c r="D1033">
        <v>1166616</v>
      </c>
    </row>
    <row r="1034" spans="1:4">
      <c r="A1034">
        <v>1029</v>
      </c>
      <c r="B1034" s="11">
        <v>45887.520833333336</v>
      </c>
      <c r="C1034" s="7">
        <v>640.71360000000004</v>
      </c>
      <c r="D1034">
        <v>1383506</v>
      </c>
    </row>
    <row r="1035" spans="1:4">
      <c r="A1035">
        <v>1030</v>
      </c>
      <c r="B1035" s="11">
        <v>45887.5</v>
      </c>
      <c r="C1035" s="7">
        <v>641.34529999999995</v>
      </c>
      <c r="D1035">
        <v>1192231</v>
      </c>
    </row>
    <row r="1036" spans="1:4">
      <c r="A1036">
        <v>1031</v>
      </c>
      <c r="B1036" s="11">
        <v>45887.479166666664</v>
      </c>
      <c r="C1036" s="7">
        <v>640.9479</v>
      </c>
      <c r="D1036">
        <v>1216647</v>
      </c>
    </row>
    <row r="1037" spans="1:4">
      <c r="A1037">
        <v>1032</v>
      </c>
      <c r="B1037" s="11">
        <v>45887.458333333336</v>
      </c>
      <c r="C1037" s="7">
        <v>640.97289999999998</v>
      </c>
      <c r="D1037">
        <v>1684640</v>
      </c>
    </row>
    <row r="1038" spans="1:4">
      <c r="A1038">
        <v>1033</v>
      </c>
      <c r="B1038" s="11">
        <v>45887.4375</v>
      </c>
      <c r="C1038" s="7">
        <v>641.44150000000002</v>
      </c>
      <c r="D1038">
        <v>2333708</v>
      </c>
    </row>
    <row r="1039" spans="1:4">
      <c r="A1039">
        <v>1034</v>
      </c>
      <c r="B1039" s="11">
        <v>45887.416666666664</v>
      </c>
      <c r="C1039" s="7">
        <v>641.14239999999995</v>
      </c>
      <c r="D1039">
        <v>2724771</v>
      </c>
    </row>
    <row r="1040" spans="1:4">
      <c r="A1040">
        <v>1035</v>
      </c>
      <c r="B1040" s="11">
        <v>45887.395833333336</v>
      </c>
      <c r="C1040" s="7">
        <v>640.96289999999999</v>
      </c>
      <c r="D1040">
        <v>4485629</v>
      </c>
    </row>
    <row r="1041" spans="1:4">
      <c r="A1041">
        <v>1036</v>
      </c>
      <c r="B1041" s="11">
        <v>45884.666666666664</v>
      </c>
      <c r="C1041" s="7">
        <v>641.66089999999997</v>
      </c>
      <c r="D1041">
        <v>29468213</v>
      </c>
    </row>
    <row r="1042" spans="1:4">
      <c r="A1042">
        <v>1037</v>
      </c>
      <c r="B1042" s="11">
        <v>45884.645833333336</v>
      </c>
      <c r="C1042" s="7">
        <v>641.66089999999997</v>
      </c>
      <c r="D1042">
        <v>7301487</v>
      </c>
    </row>
    <row r="1043" spans="1:4">
      <c r="A1043">
        <v>1038</v>
      </c>
      <c r="B1043" s="11">
        <v>45884.625</v>
      </c>
      <c r="C1043" s="7">
        <v>642.02</v>
      </c>
      <c r="D1043">
        <v>3193951</v>
      </c>
    </row>
    <row r="1044" spans="1:4">
      <c r="A1044">
        <v>1039</v>
      </c>
      <c r="B1044" s="11">
        <v>45884.604166666664</v>
      </c>
      <c r="C1044" s="7">
        <v>642.47370000000001</v>
      </c>
      <c r="D1044">
        <v>2136084</v>
      </c>
    </row>
    <row r="1045" spans="1:4">
      <c r="A1045">
        <v>1040</v>
      </c>
      <c r="B1045" s="11">
        <v>45884.583333333336</v>
      </c>
      <c r="C1045" s="7">
        <v>642.73800000000006</v>
      </c>
      <c r="D1045">
        <v>2697391</v>
      </c>
    </row>
    <row r="1046" spans="1:4">
      <c r="A1046">
        <v>1041</v>
      </c>
      <c r="B1046" s="11">
        <v>45884.5625</v>
      </c>
      <c r="C1046" s="7">
        <v>642.93740000000003</v>
      </c>
      <c r="D1046">
        <v>2006720</v>
      </c>
    </row>
    <row r="1047" spans="1:4">
      <c r="A1047">
        <v>1042</v>
      </c>
      <c r="B1047" s="11">
        <v>45884.541666666664</v>
      </c>
      <c r="C1047" s="7">
        <v>642.38390000000004</v>
      </c>
      <c r="D1047">
        <v>1857701</v>
      </c>
    </row>
    <row r="1048" spans="1:4">
      <c r="A1048">
        <v>1043</v>
      </c>
      <c r="B1048" s="11">
        <v>45884.520833333336</v>
      </c>
      <c r="C1048" s="7">
        <v>642.27919999999995</v>
      </c>
      <c r="D1048">
        <v>1818708</v>
      </c>
    </row>
    <row r="1049" spans="1:4">
      <c r="A1049">
        <v>1044</v>
      </c>
      <c r="B1049" s="11">
        <v>45884.5</v>
      </c>
      <c r="C1049" s="7">
        <v>641.55129999999997</v>
      </c>
      <c r="D1049">
        <v>2148069</v>
      </c>
    </row>
    <row r="1050" spans="1:4">
      <c r="A1050">
        <v>1045</v>
      </c>
      <c r="B1050" s="11">
        <v>45884.479166666664</v>
      </c>
      <c r="C1050" s="7">
        <v>641.59109999999998</v>
      </c>
      <c r="D1050">
        <v>3058646</v>
      </c>
    </row>
    <row r="1051" spans="1:4">
      <c r="A1051">
        <v>1046</v>
      </c>
      <c r="B1051" s="11">
        <v>45884.458333333336</v>
      </c>
      <c r="C1051" s="7">
        <v>641.71079999999995</v>
      </c>
      <c r="D1051">
        <v>2146008</v>
      </c>
    </row>
    <row r="1052" spans="1:4">
      <c r="A1052">
        <v>1047</v>
      </c>
      <c r="B1052" s="11">
        <v>45884.4375</v>
      </c>
      <c r="C1052" s="7">
        <v>641.75070000000005</v>
      </c>
      <c r="D1052">
        <v>2236771</v>
      </c>
    </row>
    <row r="1053" spans="1:4">
      <c r="A1053">
        <v>1048</v>
      </c>
      <c r="B1053" s="11">
        <v>45884.416666666664</v>
      </c>
      <c r="C1053" s="7">
        <v>642.38890000000004</v>
      </c>
      <c r="D1053">
        <v>3353255</v>
      </c>
    </row>
    <row r="1054" spans="1:4">
      <c r="A1054">
        <v>1049</v>
      </c>
      <c r="B1054" s="11">
        <v>45884.395833333336</v>
      </c>
      <c r="C1054" s="7">
        <v>641.63620000000003</v>
      </c>
      <c r="D1054">
        <v>5169500</v>
      </c>
    </row>
    <row r="1055" spans="1:4">
      <c r="A1055">
        <v>1050</v>
      </c>
      <c r="B1055" s="11">
        <v>45883.666666666664</v>
      </c>
      <c r="C1055" s="7">
        <v>643.16679999999997</v>
      </c>
      <c r="D1055">
        <v>20721323</v>
      </c>
    </row>
    <row r="1056" spans="1:4">
      <c r="A1056">
        <v>1051</v>
      </c>
      <c r="B1056" s="11">
        <v>45883.645833333336</v>
      </c>
      <c r="C1056" s="7">
        <v>643.15679999999998</v>
      </c>
      <c r="D1056">
        <v>7106497</v>
      </c>
    </row>
    <row r="1057" spans="1:4">
      <c r="A1057">
        <v>1052</v>
      </c>
      <c r="B1057" s="11">
        <v>45883.625</v>
      </c>
      <c r="C1057" s="7">
        <v>643.22659999999996</v>
      </c>
      <c r="D1057">
        <v>3079370</v>
      </c>
    </row>
    <row r="1058" spans="1:4">
      <c r="A1058">
        <v>1053</v>
      </c>
      <c r="B1058" s="11">
        <v>45883.604166666664</v>
      </c>
      <c r="C1058" s="7">
        <v>642.79790000000003</v>
      </c>
      <c r="D1058">
        <v>2312992</v>
      </c>
    </row>
    <row r="1059" spans="1:4">
      <c r="A1059">
        <v>1054</v>
      </c>
      <c r="B1059" s="11">
        <v>45883.583333333336</v>
      </c>
      <c r="C1059" s="7">
        <v>642.26930000000004</v>
      </c>
      <c r="D1059">
        <v>2391158</v>
      </c>
    </row>
    <row r="1060" spans="1:4">
      <c r="A1060">
        <v>1055</v>
      </c>
      <c r="B1060" s="11">
        <v>45883.5625</v>
      </c>
      <c r="C1060" s="7">
        <v>642.89750000000004</v>
      </c>
      <c r="D1060">
        <v>1602717</v>
      </c>
    </row>
    <row r="1061" spans="1:4">
      <c r="A1061">
        <v>1056</v>
      </c>
      <c r="B1061" s="11">
        <v>45883.541666666664</v>
      </c>
      <c r="C1061" s="7">
        <v>643.22659999999996</v>
      </c>
      <c r="D1061">
        <v>1680762</v>
      </c>
    </row>
    <row r="1062" spans="1:4">
      <c r="A1062">
        <v>1057</v>
      </c>
      <c r="B1062" s="11">
        <v>45883.520833333336</v>
      </c>
      <c r="C1062" s="7">
        <v>642.39890000000003</v>
      </c>
      <c r="D1062">
        <v>1514323</v>
      </c>
    </row>
    <row r="1063" spans="1:4">
      <c r="A1063">
        <v>1058</v>
      </c>
      <c r="B1063" s="11">
        <v>45883.5</v>
      </c>
      <c r="C1063" s="7">
        <v>641.33180000000004</v>
      </c>
      <c r="D1063">
        <v>2042446</v>
      </c>
    </row>
    <row r="1064" spans="1:4">
      <c r="A1064">
        <v>1059</v>
      </c>
      <c r="B1064" s="11">
        <v>45883.479166666664</v>
      </c>
      <c r="C1064" s="7">
        <v>642.26930000000004</v>
      </c>
      <c r="D1064">
        <v>2542524</v>
      </c>
    </row>
    <row r="1065" spans="1:4">
      <c r="A1065">
        <v>1060</v>
      </c>
      <c r="B1065" s="11">
        <v>45883.458333333336</v>
      </c>
      <c r="C1065" s="7">
        <v>641.53129999999999</v>
      </c>
      <c r="D1065">
        <v>2856286</v>
      </c>
    </row>
    <row r="1066" spans="1:4">
      <c r="A1066">
        <v>1061</v>
      </c>
      <c r="B1066" s="11">
        <v>45883.4375</v>
      </c>
      <c r="C1066" s="7">
        <v>642.95730000000003</v>
      </c>
      <c r="D1066">
        <v>2977255</v>
      </c>
    </row>
    <row r="1067" spans="1:4">
      <c r="A1067">
        <v>1062</v>
      </c>
      <c r="B1067" s="11">
        <v>45883.416666666664</v>
      </c>
      <c r="C1067" s="7">
        <v>642.45870000000002</v>
      </c>
      <c r="D1067">
        <v>2701448</v>
      </c>
    </row>
    <row r="1068" spans="1:4">
      <c r="A1068">
        <v>1063</v>
      </c>
      <c r="B1068" s="11">
        <v>45883.395833333336</v>
      </c>
      <c r="C1068" s="7">
        <v>642.28719999999998</v>
      </c>
      <c r="D1068">
        <v>5798363</v>
      </c>
    </row>
    <row r="1069" spans="1:4">
      <c r="A1069">
        <v>1064</v>
      </c>
      <c r="B1069" s="11">
        <v>45882.666666666664</v>
      </c>
      <c r="C1069" s="7">
        <v>643.10699999999997</v>
      </c>
      <c r="D1069">
        <v>19778817</v>
      </c>
    </row>
    <row r="1070" spans="1:4">
      <c r="A1070">
        <v>1065</v>
      </c>
      <c r="B1070" s="11">
        <v>45882.645833333336</v>
      </c>
      <c r="C1070" s="7">
        <v>643.10699999999997</v>
      </c>
      <c r="D1070">
        <v>7505989</v>
      </c>
    </row>
    <row r="1071" spans="1:4">
      <c r="A1071">
        <v>1066</v>
      </c>
      <c r="B1071" s="11">
        <v>45882.625</v>
      </c>
      <c r="C1071" s="7">
        <v>642.5385</v>
      </c>
      <c r="D1071">
        <v>2619840</v>
      </c>
    </row>
    <row r="1072" spans="1:4">
      <c r="A1072">
        <v>1067</v>
      </c>
      <c r="B1072" s="11">
        <v>45882.604166666664</v>
      </c>
      <c r="C1072" s="7">
        <v>642.21140000000003</v>
      </c>
      <c r="D1072">
        <v>2258650</v>
      </c>
    </row>
    <row r="1073" spans="1:4">
      <c r="A1073">
        <v>1068</v>
      </c>
      <c r="B1073" s="11">
        <v>45882.583333333336</v>
      </c>
      <c r="C1073" s="7">
        <v>642.12469999999996</v>
      </c>
      <c r="D1073">
        <v>1863986</v>
      </c>
    </row>
    <row r="1074" spans="1:4">
      <c r="A1074">
        <v>1069</v>
      </c>
      <c r="B1074" s="11">
        <v>45882.5625</v>
      </c>
      <c r="C1074" s="7">
        <v>641.74570000000006</v>
      </c>
      <c r="D1074">
        <v>1694987</v>
      </c>
    </row>
    <row r="1075" spans="1:4">
      <c r="A1075">
        <v>1070</v>
      </c>
      <c r="B1075" s="11">
        <v>45882.541666666664</v>
      </c>
      <c r="C1075" s="7">
        <v>641.87900000000002</v>
      </c>
      <c r="D1075">
        <v>1970752</v>
      </c>
    </row>
    <row r="1076" spans="1:4">
      <c r="A1076">
        <v>1071</v>
      </c>
      <c r="B1076" s="11">
        <v>45882.520833333336</v>
      </c>
      <c r="C1076" s="7">
        <v>641.2296</v>
      </c>
      <c r="D1076">
        <v>1750568</v>
      </c>
    </row>
    <row r="1077" spans="1:4">
      <c r="A1077">
        <v>1072</v>
      </c>
      <c r="B1077" s="11">
        <v>45882.5</v>
      </c>
      <c r="C1077" s="7">
        <v>641.48140000000001</v>
      </c>
      <c r="D1077">
        <v>1430669</v>
      </c>
    </row>
    <row r="1078" spans="1:4">
      <c r="A1078">
        <v>1073</v>
      </c>
      <c r="B1078" s="11">
        <v>45882.479166666664</v>
      </c>
      <c r="C1078" s="7">
        <v>641.67100000000005</v>
      </c>
      <c r="D1078">
        <v>2242277</v>
      </c>
    </row>
    <row r="1079" spans="1:4">
      <c r="A1079">
        <v>1074</v>
      </c>
      <c r="B1079" s="11">
        <v>45882.458333333336</v>
      </c>
      <c r="C1079" s="7">
        <v>641.91030000000001</v>
      </c>
      <c r="D1079">
        <v>3423774</v>
      </c>
    </row>
    <row r="1080" spans="1:4">
      <c r="A1080">
        <v>1075</v>
      </c>
      <c r="B1080" s="11">
        <v>45882.4375</v>
      </c>
      <c r="C1080" s="7">
        <v>642.03</v>
      </c>
      <c r="D1080">
        <v>3386641</v>
      </c>
    </row>
    <row r="1081" spans="1:4">
      <c r="A1081">
        <v>1076</v>
      </c>
      <c r="B1081" s="11">
        <v>45882.416666666664</v>
      </c>
      <c r="C1081" s="7">
        <v>642.46310000000005</v>
      </c>
      <c r="D1081">
        <v>4327748</v>
      </c>
    </row>
    <row r="1082" spans="1:4">
      <c r="A1082">
        <v>1077</v>
      </c>
      <c r="B1082" s="11">
        <v>45882.395833333336</v>
      </c>
      <c r="C1082" s="7">
        <v>643.80510000000004</v>
      </c>
      <c r="D1082">
        <v>5838094</v>
      </c>
    </row>
    <row r="1083" spans="1:4">
      <c r="A1083">
        <v>1078</v>
      </c>
      <c r="B1083" s="11">
        <v>45881.666666666664</v>
      </c>
      <c r="C1083" s="7">
        <v>640.91300000000001</v>
      </c>
      <c r="D1083">
        <v>20051198</v>
      </c>
    </row>
    <row r="1084" spans="1:4">
      <c r="A1084">
        <v>1079</v>
      </c>
      <c r="B1084" s="11">
        <v>45881.645833333336</v>
      </c>
      <c r="C1084" s="7">
        <v>640.91300000000001</v>
      </c>
      <c r="D1084">
        <v>9252704</v>
      </c>
    </row>
    <row r="1085" spans="1:4">
      <c r="A1085">
        <v>1080</v>
      </c>
      <c r="B1085" s="11">
        <v>45881.625</v>
      </c>
      <c r="C1085" s="7">
        <v>640.54909999999995</v>
      </c>
      <c r="D1085">
        <v>2314568</v>
      </c>
    </row>
    <row r="1086" spans="1:4">
      <c r="A1086">
        <v>1081</v>
      </c>
      <c r="B1086" s="11">
        <v>45881.604166666664</v>
      </c>
      <c r="C1086" s="7">
        <v>640.23490000000004</v>
      </c>
      <c r="D1086">
        <v>1992029</v>
      </c>
    </row>
    <row r="1087" spans="1:4">
      <c r="A1087">
        <v>1082</v>
      </c>
      <c r="B1087" s="11">
        <v>45881.583333333336</v>
      </c>
      <c r="C1087" s="7">
        <v>640.47220000000004</v>
      </c>
      <c r="D1087">
        <v>2154413</v>
      </c>
    </row>
    <row r="1088" spans="1:4">
      <c r="A1088">
        <v>1083</v>
      </c>
      <c r="B1088" s="11">
        <v>45881.5625</v>
      </c>
      <c r="C1088" s="7">
        <v>640.3098</v>
      </c>
      <c r="D1088">
        <v>1617648</v>
      </c>
    </row>
    <row r="1089" spans="1:4">
      <c r="A1089">
        <v>1084</v>
      </c>
      <c r="B1089" s="11">
        <v>45881.541666666664</v>
      </c>
      <c r="C1089" s="7">
        <v>639.76620000000003</v>
      </c>
      <c r="D1089">
        <v>1555664</v>
      </c>
    </row>
    <row r="1090" spans="1:4">
      <c r="A1090">
        <v>1085</v>
      </c>
      <c r="B1090" s="11">
        <v>45881.520833333336</v>
      </c>
      <c r="C1090" s="7">
        <v>639.93079999999998</v>
      </c>
      <c r="D1090">
        <v>1957173</v>
      </c>
    </row>
    <row r="1091" spans="1:4">
      <c r="A1091">
        <v>1086</v>
      </c>
      <c r="B1091" s="11">
        <v>45881.5</v>
      </c>
      <c r="C1091" s="7">
        <v>639.60670000000005</v>
      </c>
      <c r="D1091">
        <v>1775052</v>
      </c>
    </row>
    <row r="1092" spans="1:4">
      <c r="A1092">
        <v>1087</v>
      </c>
      <c r="B1092" s="11">
        <v>45881.479166666664</v>
      </c>
      <c r="C1092" s="7">
        <v>639.41719999999998</v>
      </c>
      <c r="D1092">
        <v>2603331</v>
      </c>
    </row>
    <row r="1093" spans="1:4">
      <c r="A1093">
        <v>1088</v>
      </c>
      <c r="B1093" s="11">
        <v>45881.458333333336</v>
      </c>
      <c r="C1093" s="7">
        <v>638.75900000000001</v>
      </c>
      <c r="D1093">
        <v>3719051</v>
      </c>
    </row>
    <row r="1094" spans="1:4">
      <c r="A1094">
        <v>1089</v>
      </c>
      <c r="B1094" s="11">
        <v>45881.4375</v>
      </c>
      <c r="C1094" s="7">
        <v>638.11009999999999</v>
      </c>
      <c r="D1094">
        <v>3194372</v>
      </c>
    </row>
    <row r="1095" spans="1:4">
      <c r="A1095">
        <v>1090</v>
      </c>
      <c r="B1095" s="11">
        <v>45881.416666666664</v>
      </c>
      <c r="C1095" s="7">
        <v>637.56230000000005</v>
      </c>
      <c r="D1095">
        <v>4240010</v>
      </c>
    </row>
    <row r="1096" spans="1:4">
      <c r="A1096">
        <v>1091</v>
      </c>
      <c r="B1096" s="11">
        <v>45881.395833333336</v>
      </c>
      <c r="C1096" s="7">
        <v>635.40830000000005</v>
      </c>
      <c r="D1096">
        <v>8394587</v>
      </c>
    </row>
    <row r="1097" spans="1:4">
      <c r="A1097">
        <v>1092</v>
      </c>
      <c r="B1097" s="11">
        <v>45880.666666666664</v>
      </c>
      <c r="C1097" s="7">
        <v>634.1617</v>
      </c>
      <c r="D1097">
        <v>17861287</v>
      </c>
    </row>
    <row r="1098" spans="1:4">
      <c r="A1098">
        <v>1093</v>
      </c>
      <c r="B1098" s="11">
        <v>45880.645833333336</v>
      </c>
      <c r="C1098" s="7">
        <v>634.1617</v>
      </c>
      <c r="D1098">
        <v>11052405</v>
      </c>
    </row>
    <row r="1099" spans="1:4">
      <c r="A1099">
        <v>1094</v>
      </c>
      <c r="B1099" s="11">
        <v>45880.625</v>
      </c>
      <c r="C1099" s="7">
        <v>634.52080000000001</v>
      </c>
      <c r="D1099">
        <v>1631757</v>
      </c>
    </row>
    <row r="1100" spans="1:4">
      <c r="A1100">
        <v>1095</v>
      </c>
      <c r="B1100" s="11">
        <v>45880.604166666664</v>
      </c>
      <c r="C1100" s="7">
        <v>634.72019999999998</v>
      </c>
      <c r="D1100">
        <v>2494777</v>
      </c>
    </row>
    <row r="1101" spans="1:4">
      <c r="A1101">
        <v>1096</v>
      </c>
      <c r="B1101" s="11">
        <v>45880.583333333336</v>
      </c>
      <c r="C1101" s="7">
        <v>634.74509999999998</v>
      </c>
      <c r="D1101">
        <v>3191582</v>
      </c>
    </row>
    <row r="1102" spans="1:4">
      <c r="A1102">
        <v>1097</v>
      </c>
      <c r="B1102" s="11">
        <v>45880.5625</v>
      </c>
      <c r="C1102" s="7">
        <v>635.08920000000001</v>
      </c>
      <c r="D1102">
        <v>2169086</v>
      </c>
    </row>
    <row r="1103" spans="1:4">
      <c r="A1103">
        <v>1098</v>
      </c>
      <c r="B1103" s="11">
        <v>45880.541666666664</v>
      </c>
      <c r="C1103" s="7">
        <v>635.41830000000004</v>
      </c>
      <c r="D1103">
        <v>1649618</v>
      </c>
    </row>
    <row r="1104" spans="1:4">
      <c r="A1104">
        <v>1099</v>
      </c>
      <c r="B1104" s="11">
        <v>45880.520833333336</v>
      </c>
      <c r="C1104" s="7">
        <v>635.55790000000002</v>
      </c>
      <c r="D1104">
        <v>2196088</v>
      </c>
    </row>
    <row r="1105" spans="1:4">
      <c r="A1105">
        <v>1100</v>
      </c>
      <c r="B1105" s="11">
        <v>45880.5</v>
      </c>
      <c r="C1105" s="7">
        <v>636.78449999999998</v>
      </c>
      <c r="D1105">
        <v>2830835</v>
      </c>
    </row>
    <row r="1106" spans="1:4">
      <c r="A1106">
        <v>1101</v>
      </c>
      <c r="B1106" s="11">
        <v>45880.479166666664</v>
      </c>
      <c r="C1106" s="7">
        <v>636.09640000000002</v>
      </c>
      <c r="D1106">
        <v>2038819</v>
      </c>
    </row>
    <row r="1107" spans="1:4">
      <c r="A1107">
        <v>1102</v>
      </c>
      <c r="B1107" s="11">
        <v>45880.458333333336</v>
      </c>
      <c r="C1107" s="7">
        <v>635.30870000000004</v>
      </c>
      <c r="D1107">
        <v>1984889</v>
      </c>
    </row>
    <row r="1108" spans="1:4">
      <c r="A1108">
        <v>1103</v>
      </c>
      <c r="B1108" s="11">
        <v>45880.4375</v>
      </c>
      <c r="C1108" s="7">
        <v>634.99950000000001</v>
      </c>
      <c r="D1108">
        <v>2462056</v>
      </c>
    </row>
    <row r="1109" spans="1:4">
      <c r="A1109">
        <v>1104</v>
      </c>
      <c r="B1109" s="11">
        <v>45880.416666666664</v>
      </c>
      <c r="C1109" s="7">
        <v>635.48810000000003</v>
      </c>
      <c r="D1109">
        <v>2861676</v>
      </c>
    </row>
    <row r="1110" spans="1:4">
      <c r="A1110">
        <v>1105</v>
      </c>
      <c r="B1110" s="11">
        <v>45880.395833333336</v>
      </c>
      <c r="C1110" s="7">
        <v>635.93679999999995</v>
      </c>
      <c r="D1110">
        <v>4317425</v>
      </c>
    </row>
    <row r="1111" spans="1:4">
      <c r="A1111">
        <v>1106</v>
      </c>
      <c r="B1111" s="11">
        <v>45877.666666666664</v>
      </c>
      <c r="C1111" s="7">
        <v>635.41830000000004</v>
      </c>
      <c r="D1111">
        <v>22065935</v>
      </c>
    </row>
    <row r="1112" spans="1:4">
      <c r="A1112">
        <v>1107</v>
      </c>
      <c r="B1112" s="11">
        <v>45877.645833333336</v>
      </c>
      <c r="C1112" s="7">
        <v>635.38840000000005</v>
      </c>
      <c r="D1112">
        <v>8932944</v>
      </c>
    </row>
    <row r="1113" spans="1:4">
      <c r="A1113">
        <v>1108</v>
      </c>
      <c r="B1113" s="11">
        <v>45877.625</v>
      </c>
      <c r="C1113" s="7">
        <v>635.47310000000004</v>
      </c>
      <c r="D1113">
        <v>2858508</v>
      </c>
    </row>
    <row r="1114" spans="1:4">
      <c r="A1114">
        <v>1109</v>
      </c>
      <c r="B1114" s="11">
        <v>45877.604166666664</v>
      </c>
      <c r="C1114" s="7">
        <v>635.46310000000005</v>
      </c>
      <c r="D1114">
        <v>2238190</v>
      </c>
    </row>
    <row r="1115" spans="1:4">
      <c r="A1115">
        <v>1110</v>
      </c>
      <c r="B1115" s="11">
        <v>45877.583333333336</v>
      </c>
      <c r="C1115" s="7">
        <v>635.45809999999994</v>
      </c>
      <c r="D1115">
        <v>2036265</v>
      </c>
    </row>
    <row r="1116" spans="1:4">
      <c r="A1116">
        <v>1111</v>
      </c>
      <c r="B1116" s="11">
        <v>45877.5625</v>
      </c>
      <c r="C1116" s="7">
        <v>635.46690000000001</v>
      </c>
      <c r="D1116">
        <v>1537600</v>
      </c>
    </row>
    <row r="1117" spans="1:4">
      <c r="A1117">
        <v>1112</v>
      </c>
      <c r="B1117" s="11">
        <v>45877.541666666664</v>
      </c>
      <c r="C1117" s="7">
        <v>634.63099999999997</v>
      </c>
      <c r="D1117">
        <v>1798347</v>
      </c>
    </row>
    <row r="1118" spans="1:4">
      <c r="A1118">
        <v>1113</v>
      </c>
      <c r="B1118" s="11">
        <v>45877.520833333336</v>
      </c>
      <c r="C1118" s="7">
        <v>634.79</v>
      </c>
      <c r="D1118">
        <v>1778302</v>
      </c>
    </row>
    <row r="1119" spans="1:4">
      <c r="A1119">
        <v>1114</v>
      </c>
      <c r="B1119" s="11">
        <v>45877.5</v>
      </c>
      <c r="C1119" s="7">
        <v>635.13409999999999</v>
      </c>
      <c r="D1119">
        <v>2336081</v>
      </c>
    </row>
    <row r="1120" spans="1:4">
      <c r="A1120">
        <v>1115</v>
      </c>
      <c r="B1120" s="11">
        <v>45877.479166666664</v>
      </c>
      <c r="C1120" s="7">
        <v>634.57560000000001</v>
      </c>
      <c r="D1120">
        <v>2889168</v>
      </c>
    </row>
    <row r="1121" spans="1:4">
      <c r="A1121">
        <v>1116</v>
      </c>
      <c r="B1121" s="11">
        <v>45877.458333333336</v>
      </c>
      <c r="C1121" s="7">
        <v>634.23659999999995</v>
      </c>
      <c r="D1121">
        <v>2532821</v>
      </c>
    </row>
    <row r="1122" spans="1:4">
      <c r="A1122">
        <v>1117</v>
      </c>
      <c r="B1122" s="11">
        <v>45877.4375</v>
      </c>
      <c r="C1122" s="7">
        <v>634.072</v>
      </c>
      <c r="D1122">
        <v>3200368</v>
      </c>
    </row>
    <row r="1123" spans="1:4">
      <c r="A1123">
        <v>1118</v>
      </c>
      <c r="B1123" s="11">
        <v>45877.416666666664</v>
      </c>
      <c r="C1123" s="7">
        <v>634.68029999999999</v>
      </c>
      <c r="D1123">
        <v>4287697</v>
      </c>
    </row>
    <row r="1124" spans="1:4">
      <c r="A1124">
        <v>1119</v>
      </c>
      <c r="B1124" s="11">
        <v>45877.395833333336</v>
      </c>
      <c r="C1124" s="7">
        <v>634.19169999999997</v>
      </c>
      <c r="D1124">
        <v>5559398</v>
      </c>
    </row>
    <row r="1125" spans="1:4">
      <c r="A1125">
        <v>1120</v>
      </c>
      <c r="B1125" s="11">
        <v>45876.666666666664</v>
      </c>
      <c r="C1125" s="7">
        <v>630.50189999999998</v>
      </c>
      <c r="D1125">
        <v>22280465</v>
      </c>
    </row>
    <row r="1126" spans="1:4">
      <c r="A1126">
        <v>1121</v>
      </c>
      <c r="B1126" s="11">
        <v>45876.645833333336</v>
      </c>
      <c r="C1126" s="7">
        <v>630.50189999999998</v>
      </c>
      <c r="D1126">
        <v>7712249</v>
      </c>
    </row>
    <row r="1127" spans="1:4">
      <c r="A1127">
        <v>1122</v>
      </c>
      <c r="B1127" s="11">
        <v>45876.625</v>
      </c>
      <c r="C1127" s="7">
        <v>628.62710000000004</v>
      </c>
      <c r="D1127">
        <v>2695996</v>
      </c>
    </row>
    <row r="1128" spans="1:4">
      <c r="A1128">
        <v>1123</v>
      </c>
      <c r="B1128" s="11">
        <v>45876.604166666664</v>
      </c>
      <c r="C1128" s="7">
        <v>628.78740000000005</v>
      </c>
      <c r="D1128">
        <v>2476419</v>
      </c>
    </row>
    <row r="1129" spans="1:4">
      <c r="A1129">
        <v>1124</v>
      </c>
      <c r="B1129" s="11">
        <v>45876.583333333336</v>
      </c>
      <c r="C1129" s="7">
        <v>628.02880000000005</v>
      </c>
      <c r="D1129">
        <v>3282337</v>
      </c>
    </row>
    <row r="1130" spans="1:4">
      <c r="A1130">
        <v>1125</v>
      </c>
      <c r="B1130" s="11">
        <v>45876.5625</v>
      </c>
      <c r="C1130" s="7">
        <v>629.01340000000005</v>
      </c>
      <c r="D1130">
        <v>3181366</v>
      </c>
    </row>
    <row r="1131" spans="1:4">
      <c r="A1131">
        <v>1126</v>
      </c>
      <c r="B1131" s="11">
        <v>45876.541666666664</v>
      </c>
      <c r="C1131" s="7">
        <v>628.30799999999999</v>
      </c>
      <c r="D1131">
        <v>3146081</v>
      </c>
    </row>
    <row r="1132" spans="1:4">
      <c r="A1132">
        <v>1127</v>
      </c>
      <c r="B1132" s="11">
        <v>45876.520833333336</v>
      </c>
      <c r="C1132" s="7">
        <v>629.49469999999997</v>
      </c>
      <c r="D1132">
        <v>3863117</v>
      </c>
    </row>
    <row r="1133" spans="1:4">
      <c r="A1133">
        <v>1128</v>
      </c>
      <c r="B1133" s="11">
        <v>45876.5</v>
      </c>
      <c r="C1133" s="7">
        <v>630.46199999999999</v>
      </c>
      <c r="D1133">
        <v>2593360</v>
      </c>
    </row>
    <row r="1134" spans="1:4">
      <c r="A1134">
        <v>1129</v>
      </c>
      <c r="B1134" s="11">
        <v>45876.479166666664</v>
      </c>
      <c r="C1134" s="7">
        <v>630.09310000000005</v>
      </c>
      <c r="D1134">
        <v>3008707</v>
      </c>
    </row>
    <row r="1135" spans="1:4">
      <c r="A1135">
        <v>1130</v>
      </c>
      <c r="B1135" s="11">
        <v>45876.458333333336</v>
      </c>
      <c r="C1135" s="7">
        <v>630.18280000000004</v>
      </c>
      <c r="D1135">
        <v>3596460</v>
      </c>
    </row>
    <row r="1136" spans="1:4">
      <c r="A1136">
        <v>1131</v>
      </c>
      <c r="B1136" s="11">
        <v>45876.4375</v>
      </c>
      <c r="C1136" s="7">
        <v>631.00049999999999</v>
      </c>
      <c r="D1136">
        <v>4355565</v>
      </c>
    </row>
    <row r="1137" spans="1:4">
      <c r="A1137">
        <v>1132</v>
      </c>
      <c r="B1137" s="11">
        <v>45876.416666666664</v>
      </c>
      <c r="C1137" s="7">
        <v>632.01769999999999</v>
      </c>
      <c r="D1137">
        <v>5784395</v>
      </c>
    </row>
    <row r="1138" spans="1:4">
      <c r="A1138">
        <v>1133</v>
      </c>
      <c r="B1138" s="11">
        <v>45876.395833333336</v>
      </c>
      <c r="C1138" s="7">
        <v>634.79999999999995</v>
      </c>
      <c r="D1138">
        <v>6229275</v>
      </c>
    </row>
    <row r="1139" spans="1:4">
      <c r="A1139">
        <v>1134</v>
      </c>
      <c r="B1139" s="11">
        <v>45875.666666666664</v>
      </c>
      <c r="C1139" s="7">
        <v>631.03049999999996</v>
      </c>
      <c r="D1139">
        <v>21601670</v>
      </c>
    </row>
    <row r="1140" spans="1:4">
      <c r="A1140">
        <v>1135</v>
      </c>
      <c r="B1140" s="11">
        <v>45875.645833333336</v>
      </c>
      <c r="C1140" s="7">
        <v>631.03049999999996</v>
      </c>
      <c r="D1140">
        <v>10156262</v>
      </c>
    </row>
    <row r="1141" spans="1:4">
      <c r="A1141">
        <v>1136</v>
      </c>
      <c r="B1141" s="11">
        <v>45875.625</v>
      </c>
      <c r="C1141" s="7">
        <v>631.26980000000003</v>
      </c>
      <c r="D1141">
        <v>2346532</v>
      </c>
    </row>
    <row r="1142" spans="1:4">
      <c r="A1142">
        <v>1137</v>
      </c>
      <c r="B1142" s="11">
        <v>45875.604166666664</v>
      </c>
      <c r="C1142" s="7">
        <v>630.84100000000001</v>
      </c>
      <c r="D1142">
        <v>1967411</v>
      </c>
    </row>
    <row r="1143" spans="1:4">
      <c r="A1143">
        <v>1138</v>
      </c>
      <c r="B1143" s="11">
        <v>45875.583333333336</v>
      </c>
      <c r="C1143" s="7">
        <v>631.16499999999996</v>
      </c>
      <c r="D1143">
        <v>1888815</v>
      </c>
    </row>
    <row r="1144" spans="1:4">
      <c r="A1144">
        <v>1139</v>
      </c>
      <c r="B1144" s="11">
        <v>45875.5625</v>
      </c>
      <c r="C1144" s="7">
        <v>630.48689999999999</v>
      </c>
      <c r="D1144">
        <v>1645536</v>
      </c>
    </row>
    <row r="1145" spans="1:4">
      <c r="A1145">
        <v>1140</v>
      </c>
      <c r="B1145" s="11">
        <v>45875.541666666664</v>
      </c>
      <c r="C1145" s="7">
        <v>630.54909999999995</v>
      </c>
      <c r="D1145">
        <v>1478956</v>
      </c>
    </row>
    <row r="1146" spans="1:4">
      <c r="A1146">
        <v>1141</v>
      </c>
      <c r="B1146" s="11">
        <v>45875.520833333336</v>
      </c>
      <c r="C1146" s="7">
        <v>630.49189999999999</v>
      </c>
      <c r="D1146">
        <v>1963747</v>
      </c>
    </row>
    <row r="1147" spans="1:4">
      <c r="A1147">
        <v>1142</v>
      </c>
      <c r="B1147" s="11">
        <v>45875.5</v>
      </c>
      <c r="C1147" s="7">
        <v>630.64149999999995</v>
      </c>
      <c r="D1147">
        <v>1891124</v>
      </c>
    </row>
    <row r="1148" spans="1:4">
      <c r="A1148">
        <v>1143</v>
      </c>
      <c r="B1148" s="11">
        <v>45875.479166666664</v>
      </c>
      <c r="C1148" s="7">
        <v>630.9307</v>
      </c>
      <c r="D1148">
        <v>3563295</v>
      </c>
    </row>
    <row r="1149" spans="1:4">
      <c r="A1149">
        <v>1144</v>
      </c>
      <c r="B1149" s="11">
        <v>45875.458333333336</v>
      </c>
      <c r="C1149" s="7">
        <v>630.16780000000006</v>
      </c>
      <c r="D1149">
        <v>3148082</v>
      </c>
    </row>
    <row r="1150" spans="1:4">
      <c r="A1150">
        <v>1145</v>
      </c>
      <c r="B1150" s="11">
        <v>45875.4375</v>
      </c>
      <c r="C1150" s="7">
        <v>629.23540000000003</v>
      </c>
      <c r="D1150">
        <v>3338513</v>
      </c>
    </row>
    <row r="1151" spans="1:4">
      <c r="A1151">
        <v>1146</v>
      </c>
      <c r="B1151" s="11">
        <v>45875.416666666664</v>
      </c>
      <c r="C1151" s="7">
        <v>627.01660000000004</v>
      </c>
      <c r="D1151">
        <v>3975508</v>
      </c>
    </row>
    <row r="1152" spans="1:4">
      <c r="A1152">
        <v>1147</v>
      </c>
      <c r="B1152" s="11">
        <v>45875.395833333336</v>
      </c>
      <c r="C1152" s="7">
        <v>627.21109999999999</v>
      </c>
      <c r="D1152">
        <v>5392073</v>
      </c>
    </row>
    <row r="1153" spans="1:4">
      <c r="A1153">
        <v>1148</v>
      </c>
      <c r="B1153" s="11">
        <v>45874.666666666664</v>
      </c>
      <c r="C1153" s="7">
        <v>626.2337</v>
      </c>
      <c r="D1153">
        <v>20524017</v>
      </c>
    </row>
    <row r="1154" spans="1:4">
      <c r="A1154">
        <v>1149</v>
      </c>
      <c r="B1154" s="11">
        <v>45874.645833333336</v>
      </c>
      <c r="C1154" s="7">
        <v>626.2337</v>
      </c>
      <c r="D1154">
        <v>7180459</v>
      </c>
    </row>
    <row r="1155" spans="1:4">
      <c r="A1155">
        <v>1150</v>
      </c>
      <c r="B1155" s="11">
        <v>45874.625</v>
      </c>
      <c r="C1155" s="7">
        <v>627.24090000000001</v>
      </c>
      <c r="D1155">
        <v>2660503</v>
      </c>
    </row>
    <row r="1156" spans="1:4">
      <c r="A1156">
        <v>1151</v>
      </c>
      <c r="B1156" s="11">
        <v>45874.604166666664</v>
      </c>
      <c r="C1156" s="7">
        <v>626.70249999999999</v>
      </c>
      <c r="D1156">
        <v>2812173</v>
      </c>
    </row>
    <row r="1157" spans="1:4">
      <c r="A1157">
        <v>1152</v>
      </c>
      <c r="B1157" s="11">
        <v>45874.583333333336</v>
      </c>
      <c r="C1157" s="7">
        <v>626.8021</v>
      </c>
      <c r="D1157">
        <v>3333195</v>
      </c>
    </row>
    <row r="1158" spans="1:4">
      <c r="A1158">
        <v>1153</v>
      </c>
      <c r="B1158" s="11">
        <v>45874.5625</v>
      </c>
      <c r="C1158" s="7">
        <v>628.38779999999997</v>
      </c>
      <c r="D1158">
        <v>1885997</v>
      </c>
    </row>
    <row r="1159" spans="1:4">
      <c r="A1159">
        <v>1154</v>
      </c>
      <c r="B1159" s="11">
        <v>45874.541666666664</v>
      </c>
      <c r="C1159" s="7">
        <v>627.96690000000001</v>
      </c>
      <c r="D1159">
        <v>1469645</v>
      </c>
    </row>
    <row r="1160" spans="1:4">
      <c r="A1160">
        <v>1155</v>
      </c>
      <c r="B1160" s="11">
        <v>45874.520833333336</v>
      </c>
      <c r="C1160" s="7">
        <v>627.14120000000003</v>
      </c>
      <c r="D1160">
        <v>3082644</v>
      </c>
    </row>
    <row r="1161" spans="1:4">
      <c r="A1161">
        <v>1156</v>
      </c>
      <c r="B1161" s="11">
        <v>45874.5</v>
      </c>
      <c r="C1161" s="7">
        <v>627.28020000000004</v>
      </c>
      <c r="D1161">
        <v>2258266</v>
      </c>
    </row>
    <row r="1162" spans="1:4">
      <c r="A1162">
        <v>1157</v>
      </c>
      <c r="B1162" s="11">
        <v>45874.479166666664</v>
      </c>
      <c r="C1162" s="7">
        <v>626.31849999999997</v>
      </c>
      <c r="D1162">
        <v>2778972</v>
      </c>
    </row>
    <row r="1163" spans="1:4">
      <c r="A1163">
        <v>1158</v>
      </c>
      <c r="B1163" s="11">
        <v>45874.458333333336</v>
      </c>
      <c r="C1163" s="7">
        <v>626.18880000000001</v>
      </c>
      <c r="D1163">
        <v>3713861</v>
      </c>
    </row>
    <row r="1164" spans="1:4">
      <c r="A1164">
        <v>1159</v>
      </c>
      <c r="B1164" s="11">
        <v>45874.4375</v>
      </c>
      <c r="C1164" s="7">
        <v>626.14400000000001</v>
      </c>
      <c r="D1164">
        <v>6705442</v>
      </c>
    </row>
    <row r="1165" spans="1:4">
      <c r="A1165">
        <v>1160</v>
      </c>
      <c r="B1165" s="11">
        <v>45874.416666666664</v>
      </c>
      <c r="C1165" s="7">
        <v>628.10850000000005</v>
      </c>
      <c r="D1165">
        <v>4857039</v>
      </c>
    </row>
    <row r="1166" spans="1:4">
      <c r="A1166">
        <v>1161</v>
      </c>
      <c r="B1166" s="11">
        <v>45874.395833333336</v>
      </c>
      <c r="C1166" s="7">
        <v>629.49469999999997</v>
      </c>
      <c r="D1166">
        <v>4789187</v>
      </c>
    </row>
    <row r="1167" spans="1:4">
      <c r="A1167">
        <v>1162</v>
      </c>
      <c r="B1167" s="11">
        <v>45873.666666666664</v>
      </c>
      <c r="C1167" s="7">
        <v>629.42489999999998</v>
      </c>
      <c r="D1167">
        <v>22571351</v>
      </c>
    </row>
    <row r="1168" spans="1:4">
      <c r="A1168">
        <v>1163</v>
      </c>
      <c r="B1168" s="11">
        <v>45873.645833333336</v>
      </c>
      <c r="C1168" s="7">
        <v>629.36509999999998</v>
      </c>
      <c r="D1168">
        <v>9919356</v>
      </c>
    </row>
    <row r="1169" spans="1:4">
      <c r="A1169">
        <v>1164</v>
      </c>
      <c r="B1169" s="11">
        <v>45873.625</v>
      </c>
      <c r="C1169" s="7">
        <v>628.56730000000005</v>
      </c>
      <c r="D1169">
        <v>4046777</v>
      </c>
    </row>
    <row r="1170" spans="1:4">
      <c r="A1170">
        <v>1165</v>
      </c>
      <c r="B1170" s="11">
        <v>45873.604166666664</v>
      </c>
      <c r="C1170" s="7">
        <v>628.15340000000003</v>
      </c>
      <c r="D1170">
        <v>2135481</v>
      </c>
    </row>
    <row r="1171" spans="1:4">
      <c r="A1171">
        <v>1166</v>
      </c>
      <c r="B1171" s="11">
        <v>45873.583333333336</v>
      </c>
      <c r="C1171" s="7">
        <v>628.25810000000001</v>
      </c>
      <c r="D1171">
        <v>2847847</v>
      </c>
    </row>
    <row r="1172" spans="1:4">
      <c r="A1172">
        <v>1167</v>
      </c>
      <c r="B1172" s="11">
        <v>45873.5625</v>
      </c>
      <c r="C1172" s="7">
        <v>628.01880000000006</v>
      </c>
      <c r="D1172">
        <v>2371838</v>
      </c>
    </row>
    <row r="1173" spans="1:4">
      <c r="A1173">
        <v>1168</v>
      </c>
      <c r="B1173" s="11">
        <v>45873.541666666664</v>
      </c>
      <c r="C1173" s="7">
        <v>628.57230000000004</v>
      </c>
      <c r="D1173">
        <v>1964029</v>
      </c>
    </row>
    <row r="1174" spans="1:4">
      <c r="A1174">
        <v>1169</v>
      </c>
      <c r="B1174" s="11">
        <v>45873.520833333336</v>
      </c>
      <c r="C1174" s="7">
        <v>628.42759999999998</v>
      </c>
      <c r="D1174">
        <v>1995392</v>
      </c>
    </row>
    <row r="1175" spans="1:4">
      <c r="A1175">
        <v>1170</v>
      </c>
      <c r="B1175" s="11">
        <v>45873.5</v>
      </c>
      <c r="C1175" s="7">
        <v>627.98900000000003</v>
      </c>
      <c r="D1175">
        <v>2411427</v>
      </c>
    </row>
    <row r="1176" spans="1:4">
      <c r="A1176">
        <v>1171</v>
      </c>
      <c r="B1176" s="11">
        <v>45873.479166666664</v>
      </c>
      <c r="C1176" s="7">
        <v>628.17830000000004</v>
      </c>
      <c r="D1176">
        <v>3099248</v>
      </c>
    </row>
    <row r="1177" spans="1:4">
      <c r="A1177">
        <v>1172</v>
      </c>
      <c r="B1177" s="11">
        <v>45873.458333333336</v>
      </c>
      <c r="C1177" s="7">
        <v>627.24090000000001</v>
      </c>
      <c r="D1177">
        <v>3072662</v>
      </c>
    </row>
    <row r="1178" spans="1:4">
      <c r="A1178">
        <v>1173</v>
      </c>
      <c r="B1178" s="11">
        <v>45873.4375</v>
      </c>
      <c r="C1178" s="7">
        <v>627.41819999999996</v>
      </c>
      <c r="D1178">
        <v>4461681</v>
      </c>
    </row>
    <row r="1179" spans="1:4">
      <c r="A1179">
        <v>1174</v>
      </c>
      <c r="B1179" s="11">
        <v>45873.416666666664</v>
      </c>
      <c r="C1179" s="7">
        <v>627.68970000000002</v>
      </c>
      <c r="D1179">
        <v>4167806</v>
      </c>
    </row>
    <row r="1180" spans="1:4">
      <c r="A1180">
        <v>1175</v>
      </c>
      <c r="B1180" s="11">
        <v>45873.395833333336</v>
      </c>
      <c r="C1180" s="7">
        <v>627.40049999999997</v>
      </c>
      <c r="D1180">
        <v>8153121</v>
      </c>
    </row>
    <row r="1181" spans="1:4">
      <c r="A1181">
        <v>1176</v>
      </c>
      <c r="B1181" s="11">
        <v>45870.666666666664</v>
      </c>
      <c r="C1181" s="7">
        <v>620.00099999999998</v>
      </c>
      <c r="D1181">
        <v>39667691</v>
      </c>
    </row>
    <row r="1182" spans="1:4">
      <c r="A1182">
        <v>1177</v>
      </c>
      <c r="B1182" s="11">
        <v>45870.645833333336</v>
      </c>
      <c r="C1182" s="7">
        <v>620.00099999999998</v>
      </c>
      <c r="D1182">
        <v>16048035</v>
      </c>
    </row>
    <row r="1183" spans="1:4">
      <c r="A1183">
        <v>1178</v>
      </c>
      <c r="B1183" s="11">
        <v>45870.625</v>
      </c>
      <c r="C1183" s="7">
        <v>620.06089999999995</v>
      </c>
      <c r="D1183">
        <v>7480405</v>
      </c>
    </row>
    <row r="1184" spans="1:4">
      <c r="A1184">
        <v>1179</v>
      </c>
      <c r="B1184" s="11">
        <v>45870.604166666664</v>
      </c>
      <c r="C1184" s="7">
        <v>619.66200000000003</v>
      </c>
      <c r="D1184">
        <v>6810809</v>
      </c>
    </row>
    <row r="1185" spans="1:4">
      <c r="A1185">
        <v>1180</v>
      </c>
      <c r="B1185" s="11">
        <v>45870.583333333336</v>
      </c>
      <c r="C1185" s="7">
        <v>619.92129999999997</v>
      </c>
      <c r="D1185">
        <v>5686985</v>
      </c>
    </row>
    <row r="1186" spans="1:4">
      <c r="A1186">
        <v>1181</v>
      </c>
      <c r="B1186" s="11">
        <v>45870.5625</v>
      </c>
      <c r="C1186" s="7">
        <v>618.95389999999998</v>
      </c>
      <c r="D1186">
        <v>5206051</v>
      </c>
    </row>
    <row r="1187" spans="1:4">
      <c r="A1187">
        <v>1182</v>
      </c>
      <c r="B1187" s="11">
        <v>45870.541666666664</v>
      </c>
      <c r="C1187" s="7">
        <v>618.7944</v>
      </c>
      <c r="D1187">
        <v>6801765</v>
      </c>
    </row>
    <row r="1188" spans="1:4">
      <c r="A1188">
        <v>1183</v>
      </c>
      <c r="B1188" s="11">
        <v>45870.520833333336</v>
      </c>
      <c r="C1188" s="7">
        <v>619.65200000000004</v>
      </c>
      <c r="D1188">
        <v>6967130</v>
      </c>
    </row>
    <row r="1189" spans="1:4">
      <c r="A1189">
        <v>1184</v>
      </c>
      <c r="B1189" s="11">
        <v>45870.5</v>
      </c>
      <c r="C1189" s="7">
        <v>622.50409999999999</v>
      </c>
      <c r="D1189">
        <v>5126592</v>
      </c>
    </row>
    <row r="1190" spans="1:4">
      <c r="A1190">
        <v>1185</v>
      </c>
      <c r="B1190" s="11">
        <v>45870.479166666664</v>
      </c>
      <c r="C1190" s="7">
        <v>622.20489999999995</v>
      </c>
      <c r="D1190">
        <v>5248138</v>
      </c>
    </row>
    <row r="1191" spans="1:4">
      <c r="A1191">
        <v>1186</v>
      </c>
      <c r="B1191" s="11">
        <v>45870.458333333336</v>
      </c>
      <c r="C1191" s="7">
        <v>619.79160000000002</v>
      </c>
      <c r="D1191">
        <v>5683603</v>
      </c>
    </row>
    <row r="1192" spans="1:4">
      <c r="A1192">
        <v>1187</v>
      </c>
      <c r="B1192" s="11">
        <v>45870.4375</v>
      </c>
      <c r="C1192" s="7">
        <v>620.25030000000004</v>
      </c>
      <c r="D1192">
        <v>7790382</v>
      </c>
    </row>
    <row r="1193" spans="1:4">
      <c r="A1193">
        <v>1188</v>
      </c>
      <c r="B1193" s="11">
        <v>45870.416666666664</v>
      </c>
      <c r="C1193" s="7">
        <v>621.6268</v>
      </c>
      <c r="D1193">
        <v>9696065</v>
      </c>
    </row>
    <row r="1194" spans="1:4">
      <c r="A1194">
        <v>1189</v>
      </c>
      <c r="B1194" s="11">
        <v>45870.395833333336</v>
      </c>
      <c r="C1194" s="7">
        <v>619.45249999999999</v>
      </c>
      <c r="D1194">
        <v>11889917</v>
      </c>
    </row>
    <row r="1195" spans="1:4">
      <c r="A1195">
        <v>1190</v>
      </c>
      <c r="B1195" s="11">
        <v>45869.666666666664</v>
      </c>
      <c r="C1195" s="7">
        <v>630.33240000000001</v>
      </c>
      <c r="D1195">
        <v>32138330</v>
      </c>
    </row>
    <row r="1196" spans="1:4">
      <c r="A1196">
        <v>1191</v>
      </c>
      <c r="B1196" s="11">
        <v>45869.645833333336</v>
      </c>
      <c r="C1196" s="7">
        <v>630.33240000000001</v>
      </c>
      <c r="D1196">
        <v>17074478</v>
      </c>
    </row>
    <row r="1197" spans="1:4">
      <c r="A1197">
        <v>1192</v>
      </c>
      <c r="B1197" s="11">
        <v>45869.625</v>
      </c>
      <c r="C1197" s="7">
        <v>631.17499999999995</v>
      </c>
      <c r="D1197">
        <v>4949005</v>
      </c>
    </row>
    <row r="1198" spans="1:4">
      <c r="A1198">
        <v>1193</v>
      </c>
      <c r="B1198" s="11">
        <v>45869.604166666664</v>
      </c>
      <c r="C1198" s="7">
        <v>632.58619999999996</v>
      </c>
      <c r="D1198">
        <v>3785266</v>
      </c>
    </row>
    <row r="1199" spans="1:4">
      <c r="A1199">
        <v>1194</v>
      </c>
      <c r="B1199" s="11">
        <v>45869.583333333336</v>
      </c>
      <c r="C1199" s="7">
        <v>632.40660000000003</v>
      </c>
      <c r="D1199">
        <v>6070789</v>
      </c>
    </row>
    <row r="1200" spans="1:4">
      <c r="A1200">
        <v>1195</v>
      </c>
      <c r="B1200" s="11">
        <v>45869.5625</v>
      </c>
      <c r="C1200" s="7">
        <v>631.60879999999997</v>
      </c>
      <c r="D1200">
        <v>5580156</v>
      </c>
    </row>
    <row r="1201" spans="1:4">
      <c r="A1201">
        <v>1196</v>
      </c>
      <c r="B1201" s="11">
        <v>45869.541666666664</v>
      </c>
      <c r="C1201" s="7">
        <v>633.07479999999998</v>
      </c>
      <c r="D1201">
        <v>3627203</v>
      </c>
    </row>
    <row r="1202" spans="1:4">
      <c r="A1202">
        <v>1197</v>
      </c>
      <c r="B1202" s="11">
        <v>45869.520833333336</v>
      </c>
      <c r="C1202" s="7">
        <v>636.00670000000002</v>
      </c>
      <c r="D1202">
        <v>2486230</v>
      </c>
    </row>
    <row r="1203" spans="1:4">
      <c r="A1203">
        <v>1198</v>
      </c>
      <c r="B1203" s="11">
        <v>45869.5</v>
      </c>
      <c r="C1203" s="7">
        <v>636.31590000000006</v>
      </c>
      <c r="D1203">
        <v>2217719</v>
      </c>
    </row>
    <row r="1204" spans="1:4">
      <c r="A1204">
        <v>1199</v>
      </c>
      <c r="B1204" s="11">
        <v>45869.479166666664</v>
      </c>
      <c r="C1204" s="7">
        <v>635.75729999999999</v>
      </c>
      <c r="D1204">
        <v>2932186</v>
      </c>
    </row>
    <row r="1205" spans="1:4">
      <c r="A1205">
        <v>1200</v>
      </c>
      <c r="B1205" s="11">
        <v>45869.458333333336</v>
      </c>
      <c r="C1205" s="7">
        <v>634.44100000000003</v>
      </c>
      <c r="D1205">
        <v>4846631</v>
      </c>
    </row>
    <row r="1206" spans="1:4">
      <c r="A1206">
        <v>1201</v>
      </c>
      <c r="B1206" s="11">
        <v>45869.4375</v>
      </c>
      <c r="C1206" s="7">
        <v>634.84990000000005</v>
      </c>
      <c r="D1206">
        <v>4449541</v>
      </c>
    </row>
    <row r="1207" spans="1:4">
      <c r="A1207">
        <v>1202</v>
      </c>
      <c r="B1207" s="11">
        <v>45869.416666666664</v>
      </c>
      <c r="C1207" s="7">
        <v>637.04380000000003</v>
      </c>
      <c r="D1207">
        <v>4470930</v>
      </c>
    </row>
    <row r="1208" spans="1:4">
      <c r="A1208">
        <v>1203</v>
      </c>
      <c r="B1208" s="11">
        <v>45869.395833333336</v>
      </c>
      <c r="C1208" s="7">
        <v>637.67700000000002</v>
      </c>
      <c r="D1208">
        <v>8756784</v>
      </c>
    </row>
    <row r="1209" spans="1:4">
      <c r="A1209">
        <v>1204</v>
      </c>
      <c r="B1209" s="11">
        <v>45868.666666666664</v>
      </c>
      <c r="C1209" s="7">
        <v>632.70579999999995</v>
      </c>
      <c r="D1209">
        <v>30039842</v>
      </c>
    </row>
    <row r="1210" spans="1:4">
      <c r="A1210">
        <v>1205</v>
      </c>
      <c r="B1210" s="11">
        <v>45868.645833333336</v>
      </c>
      <c r="C1210" s="7">
        <v>632.70579999999995</v>
      </c>
      <c r="D1210">
        <v>11486680</v>
      </c>
    </row>
    <row r="1211" spans="1:4">
      <c r="A1211">
        <v>1206</v>
      </c>
      <c r="B1211" s="11">
        <v>45868.625</v>
      </c>
      <c r="C1211" s="7">
        <v>630.40219999999999</v>
      </c>
      <c r="D1211">
        <v>8774153</v>
      </c>
    </row>
    <row r="1212" spans="1:4">
      <c r="A1212">
        <v>1207</v>
      </c>
      <c r="B1212" s="11">
        <v>45868.604166666664</v>
      </c>
      <c r="C1212" s="7">
        <v>630.98050000000001</v>
      </c>
      <c r="D1212">
        <v>8182938</v>
      </c>
    </row>
    <row r="1213" spans="1:4">
      <c r="A1213">
        <v>1208</v>
      </c>
      <c r="B1213" s="11">
        <v>45868.583333333336</v>
      </c>
      <c r="C1213" s="7">
        <v>635.03930000000003</v>
      </c>
      <c r="D1213">
        <v>2677921</v>
      </c>
    </row>
    <row r="1214" spans="1:4">
      <c r="A1214">
        <v>1209</v>
      </c>
      <c r="B1214" s="11">
        <v>45868.5625</v>
      </c>
      <c r="C1214" s="7">
        <v>634.87980000000005</v>
      </c>
      <c r="D1214">
        <v>1665340</v>
      </c>
    </row>
    <row r="1215" spans="1:4">
      <c r="A1215">
        <v>1210</v>
      </c>
      <c r="B1215" s="11">
        <v>45868.541666666664</v>
      </c>
      <c r="C1215" s="7">
        <v>634.44100000000003</v>
      </c>
      <c r="D1215">
        <v>1075412</v>
      </c>
    </row>
    <row r="1216" spans="1:4">
      <c r="A1216">
        <v>1211</v>
      </c>
      <c r="B1216" s="11">
        <v>45868.520833333336</v>
      </c>
      <c r="C1216" s="7">
        <v>634.71519999999998</v>
      </c>
      <c r="D1216">
        <v>1383984</v>
      </c>
    </row>
    <row r="1217" spans="1:4">
      <c r="A1217">
        <v>1212</v>
      </c>
      <c r="B1217" s="11">
        <v>45868.5</v>
      </c>
      <c r="C1217" s="7">
        <v>634.84990000000005</v>
      </c>
      <c r="D1217">
        <v>2122047</v>
      </c>
    </row>
    <row r="1218" spans="1:4">
      <c r="A1218">
        <v>1213</v>
      </c>
      <c r="B1218" s="11">
        <v>45868.479166666664</v>
      </c>
      <c r="C1218" s="7">
        <v>634.41600000000005</v>
      </c>
      <c r="D1218">
        <v>1622974</v>
      </c>
    </row>
    <row r="1219" spans="1:4">
      <c r="A1219">
        <v>1214</v>
      </c>
      <c r="B1219" s="11">
        <v>45868.458333333336</v>
      </c>
      <c r="C1219" s="7">
        <v>633.5634</v>
      </c>
      <c r="D1219">
        <v>2627765</v>
      </c>
    </row>
    <row r="1220" spans="1:4">
      <c r="A1220">
        <v>1215</v>
      </c>
      <c r="B1220" s="11">
        <v>45868.4375</v>
      </c>
      <c r="C1220" s="7">
        <v>634.5009</v>
      </c>
      <c r="D1220">
        <v>2089188</v>
      </c>
    </row>
    <row r="1221" spans="1:4">
      <c r="A1221">
        <v>1216</v>
      </c>
      <c r="B1221" s="11">
        <v>45868.416666666664</v>
      </c>
      <c r="C1221" s="7">
        <v>634.6105</v>
      </c>
      <c r="D1221">
        <v>2491831</v>
      </c>
    </row>
    <row r="1222" spans="1:4">
      <c r="A1222">
        <v>1217</v>
      </c>
      <c r="B1222" s="11">
        <v>45868.395833333336</v>
      </c>
      <c r="C1222" s="7">
        <v>633.95230000000004</v>
      </c>
      <c r="D1222">
        <v>4178773</v>
      </c>
    </row>
    <row r="1223" spans="1:4">
      <c r="A1223">
        <v>1218</v>
      </c>
      <c r="B1223" s="11">
        <v>45867.666666666664</v>
      </c>
      <c r="C1223" s="7">
        <v>633.50360000000001</v>
      </c>
      <c r="D1223">
        <v>18757833</v>
      </c>
    </row>
    <row r="1224" spans="1:4">
      <c r="A1224">
        <v>1219</v>
      </c>
      <c r="B1224" s="11">
        <v>45867.645833333336</v>
      </c>
      <c r="C1224" s="7">
        <v>633.50360000000001</v>
      </c>
      <c r="D1224">
        <v>8746247</v>
      </c>
    </row>
    <row r="1225" spans="1:4">
      <c r="A1225">
        <v>1220</v>
      </c>
      <c r="B1225" s="11">
        <v>45867.625</v>
      </c>
      <c r="C1225" s="7">
        <v>633.34900000000005</v>
      </c>
      <c r="D1225">
        <v>2660693</v>
      </c>
    </row>
    <row r="1226" spans="1:4">
      <c r="A1226">
        <v>1221</v>
      </c>
      <c r="B1226" s="11">
        <v>45867.604166666664</v>
      </c>
      <c r="C1226" s="7">
        <v>633.56330000000003</v>
      </c>
      <c r="D1226">
        <v>1701756</v>
      </c>
    </row>
    <row r="1227" spans="1:4">
      <c r="A1227">
        <v>1222</v>
      </c>
      <c r="B1227" s="11">
        <v>45867.583333333336</v>
      </c>
      <c r="C1227" s="7">
        <v>633.55840000000001</v>
      </c>
      <c r="D1227">
        <v>2163463</v>
      </c>
    </row>
    <row r="1228" spans="1:4">
      <c r="A1228">
        <v>1223</v>
      </c>
      <c r="B1228" s="11">
        <v>45867.5625</v>
      </c>
      <c r="C1228" s="7">
        <v>633.82270000000005</v>
      </c>
      <c r="D1228">
        <v>2728534</v>
      </c>
    </row>
    <row r="1229" spans="1:4">
      <c r="A1229">
        <v>1224</v>
      </c>
      <c r="B1229" s="11">
        <v>45867.541666666664</v>
      </c>
      <c r="C1229" s="7">
        <v>634.43029999999999</v>
      </c>
      <c r="D1229">
        <v>2241335</v>
      </c>
    </row>
    <row r="1230" spans="1:4">
      <c r="A1230">
        <v>1225</v>
      </c>
      <c r="B1230" s="11">
        <v>45867.520833333336</v>
      </c>
      <c r="C1230" s="7">
        <v>634.39589999999998</v>
      </c>
      <c r="D1230">
        <v>1820911</v>
      </c>
    </row>
    <row r="1231" spans="1:4">
      <c r="A1231">
        <v>1226</v>
      </c>
      <c r="B1231" s="11">
        <v>45867.5</v>
      </c>
      <c r="C1231" s="7">
        <v>633.90250000000003</v>
      </c>
      <c r="D1231">
        <v>2128536</v>
      </c>
    </row>
    <row r="1232" spans="1:4">
      <c r="A1232">
        <v>1227</v>
      </c>
      <c r="B1232" s="11">
        <v>45867.479166666664</v>
      </c>
      <c r="C1232" s="7">
        <v>634.12180000000001</v>
      </c>
      <c r="D1232">
        <v>3417035</v>
      </c>
    </row>
    <row r="1233" spans="1:4">
      <c r="A1233">
        <v>1228</v>
      </c>
      <c r="B1233" s="11">
        <v>45867.458333333336</v>
      </c>
      <c r="C1233" s="7">
        <v>633.48360000000002</v>
      </c>
      <c r="D1233">
        <v>3653885</v>
      </c>
    </row>
    <row r="1234" spans="1:4">
      <c r="A1234">
        <v>1229</v>
      </c>
      <c r="B1234" s="11">
        <v>45867.4375</v>
      </c>
      <c r="C1234" s="7">
        <v>634.93960000000004</v>
      </c>
      <c r="D1234">
        <v>3108330</v>
      </c>
    </row>
    <row r="1235" spans="1:4">
      <c r="A1235">
        <v>1230</v>
      </c>
      <c r="B1235" s="11">
        <v>45867.416666666664</v>
      </c>
      <c r="C1235" s="7">
        <v>635.98670000000004</v>
      </c>
      <c r="D1235">
        <v>2787876</v>
      </c>
    </row>
    <row r="1236" spans="1:4">
      <c r="A1236">
        <v>1231</v>
      </c>
      <c r="B1236" s="11">
        <v>45867.395833333336</v>
      </c>
      <c r="C1236" s="7">
        <v>636.25599999999997</v>
      </c>
      <c r="D1236">
        <v>4639846</v>
      </c>
    </row>
    <row r="1237" spans="1:4">
      <c r="A1237">
        <v>1232</v>
      </c>
      <c r="B1237" s="11">
        <v>45866.666666666664</v>
      </c>
      <c r="C1237" s="7">
        <v>635.17899999999997</v>
      </c>
      <c r="D1237">
        <v>18691978</v>
      </c>
    </row>
    <row r="1238" spans="1:4">
      <c r="A1238">
        <v>1233</v>
      </c>
      <c r="B1238" s="11">
        <v>45866.645833333336</v>
      </c>
      <c r="C1238" s="7">
        <v>635.17899999999997</v>
      </c>
      <c r="D1238">
        <v>6665436</v>
      </c>
    </row>
    <row r="1239" spans="1:4">
      <c r="A1239">
        <v>1234</v>
      </c>
      <c r="B1239" s="11">
        <v>45866.625</v>
      </c>
      <c r="C1239" s="7">
        <v>634.29139999999995</v>
      </c>
      <c r="D1239">
        <v>2334015</v>
      </c>
    </row>
    <row r="1240" spans="1:4">
      <c r="A1240">
        <v>1235</v>
      </c>
      <c r="B1240" s="11">
        <v>45866.604166666664</v>
      </c>
      <c r="C1240" s="7">
        <v>634.29139999999995</v>
      </c>
      <c r="D1240">
        <v>2061926</v>
      </c>
    </row>
    <row r="1241" spans="1:4">
      <c r="A1241">
        <v>1236</v>
      </c>
      <c r="B1241" s="11">
        <v>45866.583333333336</v>
      </c>
      <c r="C1241" s="7">
        <v>634.3193</v>
      </c>
      <c r="D1241">
        <v>3347872</v>
      </c>
    </row>
    <row r="1242" spans="1:4">
      <c r="A1242">
        <v>1237</v>
      </c>
      <c r="B1242" s="11">
        <v>45866.5625</v>
      </c>
      <c r="C1242" s="7">
        <v>634.33130000000006</v>
      </c>
      <c r="D1242">
        <v>1409710</v>
      </c>
    </row>
    <row r="1243" spans="1:4">
      <c r="A1243">
        <v>1238</v>
      </c>
      <c r="B1243" s="11">
        <v>45866.541666666664</v>
      </c>
      <c r="C1243" s="7">
        <v>634.55070000000001</v>
      </c>
      <c r="D1243">
        <v>2202275</v>
      </c>
    </row>
    <row r="1244" spans="1:4">
      <c r="A1244">
        <v>1239</v>
      </c>
      <c r="B1244" s="11">
        <v>45866.520833333336</v>
      </c>
      <c r="C1244" s="7">
        <v>635.1241</v>
      </c>
      <c r="D1244">
        <v>1506948</v>
      </c>
    </row>
    <row r="1245" spans="1:4">
      <c r="A1245">
        <v>1240</v>
      </c>
      <c r="B1245" s="11">
        <v>45866.5</v>
      </c>
      <c r="C1245" s="7">
        <v>635.6377</v>
      </c>
      <c r="D1245">
        <v>1459179</v>
      </c>
    </row>
    <row r="1246" spans="1:4">
      <c r="A1246">
        <v>1241</v>
      </c>
      <c r="B1246" s="11">
        <v>45866.479166666664</v>
      </c>
      <c r="C1246" s="7">
        <v>635.61770000000001</v>
      </c>
      <c r="D1246">
        <v>1547572</v>
      </c>
    </row>
    <row r="1247" spans="1:4">
      <c r="A1247">
        <v>1242</v>
      </c>
      <c r="B1247" s="11">
        <v>45866.458333333336</v>
      </c>
      <c r="C1247" s="7">
        <v>635.30859999999996</v>
      </c>
      <c r="D1247">
        <v>2903153</v>
      </c>
    </row>
    <row r="1248" spans="1:4">
      <c r="A1248">
        <v>1243</v>
      </c>
      <c r="B1248" s="11">
        <v>45866.4375</v>
      </c>
      <c r="C1248" s="7">
        <v>635.66759999999999</v>
      </c>
      <c r="D1248">
        <v>2268138</v>
      </c>
    </row>
    <row r="1249" spans="1:4">
      <c r="A1249">
        <v>1244</v>
      </c>
      <c r="B1249" s="11">
        <v>45866.416666666664</v>
      </c>
      <c r="C1249" s="7">
        <v>635.96669999999995</v>
      </c>
      <c r="D1249">
        <v>3224150</v>
      </c>
    </row>
    <row r="1250" spans="1:4">
      <c r="A1250">
        <v>1245</v>
      </c>
      <c r="B1250" s="11">
        <v>45866.395833333336</v>
      </c>
      <c r="C1250" s="7">
        <v>635.68759999999997</v>
      </c>
      <c r="D1250">
        <v>5294752</v>
      </c>
    </row>
    <row r="1251" spans="1:4">
      <c r="A1251">
        <v>1246</v>
      </c>
      <c r="B1251" s="11">
        <v>45863.666666666664</v>
      </c>
      <c r="C1251" s="7">
        <v>635.33839999999998</v>
      </c>
      <c r="D1251">
        <v>19698064</v>
      </c>
    </row>
    <row r="1252" spans="1:4">
      <c r="A1252">
        <v>1247</v>
      </c>
      <c r="B1252" s="11">
        <v>45863.645833333336</v>
      </c>
      <c r="C1252" s="7">
        <v>635.24879999999996</v>
      </c>
      <c r="D1252">
        <v>9846561</v>
      </c>
    </row>
    <row r="1253" spans="1:4">
      <c r="A1253">
        <v>1248</v>
      </c>
      <c r="B1253" s="11">
        <v>45863.625</v>
      </c>
      <c r="C1253" s="7">
        <v>635.56790000000001</v>
      </c>
      <c r="D1253">
        <v>2263682</v>
      </c>
    </row>
    <row r="1254" spans="1:4">
      <c r="A1254">
        <v>1249</v>
      </c>
      <c r="B1254" s="11">
        <v>45863.604166666664</v>
      </c>
      <c r="C1254" s="7">
        <v>635.41830000000004</v>
      </c>
      <c r="D1254">
        <v>1707277</v>
      </c>
    </row>
    <row r="1255" spans="1:4">
      <c r="A1255">
        <v>1250</v>
      </c>
      <c r="B1255" s="11">
        <v>45863.583333333336</v>
      </c>
      <c r="C1255" s="7">
        <v>635.5779</v>
      </c>
      <c r="D1255">
        <v>2177212</v>
      </c>
    </row>
    <row r="1256" spans="1:4">
      <c r="A1256">
        <v>1251</v>
      </c>
      <c r="B1256" s="11">
        <v>45863.5625</v>
      </c>
      <c r="C1256" s="7">
        <v>635.37339999999995</v>
      </c>
      <c r="D1256">
        <v>1904209</v>
      </c>
    </row>
    <row r="1257" spans="1:4">
      <c r="A1257">
        <v>1252</v>
      </c>
      <c r="B1257" s="11">
        <v>45863.541666666664</v>
      </c>
      <c r="C1257" s="7">
        <v>635.28359999999998</v>
      </c>
      <c r="D1257">
        <v>1518039</v>
      </c>
    </row>
    <row r="1258" spans="1:4">
      <c r="A1258">
        <v>1253</v>
      </c>
      <c r="B1258" s="11">
        <v>45863.520833333336</v>
      </c>
      <c r="C1258" s="7">
        <v>635.08420000000001</v>
      </c>
      <c r="D1258">
        <v>1826380</v>
      </c>
    </row>
    <row r="1259" spans="1:4">
      <c r="A1259">
        <v>1254</v>
      </c>
      <c r="B1259" s="11">
        <v>45863.5</v>
      </c>
      <c r="C1259" s="7">
        <v>635.00450000000001</v>
      </c>
      <c r="D1259">
        <v>3043085</v>
      </c>
    </row>
    <row r="1260" spans="1:4">
      <c r="A1260">
        <v>1255</v>
      </c>
      <c r="B1260" s="11">
        <v>45863.479166666664</v>
      </c>
      <c r="C1260" s="7">
        <v>634.16669999999999</v>
      </c>
      <c r="D1260">
        <v>1557555</v>
      </c>
    </row>
    <row r="1261" spans="1:4">
      <c r="A1261">
        <v>1256</v>
      </c>
      <c r="B1261" s="11">
        <v>45863.458333333336</v>
      </c>
      <c r="C1261" s="7">
        <v>634.22659999999996</v>
      </c>
      <c r="D1261">
        <v>1767047</v>
      </c>
    </row>
    <row r="1262" spans="1:4">
      <c r="A1262">
        <v>1257</v>
      </c>
      <c r="B1262" s="11">
        <v>45863.4375</v>
      </c>
      <c r="C1262" s="7">
        <v>634.06200000000001</v>
      </c>
      <c r="D1262">
        <v>2946749</v>
      </c>
    </row>
    <row r="1263" spans="1:4">
      <c r="A1263">
        <v>1258</v>
      </c>
      <c r="B1263" s="11">
        <v>45863.416666666664</v>
      </c>
      <c r="C1263" s="7">
        <v>633.73789999999997</v>
      </c>
      <c r="D1263">
        <v>2703028</v>
      </c>
    </row>
    <row r="1264" spans="1:4">
      <c r="A1264">
        <v>1259</v>
      </c>
      <c r="B1264" s="11">
        <v>45863.395833333336</v>
      </c>
      <c r="C1264" s="7">
        <v>633.53340000000003</v>
      </c>
      <c r="D1264">
        <v>3906476</v>
      </c>
    </row>
    <row r="1265" spans="1:4">
      <c r="A1265">
        <v>1260</v>
      </c>
      <c r="B1265" s="11">
        <v>45862.666666666664</v>
      </c>
      <c r="C1265" s="7">
        <v>632.66589999999997</v>
      </c>
      <c r="D1265">
        <v>23326274</v>
      </c>
    </row>
    <row r="1266" spans="1:4">
      <c r="A1266">
        <v>1261</v>
      </c>
      <c r="B1266" s="11">
        <v>45862.645833333336</v>
      </c>
      <c r="C1266" s="7">
        <v>632.66589999999997</v>
      </c>
      <c r="D1266">
        <v>9992125</v>
      </c>
    </row>
    <row r="1267" spans="1:4">
      <c r="A1267">
        <v>1262</v>
      </c>
      <c r="B1267" s="11">
        <v>45862.625</v>
      </c>
      <c r="C1267" s="7">
        <v>633.69309999999996</v>
      </c>
      <c r="D1267">
        <v>3064511</v>
      </c>
    </row>
    <row r="1268" spans="1:4">
      <c r="A1268">
        <v>1263</v>
      </c>
      <c r="B1268" s="11">
        <v>45862.604166666664</v>
      </c>
      <c r="C1268" s="7">
        <v>633.43380000000002</v>
      </c>
      <c r="D1268">
        <v>3913417</v>
      </c>
    </row>
    <row r="1269" spans="1:4">
      <c r="A1269">
        <v>1264</v>
      </c>
      <c r="B1269" s="11">
        <v>45862.583333333336</v>
      </c>
      <c r="C1269" s="7">
        <v>634.0222</v>
      </c>
      <c r="D1269">
        <v>4693326</v>
      </c>
    </row>
    <row r="1270" spans="1:4">
      <c r="A1270">
        <v>1265</v>
      </c>
      <c r="B1270" s="11">
        <v>45862.5625</v>
      </c>
      <c r="C1270" s="7">
        <v>633.49860000000001</v>
      </c>
      <c r="D1270">
        <v>1711849</v>
      </c>
    </row>
    <row r="1271" spans="1:4">
      <c r="A1271">
        <v>1266</v>
      </c>
      <c r="B1271" s="11">
        <v>45862.541666666664</v>
      </c>
      <c r="C1271" s="7">
        <v>633.60329999999999</v>
      </c>
      <c r="D1271">
        <v>2556259</v>
      </c>
    </row>
    <row r="1272" spans="1:4">
      <c r="A1272">
        <v>1267</v>
      </c>
      <c r="B1272" s="11">
        <v>45862.520833333336</v>
      </c>
      <c r="C1272" s="7">
        <v>633.12959999999998</v>
      </c>
      <c r="D1272">
        <v>2303804</v>
      </c>
    </row>
    <row r="1273" spans="1:4">
      <c r="A1273">
        <v>1268</v>
      </c>
      <c r="B1273" s="11">
        <v>45862.5</v>
      </c>
      <c r="C1273" s="7">
        <v>632.79549999999995</v>
      </c>
      <c r="D1273">
        <v>2809710</v>
      </c>
    </row>
    <row r="1274" spans="1:4">
      <c r="A1274">
        <v>1269</v>
      </c>
      <c r="B1274" s="11">
        <v>45862.479166666664</v>
      </c>
      <c r="C1274" s="7">
        <v>633.75350000000003</v>
      </c>
      <c r="D1274">
        <v>2032835</v>
      </c>
    </row>
    <row r="1275" spans="1:4">
      <c r="A1275">
        <v>1270</v>
      </c>
      <c r="B1275" s="11">
        <v>45862.458333333336</v>
      </c>
      <c r="C1275" s="7">
        <v>633.77779999999996</v>
      </c>
      <c r="D1275">
        <v>2844013</v>
      </c>
    </row>
    <row r="1276" spans="1:4">
      <c r="A1276">
        <v>1271</v>
      </c>
      <c r="B1276" s="11">
        <v>45862.4375</v>
      </c>
      <c r="C1276" s="7">
        <v>633.7722</v>
      </c>
      <c r="D1276">
        <v>2717004</v>
      </c>
    </row>
    <row r="1277" spans="1:4">
      <c r="A1277">
        <v>1272</v>
      </c>
      <c r="B1277" s="11">
        <v>45862.416666666664</v>
      </c>
      <c r="C1277" s="7">
        <v>633.04489999999998</v>
      </c>
      <c r="D1277">
        <v>3919871</v>
      </c>
    </row>
    <row r="1278" spans="1:4">
      <c r="A1278">
        <v>1273</v>
      </c>
      <c r="B1278" s="11">
        <v>45862.395833333336</v>
      </c>
      <c r="C1278" s="7">
        <v>633.35400000000004</v>
      </c>
      <c r="D1278">
        <v>5422138</v>
      </c>
    </row>
    <row r="1279" spans="1:4">
      <c r="A1279">
        <v>1274</v>
      </c>
      <c r="B1279" s="11">
        <v>45861.666666666664</v>
      </c>
      <c r="C1279" s="7">
        <v>632.45650000000001</v>
      </c>
      <c r="D1279">
        <v>26791653</v>
      </c>
    </row>
    <row r="1280" spans="1:4">
      <c r="A1280">
        <v>1275</v>
      </c>
      <c r="B1280" s="11">
        <v>45861.645833333336</v>
      </c>
      <c r="C1280" s="7">
        <v>632.45650000000001</v>
      </c>
      <c r="D1280">
        <v>8179336</v>
      </c>
    </row>
    <row r="1281" spans="1:4">
      <c r="A1281">
        <v>1276</v>
      </c>
      <c r="B1281" s="11">
        <v>45861.625</v>
      </c>
      <c r="C1281" s="7">
        <v>631.58889999999997</v>
      </c>
      <c r="D1281">
        <v>3279362</v>
      </c>
    </row>
    <row r="1282" spans="1:4">
      <c r="A1282">
        <v>1277</v>
      </c>
      <c r="B1282" s="11">
        <v>45861.604166666664</v>
      </c>
      <c r="C1282" s="7">
        <v>631.52909999999997</v>
      </c>
      <c r="D1282">
        <v>2164560</v>
      </c>
    </row>
    <row r="1283" spans="1:4">
      <c r="A1283">
        <v>1278</v>
      </c>
      <c r="B1283" s="11">
        <v>45861.583333333336</v>
      </c>
      <c r="C1283" s="7">
        <v>631.4941</v>
      </c>
      <c r="D1283">
        <v>3025062</v>
      </c>
    </row>
    <row r="1284" spans="1:4">
      <c r="A1284">
        <v>1279</v>
      </c>
      <c r="B1284" s="11">
        <v>45861.5625</v>
      </c>
      <c r="C1284" s="7">
        <v>630.80600000000004</v>
      </c>
      <c r="D1284">
        <v>3651213</v>
      </c>
    </row>
    <row r="1285" spans="1:4">
      <c r="A1285">
        <v>1280</v>
      </c>
      <c r="B1285" s="11">
        <v>45861.541666666664</v>
      </c>
      <c r="C1285" s="7">
        <v>630.36720000000003</v>
      </c>
      <c r="D1285">
        <v>1716419</v>
      </c>
    </row>
    <row r="1286" spans="1:4">
      <c r="A1286">
        <v>1281</v>
      </c>
      <c r="B1286" s="11">
        <v>45861.520833333336</v>
      </c>
      <c r="C1286" s="7">
        <v>630.1037</v>
      </c>
      <c r="D1286">
        <v>1786095</v>
      </c>
    </row>
    <row r="1287" spans="1:4">
      <c r="A1287">
        <v>1282</v>
      </c>
      <c r="B1287" s="11">
        <v>45861.5</v>
      </c>
      <c r="C1287" s="7">
        <v>629.92349999999999</v>
      </c>
      <c r="D1287">
        <v>3092490</v>
      </c>
    </row>
    <row r="1288" spans="1:4">
      <c r="A1288">
        <v>1283</v>
      </c>
      <c r="B1288" s="11">
        <v>45861.479166666664</v>
      </c>
      <c r="C1288" s="7">
        <v>630.22270000000003</v>
      </c>
      <c r="D1288">
        <v>4250822</v>
      </c>
    </row>
    <row r="1289" spans="1:4">
      <c r="A1289">
        <v>1284</v>
      </c>
      <c r="B1289" s="11">
        <v>45861.458333333336</v>
      </c>
      <c r="C1289" s="7">
        <v>629.11569999999995</v>
      </c>
      <c r="D1289">
        <v>2242962</v>
      </c>
    </row>
    <row r="1290" spans="1:4">
      <c r="A1290">
        <v>1285</v>
      </c>
      <c r="B1290" s="11">
        <v>45861.4375</v>
      </c>
      <c r="C1290" s="7">
        <v>628.98609999999996</v>
      </c>
      <c r="D1290">
        <v>2017491</v>
      </c>
    </row>
    <row r="1291" spans="1:4">
      <c r="A1291">
        <v>1286</v>
      </c>
      <c r="B1291" s="11">
        <v>45861.416666666664</v>
      </c>
      <c r="C1291" s="7">
        <v>628.99609999999996</v>
      </c>
      <c r="D1291">
        <v>3011837</v>
      </c>
    </row>
    <row r="1292" spans="1:4">
      <c r="A1292">
        <v>1287</v>
      </c>
      <c r="B1292" s="11">
        <v>45861.395833333336</v>
      </c>
      <c r="C1292" s="7">
        <v>628.2183</v>
      </c>
      <c r="D1292">
        <v>5301738</v>
      </c>
    </row>
    <row r="1293" spans="1:4">
      <c r="A1293">
        <v>1288</v>
      </c>
      <c r="B1293" s="11">
        <v>45860.666666666664</v>
      </c>
      <c r="C1293" s="7">
        <v>627.12130000000002</v>
      </c>
      <c r="D1293">
        <v>17088565</v>
      </c>
    </row>
    <row r="1294" spans="1:4">
      <c r="A1294">
        <v>1289</v>
      </c>
      <c r="B1294" s="11">
        <v>45860.645833333336</v>
      </c>
      <c r="C1294" s="7">
        <v>627.12130000000002</v>
      </c>
      <c r="D1294">
        <v>8454587</v>
      </c>
    </row>
    <row r="1295" spans="1:4">
      <c r="A1295">
        <v>1290</v>
      </c>
      <c r="B1295" s="11">
        <v>45860.625</v>
      </c>
      <c r="C1295" s="7">
        <v>627.45540000000005</v>
      </c>
      <c r="D1295">
        <v>2735073</v>
      </c>
    </row>
    <row r="1296" spans="1:4">
      <c r="A1296">
        <v>1291</v>
      </c>
      <c r="B1296" s="11">
        <v>45860.604166666664</v>
      </c>
      <c r="C1296" s="7">
        <v>627.59</v>
      </c>
      <c r="D1296">
        <v>2903034</v>
      </c>
    </row>
    <row r="1297" spans="1:4">
      <c r="A1297">
        <v>1292</v>
      </c>
      <c r="B1297" s="11">
        <v>45860.583333333336</v>
      </c>
      <c r="C1297" s="7">
        <v>626.65260000000001</v>
      </c>
      <c r="D1297">
        <v>2861036</v>
      </c>
    </row>
    <row r="1298" spans="1:4">
      <c r="A1298">
        <v>1293</v>
      </c>
      <c r="B1298" s="11">
        <v>45860.5625</v>
      </c>
      <c r="C1298" s="7">
        <v>626.60270000000003</v>
      </c>
      <c r="D1298">
        <v>1967246</v>
      </c>
    </row>
    <row r="1299" spans="1:4">
      <c r="A1299">
        <v>1294</v>
      </c>
      <c r="B1299" s="11">
        <v>45860.541666666664</v>
      </c>
      <c r="C1299" s="7">
        <v>627.35059999999999</v>
      </c>
      <c r="D1299">
        <v>2219748</v>
      </c>
    </row>
    <row r="1300" spans="1:4">
      <c r="A1300">
        <v>1295</v>
      </c>
      <c r="B1300" s="11">
        <v>45860.520833333336</v>
      </c>
      <c r="C1300" s="7">
        <v>626.11410000000001</v>
      </c>
      <c r="D1300">
        <v>1893008</v>
      </c>
    </row>
    <row r="1301" spans="1:4">
      <c r="A1301">
        <v>1296</v>
      </c>
      <c r="B1301" s="11">
        <v>45860.5</v>
      </c>
      <c r="C1301" s="7">
        <v>625.44590000000005</v>
      </c>
      <c r="D1301">
        <v>2252752</v>
      </c>
    </row>
    <row r="1302" spans="1:4">
      <c r="A1302">
        <v>1297</v>
      </c>
      <c r="B1302" s="11">
        <v>45860.479166666664</v>
      </c>
      <c r="C1302" s="7">
        <v>625.95450000000005</v>
      </c>
      <c r="D1302">
        <v>2219589</v>
      </c>
    </row>
    <row r="1303" spans="1:4">
      <c r="A1303">
        <v>1298</v>
      </c>
      <c r="B1303" s="11">
        <v>45860.458333333336</v>
      </c>
      <c r="C1303" s="7">
        <v>625.91470000000004</v>
      </c>
      <c r="D1303">
        <v>2097955</v>
      </c>
    </row>
    <row r="1304" spans="1:4">
      <c r="A1304">
        <v>1299</v>
      </c>
      <c r="B1304" s="11">
        <v>45860.4375</v>
      </c>
      <c r="C1304" s="7">
        <v>626.22879999999998</v>
      </c>
      <c r="D1304">
        <v>2793184</v>
      </c>
    </row>
    <row r="1305" spans="1:4">
      <c r="A1305">
        <v>1300</v>
      </c>
      <c r="B1305" s="11">
        <v>45860.416666666664</v>
      </c>
      <c r="C1305" s="7">
        <v>625.32619999999997</v>
      </c>
      <c r="D1305">
        <v>3641105</v>
      </c>
    </row>
    <row r="1306" spans="1:4">
      <c r="A1306">
        <v>1301</v>
      </c>
      <c r="B1306" s="11">
        <v>45860.395833333336</v>
      </c>
      <c r="C1306" s="7">
        <v>625.03700000000003</v>
      </c>
      <c r="D1306">
        <v>6919406</v>
      </c>
    </row>
    <row r="1307" spans="1:4">
      <c r="A1307">
        <v>1302</v>
      </c>
      <c r="B1307" s="11">
        <v>45859.666666666664</v>
      </c>
      <c r="C1307" s="7">
        <v>627.03160000000003</v>
      </c>
      <c r="D1307">
        <v>19977698</v>
      </c>
    </row>
    <row r="1308" spans="1:4">
      <c r="A1308">
        <v>1303</v>
      </c>
      <c r="B1308" s="11">
        <v>45859.645833333336</v>
      </c>
      <c r="C1308" s="7">
        <v>627.03160000000003</v>
      </c>
      <c r="D1308">
        <v>10481527</v>
      </c>
    </row>
    <row r="1309" spans="1:4">
      <c r="A1309">
        <v>1304</v>
      </c>
      <c r="B1309" s="11">
        <v>45859.625</v>
      </c>
      <c r="C1309" s="7">
        <v>627.7097</v>
      </c>
      <c r="D1309">
        <v>5294070</v>
      </c>
    </row>
    <row r="1310" spans="1:4">
      <c r="A1310">
        <v>1305</v>
      </c>
      <c r="B1310" s="11">
        <v>45859.604166666664</v>
      </c>
      <c r="C1310" s="7">
        <v>628.64700000000005</v>
      </c>
      <c r="D1310">
        <v>3082060</v>
      </c>
    </row>
    <row r="1311" spans="1:4">
      <c r="A1311">
        <v>1306</v>
      </c>
      <c r="B1311" s="11">
        <v>45859.583333333336</v>
      </c>
      <c r="C1311" s="7">
        <v>629.4547</v>
      </c>
      <c r="D1311">
        <v>1654388</v>
      </c>
    </row>
    <row r="1312" spans="1:4">
      <c r="A1312">
        <v>1307</v>
      </c>
      <c r="B1312" s="11">
        <v>45859.5625</v>
      </c>
      <c r="C1312" s="7">
        <v>629.41</v>
      </c>
      <c r="D1312">
        <v>1388416</v>
      </c>
    </row>
    <row r="1313" spans="1:4">
      <c r="A1313">
        <v>1308</v>
      </c>
      <c r="B1313" s="11">
        <v>45859.541666666664</v>
      </c>
      <c r="C1313" s="7">
        <v>629.64430000000004</v>
      </c>
      <c r="D1313">
        <v>1482985</v>
      </c>
    </row>
    <row r="1314" spans="1:4">
      <c r="A1314">
        <v>1309</v>
      </c>
      <c r="B1314" s="11">
        <v>45859.520833333336</v>
      </c>
      <c r="C1314" s="7">
        <v>629.49469999999997</v>
      </c>
      <c r="D1314">
        <v>1704689</v>
      </c>
    </row>
    <row r="1315" spans="1:4">
      <c r="A1315">
        <v>1310</v>
      </c>
      <c r="B1315" s="11">
        <v>45859.5</v>
      </c>
      <c r="C1315" s="7">
        <v>629.01099999999997</v>
      </c>
      <c r="D1315">
        <v>2334883</v>
      </c>
    </row>
    <row r="1316" spans="1:4">
      <c r="A1316">
        <v>1311</v>
      </c>
      <c r="B1316" s="11">
        <v>45859.479166666664</v>
      </c>
      <c r="C1316" s="7">
        <v>629.41489999999999</v>
      </c>
      <c r="D1316">
        <v>2235714</v>
      </c>
    </row>
    <row r="1317" spans="1:4">
      <c r="A1317">
        <v>1312</v>
      </c>
      <c r="B1317" s="11">
        <v>45859.458333333336</v>
      </c>
      <c r="C1317" s="7">
        <v>629.54259999999999</v>
      </c>
      <c r="D1317">
        <v>2136648</v>
      </c>
    </row>
    <row r="1318" spans="1:4">
      <c r="A1318">
        <v>1313</v>
      </c>
      <c r="B1318" s="11">
        <v>45859.4375</v>
      </c>
      <c r="C1318" s="7">
        <v>629.27530000000002</v>
      </c>
      <c r="D1318">
        <v>2914478</v>
      </c>
    </row>
    <row r="1319" spans="1:4">
      <c r="A1319">
        <v>1314</v>
      </c>
      <c r="B1319" s="11">
        <v>45859.416666666664</v>
      </c>
      <c r="C1319" s="7">
        <v>629.51459999999997</v>
      </c>
      <c r="D1319">
        <v>3952682</v>
      </c>
    </row>
    <row r="1320" spans="1:4">
      <c r="A1320">
        <v>1315</v>
      </c>
      <c r="B1320" s="11">
        <v>45859.395833333336</v>
      </c>
      <c r="C1320" s="7">
        <v>629.03599999999994</v>
      </c>
      <c r="D1320">
        <v>4734746</v>
      </c>
    </row>
    <row r="1321" spans="1:4">
      <c r="A1321">
        <v>1316</v>
      </c>
      <c r="B1321" s="11">
        <v>45856.666666666664</v>
      </c>
      <c r="C1321" s="7">
        <v>625.84479999999996</v>
      </c>
      <c r="D1321">
        <v>28321130</v>
      </c>
    </row>
    <row r="1322" spans="1:4">
      <c r="A1322">
        <v>1317</v>
      </c>
      <c r="B1322" s="11">
        <v>45856.645833333336</v>
      </c>
      <c r="C1322" s="7">
        <v>625.84479999999996</v>
      </c>
      <c r="D1322">
        <v>7487095</v>
      </c>
    </row>
    <row r="1323" spans="1:4">
      <c r="A1323">
        <v>1318</v>
      </c>
      <c r="B1323" s="11">
        <v>45856.625</v>
      </c>
      <c r="C1323" s="7">
        <v>625.65530000000001</v>
      </c>
      <c r="D1323">
        <v>2270659</v>
      </c>
    </row>
    <row r="1324" spans="1:4">
      <c r="A1324">
        <v>1319</v>
      </c>
      <c r="B1324" s="11">
        <v>45856.604166666664</v>
      </c>
      <c r="C1324" s="7">
        <v>625.49580000000003</v>
      </c>
      <c r="D1324">
        <v>1566019</v>
      </c>
    </row>
    <row r="1325" spans="1:4">
      <c r="A1325">
        <v>1320</v>
      </c>
      <c r="B1325" s="11">
        <v>45856.583333333336</v>
      </c>
      <c r="C1325" s="7">
        <v>625.36609999999996</v>
      </c>
      <c r="D1325">
        <v>1909018</v>
      </c>
    </row>
    <row r="1326" spans="1:4">
      <c r="A1326">
        <v>1321</v>
      </c>
      <c r="B1326" s="11">
        <v>45856.5625</v>
      </c>
      <c r="C1326" s="7">
        <v>625.36609999999996</v>
      </c>
      <c r="D1326">
        <v>1388687</v>
      </c>
    </row>
    <row r="1327" spans="1:4">
      <c r="A1327">
        <v>1322</v>
      </c>
      <c r="B1327" s="11">
        <v>45856.541666666664</v>
      </c>
      <c r="C1327" s="7">
        <v>625.22659999999996</v>
      </c>
      <c r="D1327">
        <v>2041421</v>
      </c>
    </row>
    <row r="1328" spans="1:4">
      <c r="A1328">
        <v>1323</v>
      </c>
      <c r="B1328" s="11">
        <v>45856.520833333336</v>
      </c>
      <c r="C1328" s="7">
        <v>624.93730000000005</v>
      </c>
      <c r="D1328">
        <v>2566128</v>
      </c>
    </row>
    <row r="1329" spans="1:4">
      <c r="A1329">
        <v>1324</v>
      </c>
      <c r="B1329" s="11">
        <v>45856.5</v>
      </c>
      <c r="C1329" s="7">
        <v>625.19659999999999</v>
      </c>
      <c r="D1329">
        <v>2830991</v>
      </c>
    </row>
    <row r="1330" spans="1:4">
      <c r="A1330">
        <v>1325</v>
      </c>
      <c r="B1330" s="11">
        <v>45856.479166666664</v>
      </c>
      <c r="C1330" s="7">
        <v>626.36329999999998</v>
      </c>
      <c r="D1330">
        <v>1791878</v>
      </c>
    </row>
    <row r="1331" spans="1:4">
      <c r="A1331">
        <v>1326</v>
      </c>
      <c r="B1331" s="11">
        <v>45856.458333333336</v>
      </c>
      <c r="C1331" s="7">
        <v>625.89469999999994</v>
      </c>
      <c r="D1331">
        <v>2221227</v>
      </c>
    </row>
    <row r="1332" spans="1:4">
      <c r="A1332">
        <v>1327</v>
      </c>
      <c r="B1332" s="11">
        <v>45856.4375</v>
      </c>
      <c r="C1332" s="7">
        <v>625.43589999999995</v>
      </c>
      <c r="D1332">
        <v>2388022</v>
      </c>
    </row>
    <row r="1333" spans="1:4">
      <c r="A1333">
        <v>1328</v>
      </c>
      <c r="B1333" s="11">
        <v>45856.416666666664</v>
      </c>
      <c r="C1333" s="7">
        <v>625.64530000000002</v>
      </c>
      <c r="D1333">
        <v>4161437</v>
      </c>
    </row>
    <row r="1334" spans="1:4">
      <c r="A1334">
        <v>1329</v>
      </c>
      <c r="B1334" s="11">
        <v>45856.395833333336</v>
      </c>
      <c r="C1334" s="7">
        <v>627.50019999999995</v>
      </c>
      <c r="D1334">
        <v>4677932</v>
      </c>
    </row>
    <row r="1335" spans="1:4">
      <c r="A1335">
        <v>1330</v>
      </c>
      <c r="B1335" s="11">
        <v>45855.666666666664</v>
      </c>
      <c r="C1335" s="7">
        <v>626.30349999999999</v>
      </c>
      <c r="D1335">
        <v>23019597</v>
      </c>
    </row>
    <row r="1336" spans="1:4">
      <c r="A1336">
        <v>1331</v>
      </c>
      <c r="B1336" s="11">
        <v>45855.645833333336</v>
      </c>
      <c r="C1336" s="7">
        <v>626.30349999999999</v>
      </c>
      <c r="D1336">
        <v>12708872</v>
      </c>
    </row>
    <row r="1337" spans="1:4">
      <c r="A1337">
        <v>1332</v>
      </c>
      <c r="B1337" s="11">
        <v>45855.625</v>
      </c>
      <c r="C1337" s="7">
        <v>626.2337</v>
      </c>
      <c r="D1337">
        <v>3286603</v>
      </c>
    </row>
    <row r="1338" spans="1:4">
      <c r="A1338">
        <v>1333</v>
      </c>
      <c r="B1338" s="11">
        <v>45855.604166666664</v>
      </c>
      <c r="C1338" s="7">
        <v>626.24369999999999</v>
      </c>
      <c r="D1338">
        <v>2314848</v>
      </c>
    </row>
    <row r="1339" spans="1:4">
      <c r="A1339">
        <v>1334</v>
      </c>
      <c r="B1339" s="11">
        <v>45855.583333333336</v>
      </c>
      <c r="C1339" s="7">
        <v>626.10410000000002</v>
      </c>
      <c r="D1339">
        <v>2558319</v>
      </c>
    </row>
    <row r="1340" spans="1:4">
      <c r="A1340">
        <v>1335</v>
      </c>
      <c r="B1340" s="11">
        <v>45855.5625</v>
      </c>
      <c r="C1340" s="7">
        <v>625.69600000000003</v>
      </c>
      <c r="D1340">
        <v>1574085</v>
      </c>
    </row>
    <row r="1341" spans="1:4">
      <c r="A1341">
        <v>1336</v>
      </c>
      <c r="B1341" s="11">
        <v>45855.541666666664</v>
      </c>
      <c r="C1341" s="7">
        <v>625.28639999999996</v>
      </c>
      <c r="D1341">
        <v>2153807</v>
      </c>
    </row>
    <row r="1342" spans="1:4">
      <c r="A1342">
        <v>1337</v>
      </c>
      <c r="B1342" s="11">
        <v>45855.520833333336</v>
      </c>
      <c r="C1342" s="7">
        <v>625.08680000000004</v>
      </c>
      <c r="D1342">
        <v>1705708</v>
      </c>
    </row>
    <row r="1343" spans="1:4">
      <c r="A1343">
        <v>1338</v>
      </c>
      <c r="B1343" s="11">
        <v>45855.5</v>
      </c>
      <c r="C1343" s="7">
        <v>625.1069</v>
      </c>
      <c r="D1343">
        <v>2612682</v>
      </c>
    </row>
    <row r="1344" spans="1:4">
      <c r="A1344">
        <v>1339</v>
      </c>
      <c r="B1344" s="11">
        <v>45855.479166666664</v>
      </c>
      <c r="C1344" s="7">
        <v>625.48080000000004</v>
      </c>
      <c r="D1344">
        <v>2642942</v>
      </c>
    </row>
    <row r="1345" spans="1:4">
      <c r="A1345">
        <v>1340</v>
      </c>
      <c r="B1345" s="11">
        <v>45855.458333333336</v>
      </c>
      <c r="C1345" s="7">
        <v>624.92729999999995</v>
      </c>
      <c r="D1345">
        <v>3330502</v>
      </c>
    </row>
    <row r="1346" spans="1:4">
      <c r="A1346">
        <v>1341</v>
      </c>
      <c r="B1346" s="11">
        <v>45855.4375</v>
      </c>
      <c r="C1346" s="7">
        <v>624.09969999999998</v>
      </c>
      <c r="D1346">
        <v>2701052</v>
      </c>
    </row>
    <row r="1347" spans="1:4">
      <c r="A1347">
        <v>1342</v>
      </c>
      <c r="B1347" s="11">
        <v>45855.416666666664</v>
      </c>
      <c r="C1347" s="7">
        <v>623.73940000000005</v>
      </c>
      <c r="D1347">
        <v>3320526</v>
      </c>
    </row>
    <row r="1348" spans="1:4">
      <c r="A1348">
        <v>1343</v>
      </c>
      <c r="B1348" s="11">
        <v>45855.395833333336</v>
      </c>
      <c r="C1348" s="7">
        <v>624.1395</v>
      </c>
      <c r="D1348">
        <v>4956137</v>
      </c>
    </row>
    <row r="1349" spans="1:4">
      <c r="A1349">
        <v>1344</v>
      </c>
      <c r="B1349" s="11">
        <v>45854.666666666664</v>
      </c>
      <c r="C1349" s="7">
        <v>622.4941</v>
      </c>
      <c r="D1349">
        <v>21327495</v>
      </c>
    </row>
    <row r="1350" spans="1:4">
      <c r="A1350">
        <v>1345</v>
      </c>
      <c r="B1350" s="11">
        <v>45854.645833333336</v>
      </c>
      <c r="C1350" s="7">
        <v>622.4742</v>
      </c>
      <c r="D1350">
        <v>7238262</v>
      </c>
    </row>
    <row r="1351" spans="1:4">
      <c r="A1351">
        <v>1346</v>
      </c>
      <c r="B1351" s="11">
        <v>45854.625</v>
      </c>
      <c r="C1351" s="7">
        <v>622.40440000000001</v>
      </c>
      <c r="D1351">
        <v>2505362</v>
      </c>
    </row>
    <row r="1352" spans="1:4">
      <c r="A1352">
        <v>1347</v>
      </c>
      <c r="B1352" s="11">
        <v>45854.604166666664</v>
      </c>
      <c r="C1352" s="7">
        <v>622.60379999999998</v>
      </c>
      <c r="D1352">
        <v>2377166</v>
      </c>
    </row>
    <row r="1353" spans="1:4">
      <c r="A1353">
        <v>1348</v>
      </c>
      <c r="B1353" s="11">
        <v>45854.583333333336</v>
      </c>
      <c r="C1353" s="7">
        <v>621.65639999999996</v>
      </c>
      <c r="D1353">
        <v>2001191</v>
      </c>
    </row>
    <row r="1354" spans="1:4">
      <c r="A1354">
        <v>1349</v>
      </c>
      <c r="B1354" s="11">
        <v>45854.5625</v>
      </c>
      <c r="C1354" s="7">
        <v>621.38710000000003</v>
      </c>
      <c r="D1354">
        <v>1521460</v>
      </c>
    </row>
    <row r="1355" spans="1:4">
      <c r="A1355">
        <v>1350</v>
      </c>
      <c r="B1355" s="11">
        <v>45854.541666666664</v>
      </c>
      <c r="C1355" s="7">
        <v>621.35730000000001</v>
      </c>
      <c r="D1355">
        <v>2474448</v>
      </c>
    </row>
    <row r="1356" spans="1:4">
      <c r="A1356">
        <v>1351</v>
      </c>
      <c r="B1356" s="11">
        <v>45854.520833333336</v>
      </c>
      <c r="C1356" s="7">
        <v>621.37720000000002</v>
      </c>
      <c r="D1356">
        <v>2912321</v>
      </c>
    </row>
    <row r="1357" spans="1:4">
      <c r="A1357">
        <v>1352</v>
      </c>
      <c r="B1357" s="11">
        <v>45854.5</v>
      </c>
      <c r="C1357" s="7">
        <v>619.93119999999999</v>
      </c>
      <c r="D1357">
        <v>4276971</v>
      </c>
    </row>
    <row r="1358" spans="1:4">
      <c r="A1358">
        <v>1353</v>
      </c>
      <c r="B1358" s="11">
        <v>45854.479166666664</v>
      </c>
      <c r="C1358" s="7">
        <v>620.22040000000004</v>
      </c>
      <c r="D1358">
        <v>14748487</v>
      </c>
    </row>
    <row r="1359" spans="1:4">
      <c r="A1359">
        <v>1354</v>
      </c>
      <c r="B1359" s="11">
        <v>45854.458333333336</v>
      </c>
      <c r="C1359" s="7">
        <v>619.69179999999994</v>
      </c>
      <c r="D1359">
        <v>12867068</v>
      </c>
    </row>
    <row r="1360" spans="1:4">
      <c r="A1360">
        <v>1355</v>
      </c>
      <c r="B1360" s="11">
        <v>45854.4375</v>
      </c>
      <c r="C1360" s="7">
        <v>620.50959999999998</v>
      </c>
      <c r="D1360">
        <v>6447225</v>
      </c>
    </row>
    <row r="1361" spans="1:4">
      <c r="A1361">
        <v>1356</v>
      </c>
      <c r="B1361" s="11">
        <v>45854.416666666664</v>
      </c>
      <c r="C1361" s="7">
        <v>620.76980000000003</v>
      </c>
      <c r="D1361">
        <v>3180866</v>
      </c>
    </row>
    <row r="1362" spans="1:4">
      <c r="A1362">
        <v>1357</v>
      </c>
      <c r="B1362" s="11">
        <v>45854.395833333336</v>
      </c>
      <c r="C1362" s="7">
        <v>620.33010000000002</v>
      </c>
      <c r="D1362">
        <v>5109190</v>
      </c>
    </row>
    <row r="1363" spans="1:4">
      <c r="A1363">
        <v>1358</v>
      </c>
      <c r="B1363" s="11">
        <v>45853.666666666664</v>
      </c>
      <c r="C1363" s="7">
        <v>620.41989999999998</v>
      </c>
      <c r="D1363">
        <v>21371416</v>
      </c>
    </row>
    <row r="1364" spans="1:4">
      <c r="A1364">
        <v>1359</v>
      </c>
      <c r="B1364" s="11">
        <v>45853.645833333336</v>
      </c>
      <c r="C1364" s="7">
        <v>620.41989999999998</v>
      </c>
      <c r="D1364">
        <v>9367385</v>
      </c>
    </row>
    <row r="1365" spans="1:4">
      <c r="A1365">
        <v>1360</v>
      </c>
      <c r="B1365" s="11">
        <v>45853.625</v>
      </c>
      <c r="C1365" s="7">
        <v>621.61659999999995</v>
      </c>
      <c r="D1365">
        <v>4228741</v>
      </c>
    </row>
    <row r="1366" spans="1:4">
      <c r="A1366">
        <v>1361</v>
      </c>
      <c r="B1366" s="11">
        <v>45853.604166666664</v>
      </c>
      <c r="C1366" s="7">
        <v>621.30740000000003</v>
      </c>
      <c r="D1366">
        <v>3910683</v>
      </c>
    </row>
    <row r="1367" spans="1:4">
      <c r="A1367">
        <v>1362</v>
      </c>
      <c r="B1367" s="11">
        <v>45853.583333333336</v>
      </c>
      <c r="C1367" s="7">
        <v>622.88300000000004</v>
      </c>
      <c r="D1367">
        <v>2372297</v>
      </c>
    </row>
    <row r="1368" spans="1:4">
      <c r="A1368">
        <v>1363</v>
      </c>
      <c r="B1368" s="11">
        <v>45853.5625</v>
      </c>
      <c r="C1368" s="7">
        <v>622.87300000000005</v>
      </c>
      <c r="D1368">
        <v>2416017</v>
      </c>
    </row>
    <row r="1369" spans="1:4">
      <c r="A1369">
        <v>1364</v>
      </c>
      <c r="B1369" s="11">
        <v>45853.541666666664</v>
      </c>
      <c r="C1369" s="7">
        <v>622.12509999999997</v>
      </c>
      <c r="D1369">
        <v>3266457</v>
      </c>
    </row>
    <row r="1370" spans="1:4">
      <c r="A1370">
        <v>1365</v>
      </c>
      <c r="B1370" s="11">
        <v>45853.520833333336</v>
      </c>
      <c r="C1370" s="7">
        <v>621.447</v>
      </c>
      <c r="D1370">
        <v>3308130</v>
      </c>
    </row>
    <row r="1371" spans="1:4">
      <c r="A1371">
        <v>1366</v>
      </c>
      <c r="B1371" s="11">
        <v>45853.5</v>
      </c>
      <c r="C1371" s="7">
        <v>622.53399999999999</v>
      </c>
      <c r="D1371">
        <v>2765867</v>
      </c>
    </row>
    <row r="1372" spans="1:4">
      <c r="A1372">
        <v>1367</v>
      </c>
      <c r="B1372" s="11">
        <v>45853.479166666664</v>
      </c>
      <c r="C1372" s="7">
        <v>623.13229999999999</v>
      </c>
      <c r="D1372">
        <v>2743339</v>
      </c>
    </row>
    <row r="1373" spans="1:4">
      <c r="A1373">
        <v>1368</v>
      </c>
      <c r="B1373" s="11">
        <v>45853.458333333336</v>
      </c>
      <c r="C1373" s="7">
        <v>623.39160000000004</v>
      </c>
      <c r="D1373">
        <v>3984586</v>
      </c>
    </row>
    <row r="1374" spans="1:4">
      <c r="A1374">
        <v>1369</v>
      </c>
      <c r="B1374" s="11">
        <v>45853.4375</v>
      </c>
      <c r="C1374" s="7">
        <v>622.26469999999995</v>
      </c>
      <c r="D1374">
        <v>5031483</v>
      </c>
    </row>
    <row r="1375" spans="1:4">
      <c r="A1375">
        <v>1370</v>
      </c>
      <c r="B1375" s="11">
        <v>45853.416666666664</v>
      </c>
      <c r="C1375" s="7">
        <v>623.67089999999996</v>
      </c>
      <c r="D1375">
        <v>3640929</v>
      </c>
    </row>
    <row r="1376" spans="1:4">
      <c r="A1376">
        <v>1371</v>
      </c>
      <c r="B1376" s="11">
        <v>45853.395833333336</v>
      </c>
      <c r="C1376" s="7">
        <v>623.97</v>
      </c>
      <c r="D1376">
        <v>5909934</v>
      </c>
    </row>
    <row r="1377" spans="1:4">
      <c r="A1377">
        <v>1372</v>
      </c>
      <c r="B1377" s="11">
        <v>45852.666666666664</v>
      </c>
      <c r="C1377" s="7">
        <v>623.08249999999998</v>
      </c>
      <c r="D1377">
        <v>14697391</v>
      </c>
    </row>
    <row r="1378" spans="1:4">
      <c r="A1378">
        <v>1373</v>
      </c>
      <c r="B1378" s="11">
        <v>45852.645833333336</v>
      </c>
      <c r="C1378" s="7">
        <v>623.04259999999999</v>
      </c>
      <c r="D1378">
        <v>7010944</v>
      </c>
    </row>
    <row r="1379" spans="1:4">
      <c r="A1379">
        <v>1374</v>
      </c>
      <c r="B1379" s="11">
        <v>45852.625</v>
      </c>
      <c r="C1379" s="7">
        <v>622.96280000000002</v>
      </c>
      <c r="D1379">
        <v>2670536</v>
      </c>
    </row>
    <row r="1380" spans="1:4">
      <c r="A1380">
        <v>1375</v>
      </c>
      <c r="B1380" s="11">
        <v>45852.604166666664</v>
      </c>
      <c r="C1380" s="7">
        <v>623.23209999999995</v>
      </c>
      <c r="D1380">
        <v>1596964</v>
      </c>
    </row>
    <row r="1381" spans="1:4">
      <c r="A1381">
        <v>1376</v>
      </c>
      <c r="B1381" s="11">
        <v>45852.583333333336</v>
      </c>
      <c r="C1381" s="7">
        <v>623.20209999999997</v>
      </c>
      <c r="D1381">
        <v>1540979</v>
      </c>
    </row>
    <row r="1382" spans="1:4">
      <c r="A1382">
        <v>1377</v>
      </c>
      <c r="B1382" s="11">
        <v>45852.5625</v>
      </c>
      <c r="C1382" s="7">
        <v>622.94290000000001</v>
      </c>
      <c r="D1382">
        <v>1749082</v>
      </c>
    </row>
    <row r="1383" spans="1:4">
      <c r="A1383">
        <v>1378</v>
      </c>
      <c r="B1383" s="11">
        <v>45852.541666666664</v>
      </c>
      <c r="C1383" s="7">
        <v>623.0027</v>
      </c>
      <c r="D1383">
        <v>2053266</v>
      </c>
    </row>
    <row r="1384" spans="1:4">
      <c r="A1384">
        <v>1379</v>
      </c>
      <c r="B1384" s="11">
        <v>45852.520833333336</v>
      </c>
      <c r="C1384" s="7">
        <v>622.56389999999999</v>
      </c>
      <c r="D1384">
        <v>1861417</v>
      </c>
    </row>
    <row r="1385" spans="1:4">
      <c r="A1385">
        <v>1380</v>
      </c>
      <c r="B1385" s="11">
        <v>45852.5</v>
      </c>
      <c r="C1385" s="7">
        <v>622.15499999999997</v>
      </c>
      <c r="D1385">
        <v>1467462</v>
      </c>
    </row>
    <row r="1386" spans="1:4">
      <c r="A1386">
        <v>1381</v>
      </c>
      <c r="B1386" s="11">
        <v>45852.479166666664</v>
      </c>
      <c r="C1386" s="7">
        <v>622.21489999999994</v>
      </c>
      <c r="D1386">
        <v>2406534</v>
      </c>
    </row>
    <row r="1387" spans="1:4">
      <c r="A1387">
        <v>1382</v>
      </c>
      <c r="B1387" s="11">
        <v>45852.458333333336</v>
      </c>
      <c r="C1387" s="7">
        <v>622.42430000000002</v>
      </c>
      <c r="D1387">
        <v>2901142</v>
      </c>
    </row>
    <row r="1388" spans="1:4">
      <c r="A1388">
        <v>1383</v>
      </c>
      <c r="B1388" s="11">
        <v>45852.4375</v>
      </c>
      <c r="C1388" s="7">
        <v>621.70630000000006</v>
      </c>
      <c r="D1388">
        <v>2994127</v>
      </c>
    </row>
    <row r="1389" spans="1:4">
      <c r="A1389">
        <v>1384</v>
      </c>
      <c r="B1389" s="11">
        <v>45852.416666666664</v>
      </c>
      <c r="C1389" s="7">
        <v>620.94839999999999</v>
      </c>
      <c r="D1389">
        <v>3496158</v>
      </c>
    </row>
    <row r="1390" spans="1:4">
      <c r="A1390">
        <v>1385</v>
      </c>
      <c r="B1390" s="11">
        <v>45852.395833333336</v>
      </c>
      <c r="C1390" s="7">
        <v>620.98829999999998</v>
      </c>
      <c r="D1390">
        <v>5452518</v>
      </c>
    </row>
    <row r="1391" spans="1:4">
      <c r="A1391">
        <v>1386</v>
      </c>
      <c r="B1391" s="11">
        <v>45849.666666666664</v>
      </c>
      <c r="C1391" s="7">
        <v>621.89580000000001</v>
      </c>
      <c r="D1391">
        <v>19080130</v>
      </c>
    </row>
    <row r="1392" spans="1:4">
      <c r="A1392">
        <v>1387</v>
      </c>
      <c r="B1392" s="11">
        <v>45849.645833333336</v>
      </c>
      <c r="C1392" s="7">
        <v>621.89580000000001</v>
      </c>
      <c r="D1392">
        <v>8509565</v>
      </c>
    </row>
    <row r="1393" spans="1:4">
      <c r="A1393">
        <v>1388</v>
      </c>
      <c r="B1393" s="11">
        <v>45849.625</v>
      </c>
      <c r="C1393" s="7">
        <v>622.67359999999996</v>
      </c>
      <c r="D1393">
        <v>5219034</v>
      </c>
    </row>
    <row r="1394" spans="1:4">
      <c r="A1394">
        <v>1389</v>
      </c>
      <c r="B1394" s="11">
        <v>45849.604166666664</v>
      </c>
      <c r="C1394" s="7">
        <v>622.60379999999998</v>
      </c>
      <c r="D1394">
        <v>2706579</v>
      </c>
    </row>
    <row r="1395" spans="1:4">
      <c r="A1395">
        <v>1390</v>
      </c>
      <c r="B1395" s="11">
        <v>45849.583333333336</v>
      </c>
      <c r="C1395" s="7">
        <v>622.53399999999999</v>
      </c>
      <c r="D1395">
        <v>2332914</v>
      </c>
    </row>
    <row r="1396" spans="1:4">
      <c r="A1396">
        <v>1391</v>
      </c>
      <c r="B1396" s="11">
        <v>45849.5625</v>
      </c>
      <c r="C1396" s="7">
        <v>622.73350000000005</v>
      </c>
      <c r="D1396">
        <v>2430320</v>
      </c>
    </row>
    <row r="1397" spans="1:4">
      <c r="A1397">
        <v>1392</v>
      </c>
      <c r="B1397" s="11">
        <v>45849.541666666664</v>
      </c>
      <c r="C1397" s="7">
        <v>622.70349999999996</v>
      </c>
      <c r="D1397">
        <v>2011768</v>
      </c>
    </row>
    <row r="1398" spans="1:4">
      <c r="A1398">
        <v>1393</v>
      </c>
      <c r="B1398" s="11">
        <v>45849.520833333336</v>
      </c>
      <c r="C1398" s="7">
        <v>622.62369999999999</v>
      </c>
      <c r="D1398">
        <v>1863216</v>
      </c>
    </row>
    <row r="1399" spans="1:4">
      <c r="A1399">
        <v>1394</v>
      </c>
      <c r="B1399" s="11">
        <v>45849.5</v>
      </c>
      <c r="C1399" s="7">
        <v>622.2097</v>
      </c>
      <c r="D1399">
        <v>2302642</v>
      </c>
    </row>
    <row r="1400" spans="1:4">
      <c r="A1400">
        <v>1395</v>
      </c>
      <c r="B1400" s="11">
        <v>45849.479166666664</v>
      </c>
      <c r="C1400" s="7">
        <v>622.0453</v>
      </c>
      <c r="D1400">
        <v>3122467</v>
      </c>
    </row>
    <row r="1401" spans="1:4">
      <c r="A1401">
        <v>1396</v>
      </c>
      <c r="B1401" s="11">
        <v>45849.458333333336</v>
      </c>
      <c r="C1401" s="7">
        <v>621.62649999999996</v>
      </c>
      <c r="D1401">
        <v>3206846</v>
      </c>
    </row>
    <row r="1402" spans="1:4">
      <c r="A1402">
        <v>1397</v>
      </c>
      <c r="B1402" s="11">
        <v>45849.4375</v>
      </c>
      <c r="C1402" s="7">
        <v>622.12509999999997</v>
      </c>
      <c r="D1402">
        <v>2625178</v>
      </c>
    </row>
    <row r="1403" spans="1:4">
      <c r="A1403">
        <v>1398</v>
      </c>
      <c r="B1403" s="11">
        <v>45849.416666666664</v>
      </c>
      <c r="C1403" s="7">
        <v>622.29470000000003</v>
      </c>
      <c r="D1403">
        <v>2866941</v>
      </c>
    </row>
    <row r="1404" spans="1:4">
      <c r="A1404">
        <v>1399</v>
      </c>
      <c r="B1404" s="11">
        <v>45849.395833333336</v>
      </c>
      <c r="C1404" s="7">
        <v>621.46699999999998</v>
      </c>
      <c r="D1404">
        <v>5392624</v>
      </c>
    </row>
    <row r="1405" spans="1:4">
      <c r="A1405">
        <v>1400</v>
      </c>
      <c r="B1405" s="11">
        <v>45848.666666666664</v>
      </c>
      <c r="C1405" s="7">
        <v>624.08969999999999</v>
      </c>
      <c r="D1405">
        <v>16454731</v>
      </c>
    </row>
    <row r="1406" spans="1:4">
      <c r="A1406">
        <v>1401</v>
      </c>
      <c r="B1406" s="11">
        <v>45848.645833333336</v>
      </c>
      <c r="C1406" s="7">
        <v>624.08969999999999</v>
      </c>
      <c r="D1406">
        <v>8935504</v>
      </c>
    </row>
    <row r="1407" spans="1:4">
      <c r="A1407">
        <v>1402</v>
      </c>
      <c r="B1407" s="11">
        <v>45848.625</v>
      </c>
      <c r="C1407" s="7">
        <v>624.48850000000004</v>
      </c>
      <c r="D1407">
        <v>2682709</v>
      </c>
    </row>
    <row r="1408" spans="1:4">
      <c r="A1408">
        <v>1403</v>
      </c>
      <c r="B1408" s="11">
        <v>45848.604166666664</v>
      </c>
      <c r="C1408" s="7">
        <v>624.51850000000002</v>
      </c>
      <c r="D1408">
        <v>2431375</v>
      </c>
    </row>
    <row r="1409" spans="1:4">
      <c r="A1409">
        <v>1404</v>
      </c>
      <c r="B1409" s="11">
        <v>45848.583333333336</v>
      </c>
      <c r="C1409" s="7">
        <v>624.87750000000005</v>
      </c>
      <c r="D1409">
        <v>2183255</v>
      </c>
    </row>
    <row r="1410" spans="1:4">
      <c r="A1410">
        <v>1405</v>
      </c>
      <c r="B1410" s="11">
        <v>45848.5625</v>
      </c>
      <c r="C1410" s="7">
        <v>624.8528</v>
      </c>
      <c r="D1410">
        <v>2640153</v>
      </c>
    </row>
    <row r="1411" spans="1:4">
      <c r="A1411">
        <v>1406</v>
      </c>
      <c r="B1411" s="11">
        <v>45848.541666666664</v>
      </c>
      <c r="C1411" s="7">
        <v>624.35889999999995</v>
      </c>
      <c r="D1411">
        <v>1888962</v>
      </c>
    </row>
    <row r="1412" spans="1:4">
      <c r="A1412">
        <v>1407</v>
      </c>
      <c r="B1412" s="11">
        <v>45848.520833333336</v>
      </c>
      <c r="C1412" s="7">
        <v>623.80050000000006</v>
      </c>
      <c r="D1412">
        <v>1561545</v>
      </c>
    </row>
    <row r="1413" spans="1:4">
      <c r="A1413">
        <v>1408</v>
      </c>
      <c r="B1413" s="11">
        <v>45848.5</v>
      </c>
      <c r="C1413" s="7">
        <v>623.84040000000005</v>
      </c>
      <c r="D1413">
        <v>2255563</v>
      </c>
    </row>
    <row r="1414" spans="1:4">
      <c r="A1414">
        <v>1409</v>
      </c>
      <c r="B1414" s="11">
        <v>45848.479166666664</v>
      </c>
      <c r="C1414" s="7">
        <v>623.96</v>
      </c>
      <c r="D1414">
        <v>1691523</v>
      </c>
    </row>
    <row r="1415" spans="1:4">
      <c r="A1415">
        <v>1410</v>
      </c>
      <c r="B1415" s="11">
        <v>45848.458333333336</v>
      </c>
      <c r="C1415" s="7">
        <v>623.78060000000005</v>
      </c>
      <c r="D1415">
        <v>2766155</v>
      </c>
    </row>
    <row r="1416" spans="1:4">
      <c r="A1416">
        <v>1411</v>
      </c>
      <c r="B1416" s="11">
        <v>45848.4375</v>
      </c>
      <c r="C1416" s="7">
        <v>623.13729999999998</v>
      </c>
      <c r="D1416">
        <v>3239324</v>
      </c>
    </row>
    <row r="1417" spans="1:4">
      <c r="A1417">
        <v>1412</v>
      </c>
      <c r="B1417" s="11">
        <v>45848.416666666664</v>
      </c>
      <c r="C1417" s="7">
        <v>622.02539999999999</v>
      </c>
      <c r="D1417">
        <v>4180099</v>
      </c>
    </row>
    <row r="1418" spans="1:4">
      <c r="A1418">
        <v>1413</v>
      </c>
      <c r="B1418" s="11">
        <v>45848.395833333336</v>
      </c>
      <c r="C1418" s="7">
        <v>621.63649999999996</v>
      </c>
      <c r="D1418">
        <v>4618062</v>
      </c>
    </row>
    <row r="1419" spans="1:4">
      <c r="A1419">
        <v>1414</v>
      </c>
      <c r="B1419" s="11">
        <v>45847.666666666664</v>
      </c>
      <c r="C1419" s="7">
        <v>622.33450000000005</v>
      </c>
      <c r="D1419">
        <v>18454647</v>
      </c>
    </row>
    <row r="1420" spans="1:4">
      <c r="A1420">
        <v>1415</v>
      </c>
      <c r="B1420" s="11">
        <v>45847.645833333336</v>
      </c>
      <c r="C1420" s="7">
        <v>622.33450000000005</v>
      </c>
      <c r="D1420">
        <v>8608344</v>
      </c>
    </row>
    <row r="1421" spans="1:4">
      <c r="A1421">
        <v>1416</v>
      </c>
      <c r="B1421" s="11">
        <v>45847.625</v>
      </c>
      <c r="C1421" s="7">
        <v>621.86580000000004</v>
      </c>
      <c r="D1421">
        <v>3720645</v>
      </c>
    </row>
    <row r="1422" spans="1:4">
      <c r="A1422">
        <v>1417</v>
      </c>
      <c r="B1422" s="11">
        <v>45847.604166666664</v>
      </c>
      <c r="C1422" s="7">
        <v>621.68629999999996</v>
      </c>
      <c r="D1422">
        <v>2375741</v>
      </c>
    </row>
    <row r="1423" spans="1:4">
      <c r="A1423">
        <v>1418</v>
      </c>
      <c r="B1423" s="11">
        <v>45847.583333333336</v>
      </c>
      <c r="C1423" s="7">
        <v>621.14779999999996</v>
      </c>
      <c r="D1423">
        <v>3013570</v>
      </c>
    </row>
    <row r="1424" spans="1:4">
      <c r="A1424">
        <v>1419</v>
      </c>
      <c r="B1424" s="11">
        <v>45847.5625</v>
      </c>
      <c r="C1424" s="7">
        <v>620.70899999999995</v>
      </c>
      <c r="D1424">
        <v>2398111</v>
      </c>
    </row>
    <row r="1425" spans="1:4">
      <c r="A1425">
        <v>1420</v>
      </c>
      <c r="B1425" s="11">
        <v>45847.541666666664</v>
      </c>
      <c r="C1425" s="7">
        <v>620.59939999999995</v>
      </c>
      <c r="D1425">
        <v>2189369</v>
      </c>
    </row>
    <row r="1426" spans="1:4">
      <c r="A1426">
        <v>1421</v>
      </c>
      <c r="B1426" s="11">
        <v>45847.520833333336</v>
      </c>
      <c r="C1426" s="7">
        <v>620.30020000000002</v>
      </c>
      <c r="D1426">
        <v>1538188</v>
      </c>
    </row>
    <row r="1427" spans="1:4">
      <c r="A1427">
        <v>1422</v>
      </c>
      <c r="B1427" s="11">
        <v>45847.5</v>
      </c>
      <c r="C1427" s="7">
        <v>620.10080000000005</v>
      </c>
      <c r="D1427">
        <v>2141828</v>
      </c>
    </row>
    <row r="1428" spans="1:4">
      <c r="A1428">
        <v>1423</v>
      </c>
      <c r="B1428" s="11">
        <v>45847.479166666664</v>
      </c>
      <c r="C1428" s="7">
        <v>620.21040000000005</v>
      </c>
      <c r="D1428">
        <v>2934503</v>
      </c>
    </row>
    <row r="1429" spans="1:4">
      <c r="A1429">
        <v>1424</v>
      </c>
      <c r="B1429" s="11">
        <v>45847.458333333336</v>
      </c>
      <c r="C1429" s="7">
        <v>620.40989999999999</v>
      </c>
      <c r="D1429">
        <v>3791184</v>
      </c>
    </row>
    <row r="1430" spans="1:4">
      <c r="A1430">
        <v>1425</v>
      </c>
      <c r="B1430" s="11">
        <v>45847.4375</v>
      </c>
      <c r="C1430" s="7">
        <v>619.62210000000005</v>
      </c>
      <c r="D1430">
        <v>6150981</v>
      </c>
    </row>
    <row r="1431" spans="1:4">
      <c r="A1431">
        <v>1426</v>
      </c>
      <c r="B1431" s="11">
        <v>45847.416666666664</v>
      </c>
      <c r="C1431" s="7">
        <v>621.61159999999995</v>
      </c>
      <c r="D1431">
        <v>3302068</v>
      </c>
    </row>
    <row r="1432" spans="1:4">
      <c r="A1432">
        <v>1427</v>
      </c>
      <c r="B1432" s="11">
        <v>45847.395833333336</v>
      </c>
      <c r="C1432" s="7">
        <v>622.51400000000001</v>
      </c>
      <c r="D1432">
        <v>5494149</v>
      </c>
    </row>
    <row r="1433" spans="1:4">
      <c r="A1433">
        <v>1428</v>
      </c>
      <c r="B1433" s="11">
        <v>45846.666666666664</v>
      </c>
      <c r="C1433" s="7">
        <v>618.62490000000003</v>
      </c>
      <c r="D1433">
        <v>16208099</v>
      </c>
    </row>
    <row r="1434" spans="1:4">
      <c r="A1434">
        <v>1429</v>
      </c>
      <c r="B1434" s="11">
        <v>45846.645833333336</v>
      </c>
      <c r="C1434" s="7">
        <v>618.61490000000003</v>
      </c>
      <c r="D1434">
        <v>8817281</v>
      </c>
    </row>
    <row r="1435" spans="1:4">
      <c r="A1435">
        <v>1430</v>
      </c>
      <c r="B1435" s="11">
        <v>45846.625</v>
      </c>
      <c r="C1435" s="7">
        <v>618.76980000000003</v>
      </c>
      <c r="D1435">
        <v>2722889</v>
      </c>
    </row>
    <row r="1436" spans="1:4">
      <c r="A1436">
        <v>1431</v>
      </c>
      <c r="B1436" s="11">
        <v>45846.604166666664</v>
      </c>
      <c r="C1436" s="7">
        <v>618.75450000000001</v>
      </c>
      <c r="D1436">
        <v>2032011</v>
      </c>
    </row>
    <row r="1437" spans="1:4">
      <c r="A1437">
        <v>1432</v>
      </c>
      <c r="B1437" s="11">
        <v>45846.583333333336</v>
      </c>
      <c r="C1437" s="7">
        <v>618.95389999999998</v>
      </c>
      <c r="D1437">
        <v>2005566</v>
      </c>
    </row>
    <row r="1438" spans="1:4">
      <c r="A1438">
        <v>1433</v>
      </c>
      <c r="B1438" s="11">
        <v>45846.5625</v>
      </c>
      <c r="C1438" s="7">
        <v>619.40260000000001</v>
      </c>
      <c r="D1438">
        <v>1870754</v>
      </c>
    </row>
    <row r="1439" spans="1:4">
      <c r="A1439">
        <v>1434</v>
      </c>
      <c r="B1439" s="11">
        <v>45846.541666666664</v>
      </c>
      <c r="C1439" s="7">
        <v>619.13340000000005</v>
      </c>
      <c r="D1439">
        <v>2448164</v>
      </c>
    </row>
    <row r="1440" spans="1:4">
      <c r="A1440">
        <v>1435</v>
      </c>
      <c r="B1440" s="11">
        <v>45846.520833333336</v>
      </c>
      <c r="C1440" s="7">
        <v>619.08360000000005</v>
      </c>
      <c r="D1440">
        <v>3690230</v>
      </c>
    </row>
    <row r="1441" spans="1:4">
      <c r="A1441">
        <v>1436</v>
      </c>
      <c r="B1441" s="11">
        <v>45846.5</v>
      </c>
      <c r="C1441" s="7">
        <v>620.18050000000005</v>
      </c>
      <c r="D1441">
        <v>2907866</v>
      </c>
    </row>
    <row r="1442" spans="1:4">
      <c r="A1442">
        <v>1437</v>
      </c>
      <c r="B1442" s="11">
        <v>45846.479166666664</v>
      </c>
      <c r="C1442" s="7">
        <v>619.37279999999998</v>
      </c>
      <c r="D1442">
        <v>2028743</v>
      </c>
    </row>
    <row r="1443" spans="1:4">
      <c r="A1443">
        <v>1438</v>
      </c>
      <c r="B1443" s="11">
        <v>45846.458333333336</v>
      </c>
      <c r="C1443" s="7">
        <v>618.28579999999999</v>
      </c>
      <c r="D1443">
        <v>2721378</v>
      </c>
    </row>
    <row r="1444" spans="1:4">
      <c r="A1444">
        <v>1439</v>
      </c>
      <c r="B1444" s="11">
        <v>45846.4375</v>
      </c>
      <c r="C1444" s="7">
        <v>618.73299999999995</v>
      </c>
      <c r="D1444">
        <v>4557668</v>
      </c>
    </row>
    <row r="1445" spans="1:4">
      <c r="A1445">
        <v>1440</v>
      </c>
      <c r="B1445" s="11">
        <v>45846.416666666664</v>
      </c>
      <c r="C1445" s="7">
        <v>618.3057</v>
      </c>
      <c r="D1445">
        <v>3106979</v>
      </c>
    </row>
    <row r="1446" spans="1:4">
      <c r="A1446">
        <v>1441</v>
      </c>
      <c r="B1446" s="11">
        <v>45846.395833333336</v>
      </c>
      <c r="C1446" s="7">
        <v>618.94389999999999</v>
      </c>
      <c r="D1446">
        <v>3906956</v>
      </c>
    </row>
    <row r="1447" spans="1:4">
      <c r="A1447">
        <v>1442</v>
      </c>
      <c r="B1447" s="11">
        <v>45845.666666666664</v>
      </c>
      <c r="C1447" s="7">
        <v>618.96389999999997</v>
      </c>
      <c r="D1447">
        <v>21381272</v>
      </c>
    </row>
    <row r="1448" spans="1:4">
      <c r="A1448">
        <v>1443</v>
      </c>
      <c r="B1448" s="11">
        <v>45845.645833333336</v>
      </c>
      <c r="C1448" s="7">
        <v>618.96389999999997</v>
      </c>
      <c r="D1448">
        <v>11392345</v>
      </c>
    </row>
    <row r="1449" spans="1:4">
      <c r="A1449">
        <v>1444</v>
      </c>
      <c r="B1449" s="11">
        <v>45845.625</v>
      </c>
      <c r="C1449" s="7">
        <v>617.7473</v>
      </c>
      <c r="D1449">
        <v>3474387</v>
      </c>
    </row>
    <row r="1450" spans="1:4">
      <c r="A1450">
        <v>1445</v>
      </c>
      <c r="B1450" s="11">
        <v>45845.604166666664</v>
      </c>
      <c r="C1450" s="7">
        <v>618.4402</v>
      </c>
      <c r="D1450">
        <v>3350164</v>
      </c>
    </row>
    <row r="1451" spans="1:4">
      <c r="A1451">
        <v>1446</v>
      </c>
      <c r="B1451" s="11">
        <v>45845.583333333336</v>
      </c>
      <c r="C1451" s="7">
        <v>616.26139999999998</v>
      </c>
      <c r="D1451">
        <v>4219440</v>
      </c>
    </row>
    <row r="1452" spans="1:4">
      <c r="A1452">
        <v>1447</v>
      </c>
      <c r="B1452" s="11">
        <v>45845.5625</v>
      </c>
      <c r="C1452" s="7">
        <v>618.31569999999999</v>
      </c>
      <c r="D1452">
        <v>3875088</v>
      </c>
    </row>
    <row r="1453" spans="1:4">
      <c r="A1453">
        <v>1448</v>
      </c>
      <c r="B1453" s="11">
        <v>45845.541666666664</v>
      </c>
      <c r="C1453" s="7">
        <v>618.45029999999997</v>
      </c>
      <c r="D1453">
        <v>2341981</v>
      </c>
    </row>
    <row r="1454" spans="1:4">
      <c r="A1454">
        <v>1449</v>
      </c>
      <c r="B1454" s="11">
        <v>45845.520833333336</v>
      </c>
      <c r="C1454" s="7">
        <v>618.08130000000006</v>
      </c>
      <c r="D1454">
        <v>3688948</v>
      </c>
    </row>
    <row r="1455" spans="1:4">
      <c r="A1455">
        <v>1450</v>
      </c>
      <c r="B1455" s="11">
        <v>45845.5</v>
      </c>
      <c r="C1455" s="7">
        <v>618.86419999999998</v>
      </c>
      <c r="D1455">
        <v>7092271</v>
      </c>
    </row>
    <row r="1456" spans="1:4">
      <c r="A1456">
        <v>1451</v>
      </c>
      <c r="B1456" s="11">
        <v>45845.479166666664</v>
      </c>
      <c r="C1456" s="7">
        <v>620.03089999999997</v>
      </c>
      <c r="D1456">
        <v>2261258</v>
      </c>
    </row>
    <row r="1457" spans="1:4">
      <c r="A1457">
        <v>1452</v>
      </c>
      <c r="B1457" s="11">
        <v>45845.458333333336</v>
      </c>
      <c r="C1457" s="7">
        <v>620.32010000000002</v>
      </c>
      <c r="D1457">
        <v>2406522</v>
      </c>
    </row>
    <row r="1458" spans="1:4">
      <c r="A1458">
        <v>1453</v>
      </c>
      <c r="B1458" s="11">
        <v>45845.4375</v>
      </c>
      <c r="C1458" s="7">
        <v>620.37990000000002</v>
      </c>
      <c r="D1458">
        <v>2935008</v>
      </c>
    </row>
    <row r="1459" spans="1:4">
      <c r="A1459">
        <v>1454</v>
      </c>
      <c r="B1459" s="11">
        <v>45845.416666666664</v>
      </c>
      <c r="C1459" s="7">
        <v>621.31730000000005</v>
      </c>
      <c r="D1459">
        <v>2464612</v>
      </c>
    </row>
    <row r="1460" spans="1:4">
      <c r="A1460">
        <v>1455</v>
      </c>
      <c r="B1460" s="11">
        <v>45845.395833333336</v>
      </c>
      <c r="C1460" s="7">
        <v>621.87580000000003</v>
      </c>
      <c r="D1460">
        <v>3931208</v>
      </c>
    </row>
    <row r="1461" spans="1:4">
      <c r="A1461">
        <v>1456</v>
      </c>
      <c r="B1461" s="11">
        <v>45841.666666666664</v>
      </c>
      <c r="C1461" s="7">
        <v>623.61099999999999</v>
      </c>
      <c r="D1461">
        <v>18991361</v>
      </c>
    </row>
    <row r="1462" spans="1:4">
      <c r="A1462">
        <v>1457</v>
      </c>
      <c r="B1462" s="11">
        <v>45841.645833333336</v>
      </c>
      <c r="C1462" s="7">
        <v>623.61099999999999</v>
      </c>
      <c r="D1462">
        <v>0</v>
      </c>
    </row>
    <row r="1463" spans="1:4">
      <c r="A1463">
        <v>1458</v>
      </c>
      <c r="B1463" s="11">
        <v>45841.625</v>
      </c>
      <c r="C1463" s="7">
        <v>623.61099999999999</v>
      </c>
      <c r="D1463">
        <v>0</v>
      </c>
    </row>
    <row r="1464" spans="1:4">
      <c r="A1464">
        <v>1459</v>
      </c>
      <c r="B1464" s="11">
        <v>45841.583333333336</v>
      </c>
      <c r="C1464" s="7">
        <v>623.61099999999999</v>
      </c>
      <c r="D1464">
        <v>0</v>
      </c>
    </row>
    <row r="1465" spans="1:4">
      <c r="A1465">
        <v>1460</v>
      </c>
      <c r="B1465" s="11">
        <v>45841.541666666664</v>
      </c>
      <c r="C1465" s="7">
        <v>623.61099999999999</v>
      </c>
      <c r="D1465">
        <v>0</v>
      </c>
    </row>
    <row r="1466" spans="1:4">
      <c r="A1466">
        <v>1461</v>
      </c>
      <c r="B1466" s="11">
        <v>45841.520833333336</v>
      </c>
      <c r="C1466" s="7">
        <v>623.61099999999999</v>
      </c>
      <c r="D1466">
        <v>8923745</v>
      </c>
    </row>
    <row r="1467" spans="1:4">
      <c r="A1467">
        <v>1462</v>
      </c>
      <c r="B1467" s="11">
        <v>45841.5</v>
      </c>
      <c r="C1467" s="7">
        <v>624.00490000000002</v>
      </c>
      <c r="D1467">
        <v>3426249</v>
      </c>
    </row>
    <row r="1468" spans="1:4">
      <c r="A1468">
        <v>1463</v>
      </c>
      <c r="B1468" s="11">
        <v>45841.479166666664</v>
      </c>
      <c r="C1468" s="7">
        <v>624.16449999999998</v>
      </c>
      <c r="D1468">
        <v>3146120</v>
      </c>
    </row>
    <row r="1469" spans="1:4">
      <c r="A1469">
        <v>1464</v>
      </c>
      <c r="B1469" s="11">
        <v>45841.458333333336</v>
      </c>
      <c r="C1469" s="7">
        <v>623.66089999999997</v>
      </c>
      <c r="D1469">
        <v>2982223</v>
      </c>
    </row>
    <row r="1470" spans="1:4">
      <c r="A1470">
        <v>1465</v>
      </c>
      <c r="B1470" s="11">
        <v>45841.4375</v>
      </c>
      <c r="C1470" s="7">
        <v>623.5711</v>
      </c>
      <c r="D1470">
        <v>2914576</v>
      </c>
    </row>
    <row r="1471" spans="1:4">
      <c r="A1471">
        <v>1466</v>
      </c>
      <c r="B1471" s="11">
        <v>45841.416666666664</v>
      </c>
      <c r="C1471" s="7">
        <v>623.26199999999994</v>
      </c>
      <c r="D1471">
        <v>4168965</v>
      </c>
    </row>
    <row r="1472" spans="1:4">
      <c r="A1472">
        <v>1467</v>
      </c>
      <c r="B1472" s="11">
        <v>45841.395833333336</v>
      </c>
      <c r="C1472" s="7">
        <v>622.51400000000001</v>
      </c>
      <c r="D1472">
        <v>6512549</v>
      </c>
    </row>
    <row r="1473" spans="1:4">
      <c r="A1473">
        <v>1468</v>
      </c>
      <c r="B1473" s="11">
        <v>45840.666666666664</v>
      </c>
      <c r="C1473" s="7">
        <v>618.7346</v>
      </c>
      <c r="D1473">
        <v>24817702</v>
      </c>
    </row>
    <row r="1474" spans="1:4">
      <c r="A1474">
        <v>1469</v>
      </c>
      <c r="B1474" s="11">
        <v>45840.645833333336</v>
      </c>
      <c r="C1474" s="7">
        <v>618.7346</v>
      </c>
      <c r="D1474">
        <v>8509136</v>
      </c>
    </row>
    <row r="1475" spans="1:4">
      <c r="A1475">
        <v>1470</v>
      </c>
      <c r="B1475" s="11">
        <v>45840.625</v>
      </c>
      <c r="C1475" s="7">
        <v>618.01649999999995</v>
      </c>
      <c r="D1475">
        <v>2996437</v>
      </c>
    </row>
    <row r="1476" spans="1:4">
      <c r="A1476">
        <v>1471</v>
      </c>
      <c r="B1476" s="11">
        <v>45840.604166666664</v>
      </c>
      <c r="C1476" s="7">
        <v>618.13400000000001</v>
      </c>
      <c r="D1476">
        <v>2427868</v>
      </c>
    </row>
    <row r="1477" spans="1:4">
      <c r="A1477">
        <v>1472</v>
      </c>
      <c r="B1477" s="11">
        <v>45840.583333333336</v>
      </c>
      <c r="C1477" s="7">
        <v>617.87699999999995</v>
      </c>
      <c r="D1477">
        <v>2249588</v>
      </c>
    </row>
    <row r="1478" spans="1:4">
      <c r="A1478">
        <v>1473</v>
      </c>
      <c r="B1478" s="11">
        <v>45840.5625</v>
      </c>
      <c r="C1478" s="7">
        <v>617.7373</v>
      </c>
      <c r="D1478">
        <v>1717617</v>
      </c>
    </row>
    <row r="1479" spans="1:4">
      <c r="A1479">
        <v>1474</v>
      </c>
      <c r="B1479" s="11">
        <v>45840.541666666664</v>
      </c>
      <c r="C1479" s="7">
        <v>617.75229999999999</v>
      </c>
      <c r="D1479">
        <v>1836882</v>
      </c>
    </row>
    <row r="1480" spans="1:4">
      <c r="A1480">
        <v>1475</v>
      </c>
      <c r="B1480" s="11">
        <v>45840.520833333336</v>
      </c>
      <c r="C1480" s="7">
        <v>617.83540000000005</v>
      </c>
      <c r="D1480">
        <v>2065785</v>
      </c>
    </row>
    <row r="1481" spans="1:4">
      <c r="A1481">
        <v>1476</v>
      </c>
      <c r="B1481" s="11">
        <v>45840.5</v>
      </c>
      <c r="C1481" s="7">
        <v>617.42819999999995</v>
      </c>
      <c r="D1481">
        <v>1978457</v>
      </c>
    </row>
    <row r="1482" spans="1:4">
      <c r="A1482">
        <v>1477</v>
      </c>
      <c r="B1482" s="11">
        <v>45840.479166666664</v>
      </c>
      <c r="C1482" s="7">
        <v>617.55280000000005</v>
      </c>
      <c r="D1482">
        <v>2521881</v>
      </c>
    </row>
    <row r="1483" spans="1:4">
      <c r="A1483">
        <v>1478</v>
      </c>
      <c r="B1483" s="11">
        <v>45840.458333333336</v>
      </c>
      <c r="C1483" s="7">
        <v>617.04930000000002</v>
      </c>
      <c r="D1483">
        <v>2605548</v>
      </c>
    </row>
    <row r="1484" spans="1:4">
      <c r="A1484">
        <v>1479</v>
      </c>
      <c r="B1484" s="11">
        <v>45840.4375</v>
      </c>
      <c r="C1484" s="7">
        <v>617.10910000000001</v>
      </c>
      <c r="D1484">
        <v>4287954</v>
      </c>
    </row>
    <row r="1485" spans="1:4">
      <c r="A1485">
        <v>1480</v>
      </c>
      <c r="B1485" s="11">
        <v>45840.416666666664</v>
      </c>
      <c r="C1485" s="7">
        <v>616.93949999999995</v>
      </c>
      <c r="D1485">
        <v>4217745</v>
      </c>
    </row>
    <row r="1486" spans="1:4">
      <c r="A1486">
        <v>1481</v>
      </c>
      <c r="B1486" s="11">
        <v>45840.395833333336</v>
      </c>
      <c r="C1486" s="7">
        <v>615.59320000000002</v>
      </c>
      <c r="D1486">
        <v>4277776</v>
      </c>
    </row>
    <row r="1487" spans="1:4">
      <c r="A1487">
        <v>1482</v>
      </c>
      <c r="B1487" s="11">
        <v>45839.666666666664</v>
      </c>
      <c r="C1487" s="7">
        <v>615.94230000000005</v>
      </c>
      <c r="D1487">
        <v>20177532</v>
      </c>
    </row>
    <row r="1488" spans="1:4">
      <c r="A1488">
        <v>1483</v>
      </c>
      <c r="B1488" s="11">
        <v>45839.645833333336</v>
      </c>
      <c r="C1488" s="7">
        <v>615.94230000000005</v>
      </c>
      <c r="D1488">
        <v>9320322</v>
      </c>
    </row>
    <row r="1489" spans="1:4">
      <c r="A1489">
        <v>1484</v>
      </c>
      <c r="B1489" s="11">
        <v>45839.625</v>
      </c>
      <c r="C1489" s="7">
        <v>616.65530000000001</v>
      </c>
      <c r="D1489">
        <v>5424285</v>
      </c>
    </row>
    <row r="1490" spans="1:4">
      <c r="A1490">
        <v>1485</v>
      </c>
      <c r="B1490" s="11">
        <v>45839.604166666664</v>
      </c>
      <c r="C1490" s="7">
        <v>615.98220000000003</v>
      </c>
      <c r="D1490">
        <v>2180419</v>
      </c>
    </row>
    <row r="1491" spans="1:4">
      <c r="A1491">
        <v>1486</v>
      </c>
      <c r="B1491" s="11">
        <v>45839.583333333336</v>
      </c>
      <c r="C1491" s="7">
        <v>616.28129999999999</v>
      </c>
      <c r="D1491">
        <v>2763984</v>
      </c>
    </row>
    <row r="1492" spans="1:4">
      <c r="A1492">
        <v>1487</v>
      </c>
      <c r="B1492" s="11">
        <v>45839.5625</v>
      </c>
      <c r="C1492" s="7">
        <v>616.90959999999995</v>
      </c>
      <c r="D1492">
        <v>2148696</v>
      </c>
    </row>
    <row r="1493" spans="1:4">
      <c r="A1493">
        <v>1488</v>
      </c>
      <c r="B1493" s="11">
        <v>45839.541666666664</v>
      </c>
      <c r="C1493" s="7">
        <v>616.36109999999996</v>
      </c>
      <c r="D1493">
        <v>2360891</v>
      </c>
    </row>
    <row r="1494" spans="1:4">
      <c r="A1494">
        <v>1489</v>
      </c>
      <c r="B1494" s="11">
        <v>45839.520833333336</v>
      </c>
      <c r="C1494" s="7">
        <v>615.41380000000004</v>
      </c>
      <c r="D1494">
        <v>2277235</v>
      </c>
    </row>
    <row r="1495" spans="1:4">
      <c r="A1495">
        <v>1490</v>
      </c>
      <c r="B1495" s="11">
        <v>45839.5</v>
      </c>
      <c r="C1495" s="7">
        <v>615.59320000000002</v>
      </c>
      <c r="D1495">
        <v>3238301</v>
      </c>
    </row>
    <row r="1496" spans="1:4">
      <c r="A1496">
        <v>1491</v>
      </c>
      <c r="B1496" s="11">
        <v>45839.479166666664</v>
      </c>
      <c r="C1496" s="7">
        <v>615.27409999999998</v>
      </c>
      <c r="D1496">
        <v>2612708</v>
      </c>
    </row>
    <row r="1497" spans="1:4">
      <c r="A1497">
        <v>1492</v>
      </c>
      <c r="B1497" s="11">
        <v>45839.458333333336</v>
      </c>
      <c r="C1497" s="7">
        <v>615.58309999999994</v>
      </c>
      <c r="D1497">
        <v>4807050</v>
      </c>
    </row>
    <row r="1498" spans="1:4">
      <c r="A1498">
        <v>1493</v>
      </c>
      <c r="B1498" s="11">
        <v>45839.4375</v>
      </c>
      <c r="C1498" s="7">
        <v>614.74559999999997</v>
      </c>
      <c r="D1498">
        <v>4015807</v>
      </c>
    </row>
    <row r="1499" spans="1:4">
      <c r="A1499">
        <v>1494</v>
      </c>
      <c r="B1499" s="11">
        <v>45839.416666666664</v>
      </c>
      <c r="C1499" s="7">
        <v>615.32399999999996</v>
      </c>
      <c r="D1499">
        <v>4044077</v>
      </c>
    </row>
    <row r="1500" spans="1:4">
      <c r="A1500">
        <v>1495</v>
      </c>
      <c r="B1500" s="11">
        <v>45839.395833333336</v>
      </c>
      <c r="C1500" s="7">
        <v>615.45529999999997</v>
      </c>
      <c r="D1500">
        <v>4658837</v>
      </c>
    </row>
    <row r="1501" spans="1:4">
      <c r="A1501">
        <v>1496</v>
      </c>
      <c r="B1501" s="11">
        <v>45838.666666666664</v>
      </c>
      <c r="C1501" s="7">
        <v>616.14170000000001</v>
      </c>
      <c r="D1501">
        <v>32779524</v>
      </c>
    </row>
    <row r="1502" spans="1:4">
      <c r="A1502">
        <v>1497</v>
      </c>
      <c r="B1502" s="11">
        <v>45838.645833333336</v>
      </c>
      <c r="C1502" s="7">
        <v>616.24149999999997</v>
      </c>
      <c r="D1502">
        <v>19797674</v>
      </c>
    </row>
    <row r="1503" spans="1:4">
      <c r="A1503">
        <v>1498</v>
      </c>
      <c r="B1503" s="11">
        <v>45838.625</v>
      </c>
      <c r="C1503" s="7">
        <v>616.1866</v>
      </c>
      <c r="D1503">
        <v>6776315</v>
      </c>
    </row>
    <row r="1504" spans="1:4">
      <c r="A1504">
        <v>1499</v>
      </c>
      <c r="B1504" s="11">
        <v>45838.604166666664</v>
      </c>
      <c r="C1504" s="7">
        <v>615.21429999999998</v>
      </c>
      <c r="D1504">
        <v>4025631</v>
      </c>
    </row>
    <row r="1505" spans="1:4">
      <c r="A1505">
        <v>1500</v>
      </c>
      <c r="B1505" s="11">
        <v>45838.583333333336</v>
      </c>
      <c r="C1505" s="7">
        <v>614.33669999999995</v>
      </c>
      <c r="D1505">
        <v>3382937</v>
      </c>
    </row>
    <row r="1506" spans="1:4">
      <c r="A1506">
        <v>1501</v>
      </c>
      <c r="B1506" s="11">
        <v>45838.5625</v>
      </c>
      <c r="C1506" s="7">
        <v>614.12729999999999</v>
      </c>
      <c r="D1506">
        <v>3258255</v>
      </c>
    </row>
    <row r="1507" spans="1:4">
      <c r="A1507">
        <v>1502</v>
      </c>
      <c r="B1507" s="11">
        <v>45838.541666666664</v>
      </c>
      <c r="C1507" s="7">
        <v>614.81039999999996</v>
      </c>
      <c r="D1507">
        <v>1690572</v>
      </c>
    </row>
    <row r="1508" spans="1:4">
      <c r="A1508">
        <v>1503</v>
      </c>
      <c r="B1508" s="11">
        <v>45838.520833333336</v>
      </c>
      <c r="C1508" s="7">
        <v>614.95500000000004</v>
      </c>
      <c r="D1508">
        <v>2032740</v>
      </c>
    </row>
    <row r="1509" spans="1:4">
      <c r="A1509">
        <v>1504</v>
      </c>
      <c r="B1509" s="11">
        <v>45838.5</v>
      </c>
      <c r="C1509" s="7">
        <v>614.51620000000003</v>
      </c>
      <c r="D1509">
        <v>1578901</v>
      </c>
    </row>
    <row r="1510" spans="1:4">
      <c r="A1510">
        <v>1505</v>
      </c>
      <c r="B1510" s="11">
        <v>45838.479166666664</v>
      </c>
      <c r="C1510" s="7">
        <v>614.77549999999997</v>
      </c>
      <c r="D1510">
        <v>2173244</v>
      </c>
    </row>
    <row r="1511" spans="1:4">
      <c r="A1511">
        <v>1506</v>
      </c>
      <c r="B1511" s="11">
        <v>45838.458333333336</v>
      </c>
      <c r="C1511" s="7">
        <v>614.51620000000003</v>
      </c>
      <c r="D1511">
        <v>3076332</v>
      </c>
    </row>
    <row r="1512" spans="1:4">
      <c r="A1512">
        <v>1507</v>
      </c>
      <c r="B1512" s="11">
        <v>45838.4375</v>
      </c>
      <c r="C1512" s="7">
        <v>614.35170000000005</v>
      </c>
      <c r="D1512">
        <v>2492200</v>
      </c>
    </row>
    <row r="1513" spans="1:4">
      <c r="A1513">
        <v>1508</v>
      </c>
      <c r="B1513" s="11">
        <v>45838.416666666664</v>
      </c>
      <c r="C1513" s="7">
        <v>615.02480000000003</v>
      </c>
      <c r="D1513">
        <v>3800110</v>
      </c>
    </row>
    <row r="1514" spans="1:4">
      <c r="A1514">
        <v>1509</v>
      </c>
      <c r="B1514" s="11">
        <v>45838.395833333336</v>
      </c>
      <c r="C1514" s="7">
        <v>614.68579999999997</v>
      </c>
      <c r="D1514">
        <v>5638109</v>
      </c>
    </row>
    <row r="1515" spans="1:4">
      <c r="A1515">
        <v>1510</v>
      </c>
      <c r="B1515" s="11">
        <v>45835.666666666664</v>
      </c>
      <c r="C1515" s="7">
        <v>613.20979999999997</v>
      </c>
      <c r="D1515">
        <v>27597889</v>
      </c>
    </row>
    <row r="1516" spans="1:4">
      <c r="A1516">
        <v>1511</v>
      </c>
      <c r="B1516" s="11">
        <v>45835.645833333336</v>
      </c>
      <c r="C1516" s="7">
        <v>612.9905</v>
      </c>
      <c r="D1516">
        <v>14339161</v>
      </c>
    </row>
    <row r="1517" spans="1:4">
      <c r="A1517">
        <v>1512</v>
      </c>
      <c r="B1517" s="11">
        <v>45835.625</v>
      </c>
      <c r="C1517" s="7">
        <v>610.73670000000004</v>
      </c>
      <c r="D1517">
        <v>5443010</v>
      </c>
    </row>
    <row r="1518" spans="1:4">
      <c r="A1518">
        <v>1513</v>
      </c>
      <c r="B1518" s="11">
        <v>45835.604166666664</v>
      </c>
      <c r="C1518" s="7">
        <v>609.37049999999999</v>
      </c>
      <c r="D1518">
        <v>7518202</v>
      </c>
    </row>
    <row r="1519" spans="1:4">
      <c r="A1519">
        <v>1514</v>
      </c>
      <c r="B1519" s="11">
        <v>45835.583333333336</v>
      </c>
      <c r="C1519" s="7">
        <v>610.69680000000005</v>
      </c>
      <c r="D1519">
        <v>4076477</v>
      </c>
    </row>
    <row r="1520" spans="1:4">
      <c r="A1520">
        <v>1515</v>
      </c>
      <c r="B1520" s="11">
        <v>45835.5625</v>
      </c>
      <c r="C1520" s="7">
        <v>612.42200000000003</v>
      </c>
      <c r="D1520">
        <v>5161447</v>
      </c>
    </row>
    <row r="1521" spans="1:4">
      <c r="A1521">
        <v>1516</v>
      </c>
      <c r="B1521" s="11">
        <v>45835.541666666664</v>
      </c>
      <c r="C1521" s="7">
        <v>613.68849999999998</v>
      </c>
      <c r="D1521">
        <v>1485754</v>
      </c>
    </row>
    <row r="1522" spans="1:4">
      <c r="A1522">
        <v>1517</v>
      </c>
      <c r="B1522" s="11">
        <v>45835.520833333336</v>
      </c>
      <c r="C1522" s="7">
        <v>614.24199999999996</v>
      </c>
      <c r="D1522">
        <v>2115174</v>
      </c>
    </row>
    <row r="1523" spans="1:4">
      <c r="A1523">
        <v>1518</v>
      </c>
      <c r="B1523" s="11">
        <v>45835.5</v>
      </c>
      <c r="C1523" s="7">
        <v>614.596</v>
      </c>
      <c r="D1523">
        <v>2064818</v>
      </c>
    </row>
    <row r="1524" spans="1:4">
      <c r="A1524">
        <v>1519</v>
      </c>
      <c r="B1524" s="11">
        <v>45835.479166666664</v>
      </c>
      <c r="C1524" s="7">
        <v>614.19709999999998</v>
      </c>
      <c r="D1524">
        <v>2450085</v>
      </c>
    </row>
    <row r="1525" spans="1:4">
      <c r="A1525">
        <v>1520</v>
      </c>
      <c r="B1525" s="11">
        <v>45835.458333333336</v>
      </c>
      <c r="C1525" s="7">
        <v>613.64859999999999</v>
      </c>
      <c r="D1525">
        <v>1934196</v>
      </c>
    </row>
    <row r="1526" spans="1:4">
      <c r="A1526">
        <v>1521</v>
      </c>
      <c r="B1526" s="11">
        <v>45835.4375</v>
      </c>
      <c r="C1526" s="7">
        <v>613.11509999999998</v>
      </c>
      <c r="D1526">
        <v>2817361</v>
      </c>
    </row>
    <row r="1527" spans="1:4">
      <c r="A1527">
        <v>1522</v>
      </c>
      <c r="B1527" s="11">
        <v>45835.416666666664</v>
      </c>
      <c r="C1527" s="7">
        <v>613.19989999999996</v>
      </c>
      <c r="D1527">
        <v>4361585</v>
      </c>
    </row>
    <row r="1528" spans="1:4">
      <c r="A1528">
        <v>1523</v>
      </c>
      <c r="B1528" s="11">
        <v>45835.395833333336</v>
      </c>
      <c r="C1528" s="7">
        <v>612.75120000000004</v>
      </c>
      <c r="D1528">
        <v>4893241</v>
      </c>
    </row>
    <row r="1529" spans="1:4">
      <c r="A1529">
        <v>1524</v>
      </c>
      <c r="B1529" s="11">
        <v>45834.666666666664</v>
      </c>
      <c r="C1529" s="7">
        <v>610.17819999999995</v>
      </c>
      <c r="D1529">
        <v>34910921</v>
      </c>
    </row>
    <row r="1530" spans="1:4">
      <c r="A1530">
        <v>1525</v>
      </c>
      <c r="B1530" s="11">
        <v>45834.645833333336</v>
      </c>
      <c r="C1530" s="7">
        <v>610.23810000000003</v>
      </c>
      <c r="D1530">
        <v>11605446</v>
      </c>
    </row>
    <row r="1531" spans="1:4">
      <c r="A1531">
        <v>1526</v>
      </c>
      <c r="B1531" s="11">
        <v>45834.625</v>
      </c>
      <c r="C1531" s="7">
        <v>609.904</v>
      </c>
      <c r="D1531">
        <v>3091773</v>
      </c>
    </row>
    <row r="1532" spans="1:4">
      <c r="A1532">
        <v>1527</v>
      </c>
      <c r="B1532" s="11">
        <v>45834.604166666664</v>
      </c>
      <c r="C1532" s="7">
        <v>609.76130000000001</v>
      </c>
      <c r="D1532">
        <v>2874949</v>
      </c>
    </row>
    <row r="1533" spans="1:4">
      <c r="A1533">
        <v>1528</v>
      </c>
      <c r="B1533" s="11">
        <v>45834.583333333336</v>
      </c>
      <c r="C1533" s="7">
        <v>610.05359999999996</v>
      </c>
      <c r="D1533">
        <v>3060675</v>
      </c>
    </row>
    <row r="1534" spans="1:4">
      <c r="A1534">
        <v>1529</v>
      </c>
      <c r="B1534" s="11">
        <v>45834.5625</v>
      </c>
      <c r="C1534" s="7">
        <v>609.59990000000005</v>
      </c>
      <c r="D1534">
        <v>1863848</v>
      </c>
    </row>
    <row r="1535" spans="1:4">
      <c r="A1535">
        <v>1530</v>
      </c>
      <c r="B1535" s="11">
        <v>45834.541666666664</v>
      </c>
      <c r="C1535" s="7">
        <v>609.54</v>
      </c>
      <c r="D1535">
        <v>1493135</v>
      </c>
    </row>
    <row r="1536" spans="1:4">
      <c r="A1536">
        <v>1531</v>
      </c>
      <c r="B1536" s="11">
        <v>45834.520833333336</v>
      </c>
      <c r="C1536" s="7">
        <v>609.15110000000004</v>
      </c>
      <c r="D1536">
        <v>1331678</v>
      </c>
    </row>
    <row r="1537" spans="1:4">
      <c r="A1537">
        <v>1532</v>
      </c>
      <c r="B1537" s="11">
        <v>45834.5</v>
      </c>
      <c r="C1537" s="7">
        <v>609.20100000000002</v>
      </c>
      <c r="D1537">
        <v>1993815</v>
      </c>
    </row>
    <row r="1538" spans="1:4">
      <c r="A1538">
        <v>1533</v>
      </c>
      <c r="B1538" s="11">
        <v>45834.479166666664</v>
      </c>
      <c r="C1538" s="7">
        <v>608.84199999999998</v>
      </c>
      <c r="D1538">
        <v>2054241</v>
      </c>
    </row>
    <row r="1539" spans="1:4">
      <c r="A1539">
        <v>1534</v>
      </c>
      <c r="B1539" s="11">
        <v>45834.458333333336</v>
      </c>
      <c r="C1539" s="7">
        <v>608.36329999999998</v>
      </c>
      <c r="D1539">
        <v>2472810</v>
      </c>
    </row>
    <row r="1540" spans="1:4">
      <c r="A1540">
        <v>1535</v>
      </c>
      <c r="B1540" s="11">
        <v>45834.4375</v>
      </c>
      <c r="C1540" s="7">
        <v>608.71230000000003</v>
      </c>
      <c r="D1540">
        <v>3397455</v>
      </c>
    </row>
    <row r="1541" spans="1:4">
      <c r="A1541">
        <v>1536</v>
      </c>
      <c r="B1541" s="11">
        <v>45834.416666666664</v>
      </c>
      <c r="C1541" s="7">
        <v>608.26350000000002</v>
      </c>
      <c r="D1541">
        <v>3268300</v>
      </c>
    </row>
    <row r="1542" spans="1:4">
      <c r="A1542">
        <v>1537</v>
      </c>
      <c r="B1542" s="11">
        <v>45834.395833333336</v>
      </c>
      <c r="C1542" s="7">
        <v>607.53549999999996</v>
      </c>
      <c r="D1542">
        <v>5129314</v>
      </c>
    </row>
    <row r="1543" spans="1:4">
      <c r="A1543">
        <v>1538</v>
      </c>
      <c r="B1543" s="11">
        <v>45833.666666666664</v>
      </c>
      <c r="C1543" s="7">
        <v>605.44140000000004</v>
      </c>
      <c r="D1543">
        <v>19420656</v>
      </c>
    </row>
    <row r="1544" spans="1:4">
      <c r="A1544">
        <v>1539</v>
      </c>
      <c r="B1544" s="11">
        <v>45833.645833333336</v>
      </c>
      <c r="C1544" s="7">
        <v>605.41150000000005</v>
      </c>
      <c r="D1544">
        <v>8472911</v>
      </c>
    </row>
    <row r="1545" spans="1:4">
      <c r="A1545">
        <v>1540</v>
      </c>
      <c r="B1545" s="11">
        <v>45833.625</v>
      </c>
      <c r="C1545" s="7">
        <v>605.31669999999997</v>
      </c>
      <c r="D1545">
        <v>2617258</v>
      </c>
    </row>
    <row r="1546" spans="1:4">
      <c r="A1546">
        <v>1541</v>
      </c>
      <c r="B1546" s="11">
        <v>45833.604166666664</v>
      </c>
      <c r="C1546" s="7">
        <v>604.73329999999999</v>
      </c>
      <c r="D1546">
        <v>1608489</v>
      </c>
    </row>
    <row r="1547" spans="1:4">
      <c r="A1547">
        <v>1542</v>
      </c>
      <c r="B1547" s="11">
        <v>45833.583333333336</v>
      </c>
      <c r="C1547" s="7">
        <v>604.73109999999997</v>
      </c>
      <c r="D1547">
        <v>1688123</v>
      </c>
    </row>
    <row r="1548" spans="1:4">
      <c r="A1548">
        <v>1543</v>
      </c>
      <c r="B1548" s="11">
        <v>45833.5625</v>
      </c>
      <c r="C1548" s="7">
        <v>604.56380000000001</v>
      </c>
      <c r="D1548">
        <v>3171290</v>
      </c>
    </row>
    <row r="1549" spans="1:4">
      <c r="A1549">
        <v>1544</v>
      </c>
      <c r="B1549" s="11">
        <v>45833.541666666664</v>
      </c>
      <c r="C1549" s="7">
        <v>605.34169999999995</v>
      </c>
      <c r="D1549">
        <v>2342745</v>
      </c>
    </row>
    <row r="1550" spans="1:4">
      <c r="A1550">
        <v>1545</v>
      </c>
      <c r="B1550" s="11">
        <v>45833.520833333336</v>
      </c>
      <c r="C1550" s="7">
        <v>605.05240000000003</v>
      </c>
      <c r="D1550">
        <v>1630485</v>
      </c>
    </row>
    <row r="1551" spans="1:4">
      <c r="A1551">
        <v>1546</v>
      </c>
      <c r="B1551" s="11">
        <v>45833.5</v>
      </c>
      <c r="C1551" s="7">
        <v>605.27189999999996</v>
      </c>
      <c r="D1551">
        <v>1485309</v>
      </c>
    </row>
    <row r="1552" spans="1:4">
      <c r="A1552">
        <v>1547</v>
      </c>
      <c r="B1552" s="11">
        <v>45833.479166666664</v>
      </c>
      <c r="C1552" s="7">
        <v>605.21199999999999</v>
      </c>
      <c r="D1552">
        <v>2667022</v>
      </c>
    </row>
    <row r="1553" spans="1:4">
      <c r="A1553">
        <v>1548</v>
      </c>
      <c r="B1553" s="11">
        <v>45833.458333333336</v>
      </c>
      <c r="C1553" s="7">
        <v>605.49120000000005</v>
      </c>
      <c r="D1553">
        <v>3483535</v>
      </c>
    </row>
    <row r="1554" spans="1:4">
      <c r="A1554">
        <v>1549</v>
      </c>
      <c r="B1554" s="11">
        <v>45833.4375</v>
      </c>
      <c r="C1554" s="7">
        <v>606.04970000000003</v>
      </c>
      <c r="D1554">
        <v>2973245</v>
      </c>
    </row>
    <row r="1555" spans="1:4">
      <c r="A1555">
        <v>1550</v>
      </c>
      <c r="B1555" s="11">
        <v>45833.416666666664</v>
      </c>
      <c r="C1555" s="7">
        <v>606.04970000000003</v>
      </c>
      <c r="D1555">
        <v>3664841</v>
      </c>
    </row>
    <row r="1556" spans="1:4">
      <c r="A1556">
        <v>1551</v>
      </c>
      <c r="B1556" s="11">
        <v>45833.395833333336</v>
      </c>
      <c r="C1556" s="7">
        <v>606.50840000000005</v>
      </c>
      <c r="D1556">
        <v>6888859</v>
      </c>
    </row>
    <row r="1557" spans="1:4">
      <c r="A1557">
        <v>1552</v>
      </c>
      <c r="B1557" s="11">
        <v>45832.666666666664</v>
      </c>
      <c r="C1557" s="7">
        <v>605.10239999999999</v>
      </c>
      <c r="D1557">
        <v>23213676</v>
      </c>
    </row>
    <row r="1558" spans="1:4">
      <c r="A1558">
        <v>1553</v>
      </c>
      <c r="B1558" s="11">
        <v>45832.645833333336</v>
      </c>
      <c r="C1558" s="7">
        <v>605.10239999999999</v>
      </c>
      <c r="D1558">
        <v>10025819</v>
      </c>
    </row>
    <row r="1559" spans="1:4">
      <c r="A1559">
        <v>1554</v>
      </c>
      <c r="B1559" s="11">
        <v>45832.625</v>
      </c>
      <c r="C1559" s="7">
        <v>605.80039999999997</v>
      </c>
      <c r="D1559">
        <v>2889329</v>
      </c>
    </row>
    <row r="1560" spans="1:4">
      <c r="A1560">
        <v>1555</v>
      </c>
      <c r="B1560" s="11">
        <v>45832.604166666664</v>
      </c>
      <c r="C1560" s="7">
        <v>605.63589999999999</v>
      </c>
      <c r="D1560">
        <v>2168464</v>
      </c>
    </row>
    <row r="1561" spans="1:4">
      <c r="A1561">
        <v>1556</v>
      </c>
      <c r="B1561" s="11">
        <v>45832.583333333336</v>
      </c>
      <c r="C1561" s="7">
        <v>605.33169999999996</v>
      </c>
      <c r="D1561">
        <v>2228057</v>
      </c>
    </row>
    <row r="1562" spans="1:4">
      <c r="A1562">
        <v>1557</v>
      </c>
      <c r="B1562" s="11">
        <v>45832.5625</v>
      </c>
      <c r="C1562" s="7">
        <v>605.50120000000004</v>
      </c>
      <c r="D1562">
        <v>1955897</v>
      </c>
    </row>
    <row r="1563" spans="1:4">
      <c r="A1563">
        <v>1558</v>
      </c>
      <c r="B1563" s="11">
        <v>45832.541666666664</v>
      </c>
      <c r="C1563" s="7">
        <v>604.67349999999999</v>
      </c>
      <c r="D1563">
        <v>2268126</v>
      </c>
    </row>
    <row r="1564" spans="1:4">
      <c r="A1564">
        <v>1559</v>
      </c>
      <c r="B1564" s="11">
        <v>45832.520833333336</v>
      </c>
      <c r="C1564" s="7">
        <v>604.96270000000004</v>
      </c>
      <c r="D1564">
        <v>2552416</v>
      </c>
    </row>
    <row r="1565" spans="1:4">
      <c r="A1565">
        <v>1560</v>
      </c>
      <c r="B1565" s="11">
        <v>45832.5</v>
      </c>
      <c r="C1565" s="7">
        <v>604.82309999999995</v>
      </c>
      <c r="D1565">
        <v>1900437</v>
      </c>
    </row>
    <row r="1566" spans="1:4">
      <c r="A1566">
        <v>1561</v>
      </c>
      <c r="B1566" s="11">
        <v>45832.479166666664</v>
      </c>
      <c r="C1566" s="7">
        <v>604.11</v>
      </c>
      <c r="D1566">
        <v>2124047</v>
      </c>
    </row>
    <row r="1567" spans="1:4">
      <c r="A1567">
        <v>1562</v>
      </c>
      <c r="B1567" s="11">
        <v>45832.458333333336</v>
      </c>
      <c r="C1567" s="7">
        <v>604.10509999999999</v>
      </c>
      <c r="D1567">
        <v>2760460</v>
      </c>
    </row>
    <row r="1568" spans="1:4">
      <c r="A1568">
        <v>1563</v>
      </c>
      <c r="B1568" s="11">
        <v>45832.4375</v>
      </c>
      <c r="C1568" s="7">
        <v>603.32730000000004</v>
      </c>
      <c r="D1568">
        <v>2960689</v>
      </c>
    </row>
    <row r="1569" spans="1:4">
      <c r="A1569">
        <v>1564</v>
      </c>
      <c r="B1569" s="11">
        <v>45832.416666666664</v>
      </c>
      <c r="C1569" s="7">
        <v>602.95330000000001</v>
      </c>
      <c r="D1569">
        <v>4138642</v>
      </c>
    </row>
    <row r="1570" spans="1:4">
      <c r="A1570">
        <v>1565</v>
      </c>
      <c r="B1570" s="11">
        <v>45832.395833333336</v>
      </c>
      <c r="C1570" s="7">
        <v>602.21029999999996</v>
      </c>
      <c r="D1570">
        <v>6549237</v>
      </c>
    </row>
    <row r="1571" spans="1:4">
      <c r="A1571">
        <v>1566</v>
      </c>
      <c r="B1571" s="11">
        <v>45831.666666666664</v>
      </c>
      <c r="C1571" s="7">
        <v>598.49069999999995</v>
      </c>
      <c r="D1571">
        <v>26134777</v>
      </c>
    </row>
    <row r="1572" spans="1:4">
      <c r="A1572">
        <v>1567</v>
      </c>
      <c r="B1572" s="11">
        <v>45831.645833333336</v>
      </c>
      <c r="C1572" s="7">
        <v>598.49069999999995</v>
      </c>
      <c r="D1572">
        <v>9600783</v>
      </c>
    </row>
    <row r="1573" spans="1:4">
      <c r="A1573">
        <v>1568</v>
      </c>
      <c r="B1573" s="11">
        <v>45831.625</v>
      </c>
      <c r="C1573" s="7">
        <v>597.56320000000005</v>
      </c>
      <c r="D1573">
        <v>3969332</v>
      </c>
    </row>
    <row r="1574" spans="1:4">
      <c r="A1574">
        <v>1569</v>
      </c>
      <c r="B1574" s="11">
        <v>45831.604166666664</v>
      </c>
      <c r="C1574" s="7">
        <v>596.80539999999996</v>
      </c>
      <c r="D1574">
        <v>3226881</v>
      </c>
    </row>
    <row r="1575" spans="1:4">
      <c r="A1575">
        <v>1570</v>
      </c>
      <c r="B1575" s="11">
        <v>45831.583333333336</v>
      </c>
      <c r="C1575" s="7">
        <v>596.7654</v>
      </c>
      <c r="D1575">
        <v>3042728</v>
      </c>
    </row>
    <row r="1576" spans="1:4">
      <c r="A1576">
        <v>1571</v>
      </c>
      <c r="B1576" s="11">
        <v>45831.5625</v>
      </c>
      <c r="C1576" s="7">
        <v>596.92499999999995</v>
      </c>
      <c r="D1576">
        <v>4797029</v>
      </c>
    </row>
    <row r="1577" spans="1:4">
      <c r="A1577">
        <v>1572</v>
      </c>
      <c r="B1577" s="11">
        <v>45831.541666666664</v>
      </c>
      <c r="C1577" s="7">
        <v>596.2269</v>
      </c>
      <c r="D1577">
        <v>5853934</v>
      </c>
    </row>
    <row r="1578" spans="1:4">
      <c r="A1578">
        <v>1573</v>
      </c>
      <c r="B1578" s="11">
        <v>45831.520833333336</v>
      </c>
      <c r="C1578" s="7">
        <v>591.93880000000001</v>
      </c>
      <c r="D1578">
        <v>9258814</v>
      </c>
    </row>
    <row r="1579" spans="1:4">
      <c r="A1579">
        <v>1574</v>
      </c>
      <c r="B1579" s="11">
        <v>45831.5</v>
      </c>
      <c r="C1579" s="7">
        <v>592.59699999999998</v>
      </c>
      <c r="D1579">
        <v>2950607</v>
      </c>
    </row>
    <row r="1580" spans="1:4">
      <c r="A1580">
        <v>1575</v>
      </c>
      <c r="B1580" s="11">
        <v>45831.479166666664</v>
      </c>
      <c r="C1580" s="7">
        <v>594.20249999999999</v>
      </c>
      <c r="D1580">
        <v>2694165</v>
      </c>
    </row>
    <row r="1581" spans="1:4">
      <c r="A1581">
        <v>1576</v>
      </c>
      <c r="B1581" s="11">
        <v>45831.458333333336</v>
      </c>
      <c r="C1581" s="7">
        <v>594.78089999999997</v>
      </c>
      <c r="D1581">
        <v>2544809</v>
      </c>
    </row>
    <row r="1582" spans="1:4">
      <c r="A1582">
        <v>1577</v>
      </c>
      <c r="B1582" s="11">
        <v>45831.4375</v>
      </c>
      <c r="C1582" s="7">
        <v>594.8107</v>
      </c>
      <c r="D1582">
        <v>3020511</v>
      </c>
    </row>
    <row r="1583" spans="1:4">
      <c r="A1583">
        <v>1578</v>
      </c>
      <c r="B1583" s="11">
        <v>45831.416666666664</v>
      </c>
      <c r="C1583" s="7">
        <v>595.94510000000002</v>
      </c>
      <c r="D1583">
        <v>4662690</v>
      </c>
    </row>
    <row r="1584" spans="1:4">
      <c r="A1584">
        <v>1579</v>
      </c>
      <c r="B1584" s="11">
        <v>45831.395833333336</v>
      </c>
      <c r="C1584" s="7">
        <v>595.1</v>
      </c>
      <c r="D1584">
        <v>5668980</v>
      </c>
    </row>
    <row r="1585" spans="1:4">
      <c r="A1585">
        <v>1580</v>
      </c>
      <c r="B1585" s="11">
        <v>45828.666666666664</v>
      </c>
      <c r="C1585" s="7">
        <v>592.63689999999997</v>
      </c>
      <c r="D1585">
        <v>42304424</v>
      </c>
    </row>
    <row r="1586" spans="1:4">
      <c r="A1586">
        <v>1581</v>
      </c>
      <c r="B1586" s="11">
        <v>45828.645833333336</v>
      </c>
      <c r="C1586" s="7">
        <v>592.59699999999998</v>
      </c>
      <c r="D1586">
        <v>13225465</v>
      </c>
    </row>
    <row r="1587" spans="1:4">
      <c r="A1587">
        <v>1582</v>
      </c>
      <c r="B1587" s="11">
        <v>45828.625</v>
      </c>
      <c r="C1587" s="7">
        <v>591.81920000000002</v>
      </c>
      <c r="D1587">
        <v>3130061</v>
      </c>
    </row>
    <row r="1588" spans="1:4">
      <c r="A1588">
        <v>1583</v>
      </c>
      <c r="B1588" s="11">
        <v>45828.604166666664</v>
      </c>
      <c r="C1588" s="7">
        <v>591.84910000000002</v>
      </c>
      <c r="D1588">
        <v>2196913</v>
      </c>
    </row>
    <row r="1589" spans="1:4">
      <c r="A1589">
        <v>1584</v>
      </c>
      <c r="B1589" s="11">
        <v>45828.583333333336</v>
      </c>
      <c r="C1589" s="7">
        <v>593.28510000000006</v>
      </c>
      <c r="D1589">
        <v>2433243</v>
      </c>
    </row>
    <row r="1590" spans="1:4">
      <c r="A1590">
        <v>1585</v>
      </c>
      <c r="B1590" s="11">
        <v>45828.5625</v>
      </c>
      <c r="C1590" s="7">
        <v>592.34770000000003</v>
      </c>
      <c r="D1590">
        <v>2982158</v>
      </c>
    </row>
    <row r="1591" spans="1:4">
      <c r="A1591">
        <v>1586</v>
      </c>
      <c r="B1591" s="11">
        <v>45828.541666666664</v>
      </c>
      <c r="C1591" s="7">
        <v>591.71939999999995</v>
      </c>
      <c r="D1591">
        <v>2701585</v>
      </c>
    </row>
    <row r="1592" spans="1:4">
      <c r="A1592">
        <v>1587</v>
      </c>
      <c r="B1592" s="11">
        <v>45828.520833333336</v>
      </c>
      <c r="C1592" s="7">
        <v>593.63419999999996</v>
      </c>
      <c r="D1592">
        <v>1948783</v>
      </c>
    </row>
    <row r="1593" spans="1:4">
      <c r="A1593">
        <v>1588</v>
      </c>
      <c r="B1593" s="11">
        <v>45828.5</v>
      </c>
      <c r="C1593" s="7">
        <v>593.32000000000005</v>
      </c>
      <c r="D1593">
        <v>2162651</v>
      </c>
    </row>
    <row r="1594" spans="1:4">
      <c r="A1594">
        <v>1589</v>
      </c>
      <c r="B1594" s="11">
        <v>45828.479166666664</v>
      </c>
      <c r="C1594" s="7">
        <v>593.0059</v>
      </c>
      <c r="D1594">
        <v>2726780</v>
      </c>
    </row>
    <row r="1595" spans="1:4">
      <c r="A1595">
        <v>1590</v>
      </c>
      <c r="B1595" s="11">
        <v>45828.458333333336</v>
      </c>
      <c r="C1595" s="7">
        <v>593.46950000000004</v>
      </c>
      <c r="D1595">
        <v>3401329</v>
      </c>
    </row>
    <row r="1596" spans="1:4">
      <c r="A1596">
        <v>1591</v>
      </c>
      <c r="B1596" s="11">
        <v>45828.4375</v>
      </c>
      <c r="C1596" s="7">
        <v>592.59699999999998</v>
      </c>
      <c r="D1596">
        <v>4259628</v>
      </c>
    </row>
    <row r="1597" spans="1:4">
      <c r="A1597">
        <v>1592</v>
      </c>
      <c r="B1597" s="11">
        <v>45828.416666666664</v>
      </c>
      <c r="C1597" s="7">
        <v>594.49180000000001</v>
      </c>
      <c r="D1597">
        <v>4153844</v>
      </c>
    </row>
    <row r="1598" spans="1:4">
      <c r="A1598">
        <v>1593</v>
      </c>
      <c r="B1598" s="11">
        <v>45828.395833333336</v>
      </c>
      <c r="C1598" s="7">
        <v>595.59870000000001</v>
      </c>
      <c r="D1598">
        <v>6424512</v>
      </c>
    </row>
    <row r="1599" spans="1:4">
      <c r="A1599">
        <v>1594</v>
      </c>
      <c r="B1599" s="11">
        <v>45826.666666666664</v>
      </c>
      <c r="C1599" s="7">
        <v>594.03189999999995</v>
      </c>
      <c r="D1599">
        <v>30168585</v>
      </c>
    </row>
    <row r="1600" spans="1:4">
      <c r="A1600">
        <v>1595</v>
      </c>
      <c r="B1600" s="11">
        <v>45826.645833333336</v>
      </c>
      <c r="C1600" s="7">
        <v>594.07169999999996</v>
      </c>
      <c r="D1600">
        <v>8615478</v>
      </c>
    </row>
    <row r="1601" spans="1:4">
      <c r="A1601">
        <v>1596</v>
      </c>
      <c r="B1601" s="11">
        <v>45826.625</v>
      </c>
      <c r="C1601" s="7">
        <v>593.43539999999996</v>
      </c>
      <c r="D1601">
        <v>6861751</v>
      </c>
    </row>
    <row r="1602" spans="1:4">
      <c r="A1602">
        <v>1597</v>
      </c>
      <c r="B1602" s="11">
        <v>45826.604166666664</v>
      </c>
      <c r="C1602" s="7">
        <v>593.59439999999995</v>
      </c>
      <c r="D1602">
        <v>5961592</v>
      </c>
    </row>
    <row r="1603" spans="1:4">
      <c r="A1603">
        <v>1598</v>
      </c>
      <c r="B1603" s="11">
        <v>45826.583333333336</v>
      </c>
      <c r="C1603" s="7">
        <v>595.92110000000002</v>
      </c>
      <c r="D1603">
        <v>3969891</v>
      </c>
    </row>
    <row r="1604" spans="1:4">
      <c r="A1604">
        <v>1599</v>
      </c>
      <c r="B1604" s="11">
        <v>45826.5625</v>
      </c>
      <c r="C1604" s="7">
        <v>596.18949999999995</v>
      </c>
      <c r="D1604">
        <v>2424854</v>
      </c>
    </row>
    <row r="1605" spans="1:4">
      <c r="A1605">
        <v>1600</v>
      </c>
      <c r="B1605" s="11">
        <v>45826.541666666664</v>
      </c>
      <c r="C1605" s="7">
        <v>595.40909999999997</v>
      </c>
      <c r="D1605">
        <v>1498178</v>
      </c>
    </row>
    <row r="1606" spans="1:4">
      <c r="A1606">
        <v>1601</v>
      </c>
      <c r="B1606" s="11">
        <v>45826.520833333336</v>
      </c>
      <c r="C1606" s="7">
        <v>595.99069999999995</v>
      </c>
      <c r="D1606">
        <v>1561930</v>
      </c>
    </row>
    <row r="1607" spans="1:4">
      <c r="A1607">
        <v>1602</v>
      </c>
      <c r="B1607" s="11">
        <v>45826.5</v>
      </c>
      <c r="C1607" s="7">
        <v>596.03549999999996</v>
      </c>
      <c r="D1607">
        <v>1461240</v>
      </c>
    </row>
    <row r="1608" spans="1:4">
      <c r="A1608">
        <v>1603</v>
      </c>
      <c r="B1608" s="11">
        <v>45826.479166666664</v>
      </c>
      <c r="C1608" s="7">
        <v>596.28819999999996</v>
      </c>
      <c r="D1608">
        <v>1780236</v>
      </c>
    </row>
    <row r="1609" spans="1:4">
      <c r="A1609">
        <v>1604</v>
      </c>
      <c r="B1609" s="11">
        <v>45826.458333333336</v>
      </c>
      <c r="C1609" s="7">
        <v>596.71659999999997</v>
      </c>
      <c r="D1609">
        <v>1530084</v>
      </c>
    </row>
    <row r="1610" spans="1:4">
      <c r="A1610">
        <v>1605</v>
      </c>
      <c r="B1610" s="11">
        <v>45826.4375</v>
      </c>
      <c r="C1610" s="7">
        <v>597.42240000000004</v>
      </c>
      <c r="D1610">
        <v>2328855</v>
      </c>
    </row>
    <row r="1611" spans="1:4">
      <c r="A1611">
        <v>1606</v>
      </c>
      <c r="B1611" s="11">
        <v>45826.416666666664</v>
      </c>
      <c r="C1611" s="7">
        <v>597.31510000000003</v>
      </c>
      <c r="D1611">
        <v>3816165</v>
      </c>
    </row>
    <row r="1612" spans="1:4">
      <c r="A1612">
        <v>1607</v>
      </c>
      <c r="B1612" s="11">
        <v>45826.395833333336</v>
      </c>
      <c r="C1612" s="7">
        <v>595.76</v>
      </c>
      <c r="D1612">
        <v>4626193</v>
      </c>
    </row>
    <row r="1613" spans="1:4">
      <c r="A1613">
        <v>1608</v>
      </c>
      <c r="B1613" s="11">
        <v>45825.666666666664</v>
      </c>
      <c r="C1613" s="7">
        <v>594.12149999999997</v>
      </c>
      <c r="D1613">
        <v>27596152</v>
      </c>
    </row>
    <row r="1614" spans="1:4">
      <c r="A1614">
        <v>1609</v>
      </c>
      <c r="B1614" s="11">
        <v>45825.645833333336</v>
      </c>
      <c r="C1614" s="7">
        <v>594.12149999999997</v>
      </c>
      <c r="D1614">
        <v>10449311</v>
      </c>
    </row>
    <row r="1615" spans="1:4">
      <c r="A1615">
        <v>1610</v>
      </c>
      <c r="B1615" s="11">
        <v>45825.625</v>
      </c>
      <c r="C1615" s="7">
        <v>594.85720000000003</v>
      </c>
      <c r="D1615">
        <v>3936893</v>
      </c>
    </row>
    <row r="1616" spans="1:4">
      <c r="A1616">
        <v>1611</v>
      </c>
      <c r="B1616" s="11">
        <v>45825.604166666664</v>
      </c>
      <c r="C1616" s="7">
        <v>594.73789999999997</v>
      </c>
      <c r="D1616">
        <v>4019618</v>
      </c>
    </row>
    <row r="1617" spans="1:4">
      <c r="A1617">
        <v>1612</v>
      </c>
      <c r="B1617" s="11">
        <v>45825.583333333336</v>
      </c>
      <c r="C1617" s="7">
        <v>593.96230000000003</v>
      </c>
      <c r="D1617">
        <v>5208010</v>
      </c>
    </row>
    <row r="1618" spans="1:4">
      <c r="A1618">
        <v>1613</v>
      </c>
      <c r="B1618" s="11">
        <v>45825.5625</v>
      </c>
      <c r="C1618" s="7">
        <v>594.51909999999998</v>
      </c>
      <c r="D1618">
        <v>4799790</v>
      </c>
    </row>
    <row r="1619" spans="1:4">
      <c r="A1619">
        <v>1614</v>
      </c>
      <c r="B1619" s="11">
        <v>45825.541666666664</v>
      </c>
      <c r="C1619" s="7">
        <v>595.39409999999998</v>
      </c>
      <c r="D1619">
        <v>3598249</v>
      </c>
    </row>
    <row r="1620" spans="1:4">
      <c r="A1620">
        <v>1615</v>
      </c>
      <c r="B1620" s="11">
        <v>45825.520833333336</v>
      </c>
      <c r="C1620" s="7">
        <v>596.32870000000003</v>
      </c>
      <c r="D1620">
        <v>3630089</v>
      </c>
    </row>
    <row r="1621" spans="1:4">
      <c r="A1621">
        <v>1616</v>
      </c>
      <c r="B1621" s="11">
        <v>45825.5</v>
      </c>
      <c r="C1621" s="7">
        <v>597.71079999999995</v>
      </c>
      <c r="D1621">
        <v>2465907</v>
      </c>
    </row>
    <row r="1622" spans="1:4">
      <c r="A1622">
        <v>1617</v>
      </c>
      <c r="B1622" s="11">
        <v>45825.479166666664</v>
      </c>
      <c r="C1622" s="7">
        <v>597.29319999999996</v>
      </c>
      <c r="D1622">
        <v>2328490</v>
      </c>
    </row>
    <row r="1623" spans="1:4">
      <c r="A1623">
        <v>1618</v>
      </c>
      <c r="B1623" s="11">
        <v>45825.458333333336</v>
      </c>
      <c r="C1623" s="7">
        <v>597.01480000000004</v>
      </c>
      <c r="D1623">
        <v>2559050</v>
      </c>
    </row>
    <row r="1624" spans="1:4">
      <c r="A1624">
        <v>1619</v>
      </c>
      <c r="B1624" s="11">
        <v>45825.4375</v>
      </c>
      <c r="C1624" s="7">
        <v>597.04459999999995</v>
      </c>
      <c r="D1624">
        <v>2518679</v>
      </c>
    </row>
    <row r="1625" spans="1:4">
      <c r="A1625">
        <v>1620</v>
      </c>
      <c r="B1625" s="11">
        <v>45825.416666666664</v>
      </c>
      <c r="C1625" s="7">
        <v>597.71079999999995</v>
      </c>
      <c r="D1625">
        <v>3253273</v>
      </c>
    </row>
    <row r="1626" spans="1:4">
      <c r="A1626">
        <v>1621</v>
      </c>
      <c r="B1626" s="11">
        <v>45825.395833333336</v>
      </c>
      <c r="C1626" s="7">
        <v>597.5616</v>
      </c>
      <c r="D1626">
        <v>5845857</v>
      </c>
    </row>
    <row r="1627" spans="1:4">
      <c r="A1627">
        <v>1622</v>
      </c>
      <c r="B1627" s="11">
        <v>45824.666666666664</v>
      </c>
      <c r="C1627" s="7">
        <v>599.24199999999996</v>
      </c>
      <c r="D1627">
        <v>28101705</v>
      </c>
    </row>
    <row r="1628" spans="1:4">
      <c r="A1628">
        <v>1623</v>
      </c>
      <c r="B1628" s="11">
        <v>45824.645833333336</v>
      </c>
      <c r="C1628" s="7">
        <v>599.24199999999996</v>
      </c>
      <c r="D1628">
        <v>10354987</v>
      </c>
    </row>
    <row r="1629" spans="1:4">
      <c r="A1629">
        <v>1624</v>
      </c>
      <c r="B1629" s="11">
        <v>45824.625</v>
      </c>
      <c r="C1629" s="7">
        <v>598.60569999999996</v>
      </c>
      <c r="D1629">
        <v>4322622</v>
      </c>
    </row>
    <row r="1630" spans="1:4">
      <c r="A1630">
        <v>1625</v>
      </c>
      <c r="B1630" s="11">
        <v>45824.604166666664</v>
      </c>
      <c r="C1630" s="7">
        <v>599.06299999999999</v>
      </c>
      <c r="D1630">
        <v>2680619</v>
      </c>
    </row>
    <row r="1631" spans="1:4">
      <c r="A1631">
        <v>1626</v>
      </c>
      <c r="B1631" s="11">
        <v>45824.583333333336</v>
      </c>
      <c r="C1631" s="7">
        <v>599.14260000000002</v>
      </c>
      <c r="D1631">
        <v>2082510</v>
      </c>
    </row>
    <row r="1632" spans="1:4">
      <c r="A1632">
        <v>1627</v>
      </c>
      <c r="B1632" s="11">
        <v>45824.5625</v>
      </c>
      <c r="C1632" s="7">
        <v>598.8741</v>
      </c>
      <c r="D1632">
        <v>2703042</v>
      </c>
    </row>
    <row r="1633" spans="1:4">
      <c r="A1633">
        <v>1628</v>
      </c>
      <c r="B1633" s="11">
        <v>45824.541666666664</v>
      </c>
      <c r="C1633" s="7">
        <v>599.9579</v>
      </c>
      <c r="D1633">
        <v>2503464</v>
      </c>
    </row>
    <row r="1634" spans="1:4">
      <c r="A1634">
        <v>1629</v>
      </c>
      <c r="B1634" s="11">
        <v>45824.520833333336</v>
      </c>
      <c r="C1634" s="7">
        <v>599.27189999999996</v>
      </c>
      <c r="D1634">
        <v>2109876</v>
      </c>
    </row>
    <row r="1635" spans="1:4">
      <c r="A1635">
        <v>1630</v>
      </c>
      <c r="B1635" s="11">
        <v>45824.5</v>
      </c>
      <c r="C1635" s="7">
        <v>599.60990000000004</v>
      </c>
      <c r="D1635">
        <v>1883068</v>
      </c>
    </row>
    <row r="1636" spans="1:4">
      <c r="A1636">
        <v>1631</v>
      </c>
      <c r="B1636" s="11">
        <v>45824.479166666664</v>
      </c>
      <c r="C1636" s="7">
        <v>599.69939999999997</v>
      </c>
      <c r="D1636">
        <v>3146693</v>
      </c>
    </row>
    <row r="1637" spans="1:4">
      <c r="A1637">
        <v>1632</v>
      </c>
      <c r="B1637" s="11">
        <v>45824.458333333336</v>
      </c>
      <c r="C1637" s="7">
        <v>599.91819999999996</v>
      </c>
      <c r="D1637">
        <v>3274207</v>
      </c>
    </row>
    <row r="1638" spans="1:4">
      <c r="A1638">
        <v>1633</v>
      </c>
      <c r="B1638" s="11">
        <v>45824.4375</v>
      </c>
      <c r="C1638" s="7">
        <v>600.47490000000005</v>
      </c>
      <c r="D1638">
        <v>3699318</v>
      </c>
    </row>
    <row r="1639" spans="1:4">
      <c r="A1639">
        <v>1634</v>
      </c>
      <c r="B1639" s="11">
        <v>45824.416666666664</v>
      </c>
      <c r="C1639" s="7">
        <v>600.65390000000002</v>
      </c>
      <c r="D1639">
        <v>4712086</v>
      </c>
    </row>
    <row r="1640" spans="1:4">
      <c r="A1640">
        <v>1635</v>
      </c>
      <c r="B1640" s="11">
        <v>45824.395833333336</v>
      </c>
      <c r="C1640" s="7">
        <v>599.76400000000001</v>
      </c>
      <c r="D1640">
        <v>8409931</v>
      </c>
    </row>
    <row r="1641" spans="1:4">
      <c r="A1641">
        <v>1636</v>
      </c>
      <c r="B1641" s="11">
        <v>45821.666666666664</v>
      </c>
      <c r="C1641" s="7">
        <v>593.59439999999995</v>
      </c>
      <c r="D1641">
        <v>26872742</v>
      </c>
    </row>
    <row r="1642" spans="1:4">
      <c r="A1642">
        <v>1637</v>
      </c>
      <c r="B1642" s="11">
        <v>45821.645833333336</v>
      </c>
      <c r="C1642" s="7">
        <v>593.59439999999995</v>
      </c>
      <c r="D1642">
        <v>13387094</v>
      </c>
    </row>
    <row r="1643" spans="1:4">
      <c r="A1643">
        <v>1638</v>
      </c>
      <c r="B1643" s="11">
        <v>45821.625</v>
      </c>
      <c r="C1643" s="7">
        <v>592.91830000000004</v>
      </c>
      <c r="D1643">
        <v>5423287</v>
      </c>
    </row>
    <row r="1644" spans="1:4">
      <c r="A1644">
        <v>1639</v>
      </c>
      <c r="B1644" s="11">
        <v>45821.604166666664</v>
      </c>
      <c r="C1644" s="7">
        <v>593.66409999999996</v>
      </c>
      <c r="D1644">
        <v>6996476</v>
      </c>
    </row>
    <row r="1645" spans="1:4">
      <c r="A1645">
        <v>1640</v>
      </c>
      <c r="B1645" s="11">
        <v>45821.583333333336</v>
      </c>
      <c r="C1645" s="7">
        <v>593.71370000000002</v>
      </c>
      <c r="D1645">
        <v>4970813</v>
      </c>
    </row>
    <row r="1646" spans="1:4">
      <c r="A1646">
        <v>1641</v>
      </c>
      <c r="B1646" s="11">
        <v>45821.5625</v>
      </c>
      <c r="C1646" s="7">
        <v>596.30960000000005</v>
      </c>
      <c r="D1646">
        <v>2681782</v>
      </c>
    </row>
    <row r="1647" spans="1:4">
      <c r="A1647">
        <v>1642</v>
      </c>
      <c r="B1647" s="11">
        <v>45821.541666666664</v>
      </c>
      <c r="C1647" s="7">
        <v>596.07029999999997</v>
      </c>
      <c r="D1647">
        <v>3047279</v>
      </c>
    </row>
    <row r="1648" spans="1:4">
      <c r="A1648">
        <v>1643</v>
      </c>
      <c r="B1648" s="11">
        <v>45821.520833333336</v>
      </c>
      <c r="C1648" s="7">
        <v>597.5616</v>
      </c>
      <c r="D1648">
        <v>2092409</v>
      </c>
    </row>
    <row r="1649" spans="1:4">
      <c r="A1649">
        <v>1644</v>
      </c>
      <c r="B1649" s="11">
        <v>45821.5</v>
      </c>
      <c r="C1649" s="7">
        <v>597.47320000000002</v>
      </c>
      <c r="D1649">
        <v>1997409</v>
      </c>
    </row>
    <row r="1650" spans="1:4">
      <c r="A1650">
        <v>1645</v>
      </c>
      <c r="B1650" s="11">
        <v>45821.479166666664</v>
      </c>
      <c r="C1650" s="7">
        <v>597.81020000000001</v>
      </c>
      <c r="D1650">
        <v>3377641</v>
      </c>
    </row>
    <row r="1651" spans="1:4">
      <c r="A1651">
        <v>1646</v>
      </c>
      <c r="B1651" s="11">
        <v>45821.458333333336</v>
      </c>
      <c r="C1651" s="7">
        <v>597.15409999999997</v>
      </c>
      <c r="D1651">
        <v>2937909</v>
      </c>
    </row>
    <row r="1652" spans="1:4">
      <c r="A1652">
        <v>1647</v>
      </c>
      <c r="B1652" s="11">
        <v>45821.4375</v>
      </c>
      <c r="C1652" s="7">
        <v>595.78689999999995</v>
      </c>
      <c r="D1652">
        <v>4299825</v>
      </c>
    </row>
    <row r="1653" spans="1:4">
      <c r="A1653">
        <v>1648</v>
      </c>
      <c r="B1653" s="11">
        <v>45821.416666666664</v>
      </c>
      <c r="C1653" s="7">
        <v>593.44529999999997</v>
      </c>
      <c r="D1653">
        <v>4440482</v>
      </c>
    </row>
    <row r="1654" spans="1:4">
      <c r="A1654">
        <v>1649</v>
      </c>
      <c r="B1654" s="11">
        <v>45821.395833333336</v>
      </c>
      <c r="C1654" s="7">
        <v>595.36429999999996</v>
      </c>
      <c r="D1654">
        <v>6980852</v>
      </c>
    </row>
    <row r="1655" spans="1:4">
      <c r="A1655">
        <v>1650</v>
      </c>
      <c r="B1655" s="11">
        <v>45820.666666666664</v>
      </c>
      <c r="C1655" s="7">
        <v>600.30589999999995</v>
      </c>
      <c r="D1655">
        <v>19859059</v>
      </c>
    </row>
    <row r="1656" spans="1:4">
      <c r="A1656">
        <v>1651</v>
      </c>
      <c r="B1656" s="11">
        <v>45820.645833333336</v>
      </c>
      <c r="C1656" s="7">
        <v>600.30589999999995</v>
      </c>
      <c r="D1656">
        <v>8050267</v>
      </c>
    </row>
    <row r="1657" spans="1:4">
      <c r="A1657">
        <v>1652</v>
      </c>
      <c r="B1657" s="11">
        <v>45820.625</v>
      </c>
      <c r="C1657" s="7">
        <v>599.81870000000004</v>
      </c>
      <c r="D1657">
        <v>2744548</v>
      </c>
    </row>
    <row r="1658" spans="1:4">
      <c r="A1658">
        <v>1653</v>
      </c>
      <c r="B1658" s="11">
        <v>45820.604166666664</v>
      </c>
      <c r="C1658" s="7">
        <v>599.86839999999995</v>
      </c>
      <c r="D1658">
        <v>2718653</v>
      </c>
    </row>
    <row r="1659" spans="1:4">
      <c r="A1659">
        <v>1654</v>
      </c>
      <c r="B1659" s="11">
        <v>45820.583333333336</v>
      </c>
      <c r="C1659" s="7">
        <v>599.38120000000004</v>
      </c>
      <c r="D1659">
        <v>2181917</v>
      </c>
    </row>
    <row r="1660" spans="1:4">
      <c r="A1660">
        <v>1655</v>
      </c>
      <c r="B1660" s="11">
        <v>45820.5625</v>
      </c>
      <c r="C1660" s="7">
        <v>599.68949999999995</v>
      </c>
      <c r="D1660">
        <v>1627387</v>
      </c>
    </row>
    <row r="1661" spans="1:4">
      <c r="A1661">
        <v>1656</v>
      </c>
      <c r="B1661" s="11">
        <v>45820.541666666664</v>
      </c>
      <c r="C1661" s="7">
        <v>599.53030000000001</v>
      </c>
      <c r="D1661">
        <v>1844989</v>
      </c>
    </row>
    <row r="1662" spans="1:4">
      <c r="A1662">
        <v>1657</v>
      </c>
      <c r="B1662" s="11">
        <v>45820.520833333336</v>
      </c>
      <c r="C1662" s="7">
        <v>599.01340000000005</v>
      </c>
      <c r="D1662">
        <v>2818359</v>
      </c>
    </row>
    <row r="1663" spans="1:4">
      <c r="A1663">
        <v>1658</v>
      </c>
      <c r="B1663" s="11">
        <v>45820.5</v>
      </c>
      <c r="C1663" s="7">
        <v>599.5403</v>
      </c>
      <c r="D1663">
        <v>3218014</v>
      </c>
    </row>
    <row r="1664" spans="1:4">
      <c r="A1664">
        <v>1659</v>
      </c>
      <c r="B1664" s="11">
        <v>45820.479166666664</v>
      </c>
      <c r="C1664" s="7">
        <v>599.06299999999999</v>
      </c>
      <c r="D1664">
        <v>2341692</v>
      </c>
    </row>
    <row r="1665" spans="1:4">
      <c r="A1665">
        <v>1660</v>
      </c>
      <c r="B1665" s="11">
        <v>45820.458333333336</v>
      </c>
      <c r="C1665" s="7">
        <v>598.97360000000003</v>
      </c>
      <c r="D1665">
        <v>5064129</v>
      </c>
    </row>
    <row r="1666" spans="1:4">
      <c r="A1666">
        <v>1661</v>
      </c>
      <c r="B1666" s="11">
        <v>45820.4375</v>
      </c>
      <c r="C1666" s="7">
        <v>599.26199999999994</v>
      </c>
      <c r="D1666">
        <v>3056427</v>
      </c>
    </row>
    <row r="1667" spans="1:4">
      <c r="A1667">
        <v>1662</v>
      </c>
      <c r="B1667" s="11">
        <v>45820.416666666664</v>
      </c>
      <c r="C1667" s="7">
        <v>599.0829</v>
      </c>
      <c r="D1667">
        <v>4042483</v>
      </c>
    </row>
    <row r="1668" spans="1:4">
      <c r="A1668">
        <v>1663</v>
      </c>
      <c r="B1668" s="11">
        <v>45820.395833333336</v>
      </c>
      <c r="C1668" s="7">
        <v>597.3827</v>
      </c>
      <c r="D1668">
        <v>4561080</v>
      </c>
    </row>
    <row r="1669" spans="1:4">
      <c r="A1669">
        <v>1664</v>
      </c>
      <c r="B1669" s="11">
        <v>45819.666666666664</v>
      </c>
      <c r="C1669" s="7">
        <v>597.92960000000005</v>
      </c>
      <c r="D1669">
        <v>23418135</v>
      </c>
    </row>
    <row r="1670" spans="1:4">
      <c r="A1670">
        <v>1665</v>
      </c>
      <c r="B1670" s="11">
        <v>45819.645833333336</v>
      </c>
      <c r="C1670" s="7">
        <v>597.92960000000005</v>
      </c>
      <c r="D1670">
        <v>8651224</v>
      </c>
    </row>
    <row r="1671" spans="1:4">
      <c r="A1671">
        <v>1666</v>
      </c>
      <c r="B1671" s="11">
        <v>45819.625</v>
      </c>
      <c r="C1671" s="7">
        <v>596.99490000000003</v>
      </c>
      <c r="D1671">
        <v>3898160</v>
      </c>
    </row>
    <row r="1672" spans="1:4">
      <c r="A1672">
        <v>1667</v>
      </c>
      <c r="B1672" s="11">
        <v>45819.604166666664</v>
      </c>
      <c r="C1672" s="7">
        <v>597.31309999999996</v>
      </c>
      <c r="D1672">
        <v>4733976</v>
      </c>
    </row>
    <row r="1673" spans="1:4">
      <c r="A1673">
        <v>1668</v>
      </c>
      <c r="B1673" s="11">
        <v>45819.583333333336</v>
      </c>
      <c r="C1673" s="7">
        <v>597.15409999999997</v>
      </c>
      <c r="D1673">
        <v>7218369</v>
      </c>
    </row>
    <row r="1674" spans="1:4">
      <c r="A1674">
        <v>1669</v>
      </c>
      <c r="B1674" s="11">
        <v>45819.5625</v>
      </c>
      <c r="C1674" s="7">
        <v>599.00340000000006</v>
      </c>
      <c r="D1674">
        <v>2256533</v>
      </c>
    </row>
    <row r="1675" spans="1:4">
      <c r="A1675">
        <v>1670</v>
      </c>
      <c r="B1675" s="11">
        <v>45819.541666666664</v>
      </c>
      <c r="C1675" s="7">
        <v>600.90250000000003</v>
      </c>
      <c r="D1675">
        <v>1930473</v>
      </c>
    </row>
    <row r="1676" spans="1:4">
      <c r="A1676">
        <v>1671</v>
      </c>
      <c r="B1676" s="11">
        <v>45819.520833333336</v>
      </c>
      <c r="C1676" s="7">
        <v>599.96299999999997</v>
      </c>
      <c r="D1676">
        <v>2187265</v>
      </c>
    </row>
    <row r="1677" spans="1:4">
      <c r="A1677">
        <v>1672</v>
      </c>
      <c r="B1677" s="11">
        <v>45819.5</v>
      </c>
      <c r="C1677" s="7">
        <v>599.78390000000002</v>
      </c>
      <c r="D1677">
        <v>3761081</v>
      </c>
    </row>
    <row r="1678" spans="1:4">
      <c r="A1678">
        <v>1673</v>
      </c>
      <c r="B1678" s="11">
        <v>45819.479166666664</v>
      </c>
      <c r="C1678" s="7">
        <v>600.14189999999996</v>
      </c>
      <c r="D1678">
        <v>2188259</v>
      </c>
    </row>
    <row r="1679" spans="1:4">
      <c r="A1679">
        <v>1674</v>
      </c>
      <c r="B1679" s="11">
        <v>45819.458333333336</v>
      </c>
      <c r="C1679" s="7">
        <v>600.75340000000006</v>
      </c>
      <c r="D1679">
        <v>2828840</v>
      </c>
    </row>
    <row r="1680" spans="1:4">
      <c r="A1680">
        <v>1675</v>
      </c>
      <c r="B1680" s="11">
        <v>45819.4375</v>
      </c>
      <c r="C1680" s="7">
        <v>601.24059999999997</v>
      </c>
      <c r="D1680">
        <v>2290842</v>
      </c>
    </row>
    <row r="1681" spans="1:4">
      <c r="A1681">
        <v>1676</v>
      </c>
      <c r="B1681" s="11">
        <v>45819.416666666664</v>
      </c>
      <c r="C1681" s="7">
        <v>601.31020000000001</v>
      </c>
      <c r="D1681">
        <v>2864624</v>
      </c>
    </row>
    <row r="1682" spans="1:4">
      <c r="A1682">
        <v>1677</v>
      </c>
      <c r="B1682" s="11">
        <v>45819.395833333336</v>
      </c>
      <c r="C1682" s="7">
        <v>600.18679999999995</v>
      </c>
      <c r="D1682">
        <v>5430443</v>
      </c>
    </row>
    <row r="1683" spans="1:4">
      <c r="A1683">
        <v>1678</v>
      </c>
      <c r="B1683" s="11">
        <v>45818.666666666664</v>
      </c>
      <c r="C1683" s="7">
        <v>599.63980000000004</v>
      </c>
      <c r="D1683">
        <v>19416649</v>
      </c>
    </row>
    <row r="1684" spans="1:4">
      <c r="A1684">
        <v>1679</v>
      </c>
      <c r="B1684" s="11">
        <v>45818.645833333336</v>
      </c>
      <c r="C1684" s="7">
        <v>599.56020000000001</v>
      </c>
      <c r="D1684">
        <v>9564715</v>
      </c>
    </row>
    <row r="1685" spans="1:4">
      <c r="A1685">
        <v>1680</v>
      </c>
      <c r="B1685" s="11">
        <v>45818.625</v>
      </c>
      <c r="C1685" s="7">
        <v>599.21220000000005</v>
      </c>
      <c r="D1685">
        <v>4323861</v>
      </c>
    </row>
    <row r="1686" spans="1:4">
      <c r="A1686">
        <v>1681</v>
      </c>
      <c r="B1686" s="11">
        <v>45818.604166666664</v>
      </c>
      <c r="C1686" s="7">
        <v>599.02329999999995</v>
      </c>
      <c r="D1686">
        <v>3710083</v>
      </c>
    </row>
    <row r="1687" spans="1:4">
      <c r="A1687">
        <v>1682</v>
      </c>
      <c r="B1687" s="11">
        <v>45818.583333333336</v>
      </c>
      <c r="C1687" s="7">
        <v>597.47360000000003</v>
      </c>
      <c r="D1687">
        <v>3909816</v>
      </c>
    </row>
    <row r="1688" spans="1:4">
      <c r="A1688">
        <v>1683</v>
      </c>
      <c r="B1688" s="11">
        <v>45818.5625</v>
      </c>
      <c r="C1688" s="7">
        <v>597.85</v>
      </c>
      <c r="D1688">
        <v>2136922</v>
      </c>
    </row>
    <row r="1689" spans="1:4">
      <c r="A1689">
        <v>1684</v>
      </c>
      <c r="B1689" s="11">
        <v>45818.541666666664</v>
      </c>
      <c r="C1689" s="7">
        <v>598.48630000000003</v>
      </c>
      <c r="D1689">
        <v>2482950</v>
      </c>
    </row>
    <row r="1690" spans="1:4">
      <c r="A1690">
        <v>1685</v>
      </c>
      <c r="B1690" s="11">
        <v>45818.520833333336</v>
      </c>
      <c r="C1690" s="7">
        <v>598.74490000000003</v>
      </c>
      <c r="D1690">
        <v>1940551</v>
      </c>
    </row>
    <row r="1691" spans="1:4">
      <c r="A1691">
        <v>1686</v>
      </c>
      <c r="B1691" s="11">
        <v>45818.5</v>
      </c>
      <c r="C1691" s="7">
        <v>598.45659999999998</v>
      </c>
      <c r="D1691">
        <v>2394714</v>
      </c>
    </row>
    <row r="1692" spans="1:4">
      <c r="A1692">
        <v>1687</v>
      </c>
      <c r="B1692" s="11">
        <v>45818.479166666664</v>
      </c>
      <c r="C1692" s="7">
        <v>597.80520000000001</v>
      </c>
      <c r="D1692">
        <v>4724027</v>
      </c>
    </row>
    <row r="1693" spans="1:4">
      <c r="A1693">
        <v>1688</v>
      </c>
      <c r="B1693" s="11">
        <v>45818.458333333336</v>
      </c>
      <c r="C1693" s="7">
        <v>597.70540000000005</v>
      </c>
      <c r="D1693">
        <v>2378526</v>
      </c>
    </row>
    <row r="1694" spans="1:4">
      <c r="A1694">
        <v>1689</v>
      </c>
      <c r="B1694" s="11">
        <v>45818.4375</v>
      </c>
      <c r="C1694" s="7">
        <v>597.64869999999996</v>
      </c>
      <c r="D1694">
        <v>2658845</v>
      </c>
    </row>
    <row r="1695" spans="1:4">
      <c r="A1695">
        <v>1690</v>
      </c>
      <c r="B1695" s="11">
        <v>45818.416666666664</v>
      </c>
      <c r="C1695" s="7">
        <v>597.76059999999995</v>
      </c>
      <c r="D1695">
        <v>2557485</v>
      </c>
    </row>
    <row r="1696" spans="1:4">
      <c r="A1696">
        <v>1691</v>
      </c>
      <c r="B1696" s="11">
        <v>45818.395833333336</v>
      </c>
      <c r="C1696" s="7">
        <v>597.14409999999998</v>
      </c>
      <c r="D1696">
        <v>4047828</v>
      </c>
    </row>
    <row r="1697" spans="1:4">
      <c r="A1697">
        <v>1692</v>
      </c>
      <c r="B1697" s="11">
        <v>45817.666666666664</v>
      </c>
      <c r="C1697" s="7">
        <v>596.25919999999996</v>
      </c>
      <c r="D1697">
        <v>15955196</v>
      </c>
    </row>
    <row r="1698" spans="1:4">
      <c r="A1698">
        <v>1693</v>
      </c>
      <c r="B1698" s="11">
        <v>45817.645833333336</v>
      </c>
      <c r="C1698" s="7">
        <v>596.25919999999996</v>
      </c>
      <c r="D1698">
        <v>8925917</v>
      </c>
    </row>
    <row r="1699" spans="1:4">
      <c r="A1699">
        <v>1694</v>
      </c>
      <c r="B1699" s="11">
        <v>45817.625</v>
      </c>
      <c r="C1699" s="7">
        <v>597.07449999999994</v>
      </c>
      <c r="D1699">
        <v>2155666</v>
      </c>
    </row>
    <row r="1700" spans="1:4">
      <c r="A1700">
        <v>1695</v>
      </c>
      <c r="B1700" s="11">
        <v>45817.604166666664</v>
      </c>
      <c r="C1700" s="7">
        <v>597.5616</v>
      </c>
      <c r="D1700">
        <v>2700371</v>
      </c>
    </row>
    <row r="1701" spans="1:4">
      <c r="A1701">
        <v>1696</v>
      </c>
      <c r="B1701" s="11">
        <v>45817.583333333336</v>
      </c>
      <c r="C1701" s="7">
        <v>597.54169999999999</v>
      </c>
      <c r="D1701">
        <v>1511699</v>
      </c>
    </row>
    <row r="1702" spans="1:4">
      <c r="A1702">
        <v>1697</v>
      </c>
      <c r="B1702" s="11">
        <v>45817.5625</v>
      </c>
      <c r="C1702" s="7">
        <v>597.47220000000004</v>
      </c>
      <c r="D1702">
        <v>1566340</v>
      </c>
    </row>
    <row r="1703" spans="1:4">
      <c r="A1703">
        <v>1698</v>
      </c>
      <c r="B1703" s="11">
        <v>45817.541666666664</v>
      </c>
      <c r="C1703" s="7">
        <v>597.39760000000001</v>
      </c>
      <c r="D1703">
        <v>1869558</v>
      </c>
    </row>
    <row r="1704" spans="1:4">
      <c r="A1704">
        <v>1699</v>
      </c>
      <c r="B1704" s="11">
        <v>45817.520833333336</v>
      </c>
      <c r="C1704" s="7">
        <v>597.25840000000005</v>
      </c>
      <c r="D1704">
        <v>2281594</v>
      </c>
    </row>
    <row r="1705" spans="1:4">
      <c r="A1705">
        <v>1700</v>
      </c>
      <c r="B1705" s="11">
        <v>45817.5</v>
      </c>
      <c r="C1705" s="7">
        <v>596.37850000000003</v>
      </c>
      <c r="D1705">
        <v>1609428</v>
      </c>
    </row>
    <row r="1706" spans="1:4">
      <c r="A1706">
        <v>1701</v>
      </c>
      <c r="B1706" s="11">
        <v>45817.479166666664</v>
      </c>
      <c r="C1706" s="7">
        <v>596.41330000000005</v>
      </c>
      <c r="D1706">
        <v>1689560</v>
      </c>
    </row>
    <row r="1707" spans="1:4">
      <c r="A1707">
        <v>1702</v>
      </c>
      <c r="B1707" s="11">
        <v>45817.458333333336</v>
      </c>
      <c r="C1707" s="7">
        <v>595.79679999999996</v>
      </c>
      <c r="D1707">
        <v>1821320</v>
      </c>
    </row>
    <row r="1708" spans="1:4">
      <c r="A1708">
        <v>1703</v>
      </c>
      <c r="B1708" s="11">
        <v>45817.4375</v>
      </c>
      <c r="C1708" s="7">
        <v>596.11</v>
      </c>
      <c r="D1708">
        <v>3495707</v>
      </c>
    </row>
    <row r="1709" spans="1:4">
      <c r="A1709">
        <v>1704</v>
      </c>
      <c r="B1709" s="11">
        <v>45817.416666666664</v>
      </c>
      <c r="C1709" s="7">
        <v>596.32870000000003</v>
      </c>
      <c r="D1709">
        <v>3354533</v>
      </c>
    </row>
    <row r="1710" spans="1:4">
      <c r="A1710">
        <v>1705</v>
      </c>
      <c r="B1710" s="11">
        <v>45817.395833333336</v>
      </c>
      <c r="C1710" s="7">
        <v>595.55319999999995</v>
      </c>
      <c r="D1710">
        <v>4079527</v>
      </c>
    </row>
    <row r="1711" spans="1:4">
      <c r="A1711">
        <v>1706</v>
      </c>
      <c r="B1711" s="11">
        <v>45814.666666666664</v>
      </c>
      <c r="C1711" s="7">
        <v>595.72220000000004</v>
      </c>
      <c r="D1711">
        <v>20484376</v>
      </c>
    </row>
    <row r="1712" spans="1:4">
      <c r="A1712">
        <v>1707</v>
      </c>
      <c r="B1712" s="11">
        <v>45814.645833333336</v>
      </c>
      <c r="C1712" s="7">
        <v>595.72220000000004</v>
      </c>
      <c r="D1712">
        <v>8878229</v>
      </c>
    </row>
    <row r="1713" spans="1:4">
      <c r="A1713">
        <v>1708</v>
      </c>
      <c r="B1713" s="11">
        <v>45814.625</v>
      </c>
      <c r="C1713" s="7">
        <v>595.89120000000003</v>
      </c>
      <c r="D1713">
        <v>2782723</v>
      </c>
    </row>
    <row r="1714" spans="1:4">
      <c r="A1714">
        <v>1709</v>
      </c>
      <c r="B1714" s="11">
        <v>45814.604166666664</v>
      </c>
      <c r="C1714" s="7">
        <v>596.24919999999997</v>
      </c>
      <c r="D1714">
        <v>2888765</v>
      </c>
    </row>
    <row r="1715" spans="1:4">
      <c r="A1715">
        <v>1710</v>
      </c>
      <c r="B1715" s="11">
        <v>45814.583333333336</v>
      </c>
      <c r="C1715" s="7">
        <v>596.15970000000004</v>
      </c>
      <c r="D1715">
        <v>2892793</v>
      </c>
    </row>
    <row r="1716" spans="1:4">
      <c r="A1716">
        <v>1711</v>
      </c>
      <c r="B1716" s="11">
        <v>45814.5625</v>
      </c>
      <c r="C1716" s="7">
        <v>595.54330000000004</v>
      </c>
      <c r="D1716">
        <v>1496690</v>
      </c>
    </row>
    <row r="1717" spans="1:4">
      <c r="A1717">
        <v>1712</v>
      </c>
      <c r="B1717" s="11">
        <v>45814.541666666664</v>
      </c>
      <c r="C1717" s="7">
        <v>594.81740000000002</v>
      </c>
      <c r="D1717">
        <v>2069167</v>
      </c>
    </row>
    <row r="1718" spans="1:4">
      <c r="A1718">
        <v>1713</v>
      </c>
      <c r="B1718" s="11">
        <v>45814.520833333336</v>
      </c>
      <c r="C1718" s="7">
        <v>594.20090000000005</v>
      </c>
      <c r="D1718">
        <v>2725040</v>
      </c>
    </row>
    <row r="1719" spans="1:4">
      <c r="A1719">
        <v>1714</v>
      </c>
      <c r="B1719" s="11">
        <v>45814.5</v>
      </c>
      <c r="C1719" s="7">
        <v>595.17539999999997</v>
      </c>
      <c r="D1719">
        <v>1584156</v>
      </c>
    </row>
    <row r="1720" spans="1:4">
      <c r="A1720">
        <v>1715</v>
      </c>
      <c r="B1720" s="11">
        <v>45814.479166666664</v>
      </c>
      <c r="C1720" s="7">
        <v>595.31460000000004</v>
      </c>
      <c r="D1720">
        <v>2382273</v>
      </c>
    </row>
    <row r="1721" spans="1:4">
      <c r="A1721">
        <v>1716</v>
      </c>
      <c r="B1721" s="11">
        <v>45814.458333333336</v>
      </c>
      <c r="C1721" s="7">
        <v>595.07590000000005</v>
      </c>
      <c r="D1721">
        <v>4683622</v>
      </c>
    </row>
    <row r="1722" spans="1:4">
      <c r="A1722">
        <v>1717</v>
      </c>
      <c r="B1722" s="11">
        <v>45814.4375</v>
      </c>
      <c r="C1722" s="7">
        <v>595.88130000000001</v>
      </c>
      <c r="D1722">
        <v>2383189</v>
      </c>
    </row>
    <row r="1723" spans="1:4">
      <c r="A1723">
        <v>1718</v>
      </c>
      <c r="B1723" s="11">
        <v>45814.416666666664</v>
      </c>
      <c r="C1723" s="7">
        <v>595.72720000000004</v>
      </c>
      <c r="D1723">
        <v>3542710</v>
      </c>
    </row>
    <row r="1724" spans="1:4">
      <c r="A1724">
        <v>1719</v>
      </c>
      <c r="B1724" s="11">
        <v>45814.395833333336</v>
      </c>
      <c r="C1724" s="7">
        <v>596.95320000000004</v>
      </c>
      <c r="D1724">
        <v>7795011</v>
      </c>
    </row>
    <row r="1725" spans="1:4">
      <c r="A1725">
        <v>1720</v>
      </c>
      <c r="B1725" s="11">
        <v>45813.666666666664</v>
      </c>
      <c r="C1725" s="7">
        <v>589.66690000000006</v>
      </c>
      <c r="D1725">
        <v>28647659</v>
      </c>
    </row>
    <row r="1726" spans="1:4">
      <c r="A1726">
        <v>1721</v>
      </c>
      <c r="B1726" s="11">
        <v>45813.645833333336</v>
      </c>
      <c r="C1726" s="7">
        <v>589.66690000000006</v>
      </c>
      <c r="D1726">
        <v>12732108</v>
      </c>
    </row>
    <row r="1727" spans="1:4">
      <c r="A1727">
        <v>1722</v>
      </c>
      <c r="B1727" s="11">
        <v>45813.625</v>
      </c>
      <c r="C1727" s="7">
        <v>589.10400000000004</v>
      </c>
      <c r="D1727">
        <v>8095451</v>
      </c>
    </row>
    <row r="1728" spans="1:4">
      <c r="A1728">
        <v>1723</v>
      </c>
      <c r="B1728" s="11">
        <v>45813.604166666664</v>
      </c>
      <c r="C1728" s="7">
        <v>591.86440000000005</v>
      </c>
      <c r="D1728">
        <v>2766960</v>
      </c>
    </row>
    <row r="1729" spans="1:4">
      <c r="A1729">
        <v>1724</v>
      </c>
      <c r="B1729" s="11">
        <v>45813.583333333336</v>
      </c>
      <c r="C1729" s="7">
        <v>591.93399999999997</v>
      </c>
      <c r="D1729">
        <v>4392056</v>
      </c>
    </row>
    <row r="1730" spans="1:4">
      <c r="A1730">
        <v>1725</v>
      </c>
      <c r="B1730" s="11">
        <v>45813.5625</v>
      </c>
      <c r="C1730" s="7">
        <v>592.4212</v>
      </c>
      <c r="D1730">
        <v>2048832</v>
      </c>
    </row>
    <row r="1731" spans="1:4">
      <c r="A1731">
        <v>1726</v>
      </c>
      <c r="B1731" s="11">
        <v>45813.541666666664</v>
      </c>
      <c r="C1731" s="7">
        <v>593.05759999999998</v>
      </c>
      <c r="D1731">
        <v>3108965</v>
      </c>
    </row>
    <row r="1732" spans="1:4">
      <c r="A1732">
        <v>1727</v>
      </c>
      <c r="B1732" s="11">
        <v>45813.520833333336</v>
      </c>
      <c r="C1732" s="7">
        <v>591.28769999999997</v>
      </c>
      <c r="D1732">
        <v>4672375</v>
      </c>
    </row>
    <row r="1733" spans="1:4">
      <c r="A1733">
        <v>1728</v>
      </c>
      <c r="B1733" s="11">
        <v>45813.5</v>
      </c>
      <c r="C1733" s="7">
        <v>594.48929999999996</v>
      </c>
      <c r="D1733">
        <v>2963443</v>
      </c>
    </row>
    <row r="1734" spans="1:4">
      <c r="A1734">
        <v>1729</v>
      </c>
      <c r="B1734" s="11">
        <v>45813.479166666664</v>
      </c>
      <c r="C1734" s="7">
        <v>595.36429999999996</v>
      </c>
      <c r="D1734">
        <v>2504540</v>
      </c>
    </row>
    <row r="1735" spans="1:4">
      <c r="A1735">
        <v>1730</v>
      </c>
      <c r="B1735" s="11">
        <v>45813.458333333336</v>
      </c>
      <c r="C1735" s="7">
        <v>595.26480000000004</v>
      </c>
      <c r="D1735">
        <v>3746273</v>
      </c>
    </row>
    <row r="1736" spans="1:4">
      <c r="A1736">
        <v>1731</v>
      </c>
      <c r="B1736" s="11">
        <v>45813.4375</v>
      </c>
      <c r="C1736" s="7">
        <v>593.95240000000001</v>
      </c>
      <c r="D1736">
        <v>7090520</v>
      </c>
    </row>
    <row r="1737" spans="1:4">
      <c r="A1737">
        <v>1732</v>
      </c>
      <c r="B1737" s="11">
        <v>45813.416666666664</v>
      </c>
      <c r="C1737" s="7">
        <v>592.74929999999995</v>
      </c>
      <c r="D1737">
        <v>3472589</v>
      </c>
    </row>
    <row r="1738" spans="1:4">
      <c r="A1738">
        <v>1733</v>
      </c>
      <c r="B1738" s="11">
        <v>45813.395833333336</v>
      </c>
      <c r="C1738" s="7">
        <v>590.86009999999999</v>
      </c>
      <c r="D1738">
        <v>6194629</v>
      </c>
    </row>
    <row r="1739" spans="1:4">
      <c r="A1739">
        <v>1734</v>
      </c>
      <c r="B1739" s="11">
        <v>45812.666666666664</v>
      </c>
      <c r="C1739" s="7">
        <v>592.53049999999996</v>
      </c>
      <c r="D1739">
        <v>17186196</v>
      </c>
    </row>
    <row r="1740" spans="1:4">
      <c r="A1740">
        <v>1735</v>
      </c>
      <c r="B1740" s="11">
        <v>45812.645833333336</v>
      </c>
      <c r="C1740" s="7">
        <v>592.53049999999996</v>
      </c>
      <c r="D1740">
        <v>8395922</v>
      </c>
    </row>
    <row r="1741" spans="1:4">
      <c r="A1741">
        <v>1736</v>
      </c>
      <c r="B1741" s="11">
        <v>45812.625</v>
      </c>
      <c r="C1741" s="7">
        <v>593.62429999999995</v>
      </c>
      <c r="D1741">
        <v>2499647</v>
      </c>
    </row>
    <row r="1742" spans="1:4">
      <c r="A1742">
        <v>1737</v>
      </c>
      <c r="B1742" s="11">
        <v>45812.604166666664</v>
      </c>
      <c r="C1742" s="7">
        <v>593.59439999999995</v>
      </c>
      <c r="D1742">
        <v>2401432</v>
      </c>
    </row>
    <row r="1743" spans="1:4">
      <c r="A1743">
        <v>1738</v>
      </c>
      <c r="B1743" s="11">
        <v>45812.583333333336</v>
      </c>
      <c r="C1743" s="7">
        <v>594.17110000000002</v>
      </c>
      <c r="D1743">
        <v>2172265</v>
      </c>
    </row>
    <row r="1744" spans="1:4">
      <c r="A1744">
        <v>1739</v>
      </c>
      <c r="B1744" s="11">
        <v>45812.5625</v>
      </c>
      <c r="C1744" s="7">
        <v>594.16120000000001</v>
      </c>
      <c r="D1744">
        <v>1666753</v>
      </c>
    </row>
    <row r="1745" spans="1:4">
      <c r="A1745">
        <v>1740</v>
      </c>
      <c r="B1745" s="11">
        <v>45812.541666666664</v>
      </c>
      <c r="C1745" s="7">
        <v>593.91060000000004</v>
      </c>
      <c r="D1745">
        <v>1759632</v>
      </c>
    </row>
    <row r="1746" spans="1:4">
      <c r="A1746">
        <v>1741</v>
      </c>
      <c r="B1746" s="11">
        <v>45812.520833333336</v>
      </c>
      <c r="C1746" s="7">
        <v>593.37570000000005</v>
      </c>
      <c r="D1746">
        <v>1693993</v>
      </c>
    </row>
    <row r="1747" spans="1:4">
      <c r="A1747">
        <v>1742</v>
      </c>
      <c r="B1747" s="11">
        <v>45812.5</v>
      </c>
      <c r="C1747" s="7">
        <v>592.51059999999995</v>
      </c>
      <c r="D1747">
        <v>2418365</v>
      </c>
    </row>
    <row r="1748" spans="1:4">
      <c r="A1748">
        <v>1743</v>
      </c>
      <c r="B1748" s="11">
        <v>45812.479166666664</v>
      </c>
      <c r="C1748" s="7">
        <v>593.43539999999996</v>
      </c>
      <c r="D1748">
        <v>2379861</v>
      </c>
    </row>
    <row r="1749" spans="1:4">
      <c r="A1749">
        <v>1744</v>
      </c>
      <c r="B1749" s="11">
        <v>45812.458333333336</v>
      </c>
      <c r="C1749" s="7">
        <v>593.56460000000004</v>
      </c>
      <c r="D1749">
        <v>2064384</v>
      </c>
    </row>
    <row r="1750" spans="1:4">
      <c r="A1750">
        <v>1745</v>
      </c>
      <c r="B1750" s="11">
        <v>45812.4375</v>
      </c>
      <c r="C1750" s="7">
        <v>594.18110000000001</v>
      </c>
      <c r="D1750">
        <v>2576429</v>
      </c>
    </row>
    <row r="1751" spans="1:4">
      <c r="A1751">
        <v>1746</v>
      </c>
      <c r="B1751" s="11">
        <v>45812.416666666664</v>
      </c>
      <c r="C1751" s="7">
        <v>594.17110000000002</v>
      </c>
      <c r="D1751">
        <v>5245199</v>
      </c>
    </row>
    <row r="1752" spans="1:4">
      <c r="A1752">
        <v>1747</v>
      </c>
      <c r="B1752" s="11">
        <v>45812.395833333336</v>
      </c>
      <c r="C1752" s="7">
        <v>593.36580000000004</v>
      </c>
      <c r="D1752">
        <v>4854122</v>
      </c>
    </row>
    <row r="1753" spans="1:4">
      <c r="A1753">
        <v>1748</v>
      </c>
      <c r="B1753" s="11">
        <v>45811.666666666664</v>
      </c>
      <c r="C1753" s="7">
        <v>592.68960000000004</v>
      </c>
      <c r="D1753">
        <v>18491648</v>
      </c>
    </row>
    <row r="1754" spans="1:4">
      <c r="A1754">
        <v>1749</v>
      </c>
      <c r="B1754" s="11">
        <v>45811.645833333336</v>
      </c>
      <c r="C1754" s="7">
        <v>592.68960000000004</v>
      </c>
      <c r="D1754">
        <v>8669534</v>
      </c>
    </row>
    <row r="1755" spans="1:4">
      <c r="A1755">
        <v>1750</v>
      </c>
      <c r="B1755" s="11">
        <v>45811.625</v>
      </c>
      <c r="C1755" s="7">
        <v>592.81880000000001</v>
      </c>
      <c r="D1755">
        <v>3652737</v>
      </c>
    </row>
    <row r="1756" spans="1:4">
      <c r="A1756">
        <v>1751</v>
      </c>
      <c r="B1756" s="11">
        <v>45811.604166666664</v>
      </c>
      <c r="C1756" s="7">
        <v>592.95799999999997</v>
      </c>
      <c r="D1756">
        <v>2367078</v>
      </c>
    </row>
    <row r="1757" spans="1:4">
      <c r="A1757">
        <v>1752</v>
      </c>
      <c r="B1757" s="11">
        <v>45811.583333333336</v>
      </c>
      <c r="C1757" s="7">
        <v>592.76919999999996</v>
      </c>
      <c r="D1757">
        <v>4636871</v>
      </c>
    </row>
    <row r="1758" spans="1:4">
      <c r="A1758">
        <v>1753</v>
      </c>
      <c r="B1758" s="11">
        <v>45811.5625</v>
      </c>
      <c r="C1758" s="7">
        <v>592.73940000000005</v>
      </c>
      <c r="D1758">
        <v>2507352</v>
      </c>
    </row>
    <row r="1759" spans="1:4">
      <c r="A1759">
        <v>1754</v>
      </c>
      <c r="B1759" s="11">
        <v>45811.541666666664</v>
      </c>
      <c r="C1759" s="7">
        <v>593.34090000000003</v>
      </c>
      <c r="D1759">
        <v>2137085</v>
      </c>
    </row>
    <row r="1760" spans="1:4">
      <c r="A1760">
        <v>1755</v>
      </c>
      <c r="B1760" s="11">
        <v>45811.520833333336</v>
      </c>
      <c r="C1760" s="7">
        <v>593.11720000000003</v>
      </c>
      <c r="D1760">
        <v>2190946</v>
      </c>
    </row>
    <row r="1761" spans="1:4">
      <c r="A1761">
        <v>1756</v>
      </c>
      <c r="B1761" s="11">
        <v>45811.5</v>
      </c>
      <c r="C1761" s="7">
        <v>592.65480000000002</v>
      </c>
      <c r="D1761">
        <v>2472247</v>
      </c>
    </row>
    <row r="1762" spans="1:4">
      <c r="A1762">
        <v>1757</v>
      </c>
      <c r="B1762" s="11">
        <v>45811.479166666664</v>
      </c>
      <c r="C1762" s="7">
        <v>592.23220000000003</v>
      </c>
      <c r="D1762">
        <v>2662607</v>
      </c>
    </row>
    <row r="1763" spans="1:4">
      <c r="A1763">
        <v>1758</v>
      </c>
      <c r="B1763" s="11">
        <v>45811.458333333336</v>
      </c>
      <c r="C1763" s="7">
        <v>591.56610000000001</v>
      </c>
      <c r="D1763">
        <v>3035082</v>
      </c>
    </row>
    <row r="1764" spans="1:4">
      <c r="A1764">
        <v>1759</v>
      </c>
      <c r="B1764" s="11">
        <v>45811.4375</v>
      </c>
      <c r="C1764" s="7">
        <v>591.01919999999996</v>
      </c>
      <c r="D1764">
        <v>2858335</v>
      </c>
    </row>
    <row r="1765" spans="1:4">
      <c r="A1765">
        <v>1760</v>
      </c>
      <c r="B1765" s="11">
        <v>45811.416666666664</v>
      </c>
      <c r="C1765" s="7">
        <v>590.44749999999999</v>
      </c>
      <c r="D1765">
        <v>3617717</v>
      </c>
    </row>
    <row r="1766" spans="1:4">
      <c r="A1766">
        <v>1761</v>
      </c>
      <c r="B1766" s="11">
        <v>45811.395833333336</v>
      </c>
      <c r="C1766" s="7">
        <v>589.11019999999996</v>
      </c>
      <c r="D1766">
        <v>4306965</v>
      </c>
    </row>
    <row r="1767" spans="1:4">
      <c r="A1767">
        <v>1762</v>
      </c>
      <c r="B1767" s="11">
        <v>45810.666666666664</v>
      </c>
      <c r="C1767" s="7">
        <v>589.32889999999998</v>
      </c>
      <c r="D1767">
        <v>19386127</v>
      </c>
    </row>
    <row r="1768" spans="1:4">
      <c r="A1768">
        <v>1763</v>
      </c>
      <c r="B1768" s="11">
        <v>45810.645833333336</v>
      </c>
      <c r="C1768" s="7">
        <v>589.32889999999998</v>
      </c>
      <c r="D1768">
        <v>8770867</v>
      </c>
    </row>
    <row r="1769" spans="1:4">
      <c r="A1769">
        <v>1764</v>
      </c>
      <c r="B1769" s="11">
        <v>45810.625</v>
      </c>
      <c r="C1769" s="7">
        <v>588.93119999999999</v>
      </c>
      <c r="D1769">
        <v>3406228</v>
      </c>
    </row>
    <row r="1770" spans="1:4">
      <c r="A1770">
        <v>1765</v>
      </c>
      <c r="B1770" s="11">
        <v>45810.604166666664</v>
      </c>
      <c r="C1770" s="7">
        <v>588.47379999999998</v>
      </c>
      <c r="D1770">
        <v>2084981</v>
      </c>
    </row>
    <row r="1771" spans="1:4">
      <c r="A1771">
        <v>1766</v>
      </c>
      <c r="B1771" s="11">
        <v>45810.583333333336</v>
      </c>
      <c r="C1771" s="7">
        <v>588.12580000000003</v>
      </c>
      <c r="D1771">
        <v>2871574</v>
      </c>
    </row>
    <row r="1772" spans="1:4">
      <c r="A1772">
        <v>1767</v>
      </c>
      <c r="B1772" s="11">
        <v>45810.5625</v>
      </c>
      <c r="C1772" s="7">
        <v>586.5498</v>
      </c>
      <c r="D1772">
        <v>1118213</v>
      </c>
    </row>
    <row r="1773" spans="1:4">
      <c r="A1773">
        <v>1768</v>
      </c>
      <c r="B1773" s="11">
        <v>45810.541666666664</v>
      </c>
      <c r="C1773" s="7">
        <v>586.47529999999995</v>
      </c>
      <c r="D1773">
        <v>1348117</v>
      </c>
    </row>
    <row r="1774" spans="1:4">
      <c r="A1774">
        <v>1769</v>
      </c>
      <c r="B1774" s="11">
        <v>45810.520833333336</v>
      </c>
      <c r="C1774" s="7">
        <v>586.63430000000005</v>
      </c>
      <c r="D1774">
        <v>1348944</v>
      </c>
    </row>
    <row r="1775" spans="1:4">
      <c r="A1775">
        <v>1770</v>
      </c>
      <c r="B1775" s="11">
        <v>45810.5</v>
      </c>
      <c r="C1775" s="7">
        <v>586.02779999999996</v>
      </c>
      <c r="D1775">
        <v>1305774</v>
      </c>
    </row>
    <row r="1776" spans="1:4">
      <c r="A1776">
        <v>1771</v>
      </c>
      <c r="B1776" s="11">
        <v>45810.479166666664</v>
      </c>
      <c r="C1776" s="7">
        <v>586.50509999999997</v>
      </c>
      <c r="D1776">
        <v>2032184</v>
      </c>
    </row>
    <row r="1777" spans="1:4">
      <c r="A1777">
        <v>1772</v>
      </c>
      <c r="B1777" s="11">
        <v>45810.458333333336</v>
      </c>
      <c r="C1777" s="7">
        <v>585.19259999999997</v>
      </c>
      <c r="D1777">
        <v>2707939</v>
      </c>
    </row>
    <row r="1778" spans="1:4">
      <c r="A1778">
        <v>1773</v>
      </c>
      <c r="B1778" s="11">
        <v>45810.4375</v>
      </c>
      <c r="C1778" s="7">
        <v>585.99800000000005</v>
      </c>
      <c r="D1778">
        <v>3488453</v>
      </c>
    </row>
    <row r="1779" spans="1:4">
      <c r="A1779">
        <v>1774</v>
      </c>
      <c r="B1779" s="11">
        <v>45810.416666666664</v>
      </c>
      <c r="C1779" s="7">
        <v>585.23239999999998</v>
      </c>
      <c r="D1779">
        <v>5563245</v>
      </c>
    </row>
    <row r="1780" spans="1:4">
      <c r="A1780">
        <v>1775</v>
      </c>
      <c r="B1780" s="11">
        <v>45810.395833333336</v>
      </c>
      <c r="C1780" s="7">
        <v>582.98530000000005</v>
      </c>
      <c r="D1780">
        <v>6197858</v>
      </c>
    </row>
    <row r="1781" spans="1:4">
      <c r="A1781">
        <v>1776</v>
      </c>
      <c r="B1781" s="11">
        <v>45807.666666666664</v>
      </c>
      <c r="C1781" s="7">
        <v>586.02779999999996</v>
      </c>
      <c r="D1781">
        <v>32046924</v>
      </c>
    </row>
    <row r="1782" spans="1:4">
      <c r="A1782">
        <v>1777</v>
      </c>
      <c r="B1782" s="11">
        <v>45807.645833333336</v>
      </c>
      <c r="C1782" s="7">
        <v>586.02779999999996</v>
      </c>
      <c r="D1782">
        <v>17092276</v>
      </c>
    </row>
    <row r="1783" spans="1:4">
      <c r="A1783">
        <v>1778</v>
      </c>
      <c r="B1783" s="11">
        <v>45807.625</v>
      </c>
      <c r="C1783" s="7">
        <v>587.24080000000004</v>
      </c>
      <c r="D1783">
        <v>3778446</v>
      </c>
    </row>
    <row r="1784" spans="1:4">
      <c r="A1784">
        <v>1779</v>
      </c>
      <c r="B1784" s="11">
        <v>45807.604166666664</v>
      </c>
      <c r="C1784" s="7">
        <v>585.28219999999999</v>
      </c>
      <c r="D1784">
        <v>2159148</v>
      </c>
    </row>
    <row r="1785" spans="1:4">
      <c r="A1785">
        <v>1780</v>
      </c>
      <c r="B1785" s="11">
        <v>45807.583333333336</v>
      </c>
      <c r="C1785" s="7">
        <v>584.97389999999996</v>
      </c>
      <c r="D1785">
        <v>4640295</v>
      </c>
    </row>
    <row r="1786" spans="1:4">
      <c r="A1786">
        <v>1781</v>
      </c>
      <c r="B1786" s="11">
        <v>45807.5625</v>
      </c>
      <c r="C1786" s="7">
        <v>582.53790000000004</v>
      </c>
      <c r="D1786">
        <v>2425709</v>
      </c>
    </row>
    <row r="1787" spans="1:4">
      <c r="A1787">
        <v>1782</v>
      </c>
      <c r="B1787" s="11">
        <v>45807.541666666664</v>
      </c>
      <c r="C1787" s="7">
        <v>582.54790000000003</v>
      </c>
      <c r="D1787">
        <v>2784229</v>
      </c>
    </row>
    <row r="1788" spans="1:4">
      <c r="A1788">
        <v>1783</v>
      </c>
      <c r="B1788" s="11">
        <v>45807.520833333336</v>
      </c>
      <c r="C1788" s="7">
        <v>580.7183</v>
      </c>
      <c r="D1788">
        <v>6388237</v>
      </c>
    </row>
    <row r="1789" spans="1:4">
      <c r="A1789">
        <v>1784</v>
      </c>
      <c r="B1789" s="11">
        <v>45807.5</v>
      </c>
      <c r="C1789" s="7">
        <v>581.75239999999997</v>
      </c>
      <c r="D1789">
        <v>4529583</v>
      </c>
    </row>
    <row r="1790" spans="1:4">
      <c r="A1790">
        <v>1785</v>
      </c>
      <c r="B1790" s="11">
        <v>45807.479166666664</v>
      </c>
      <c r="C1790" s="7">
        <v>584.68050000000005</v>
      </c>
      <c r="D1790">
        <v>2237111</v>
      </c>
    </row>
    <row r="1791" spans="1:4">
      <c r="A1791">
        <v>1786</v>
      </c>
      <c r="B1791" s="11">
        <v>45807.458333333336</v>
      </c>
      <c r="C1791" s="7">
        <v>585.65</v>
      </c>
      <c r="D1791">
        <v>1713252</v>
      </c>
    </row>
    <row r="1792" spans="1:4">
      <c r="A1792">
        <v>1787</v>
      </c>
      <c r="B1792" s="11">
        <v>45807.4375</v>
      </c>
      <c r="C1792" s="7">
        <v>585.32190000000003</v>
      </c>
      <c r="D1792">
        <v>2324099</v>
      </c>
    </row>
    <row r="1793" spans="1:4">
      <c r="A1793">
        <v>1788</v>
      </c>
      <c r="B1793" s="11">
        <v>45807.416666666664</v>
      </c>
      <c r="C1793" s="7">
        <v>586.1671</v>
      </c>
      <c r="D1793">
        <v>3679222</v>
      </c>
    </row>
    <row r="1794" spans="1:4">
      <c r="A1794">
        <v>1789</v>
      </c>
      <c r="B1794" s="11">
        <v>45807.395833333336</v>
      </c>
      <c r="C1794" s="7">
        <v>584.06910000000005</v>
      </c>
      <c r="D1794">
        <v>4802709</v>
      </c>
    </row>
    <row r="1795" spans="1:4">
      <c r="A1795">
        <v>1790</v>
      </c>
      <c r="B1795" s="11">
        <v>45806.666666666664</v>
      </c>
      <c r="C1795" s="7">
        <v>586.68409999999994</v>
      </c>
      <c r="D1795">
        <v>24374595</v>
      </c>
    </row>
    <row r="1796" spans="1:4">
      <c r="A1796">
        <v>1791</v>
      </c>
      <c r="B1796" s="11">
        <v>45806.645833333336</v>
      </c>
      <c r="C1796" s="7">
        <v>586.68409999999994</v>
      </c>
      <c r="D1796">
        <v>8250133</v>
      </c>
    </row>
    <row r="1797" spans="1:4">
      <c r="A1797">
        <v>1792</v>
      </c>
      <c r="B1797" s="11">
        <v>45806.625</v>
      </c>
      <c r="C1797" s="7">
        <v>585.57039999999995</v>
      </c>
      <c r="D1797">
        <v>3661753</v>
      </c>
    </row>
    <row r="1798" spans="1:4">
      <c r="A1798">
        <v>1793</v>
      </c>
      <c r="B1798" s="11">
        <v>45806.604166666664</v>
      </c>
      <c r="C1798" s="7">
        <v>585.43619999999999</v>
      </c>
      <c r="D1798">
        <v>2301474</v>
      </c>
    </row>
    <row r="1799" spans="1:4">
      <c r="A1799">
        <v>1794</v>
      </c>
      <c r="B1799" s="11">
        <v>45806.583333333336</v>
      </c>
      <c r="C1799" s="7">
        <v>584.69550000000004</v>
      </c>
      <c r="D1799">
        <v>2493639</v>
      </c>
    </row>
    <row r="1800" spans="1:4">
      <c r="A1800">
        <v>1795</v>
      </c>
      <c r="B1800" s="11">
        <v>45806.5625</v>
      </c>
      <c r="C1800" s="7">
        <v>585.23239999999998</v>
      </c>
      <c r="D1800">
        <v>2066677</v>
      </c>
    </row>
    <row r="1801" spans="1:4">
      <c r="A1801">
        <v>1796</v>
      </c>
      <c r="B1801" s="11">
        <v>45806.541666666664</v>
      </c>
      <c r="C1801" s="7">
        <v>585.95839999999998</v>
      </c>
      <c r="D1801">
        <v>2014830</v>
      </c>
    </row>
    <row r="1802" spans="1:4">
      <c r="A1802">
        <v>1797</v>
      </c>
      <c r="B1802" s="11">
        <v>45806.520833333336</v>
      </c>
      <c r="C1802" s="7">
        <v>586.38580000000002</v>
      </c>
      <c r="D1802">
        <v>1948845</v>
      </c>
    </row>
    <row r="1803" spans="1:4">
      <c r="A1803">
        <v>1798</v>
      </c>
      <c r="B1803" s="11">
        <v>45806.5</v>
      </c>
      <c r="C1803" s="7">
        <v>585.62019999999995</v>
      </c>
      <c r="D1803">
        <v>3611933</v>
      </c>
    </row>
    <row r="1804" spans="1:4">
      <c r="A1804">
        <v>1799</v>
      </c>
      <c r="B1804" s="11">
        <v>45806.479166666664</v>
      </c>
      <c r="C1804" s="7">
        <v>583.77080000000001</v>
      </c>
      <c r="D1804">
        <v>3661581</v>
      </c>
    </row>
    <row r="1805" spans="1:4">
      <c r="A1805">
        <v>1800</v>
      </c>
      <c r="B1805" s="11">
        <v>45806.458333333336</v>
      </c>
      <c r="C1805" s="7">
        <v>587.33040000000005</v>
      </c>
      <c r="D1805">
        <v>2297572</v>
      </c>
    </row>
    <row r="1806" spans="1:4">
      <c r="A1806">
        <v>1801</v>
      </c>
      <c r="B1806" s="11">
        <v>45806.4375</v>
      </c>
      <c r="C1806" s="7">
        <v>587.55909999999994</v>
      </c>
      <c r="D1806">
        <v>2505845</v>
      </c>
    </row>
    <row r="1807" spans="1:4">
      <c r="A1807">
        <v>1802</v>
      </c>
      <c r="B1807" s="11">
        <v>45806.416666666664</v>
      </c>
      <c r="C1807" s="7">
        <v>586.65300000000002</v>
      </c>
      <c r="D1807">
        <v>4691962</v>
      </c>
    </row>
    <row r="1808" spans="1:4">
      <c r="A1808">
        <v>1803</v>
      </c>
      <c r="B1808" s="11">
        <v>45806.395833333336</v>
      </c>
      <c r="C1808" s="7">
        <v>587.80269999999996</v>
      </c>
      <c r="D1808">
        <v>6192921</v>
      </c>
    </row>
    <row r="1809" spans="1:4">
      <c r="A1809">
        <v>1804</v>
      </c>
      <c r="B1809" s="11">
        <v>45805.666666666664</v>
      </c>
      <c r="C1809" s="7">
        <v>584.37729999999999</v>
      </c>
      <c r="D1809">
        <v>24308045</v>
      </c>
    </row>
    <row r="1810" spans="1:4">
      <c r="A1810">
        <v>1805</v>
      </c>
      <c r="B1810" s="11">
        <v>45805.645833333336</v>
      </c>
      <c r="C1810" s="7">
        <v>584.37729999999999</v>
      </c>
      <c r="D1810">
        <v>10194983</v>
      </c>
    </row>
    <row r="1811" spans="1:4">
      <c r="A1811">
        <v>1806</v>
      </c>
      <c r="B1811" s="11">
        <v>45805.625</v>
      </c>
      <c r="C1811" s="7">
        <v>586.0471</v>
      </c>
      <c r="D1811">
        <v>4541992</v>
      </c>
    </row>
    <row r="1812" spans="1:4">
      <c r="A1812">
        <v>1807</v>
      </c>
      <c r="B1812" s="11">
        <v>45805.604166666664</v>
      </c>
      <c r="C1812" s="7">
        <v>586.3759</v>
      </c>
      <c r="D1812">
        <v>4363642</v>
      </c>
    </row>
    <row r="1813" spans="1:4">
      <c r="A1813">
        <v>1808</v>
      </c>
      <c r="B1813" s="11">
        <v>45805.583333333336</v>
      </c>
      <c r="C1813" s="7">
        <v>586.73379999999997</v>
      </c>
      <c r="D1813">
        <v>1869125</v>
      </c>
    </row>
    <row r="1814" spans="1:4">
      <c r="A1814">
        <v>1809</v>
      </c>
      <c r="B1814" s="11">
        <v>45805.5625</v>
      </c>
      <c r="C1814" s="7">
        <v>586.35350000000005</v>
      </c>
      <c r="D1814">
        <v>1748100</v>
      </c>
    </row>
    <row r="1815" spans="1:4">
      <c r="A1815">
        <v>1810</v>
      </c>
      <c r="B1815" s="11">
        <v>45805.541666666664</v>
      </c>
      <c r="C1815" s="7">
        <v>586.89790000000005</v>
      </c>
      <c r="D1815">
        <v>1864822</v>
      </c>
    </row>
    <row r="1816" spans="1:4">
      <c r="A1816">
        <v>1811</v>
      </c>
      <c r="B1816" s="11">
        <v>45805.520833333336</v>
      </c>
      <c r="C1816" s="7">
        <v>586.61440000000005</v>
      </c>
      <c r="D1816">
        <v>1613462</v>
      </c>
    </row>
    <row r="1817" spans="1:4">
      <c r="A1817">
        <v>1812</v>
      </c>
      <c r="B1817" s="11">
        <v>45805.5</v>
      </c>
      <c r="C1817" s="7">
        <v>586.46529999999996</v>
      </c>
      <c r="D1817">
        <v>1784362</v>
      </c>
    </row>
    <row r="1818" spans="1:4">
      <c r="A1818">
        <v>1813</v>
      </c>
      <c r="B1818" s="11">
        <v>45805.479166666664</v>
      </c>
      <c r="C1818" s="7">
        <v>585.7296</v>
      </c>
      <c r="D1818">
        <v>2166418</v>
      </c>
    </row>
    <row r="1819" spans="1:4">
      <c r="A1819">
        <v>1814</v>
      </c>
      <c r="B1819" s="11">
        <v>45805.458333333336</v>
      </c>
      <c r="C1819" s="7">
        <v>585.98800000000006</v>
      </c>
      <c r="D1819">
        <v>2421661</v>
      </c>
    </row>
    <row r="1820" spans="1:4">
      <c r="A1820">
        <v>1815</v>
      </c>
      <c r="B1820" s="11">
        <v>45805.4375</v>
      </c>
      <c r="C1820" s="7">
        <v>585.98310000000004</v>
      </c>
      <c r="D1820">
        <v>2726017</v>
      </c>
    </row>
    <row r="1821" spans="1:4">
      <c r="A1821">
        <v>1816</v>
      </c>
      <c r="B1821" s="11">
        <v>45805.416666666664</v>
      </c>
      <c r="C1821" s="7">
        <v>586.84810000000004</v>
      </c>
      <c r="D1821">
        <v>3006119</v>
      </c>
    </row>
    <row r="1822" spans="1:4">
      <c r="A1822">
        <v>1817</v>
      </c>
      <c r="B1822" s="11">
        <v>45805.395833333336</v>
      </c>
      <c r="C1822" s="7">
        <v>587.39</v>
      </c>
      <c r="D1822">
        <v>5836764</v>
      </c>
    </row>
    <row r="1823" spans="1:4">
      <c r="A1823">
        <v>1818</v>
      </c>
      <c r="B1823" s="11">
        <v>45804.666666666664</v>
      </c>
      <c r="C1823" s="7">
        <v>587.77779999999996</v>
      </c>
      <c r="D1823">
        <v>22403540</v>
      </c>
    </row>
    <row r="1824" spans="1:4">
      <c r="A1824">
        <v>1819</v>
      </c>
      <c r="B1824" s="11">
        <v>45804.645833333336</v>
      </c>
      <c r="C1824" s="7">
        <v>587.77779999999996</v>
      </c>
      <c r="D1824">
        <v>11500949</v>
      </c>
    </row>
    <row r="1825" spans="1:4">
      <c r="A1825">
        <v>1820</v>
      </c>
      <c r="B1825" s="11">
        <v>45804.625</v>
      </c>
      <c r="C1825" s="7">
        <v>586.95259999999996</v>
      </c>
      <c r="D1825">
        <v>3981900</v>
      </c>
    </row>
    <row r="1826" spans="1:4">
      <c r="A1826">
        <v>1821</v>
      </c>
      <c r="B1826" s="11">
        <v>45804.604166666664</v>
      </c>
      <c r="C1826" s="7">
        <v>586.97249999999997</v>
      </c>
      <c r="D1826">
        <v>2508350</v>
      </c>
    </row>
    <row r="1827" spans="1:4">
      <c r="A1827">
        <v>1822</v>
      </c>
      <c r="B1827" s="11">
        <v>45804.583333333336</v>
      </c>
      <c r="C1827" s="7">
        <v>587.32039999999995</v>
      </c>
      <c r="D1827">
        <v>2550376</v>
      </c>
    </row>
    <row r="1828" spans="1:4">
      <c r="A1828">
        <v>1823</v>
      </c>
      <c r="B1828" s="11">
        <v>45804.5625</v>
      </c>
      <c r="C1828" s="7">
        <v>587.62369999999999</v>
      </c>
      <c r="D1828">
        <v>2011967</v>
      </c>
    </row>
    <row r="1829" spans="1:4">
      <c r="A1829">
        <v>1824</v>
      </c>
      <c r="B1829" s="11">
        <v>45804.541666666664</v>
      </c>
      <c r="C1829" s="7">
        <v>586.80340000000001</v>
      </c>
      <c r="D1829">
        <v>1772363</v>
      </c>
    </row>
    <row r="1830" spans="1:4">
      <c r="A1830">
        <v>1825</v>
      </c>
      <c r="B1830" s="11">
        <v>45804.520833333336</v>
      </c>
      <c r="C1830" s="7">
        <v>586.5829</v>
      </c>
      <c r="D1830">
        <v>3420658</v>
      </c>
    </row>
    <row r="1831" spans="1:4">
      <c r="A1831">
        <v>1826</v>
      </c>
      <c r="B1831" s="11">
        <v>45804.5</v>
      </c>
      <c r="C1831" s="7">
        <v>585.99800000000005</v>
      </c>
      <c r="D1831">
        <v>2650842</v>
      </c>
    </row>
    <row r="1832" spans="1:4">
      <c r="A1832">
        <v>1827</v>
      </c>
      <c r="B1832" s="11">
        <v>45804.479166666664</v>
      </c>
      <c r="C1832" s="7">
        <v>585.61019999999996</v>
      </c>
      <c r="D1832">
        <v>2460875</v>
      </c>
    </row>
    <row r="1833" spans="1:4">
      <c r="A1833">
        <v>1828</v>
      </c>
      <c r="B1833" s="11">
        <v>45804.458333333336</v>
      </c>
      <c r="C1833" s="7">
        <v>585.44119999999998</v>
      </c>
      <c r="D1833">
        <v>2881293</v>
      </c>
    </row>
    <row r="1834" spans="1:4">
      <c r="A1834">
        <v>1829</v>
      </c>
      <c r="B1834" s="11">
        <v>45804.4375</v>
      </c>
      <c r="C1834" s="7">
        <v>584.71040000000005</v>
      </c>
      <c r="D1834">
        <v>2884693</v>
      </c>
    </row>
    <row r="1835" spans="1:4">
      <c r="A1835">
        <v>1830</v>
      </c>
      <c r="B1835" s="11">
        <v>45804.416666666664</v>
      </c>
      <c r="C1835" s="7">
        <v>584.52560000000005</v>
      </c>
      <c r="D1835">
        <v>4890155</v>
      </c>
    </row>
    <row r="1836" spans="1:4">
      <c r="A1836">
        <v>1831</v>
      </c>
      <c r="B1836" s="11">
        <v>45804.395833333336</v>
      </c>
      <c r="C1836" s="7">
        <v>582.95540000000005</v>
      </c>
      <c r="D1836">
        <v>6670511</v>
      </c>
    </row>
    <row r="1837" spans="1:4">
      <c r="A1837">
        <v>1832</v>
      </c>
      <c r="B1837" s="11">
        <v>45800.666666666664</v>
      </c>
      <c r="C1837" s="7">
        <v>575.80650000000003</v>
      </c>
      <c r="D1837">
        <v>29208556</v>
      </c>
    </row>
    <row r="1838" spans="1:4">
      <c r="A1838">
        <v>1833</v>
      </c>
      <c r="B1838" s="11">
        <v>45800.645833333336</v>
      </c>
      <c r="C1838" s="7">
        <v>575.81640000000004</v>
      </c>
      <c r="D1838">
        <v>8865369</v>
      </c>
    </row>
    <row r="1839" spans="1:4">
      <c r="A1839">
        <v>1834</v>
      </c>
      <c r="B1839" s="11">
        <v>45800.625</v>
      </c>
      <c r="C1839" s="7">
        <v>576.46280000000002</v>
      </c>
      <c r="D1839">
        <v>3088211</v>
      </c>
    </row>
    <row r="1840" spans="1:4">
      <c r="A1840">
        <v>1835</v>
      </c>
      <c r="B1840" s="11">
        <v>45800.604166666664</v>
      </c>
      <c r="C1840" s="7">
        <v>577.39739999999995</v>
      </c>
      <c r="D1840">
        <v>1807107</v>
      </c>
    </row>
    <row r="1841" spans="1:4">
      <c r="A1841">
        <v>1836</v>
      </c>
      <c r="B1841" s="11">
        <v>45800.583333333336</v>
      </c>
      <c r="C1841" s="7">
        <v>577.37750000000005</v>
      </c>
      <c r="D1841">
        <v>3195214</v>
      </c>
    </row>
    <row r="1842" spans="1:4">
      <c r="A1842">
        <v>1837</v>
      </c>
      <c r="B1842" s="11">
        <v>45800.5625</v>
      </c>
      <c r="C1842" s="7">
        <v>577.52670000000001</v>
      </c>
      <c r="D1842">
        <v>2001201</v>
      </c>
    </row>
    <row r="1843" spans="1:4">
      <c r="A1843">
        <v>1838</v>
      </c>
      <c r="B1843" s="11">
        <v>45800.541666666664</v>
      </c>
      <c r="C1843" s="7">
        <v>577.72550000000001</v>
      </c>
      <c r="D1843">
        <v>2455264</v>
      </c>
    </row>
    <row r="1844" spans="1:4">
      <c r="A1844">
        <v>1839</v>
      </c>
      <c r="B1844" s="11">
        <v>45800.520833333336</v>
      </c>
      <c r="C1844" s="7">
        <v>575.68709999999999</v>
      </c>
      <c r="D1844">
        <v>1975951</v>
      </c>
    </row>
    <row r="1845" spans="1:4">
      <c r="A1845">
        <v>1840</v>
      </c>
      <c r="B1845" s="11">
        <v>45800.5</v>
      </c>
      <c r="C1845" s="7">
        <v>575.3193</v>
      </c>
      <c r="D1845">
        <v>2153142</v>
      </c>
    </row>
    <row r="1846" spans="1:4">
      <c r="A1846">
        <v>1841</v>
      </c>
      <c r="B1846" s="11">
        <v>45800.479166666664</v>
      </c>
      <c r="C1846" s="7">
        <v>574.73270000000002</v>
      </c>
      <c r="D1846">
        <v>2461738</v>
      </c>
    </row>
    <row r="1847" spans="1:4">
      <c r="A1847">
        <v>1842</v>
      </c>
      <c r="B1847" s="11">
        <v>45800.458333333336</v>
      </c>
      <c r="C1847" s="7">
        <v>575.13040000000001</v>
      </c>
      <c r="D1847">
        <v>2554211</v>
      </c>
    </row>
    <row r="1848" spans="1:4">
      <c r="A1848">
        <v>1843</v>
      </c>
      <c r="B1848" s="11">
        <v>45800.4375</v>
      </c>
      <c r="C1848" s="7">
        <v>573.89250000000004</v>
      </c>
      <c r="D1848">
        <v>2800811</v>
      </c>
    </row>
    <row r="1849" spans="1:4">
      <c r="A1849">
        <v>1844</v>
      </c>
      <c r="B1849" s="11">
        <v>45800.416666666664</v>
      </c>
      <c r="C1849" s="7">
        <v>574.40449999999998</v>
      </c>
      <c r="D1849">
        <v>4739860</v>
      </c>
    </row>
    <row r="1850" spans="1:4">
      <c r="A1850">
        <v>1845</v>
      </c>
      <c r="B1850" s="11">
        <v>45800.395833333336</v>
      </c>
      <c r="C1850" s="7">
        <v>573.46990000000005</v>
      </c>
      <c r="D1850">
        <v>8722413</v>
      </c>
    </row>
    <row r="1851" spans="1:4">
      <c r="A1851">
        <v>1846</v>
      </c>
      <c r="B1851" s="11">
        <v>45799.666666666664</v>
      </c>
      <c r="C1851" s="7">
        <v>579.76379999999995</v>
      </c>
      <c r="D1851">
        <v>21916756</v>
      </c>
    </row>
    <row r="1852" spans="1:4">
      <c r="A1852">
        <v>1847</v>
      </c>
      <c r="B1852" s="11">
        <v>45799.645833333336</v>
      </c>
      <c r="C1852" s="7">
        <v>579.75379999999996</v>
      </c>
      <c r="D1852">
        <v>11357963</v>
      </c>
    </row>
    <row r="1853" spans="1:4">
      <c r="A1853">
        <v>1848</v>
      </c>
      <c r="B1853" s="11">
        <v>45799.625</v>
      </c>
      <c r="C1853" s="7">
        <v>583.15930000000003</v>
      </c>
      <c r="D1853">
        <v>3329807</v>
      </c>
    </row>
    <row r="1854" spans="1:4">
      <c r="A1854">
        <v>1849</v>
      </c>
      <c r="B1854" s="11">
        <v>45799.604166666664</v>
      </c>
      <c r="C1854" s="7">
        <v>582.50310000000002</v>
      </c>
      <c r="D1854">
        <v>2340025</v>
      </c>
    </row>
    <row r="1855" spans="1:4">
      <c r="A1855">
        <v>1850</v>
      </c>
      <c r="B1855" s="11">
        <v>45799.583333333336</v>
      </c>
      <c r="C1855" s="7">
        <v>582.16999999999996</v>
      </c>
      <c r="D1855">
        <v>2643131</v>
      </c>
    </row>
    <row r="1856" spans="1:4">
      <c r="A1856">
        <v>1851</v>
      </c>
      <c r="B1856" s="11">
        <v>45799.5625</v>
      </c>
      <c r="C1856" s="7">
        <v>582.00099999999998</v>
      </c>
      <c r="D1856">
        <v>2288071</v>
      </c>
    </row>
    <row r="1857" spans="1:4">
      <c r="A1857">
        <v>1852</v>
      </c>
      <c r="B1857" s="11">
        <v>45799.541666666664</v>
      </c>
      <c r="C1857" s="7">
        <v>581.32479999999998</v>
      </c>
      <c r="D1857">
        <v>2650968</v>
      </c>
    </row>
    <row r="1858" spans="1:4">
      <c r="A1858">
        <v>1853</v>
      </c>
      <c r="B1858" s="11">
        <v>45799.520833333336</v>
      </c>
      <c r="C1858" s="7">
        <v>579.75890000000004</v>
      </c>
      <c r="D1858">
        <v>2113958</v>
      </c>
    </row>
    <row r="1859" spans="1:4">
      <c r="A1859">
        <v>1854</v>
      </c>
      <c r="B1859" s="11">
        <v>45799.5</v>
      </c>
      <c r="C1859" s="7">
        <v>581.00670000000002</v>
      </c>
      <c r="D1859">
        <v>2853261</v>
      </c>
    </row>
    <row r="1860" spans="1:4">
      <c r="A1860">
        <v>1855</v>
      </c>
      <c r="B1860" s="11">
        <v>45799.479166666664</v>
      </c>
      <c r="C1860" s="7">
        <v>580.97680000000003</v>
      </c>
      <c r="D1860">
        <v>2708930</v>
      </c>
    </row>
    <row r="1861" spans="1:4">
      <c r="A1861">
        <v>1856</v>
      </c>
      <c r="B1861" s="11">
        <v>45799.458333333336</v>
      </c>
      <c r="C1861" s="7">
        <v>579.1866</v>
      </c>
      <c r="D1861">
        <v>3030081</v>
      </c>
    </row>
    <row r="1862" spans="1:4">
      <c r="A1862">
        <v>1857</v>
      </c>
      <c r="B1862" s="11">
        <v>45799.4375</v>
      </c>
      <c r="C1862" s="7">
        <v>579.74390000000005</v>
      </c>
      <c r="D1862">
        <v>3675535</v>
      </c>
    </row>
    <row r="1863" spans="1:4">
      <c r="A1863">
        <v>1858</v>
      </c>
      <c r="B1863" s="11">
        <v>45799.416666666664</v>
      </c>
      <c r="C1863" s="7">
        <v>579.53510000000006</v>
      </c>
      <c r="D1863">
        <v>3858318</v>
      </c>
    </row>
    <row r="1864" spans="1:4">
      <c r="A1864">
        <v>1859</v>
      </c>
      <c r="B1864" s="11">
        <v>45799.395833333336</v>
      </c>
      <c r="C1864" s="7">
        <v>581.01660000000004</v>
      </c>
      <c r="D1864">
        <v>6093612</v>
      </c>
    </row>
    <row r="1865" spans="1:4">
      <c r="A1865">
        <v>1860</v>
      </c>
      <c r="B1865" s="11">
        <v>45798.666666666664</v>
      </c>
      <c r="C1865" s="7">
        <v>579.53510000000006</v>
      </c>
      <c r="D1865">
        <v>30432347</v>
      </c>
    </row>
    <row r="1866" spans="1:4">
      <c r="A1866">
        <v>1861</v>
      </c>
      <c r="B1866" s="11">
        <v>45798.645833333336</v>
      </c>
      <c r="C1866" s="7">
        <v>579.65440000000001</v>
      </c>
      <c r="D1866">
        <v>12506785</v>
      </c>
    </row>
    <row r="1867" spans="1:4">
      <c r="A1867">
        <v>1862</v>
      </c>
      <c r="B1867" s="11">
        <v>45798.625</v>
      </c>
      <c r="C1867" s="7">
        <v>578.98820000000001</v>
      </c>
      <c r="D1867">
        <v>6031424</v>
      </c>
    </row>
    <row r="1868" spans="1:4">
      <c r="A1868">
        <v>1863</v>
      </c>
      <c r="B1868" s="11">
        <v>45798.604166666664</v>
      </c>
      <c r="C1868" s="7">
        <v>580.7183</v>
      </c>
      <c r="D1868">
        <v>3582801</v>
      </c>
    </row>
    <row r="1869" spans="1:4">
      <c r="A1869">
        <v>1864</v>
      </c>
      <c r="B1869" s="11">
        <v>45798.583333333336</v>
      </c>
      <c r="C1869" s="7">
        <v>581.86180000000002</v>
      </c>
      <c r="D1869">
        <v>3749148</v>
      </c>
    </row>
    <row r="1870" spans="1:4">
      <c r="A1870">
        <v>1865</v>
      </c>
      <c r="B1870" s="11">
        <v>45798.5625</v>
      </c>
      <c r="C1870" s="7">
        <v>582.96540000000005</v>
      </c>
      <c r="D1870">
        <v>8351501</v>
      </c>
    </row>
    <row r="1871" spans="1:4">
      <c r="A1871">
        <v>1866</v>
      </c>
      <c r="B1871" s="11">
        <v>45798.541666666664</v>
      </c>
      <c r="C1871" s="7">
        <v>581.13589999999999</v>
      </c>
      <c r="D1871">
        <v>8258648</v>
      </c>
    </row>
    <row r="1872" spans="1:4">
      <c r="A1872">
        <v>1867</v>
      </c>
      <c r="B1872" s="11">
        <v>45798.520833333336</v>
      </c>
      <c r="C1872" s="7">
        <v>588.31479999999999</v>
      </c>
      <c r="D1872">
        <v>2321327</v>
      </c>
    </row>
    <row r="1873" spans="1:4">
      <c r="A1873">
        <v>1868</v>
      </c>
      <c r="B1873" s="11">
        <v>45798.5</v>
      </c>
      <c r="C1873" s="7">
        <v>588.39430000000004</v>
      </c>
      <c r="D1873">
        <v>2144817</v>
      </c>
    </row>
    <row r="1874" spans="1:4">
      <c r="A1874">
        <v>1869</v>
      </c>
      <c r="B1874" s="11">
        <v>45798.479166666664</v>
      </c>
      <c r="C1874" s="7">
        <v>588.37440000000004</v>
      </c>
      <c r="D1874">
        <v>2113481</v>
      </c>
    </row>
    <row r="1875" spans="1:4">
      <c r="A1875">
        <v>1870</v>
      </c>
      <c r="B1875" s="11">
        <v>45798.458333333336</v>
      </c>
      <c r="C1875" s="7">
        <v>588.40419999999995</v>
      </c>
      <c r="D1875">
        <v>3441016</v>
      </c>
    </row>
    <row r="1876" spans="1:4">
      <c r="A1876">
        <v>1871</v>
      </c>
      <c r="B1876" s="11">
        <v>45798.4375</v>
      </c>
      <c r="C1876" s="7">
        <v>587.32039999999995</v>
      </c>
      <c r="D1876">
        <v>2727442</v>
      </c>
    </row>
    <row r="1877" spans="1:4">
      <c r="A1877">
        <v>1872</v>
      </c>
      <c r="B1877" s="11">
        <v>45798.416666666664</v>
      </c>
      <c r="C1877" s="7">
        <v>586.29560000000004</v>
      </c>
      <c r="D1877">
        <v>4056563</v>
      </c>
    </row>
    <row r="1878" spans="1:4">
      <c r="A1878">
        <v>1873</v>
      </c>
      <c r="B1878" s="11">
        <v>45798.395833333336</v>
      </c>
      <c r="C1878" s="7">
        <v>586.62440000000004</v>
      </c>
      <c r="D1878">
        <v>5480356</v>
      </c>
    </row>
    <row r="1879" spans="1:4">
      <c r="A1879">
        <v>1874</v>
      </c>
      <c r="B1879" s="11">
        <v>45797.666666666664</v>
      </c>
      <c r="C1879" s="7">
        <v>589.46810000000005</v>
      </c>
      <c r="D1879">
        <v>20341118</v>
      </c>
    </row>
    <row r="1880" spans="1:4">
      <c r="A1880">
        <v>1875</v>
      </c>
      <c r="B1880" s="11">
        <v>45797.645833333336</v>
      </c>
      <c r="C1880" s="7">
        <v>589.41840000000002</v>
      </c>
      <c r="D1880">
        <v>7892994</v>
      </c>
    </row>
    <row r="1881" spans="1:4">
      <c r="A1881">
        <v>1876</v>
      </c>
      <c r="B1881" s="11">
        <v>45797.625</v>
      </c>
      <c r="C1881" s="7">
        <v>588.04629999999997</v>
      </c>
      <c r="D1881">
        <v>5245969</v>
      </c>
    </row>
    <row r="1882" spans="1:4">
      <c r="A1882">
        <v>1877</v>
      </c>
      <c r="B1882" s="11">
        <v>45797.604166666664</v>
      </c>
      <c r="C1882" s="7">
        <v>587.46460000000002</v>
      </c>
      <c r="D1882">
        <v>3382890</v>
      </c>
    </row>
    <row r="1883" spans="1:4">
      <c r="A1883">
        <v>1878</v>
      </c>
      <c r="B1883" s="11">
        <v>45797.583333333336</v>
      </c>
      <c r="C1883" s="7">
        <v>587.37009999999998</v>
      </c>
      <c r="D1883">
        <v>3528704</v>
      </c>
    </row>
    <row r="1884" spans="1:4">
      <c r="A1884">
        <v>1879</v>
      </c>
      <c r="B1884" s="11">
        <v>45797.5625</v>
      </c>
      <c r="C1884" s="7">
        <v>589.55759999999998</v>
      </c>
      <c r="D1884">
        <v>2159866</v>
      </c>
    </row>
    <row r="1885" spans="1:4">
      <c r="A1885">
        <v>1880</v>
      </c>
      <c r="B1885" s="11">
        <v>45797.541666666664</v>
      </c>
      <c r="C1885" s="7">
        <v>590.08450000000005</v>
      </c>
      <c r="D1885">
        <v>1907083</v>
      </c>
    </row>
    <row r="1886" spans="1:4">
      <c r="A1886">
        <v>1881</v>
      </c>
      <c r="B1886" s="11">
        <v>45797.520833333336</v>
      </c>
      <c r="C1886" s="7">
        <v>590.00509999999997</v>
      </c>
      <c r="D1886">
        <v>1688715</v>
      </c>
    </row>
    <row r="1887" spans="1:4">
      <c r="A1887">
        <v>1882</v>
      </c>
      <c r="B1887" s="11">
        <v>45797.5</v>
      </c>
      <c r="C1887" s="7">
        <v>589.28909999999996</v>
      </c>
      <c r="D1887">
        <v>1711497</v>
      </c>
    </row>
    <row r="1888" spans="1:4">
      <c r="A1888">
        <v>1883</v>
      </c>
      <c r="B1888" s="11">
        <v>45797.479166666664</v>
      </c>
      <c r="C1888" s="7">
        <v>589.83600000000001</v>
      </c>
      <c r="D1888">
        <v>1694275</v>
      </c>
    </row>
    <row r="1889" spans="1:4">
      <c r="A1889">
        <v>1884</v>
      </c>
      <c r="B1889" s="11">
        <v>45797.458333333336</v>
      </c>
      <c r="C1889" s="7">
        <v>590.05470000000003</v>
      </c>
      <c r="D1889">
        <v>1767370</v>
      </c>
    </row>
    <row r="1890" spans="1:4">
      <c r="A1890">
        <v>1885</v>
      </c>
      <c r="B1890" s="11">
        <v>45797.4375</v>
      </c>
      <c r="C1890" s="7">
        <v>589.48299999999995</v>
      </c>
      <c r="D1890">
        <v>2256132</v>
      </c>
    </row>
    <row r="1891" spans="1:4">
      <c r="A1891">
        <v>1886</v>
      </c>
      <c r="B1891" s="11">
        <v>45797.416666666664</v>
      </c>
      <c r="C1891" s="7">
        <v>589.48800000000006</v>
      </c>
      <c r="D1891">
        <v>2645656</v>
      </c>
    </row>
    <row r="1892" spans="1:4">
      <c r="A1892">
        <v>1887</v>
      </c>
      <c r="B1892" s="11">
        <v>45797.395833333336</v>
      </c>
      <c r="C1892" s="7">
        <v>589.43830000000003</v>
      </c>
      <c r="D1892">
        <v>4392223</v>
      </c>
    </row>
    <row r="1893" spans="1:4">
      <c r="A1893">
        <v>1888</v>
      </c>
      <c r="B1893" s="11">
        <v>45796.666666666664</v>
      </c>
      <c r="C1893" s="7">
        <v>591.45669999999996</v>
      </c>
      <c r="D1893">
        <v>25491041</v>
      </c>
    </row>
    <row r="1894" spans="1:4">
      <c r="A1894">
        <v>1889</v>
      </c>
      <c r="B1894" s="11">
        <v>45796.645833333336</v>
      </c>
      <c r="C1894" s="7">
        <v>591.45669999999996</v>
      </c>
      <c r="D1894">
        <v>8309004</v>
      </c>
    </row>
    <row r="1895" spans="1:4">
      <c r="A1895">
        <v>1890</v>
      </c>
      <c r="B1895" s="11">
        <v>45796.625</v>
      </c>
      <c r="C1895" s="7">
        <v>590.16409999999996</v>
      </c>
      <c r="D1895">
        <v>2680908</v>
      </c>
    </row>
    <row r="1896" spans="1:4">
      <c r="A1896">
        <v>1891</v>
      </c>
      <c r="B1896" s="11">
        <v>45796.604166666664</v>
      </c>
      <c r="C1896" s="7">
        <v>591.02909999999997</v>
      </c>
      <c r="D1896">
        <v>2077492</v>
      </c>
    </row>
    <row r="1897" spans="1:4">
      <c r="A1897">
        <v>1892</v>
      </c>
      <c r="B1897" s="11">
        <v>45796.583333333336</v>
      </c>
      <c r="C1897" s="7">
        <v>590.37289999999996</v>
      </c>
      <c r="D1897">
        <v>2588799</v>
      </c>
    </row>
    <row r="1898" spans="1:4">
      <c r="A1898">
        <v>1893</v>
      </c>
      <c r="B1898" s="11">
        <v>45796.5625</v>
      </c>
      <c r="C1898" s="7">
        <v>590.93970000000002</v>
      </c>
      <c r="D1898">
        <v>2168398</v>
      </c>
    </row>
    <row r="1899" spans="1:4">
      <c r="A1899">
        <v>1894</v>
      </c>
      <c r="B1899" s="11">
        <v>45796.541666666664</v>
      </c>
      <c r="C1899" s="7">
        <v>591.69870000000003</v>
      </c>
      <c r="D1899">
        <v>3173395</v>
      </c>
    </row>
    <row r="1900" spans="1:4">
      <c r="A1900">
        <v>1895</v>
      </c>
      <c r="B1900" s="11">
        <v>45796.520833333336</v>
      </c>
      <c r="C1900" s="7">
        <v>591.16830000000004</v>
      </c>
      <c r="D1900">
        <v>2271002</v>
      </c>
    </row>
    <row r="1901" spans="1:4">
      <c r="A1901">
        <v>1896</v>
      </c>
      <c r="B1901" s="11">
        <v>45796.5</v>
      </c>
      <c r="C1901" s="7">
        <v>590.63130000000001</v>
      </c>
      <c r="D1901">
        <v>1683072</v>
      </c>
    </row>
    <row r="1902" spans="1:4">
      <c r="A1902">
        <v>1897</v>
      </c>
      <c r="B1902" s="11">
        <v>45796.479166666664</v>
      </c>
      <c r="C1902" s="7">
        <v>589.77629999999999</v>
      </c>
      <c r="D1902">
        <v>1968392</v>
      </c>
    </row>
    <row r="1903" spans="1:4">
      <c r="A1903">
        <v>1898</v>
      </c>
      <c r="B1903" s="11">
        <v>45796.458333333336</v>
      </c>
      <c r="C1903" s="7">
        <v>588.97090000000003</v>
      </c>
      <c r="D1903">
        <v>1729000</v>
      </c>
    </row>
    <row r="1904" spans="1:4">
      <c r="A1904">
        <v>1899</v>
      </c>
      <c r="B1904" s="11">
        <v>45796.4375</v>
      </c>
      <c r="C1904" s="7">
        <v>588.62300000000005</v>
      </c>
      <c r="D1904">
        <v>2124173</v>
      </c>
    </row>
    <row r="1905" spans="1:4">
      <c r="A1905">
        <v>1900</v>
      </c>
      <c r="B1905" s="11">
        <v>45796.416666666664</v>
      </c>
      <c r="C1905" s="7">
        <v>588.88149999999996</v>
      </c>
      <c r="D1905">
        <v>5247580</v>
      </c>
    </row>
    <row r="1906" spans="1:4">
      <c r="A1906">
        <v>1901</v>
      </c>
      <c r="B1906" s="11">
        <v>45796.395833333336</v>
      </c>
      <c r="C1906" s="7">
        <v>587.93690000000004</v>
      </c>
      <c r="D1906">
        <v>6656256</v>
      </c>
    </row>
    <row r="1907" spans="1:4">
      <c r="A1907">
        <v>1902</v>
      </c>
      <c r="B1907" s="11">
        <v>45793.666666666664</v>
      </c>
      <c r="C1907" s="7">
        <v>590.81039999999996</v>
      </c>
      <c r="D1907">
        <v>36877260</v>
      </c>
    </row>
    <row r="1908" spans="1:4">
      <c r="A1908">
        <v>1903</v>
      </c>
      <c r="B1908" s="11">
        <v>45793.645833333336</v>
      </c>
      <c r="C1908" s="7">
        <v>590.84019999999998</v>
      </c>
      <c r="D1908">
        <v>9145778</v>
      </c>
    </row>
    <row r="1909" spans="1:4">
      <c r="A1909">
        <v>1904</v>
      </c>
      <c r="B1909" s="11">
        <v>45793.625</v>
      </c>
      <c r="C1909" s="7">
        <v>590.40269999999998</v>
      </c>
      <c r="D1909">
        <v>2665861</v>
      </c>
    </row>
    <row r="1910" spans="1:4">
      <c r="A1910">
        <v>1905</v>
      </c>
      <c r="B1910" s="11">
        <v>45793.604166666664</v>
      </c>
      <c r="C1910" s="7">
        <v>590.21379999999999</v>
      </c>
      <c r="D1910">
        <v>2534854</v>
      </c>
    </row>
    <row r="1911" spans="1:4">
      <c r="A1911">
        <v>1906</v>
      </c>
      <c r="B1911" s="11">
        <v>45793.583333333336</v>
      </c>
      <c r="C1911" s="7">
        <v>589.89570000000003</v>
      </c>
      <c r="D1911">
        <v>1884999</v>
      </c>
    </row>
    <row r="1912" spans="1:4">
      <c r="A1912">
        <v>1907</v>
      </c>
      <c r="B1912" s="11">
        <v>45793.5625</v>
      </c>
      <c r="C1912" s="7">
        <v>589.42139999999995</v>
      </c>
      <c r="D1912">
        <v>2278452</v>
      </c>
    </row>
    <row r="1913" spans="1:4">
      <c r="A1913">
        <v>1908</v>
      </c>
      <c r="B1913" s="11">
        <v>45793.541666666664</v>
      </c>
      <c r="C1913" s="7">
        <v>589.74649999999997</v>
      </c>
      <c r="D1913">
        <v>2112888</v>
      </c>
    </row>
    <row r="1914" spans="1:4">
      <c r="A1914">
        <v>1909</v>
      </c>
      <c r="B1914" s="11">
        <v>45793.520833333336</v>
      </c>
      <c r="C1914" s="7">
        <v>588.85209999999995</v>
      </c>
      <c r="D1914">
        <v>1992172</v>
      </c>
    </row>
    <row r="1915" spans="1:4">
      <c r="A1915">
        <v>1910</v>
      </c>
      <c r="B1915" s="11">
        <v>45793.5</v>
      </c>
      <c r="C1915" s="7">
        <v>588.68759999999997</v>
      </c>
      <c r="D1915">
        <v>2120734</v>
      </c>
    </row>
    <row r="1916" spans="1:4">
      <c r="A1916">
        <v>1911</v>
      </c>
      <c r="B1916" s="11">
        <v>45793.479166666664</v>
      </c>
      <c r="C1916" s="7">
        <v>587.6585</v>
      </c>
      <c r="D1916">
        <v>1951492</v>
      </c>
    </row>
    <row r="1917" spans="1:4">
      <c r="A1917">
        <v>1912</v>
      </c>
      <c r="B1917" s="11">
        <v>45793.458333333336</v>
      </c>
      <c r="C1917" s="7">
        <v>587.53909999999996</v>
      </c>
      <c r="D1917">
        <v>1847700</v>
      </c>
    </row>
    <row r="1918" spans="1:4">
      <c r="A1918">
        <v>1913</v>
      </c>
      <c r="B1918" s="11">
        <v>45793.4375</v>
      </c>
      <c r="C1918" s="7">
        <v>587.13149999999996</v>
      </c>
      <c r="D1918">
        <v>3266050</v>
      </c>
    </row>
    <row r="1919" spans="1:4">
      <c r="A1919">
        <v>1914</v>
      </c>
      <c r="B1919" s="11">
        <v>45793.416666666664</v>
      </c>
      <c r="C1919" s="7">
        <v>587.46960000000001</v>
      </c>
      <c r="D1919">
        <v>3051881</v>
      </c>
    </row>
    <row r="1920" spans="1:4">
      <c r="A1920">
        <v>1915</v>
      </c>
      <c r="B1920" s="11">
        <v>45793.395833333336</v>
      </c>
      <c r="C1920" s="7">
        <v>587.26080000000002</v>
      </c>
      <c r="D1920">
        <v>4321983</v>
      </c>
    </row>
    <row r="1921" spans="1:4">
      <c r="A1921">
        <v>1916</v>
      </c>
      <c r="B1921" s="11">
        <v>45792.666666666664</v>
      </c>
      <c r="C1921" s="7">
        <v>587.09169999999995</v>
      </c>
      <c r="D1921">
        <v>24308003</v>
      </c>
    </row>
    <row r="1922" spans="1:4">
      <c r="A1922">
        <v>1917</v>
      </c>
      <c r="B1922" s="11">
        <v>45792.645833333336</v>
      </c>
      <c r="C1922" s="7">
        <v>587.09169999999995</v>
      </c>
      <c r="D1922">
        <v>10521917</v>
      </c>
    </row>
    <row r="1923" spans="1:4">
      <c r="A1923">
        <v>1918</v>
      </c>
      <c r="B1923" s="11">
        <v>45792.625</v>
      </c>
      <c r="C1923" s="7">
        <v>585.53070000000002</v>
      </c>
      <c r="D1923">
        <v>3509628</v>
      </c>
    </row>
    <row r="1924" spans="1:4">
      <c r="A1924">
        <v>1919</v>
      </c>
      <c r="B1924" s="11">
        <v>45792.604166666664</v>
      </c>
      <c r="C1924" s="7">
        <v>586.38559999999995</v>
      </c>
      <c r="D1924">
        <v>2379827</v>
      </c>
    </row>
    <row r="1925" spans="1:4">
      <c r="A1925">
        <v>1920</v>
      </c>
      <c r="B1925" s="11">
        <v>45792.583333333336</v>
      </c>
      <c r="C1925" s="7">
        <v>586.09749999999997</v>
      </c>
      <c r="D1925">
        <v>2845340</v>
      </c>
    </row>
    <row r="1926" spans="1:4">
      <c r="A1926">
        <v>1921</v>
      </c>
      <c r="B1926" s="11">
        <v>45792.5625</v>
      </c>
      <c r="C1926" s="7">
        <v>586.47529999999995</v>
      </c>
      <c r="D1926">
        <v>2306081</v>
      </c>
    </row>
    <row r="1927" spans="1:4">
      <c r="A1927">
        <v>1922</v>
      </c>
      <c r="B1927" s="11">
        <v>45792.541666666664</v>
      </c>
      <c r="C1927" s="7">
        <v>587.30050000000006</v>
      </c>
      <c r="D1927">
        <v>2450179</v>
      </c>
    </row>
    <row r="1928" spans="1:4">
      <c r="A1928">
        <v>1923</v>
      </c>
      <c r="B1928" s="11">
        <v>45792.520833333336</v>
      </c>
      <c r="C1928" s="7">
        <v>586.82320000000004</v>
      </c>
      <c r="D1928">
        <v>2025010</v>
      </c>
    </row>
    <row r="1929" spans="1:4">
      <c r="A1929">
        <v>1924</v>
      </c>
      <c r="B1929" s="11">
        <v>45792.5</v>
      </c>
      <c r="C1929" s="7">
        <v>585.78920000000005</v>
      </c>
      <c r="D1929">
        <v>2636822</v>
      </c>
    </row>
    <row r="1930" spans="1:4">
      <c r="A1930">
        <v>1925</v>
      </c>
      <c r="B1930" s="11">
        <v>45792.479166666664</v>
      </c>
      <c r="C1930" s="7">
        <v>585.71960000000001</v>
      </c>
      <c r="D1930">
        <v>2441785</v>
      </c>
    </row>
    <row r="1931" spans="1:4">
      <c r="A1931">
        <v>1926</v>
      </c>
      <c r="B1931" s="11">
        <v>45792.458333333336</v>
      </c>
      <c r="C1931" s="7">
        <v>585.00369999999998</v>
      </c>
      <c r="D1931">
        <v>4287015</v>
      </c>
    </row>
    <row r="1932" spans="1:4">
      <c r="A1932">
        <v>1927</v>
      </c>
      <c r="B1932" s="11">
        <v>45792.4375</v>
      </c>
      <c r="C1932" s="7">
        <v>583.25369999999998</v>
      </c>
      <c r="D1932">
        <v>2939006</v>
      </c>
    </row>
    <row r="1933" spans="1:4">
      <c r="A1933">
        <v>1928</v>
      </c>
      <c r="B1933" s="11">
        <v>45792.416666666664</v>
      </c>
      <c r="C1933" s="7">
        <v>582.51790000000005</v>
      </c>
      <c r="D1933">
        <v>3636643</v>
      </c>
    </row>
    <row r="1934" spans="1:4">
      <c r="A1934">
        <v>1929</v>
      </c>
      <c r="B1934" s="11">
        <v>45792.395833333336</v>
      </c>
      <c r="C1934" s="7">
        <v>582.77650000000006</v>
      </c>
      <c r="D1934">
        <v>4980888</v>
      </c>
    </row>
    <row r="1935" spans="1:4">
      <c r="A1935">
        <v>1930</v>
      </c>
      <c r="B1935" s="11">
        <v>45791.666666666664</v>
      </c>
      <c r="C1935" s="7">
        <v>584.23820000000001</v>
      </c>
      <c r="D1935">
        <v>22903060</v>
      </c>
    </row>
    <row r="1936" spans="1:4">
      <c r="A1936">
        <v>1931</v>
      </c>
      <c r="B1936" s="11">
        <v>45791.645833333336</v>
      </c>
      <c r="C1936" s="7">
        <v>584.23820000000001</v>
      </c>
      <c r="D1936">
        <v>11112480</v>
      </c>
    </row>
    <row r="1937" spans="1:4">
      <c r="A1937">
        <v>1932</v>
      </c>
      <c r="B1937" s="11">
        <v>45791.625</v>
      </c>
      <c r="C1937" s="7">
        <v>583.65150000000006</v>
      </c>
      <c r="D1937">
        <v>2902044</v>
      </c>
    </row>
    <row r="1938" spans="1:4">
      <c r="A1938">
        <v>1933</v>
      </c>
      <c r="B1938" s="11">
        <v>45791.604166666664</v>
      </c>
      <c r="C1938" s="7">
        <v>584.29780000000005</v>
      </c>
      <c r="D1938">
        <v>2647781</v>
      </c>
    </row>
    <row r="1939" spans="1:4">
      <c r="A1939">
        <v>1934</v>
      </c>
      <c r="B1939" s="11">
        <v>45791.583333333336</v>
      </c>
      <c r="C1939" s="7">
        <v>583.50229999999999</v>
      </c>
      <c r="D1939">
        <v>2013826</v>
      </c>
    </row>
    <row r="1940" spans="1:4">
      <c r="A1940">
        <v>1935</v>
      </c>
      <c r="B1940" s="11">
        <v>45791.5625</v>
      </c>
      <c r="C1940" s="7">
        <v>583.9896</v>
      </c>
      <c r="D1940">
        <v>1946087</v>
      </c>
    </row>
    <row r="1941" spans="1:4">
      <c r="A1941">
        <v>1936</v>
      </c>
      <c r="B1941" s="11">
        <v>45791.541666666664</v>
      </c>
      <c r="C1941" s="7">
        <v>583.01400000000001</v>
      </c>
      <c r="D1941">
        <v>3075431</v>
      </c>
    </row>
    <row r="1942" spans="1:4">
      <c r="A1942">
        <v>1937</v>
      </c>
      <c r="B1942" s="11">
        <v>45791.520833333336</v>
      </c>
      <c r="C1942" s="7">
        <v>584.11879999999996</v>
      </c>
      <c r="D1942">
        <v>1834110</v>
      </c>
    </row>
    <row r="1943" spans="1:4">
      <c r="A1943">
        <v>1938</v>
      </c>
      <c r="B1943" s="11">
        <v>45791.5</v>
      </c>
      <c r="C1943" s="7">
        <v>584.58609999999999</v>
      </c>
      <c r="D1943">
        <v>1399282</v>
      </c>
    </row>
    <row r="1944" spans="1:4">
      <c r="A1944">
        <v>1939</v>
      </c>
      <c r="B1944" s="11">
        <v>45791.479166666664</v>
      </c>
      <c r="C1944" s="7">
        <v>584.60609999999997</v>
      </c>
      <c r="D1944">
        <v>2028692</v>
      </c>
    </row>
    <row r="1945" spans="1:4">
      <c r="A1945">
        <v>1940</v>
      </c>
      <c r="B1945" s="11">
        <v>45791.458333333336</v>
      </c>
      <c r="C1945" s="7">
        <v>584.51649999999995</v>
      </c>
      <c r="D1945">
        <v>3206015</v>
      </c>
    </row>
    <row r="1946" spans="1:4">
      <c r="A1946">
        <v>1941</v>
      </c>
      <c r="B1946" s="11">
        <v>45791.4375</v>
      </c>
      <c r="C1946" s="7">
        <v>584.19830000000002</v>
      </c>
      <c r="D1946">
        <v>2343556</v>
      </c>
    </row>
    <row r="1947" spans="1:4">
      <c r="A1947">
        <v>1942</v>
      </c>
      <c r="B1947" s="11">
        <v>45791.416666666664</v>
      </c>
      <c r="C1947" s="7">
        <v>584.19830000000002</v>
      </c>
      <c r="D1947">
        <v>3417684</v>
      </c>
    </row>
    <row r="1948" spans="1:4">
      <c r="A1948">
        <v>1943</v>
      </c>
      <c r="B1948" s="11">
        <v>45791.395833333336</v>
      </c>
      <c r="C1948" s="7">
        <v>584.1653</v>
      </c>
      <c r="D1948">
        <v>5453484</v>
      </c>
    </row>
    <row r="1949" spans="1:4">
      <c r="A1949">
        <v>1944</v>
      </c>
      <c r="B1949" s="11">
        <v>45790.666666666664</v>
      </c>
      <c r="C1949" s="7">
        <v>583.49239999999998</v>
      </c>
      <c r="D1949">
        <v>26549674</v>
      </c>
    </row>
    <row r="1950" spans="1:4">
      <c r="A1950">
        <v>1945</v>
      </c>
      <c r="B1950" s="11">
        <v>45790.645833333336</v>
      </c>
      <c r="C1950" s="7">
        <v>583.49239999999998</v>
      </c>
      <c r="D1950">
        <v>8730256</v>
      </c>
    </row>
    <row r="1951" spans="1:4">
      <c r="A1951">
        <v>1946</v>
      </c>
      <c r="B1951" s="11">
        <v>45790.625</v>
      </c>
      <c r="C1951" s="7">
        <v>585.15290000000005</v>
      </c>
      <c r="D1951">
        <v>2294715</v>
      </c>
    </row>
    <row r="1952" spans="1:4">
      <c r="A1952">
        <v>1947</v>
      </c>
      <c r="B1952" s="11">
        <v>45790.604166666664</v>
      </c>
      <c r="C1952" s="7">
        <v>585.22749999999996</v>
      </c>
      <c r="D1952">
        <v>1981883</v>
      </c>
    </row>
    <row r="1953" spans="1:4">
      <c r="A1953">
        <v>1948</v>
      </c>
      <c r="B1953" s="11">
        <v>45790.583333333336</v>
      </c>
      <c r="C1953" s="7">
        <v>584.56619999999998</v>
      </c>
      <c r="D1953">
        <v>2191466</v>
      </c>
    </row>
    <row r="1954" spans="1:4">
      <c r="A1954">
        <v>1949</v>
      </c>
      <c r="B1954" s="11">
        <v>45790.5625</v>
      </c>
      <c r="C1954" s="7">
        <v>584.57619999999997</v>
      </c>
      <c r="D1954">
        <v>2473766</v>
      </c>
    </row>
    <row r="1955" spans="1:4">
      <c r="A1955">
        <v>1950</v>
      </c>
      <c r="B1955" s="11">
        <v>45790.541666666664</v>
      </c>
      <c r="C1955" s="7">
        <v>584.99360000000001</v>
      </c>
      <c r="D1955">
        <v>1770251</v>
      </c>
    </row>
    <row r="1956" spans="1:4">
      <c r="A1956">
        <v>1951</v>
      </c>
      <c r="B1956" s="11">
        <v>45790.520833333336</v>
      </c>
      <c r="C1956" s="7">
        <v>584.64080000000001</v>
      </c>
      <c r="D1956">
        <v>1748676</v>
      </c>
    </row>
    <row r="1957" spans="1:4">
      <c r="A1957">
        <v>1952</v>
      </c>
      <c r="B1957" s="11">
        <v>45790.5</v>
      </c>
      <c r="C1957" s="7">
        <v>584.27790000000005</v>
      </c>
      <c r="D1957">
        <v>1808970</v>
      </c>
    </row>
    <row r="1958" spans="1:4">
      <c r="A1958">
        <v>1953</v>
      </c>
      <c r="B1958" s="11">
        <v>45790.479166666664</v>
      </c>
      <c r="C1958" s="7">
        <v>584.35739999999998</v>
      </c>
      <c r="D1958">
        <v>2575029</v>
      </c>
    </row>
    <row r="1959" spans="1:4">
      <c r="A1959">
        <v>1954</v>
      </c>
      <c r="B1959" s="11">
        <v>45790.458333333336</v>
      </c>
      <c r="C1959" s="7">
        <v>584.38729999999998</v>
      </c>
      <c r="D1959">
        <v>2574855</v>
      </c>
    </row>
    <row r="1960" spans="1:4">
      <c r="A1960">
        <v>1955</v>
      </c>
      <c r="B1960" s="11">
        <v>45790.4375</v>
      </c>
      <c r="C1960" s="7">
        <v>583.61180000000002</v>
      </c>
      <c r="D1960">
        <v>2772345</v>
      </c>
    </row>
    <row r="1961" spans="1:4">
      <c r="A1961">
        <v>1956</v>
      </c>
      <c r="B1961" s="11">
        <v>45790.416666666664</v>
      </c>
      <c r="C1961" s="7">
        <v>583.57190000000003</v>
      </c>
      <c r="D1961">
        <v>5538720</v>
      </c>
    </row>
    <row r="1962" spans="1:4">
      <c r="A1962">
        <v>1957</v>
      </c>
      <c r="B1962" s="11">
        <v>45790.395833333336</v>
      </c>
      <c r="C1962" s="7">
        <v>581.98109999999997</v>
      </c>
      <c r="D1962">
        <v>4936618</v>
      </c>
    </row>
    <row r="1963" spans="1:4">
      <c r="A1963">
        <v>1958</v>
      </c>
      <c r="B1963" s="11">
        <v>45789.666666666664</v>
      </c>
      <c r="C1963" s="7">
        <v>579.6644</v>
      </c>
      <c r="D1963">
        <v>29706583</v>
      </c>
    </row>
    <row r="1964" spans="1:4">
      <c r="A1964">
        <v>1959</v>
      </c>
      <c r="B1964" s="11">
        <v>45789.645833333336</v>
      </c>
      <c r="C1964" s="7">
        <v>579.6644</v>
      </c>
      <c r="D1964">
        <v>11745018</v>
      </c>
    </row>
    <row r="1965" spans="1:4">
      <c r="A1965">
        <v>1960</v>
      </c>
      <c r="B1965" s="11">
        <v>45789.625</v>
      </c>
      <c r="C1965" s="7">
        <v>578.1431</v>
      </c>
      <c r="D1965">
        <v>2547851</v>
      </c>
    </row>
    <row r="1966" spans="1:4">
      <c r="A1966">
        <v>1961</v>
      </c>
      <c r="B1966" s="11">
        <v>45789.604166666664</v>
      </c>
      <c r="C1966" s="7">
        <v>578.23249999999996</v>
      </c>
      <c r="D1966">
        <v>2294649</v>
      </c>
    </row>
    <row r="1967" spans="1:4">
      <c r="A1967">
        <v>1962</v>
      </c>
      <c r="B1967" s="11">
        <v>45789.583333333336</v>
      </c>
      <c r="C1967" s="7">
        <v>578.70979999999997</v>
      </c>
      <c r="D1967">
        <v>1894541</v>
      </c>
    </row>
    <row r="1968" spans="1:4">
      <c r="A1968">
        <v>1963</v>
      </c>
      <c r="B1968" s="11">
        <v>45789.5625</v>
      </c>
      <c r="C1968" s="7">
        <v>578.25739999999996</v>
      </c>
      <c r="D1968">
        <v>1593404</v>
      </c>
    </row>
    <row r="1969" spans="1:4">
      <c r="A1969">
        <v>1964</v>
      </c>
      <c r="B1969" s="11">
        <v>45789.541666666664</v>
      </c>
      <c r="C1969" s="7">
        <v>577.99400000000003</v>
      </c>
      <c r="D1969">
        <v>3341729</v>
      </c>
    </row>
    <row r="1970" spans="1:4">
      <c r="A1970">
        <v>1965</v>
      </c>
      <c r="B1970" s="11">
        <v>45789.520833333336</v>
      </c>
      <c r="C1970" s="7">
        <v>577.81489999999997</v>
      </c>
      <c r="D1970">
        <v>2161960</v>
      </c>
    </row>
    <row r="1971" spans="1:4">
      <c r="A1971">
        <v>1966</v>
      </c>
      <c r="B1971" s="11">
        <v>45789.5</v>
      </c>
      <c r="C1971" s="7">
        <v>576.00540000000001</v>
      </c>
      <c r="D1971">
        <v>2215874</v>
      </c>
    </row>
    <row r="1972" spans="1:4">
      <c r="A1972">
        <v>1967</v>
      </c>
      <c r="B1972" s="11">
        <v>45789.479166666664</v>
      </c>
      <c r="C1972" s="7">
        <v>574.89170000000001</v>
      </c>
      <c r="D1972">
        <v>2484867</v>
      </c>
    </row>
    <row r="1973" spans="1:4">
      <c r="A1973">
        <v>1968</v>
      </c>
      <c r="B1973" s="11">
        <v>45789.458333333336</v>
      </c>
      <c r="C1973" s="7">
        <v>575.57100000000003</v>
      </c>
      <c r="D1973">
        <v>3118077</v>
      </c>
    </row>
    <row r="1974" spans="1:4">
      <c r="A1974">
        <v>1969</v>
      </c>
      <c r="B1974" s="11">
        <v>45789.4375</v>
      </c>
      <c r="C1974" s="7">
        <v>575.81640000000004</v>
      </c>
      <c r="D1974">
        <v>4132002</v>
      </c>
    </row>
    <row r="1975" spans="1:4">
      <c r="A1975">
        <v>1970</v>
      </c>
      <c r="B1975" s="11">
        <v>45789.416666666664</v>
      </c>
      <c r="C1975" s="7">
        <v>574.89170000000001</v>
      </c>
      <c r="D1975">
        <v>3968570</v>
      </c>
    </row>
    <row r="1976" spans="1:4">
      <c r="A1976">
        <v>1971</v>
      </c>
      <c r="B1976" s="11">
        <v>45789.395833333336</v>
      </c>
      <c r="C1976" s="7">
        <v>575.59739999999999</v>
      </c>
      <c r="D1976">
        <v>7788443</v>
      </c>
    </row>
    <row r="1977" spans="1:4">
      <c r="A1977">
        <v>1972</v>
      </c>
      <c r="B1977" s="11">
        <v>45786.666666666664</v>
      </c>
      <c r="C1977" s="7">
        <v>561.12080000000003</v>
      </c>
      <c r="D1977">
        <v>21780</v>
      </c>
    </row>
    <row r="1978" spans="1:4">
      <c r="A1978">
        <v>1973</v>
      </c>
      <c r="B1978" s="11">
        <v>45786.645833333336</v>
      </c>
      <c r="C1978" s="7">
        <v>561.01139999999998</v>
      </c>
      <c r="D1978">
        <v>5512203</v>
      </c>
    </row>
    <row r="1979" spans="1:4">
      <c r="A1979">
        <v>1974</v>
      </c>
      <c r="B1979" s="11">
        <v>45786.625</v>
      </c>
      <c r="C1979" s="7">
        <v>561.76700000000005</v>
      </c>
      <c r="D1979">
        <v>1576496</v>
      </c>
    </row>
    <row r="1980" spans="1:4">
      <c r="A1980">
        <v>1975</v>
      </c>
      <c r="B1980" s="11">
        <v>45786.604166666664</v>
      </c>
      <c r="C1980" s="7">
        <v>561.61540000000002</v>
      </c>
      <c r="D1980">
        <v>716842</v>
      </c>
    </row>
    <row r="1981" spans="1:4">
      <c r="A1981">
        <v>1976</v>
      </c>
      <c r="B1981" s="11">
        <v>45786.583333333336</v>
      </c>
      <c r="C1981" s="7">
        <v>561.08090000000004</v>
      </c>
      <c r="D1981">
        <v>842110</v>
      </c>
    </row>
    <row r="1982" spans="1:4">
      <c r="A1982">
        <v>1977</v>
      </c>
      <c r="B1982" s="11">
        <v>45786.5625</v>
      </c>
      <c r="C1982" s="7">
        <v>561.96590000000003</v>
      </c>
      <c r="D1982">
        <v>1268942</v>
      </c>
    </row>
    <row r="1983" spans="1:4">
      <c r="A1983">
        <v>1978</v>
      </c>
      <c r="B1983" s="11">
        <v>45786.541666666664</v>
      </c>
      <c r="C1983" s="7">
        <v>560.75070000000005</v>
      </c>
      <c r="D1983">
        <v>1513045</v>
      </c>
    </row>
    <row r="1984" spans="1:4">
      <c r="A1984">
        <v>1979</v>
      </c>
      <c r="B1984" s="11">
        <v>45786.520833333336</v>
      </c>
      <c r="C1984" s="7">
        <v>560.15620000000001</v>
      </c>
      <c r="D1984">
        <v>1117633</v>
      </c>
    </row>
    <row r="1985" spans="1:4">
      <c r="A1985">
        <v>1980</v>
      </c>
      <c r="B1985" s="11">
        <v>45786.5</v>
      </c>
      <c r="C1985" s="7">
        <v>560.63350000000003</v>
      </c>
      <c r="D1985">
        <v>1256913</v>
      </c>
    </row>
    <row r="1986" spans="1:4">
      <c r="A1986">
        <v>1981</v>
      </c>
      <c r="B1986" s="11">
        <v>45786.479166666664</v>
      </c>
      <c r="C1986" s="7">
        <v>562.31039999999996</v>
      </c>
      <c r="D1986">
        <v>1268622</v>
      </c>
    </row>
    <row r="1987" spans="1:4">
      <c r="A1987">
        <v>1982</v>
      </c>
      <c r="B1987" s="11">
        <v>45786.458333333336</v>
      </c>
      <c r="C1987" s="7">
        <v>561.28980000000001</v>
      </c>
      <c r="D1987">
        <v>1770255</v>
      </c>
    </row>
    <row r="1988" spans="1:4">
      <c r="A1988">
        <v>1983</v>
      </c>
      <c r="B1988" s="11">
        <v>45786.4375</v>
      </c>
      <c r="C1988" s="7">
        <v>561.29470000000003</v>
      </c>
      <c r="D1988">
        <v>3258816</v>
      </c>
    </row>
    <row r="1989" spans="1:4">
      <c r="A1989">
        <v>1984</v>
      </c>
      <c r="B1989" s="11">
        <v>45786.416666666664</v>
      </c>
      <c r="C1989" s="7">
        <v>561.21019999999999</v>
      </c>
      <c r="D1989">
        <v>2107776</v>
      </c>
    </row>
    <row r="1990" spans="1:4">
      <c r="A1990">
        <v>1985</v>
      </c>
      <c r="B1990" s="11">
        <v>45786.395833333336</v>
      </c>
      <c r="C1990" s="7">
        <v>563.64620000000002</v>
      </c>
      <c r="D1990">
        <v>2397630</v>
      </c>
    </row>
    <row r="1991" spans="1:4">
      <c r="A1991">
        <v>1986</v>
      </c>
      <c r="B1991" s="11">
        <v>45785.666666666664</v>
      </c>
      <c r="C1991" s="7">
        <v>561.83659999999998</v>
      </c>
      <c r="D1991">
        <v>20657990</v>
      </c>
    </row>
    <row r="1992" spans="1:4">
      <c r="A1992">
        <v>1987</v>
      </c>
      <c r="B1992" s="11">
        <v>45785.645833333336</v>
      </c>
      <c r="C1992" s="7">
        <v>561.75710000000004</v>
      </c>
      <c r="D1992">
        <v>9535938</v>
      </c>
    </row>
    <row r="1993" spans="1:4">
      <c r="A1993">
        <v>1988</v>
      </c>
      <c r="B1993" s="11">
        <v>45785.625</v>
      </c>
      <c r="C1993" s="7">
        <v>565.85360000000003</v>
      </c>
      <c r="D1993">
        <v>4589468</v>
      </c>
    </row>
    <row r="1994" spans="1:4">
      <c r="A1994">
        <v>1989</v>
      </c>
      <c r="B1994" s="11">
        <v>45785.604166666664</v>
      </c>
      <c r="C1994" s="7">
        <v>565.06809999999996</v>
      </c>
      <c r="D1994">
        <v>1566394</v>
      </c>
    </row>
    <row r="1995" spans="1:4">
      <c r="A1995">
        <v>1990</v>
      </c>
      <c r="B1995" s="11">
        <v>45785.583333333336</v>
      </c>
      <c r="C1995" s="7">
        <v>564.78970000000004</v>
      </c>
      <c r="D1995">
        <v>1883503</v>
      </c>
    </row>
    <row r="1996" spans="1:4">
      <c r="A1996">
        <v>1991</v>
      </c>
      <c r="B1996" s="11">
        <v>45785.5625</v>
      </c>
      <c r="C1996" s="7">
        <v>564.42430000000002</v>
      </c>
      <c r="D1996">
        <v>1304498</v>
      </c>
    </row>
    <row r="1997" spans="1:4">
      <c r="A1997">
        <v>1992</v>
      </c>
      <c r="B1997" s="11">
        <v>45785.541666666664</v>
      </c>
      <c r="C1997" s="7">
        <v>565.96299999999997</v>
      </c>
      <c r="D1997">
        <v>1496724</v>
      </c>
    </row>
    <row r="1998" spans="1:4">
      <c r="A1998">
        <v>1993</v>
      </c>
      <c r="B1998" s="11">
        <v>45785.520833333336</v>
      </c>
      <c r="C1998" s="7">
        <v>566.86770000000001</v>
      </c>
      <c r="D1998">
        <v>1818587</v>
      </c>
    </row>
    <row r="1999" spans="1:4">
      <c r="A1999">
        <v>1994</v>
      </c>
      <c r="B1999" s="11">
        <v>45785.5</v>
      </c>
      <c r="C1999" s="7">
        <v>565.55529999999999</v>
      </c>
      <c r="D1999">
        <v>2047291</v>
      </c>
    </row>
    <row r="2000" spans="1:4">
      <c r="A2000">
        <v>1995</v>
      </c>
      <c r="B2000" s="11">
        <v>45785.479166666664</v>
      </c>
      <c r="C2000" s="7">
        <v>565.1277</v>
      </c>
      <c r="D2000">
        <v>6216752</v>
      </c>
    </row>
    <row r="2001" spans="1:4">
      <c r="A2001">
        <v>1996</v>
      </c>
      <c r="B2001" s="11">
        <v>45785.458333333336</v>
      </c>
      <c r="C2001" s="7">
        <v>562.95029999999997</v>
      </c>
      <c r="D2001">
        <v>4001532</v>
      </c>
    </row>
    <row r="2002" spans="1:4">
      <c r="A2002">
        <v>1997</v>
      </c>
      <c r="B2002" s="11">
        <v>45785.4375</v>
      </c>
      <c r="C2002" s="7">
        <v>559.08240000000001</v>
      </c>
      <c r="D2002">
        <v>3776895</v>
      </c>
    </row>
    <row r="2003" spans="1:4">
      <c r="A2003">
        <v>1998</v>
      </c>
      <c r="B2003" s="11">
        <v>45785.416666666664</v>
      </c>
      <c r="C2003" s="7">
        <v>561.23009999999999</v>
      </c>
      <c r="D2003">
        <v>3007689</v>
      </c>
    </row>
    <row r="2004" spans="1:4">
      <c r="A2004">
        <v>1999</v>
      </c>
      <c r="B2004" s="11">
        <v>45785.395833333336</v>
      </c>
      <c r="C2004" s="7">
        <v>560.85230000000001</v>
      </c>
      <c r="D2004">
        <v>3227527</v>
      </c>
    </row>
    <row r="2005" spans="1:4">
      <c r="A2005">
        <v>2000</v>
      </c>
      <c r="B2005" s="11">
        <v>45784.666666666664</v>
      </c>
      <c r="C2005" s="7">
        <v>557.94899999999996</v>
      </c>
      <c r="D2005">
        <v>19451596</v>
      </c>
    </row>
    <row r="2006" spans="1:4">
      <c r="A2006">
        <v>2001</v>
      </c>
      <c r="B2006" s="11">
        <v>45784.645833333336</v>
      </c>
      <c r="C2006" s="7">
        <v>558.04840000000002</v>
      </c>
      <c r="D2006">
        <v>10227303</v>
      </c>
    </row>
    <row r="2007" spans="1:4">
      <c r="A2007">
        <v>2002</v>
      </c>
      <c r="B2007" s="11">
        <v>45784.625</v>
      </c>
      <c r="C2007" s="7">
        <v>554.80690000000004</v>
      </c>
      <c r="D2007">
        <v>2852377</v>
      </c>
    </row>
    <row r="2008" spans="1:4">
      <c r="A2008">
        <v>2003</v>
      </c>
      <c r="B2008" s="11">
        <v>45784.604166666664</v>
      </c>
      <c r="C2008" s="7">
        <v>557.601</v>
      </c>
      <c r="D2008">
        <v>3850056</v>
      </c>
    </row>
    <row r="2009" spans="1:4">
      <c r="A2009">
        <v>2004</v>
      </c>
      <c r="B2009" s="11">
        <v>45784.583333333336</v>
      </c>
      <c r="C2009" s="7">
        <v>554.77719999999999</v>
      </c>
      <c r="D2009">
        <v>3956572</v>
      </c>
    </row>
    <row r="2010" spans="1:4">
      <c r="A2010">
        <v>2005</v>
      </c>
      <c r="B2010" s="11">
        <v>45784.5625</v>
      </c>
      <c r="C2010" s="7">
        <v>556.11940000000004</v>
      </c>
      <c r="D2010">
        <v>1867404</v>
      </c>
    </row>
    <row r="2011" spans="1:4">
      <c r="A2011">
        <v>2006</v>
      </c>
      <c r="B2011" s="11">
        <v>45784.541666666664</v>
      </c>
      <c r="C2011" s="7">
        <v>558.06830000000002</v>
      </c>
      <c r="D2011">
        <v>927706</v>
      </c>
    </row>
    <row r="2012" spans="1:4">
      <c r="A2012">
        <v>2007</v>
      </c>
      <c r="B2012" s="11">
        <v>45784.520833333336</v>
      </c>
      <c r="C2012" s="7">
        <v>558.04840000000002</v>
      </c>
      <c r="D2012">
        <v>954124</v>
      </c>
    </row>
    <row r="2013" spans="1:4">
      <c r="A2013">
        <v>2008</v>
      </c>
      <c r="B2013" s="11">
        <v>45784.5</v>
      </c>
      <c r="C2013" s="7">
        <v>556.0299</v>
      </c>
      <c r="D2013">
        <v>1018683</v>
      </c>
    </row>
    <row r="2014" spans="1:4">
      <c r="A2014">
        <v>2009</v>
      </c>
      <c r="B2014" s="11">
        <v>45784.479166666664</v>
      </c>
      <c r="C2014" s="7">
        <v>556.68619999999999</v>
      </c>
      <c r="D2014">
        <v>1655631</v>
      </c>
    </row>
    <row r="2015" spans="1:4">
      <c r="A2015">
        <v>2010</v>
      </c>
      <c r="B2015" s="11">
        <v>45784.458333333336</v>
      </c>
      <c r="C2015" s="7">
        <v>555.93050000000005</v>
      </c>
      <c r="D2015">
        <v>2136758</v>
      </c>
    </row>
    <row r="2016" spans="1:4">
      <c r="A2016">
        <v>2011</v>
      </c>
      <c r="B2016" s="11">
        <v>45784.4375</v>
      </c>
      <c r="C2016" s="7">
        <v>556.22879999999998</v>
      </c>
      <c r="D2016">
        <v>1855573</v>
      </c>
    </row>
    <row r="2017" spans="1:4">
      <c r="A2017">
        <v>2012</v>
      </c>
      <c r="B2017" s="11">
        <v>45784.416666666664</v>
      </c>
      <c r="C2017" s="7">
        <v>558.64490000000001</v>
      </c>
      <c r="D2017">
        <v>1724759</v>
      </c>
    </row>
    <row r="2018" spans="1:4">
      <c r="A2018">
        <v>2013</v>
      </c>
      <c r="B2018" s="11">
        <v>45784.395833333336</v>
      </c>
      <c r="C2018" s="7">
        <v>558.13789999999995</v>
      </c>
      <c r="D2018">
        <v>3254686</v>
      </c>
    </row>
    <row r="2019" spans="1:4">
      <c r="A2019">
        <v>2014</v>
      </c>
      <c r="B2019" s="11">
        <v>45783.666666666664</v>
      </c>
      <c r="C2019" s="7">
        <v>555.6123</v>
      </c>
      <c r="D2019">
        <v>14620679</v>
      </c>
    </row>
    <row r="2020" spans="1:4">
      <c r="A2020">
        <v>2015</v>
      </c>
      <c r="B2020" s="11">
        <v>45783.645833333336</v>
      </c>
      <c r="C2020" s="7">
        <v>555.6223</v>
      </c>
      <c r="D2020">
        <v>7690053</v>
      </c>
    </row>
    <row r="2021" spans="1:4">
      <c r="A2021">
        <v>2016</v>
      </c>
      <c r="B2021" s="11">
        <v>45783.625</v>
      </c>
      <c r="C2021" s="7">
        <v>557.601</v>
      </c>
      <c r="D2021">
        <v>1833557</v>
      </c>
    </row>
    <row r="2022" spans="1:4">
      <c r="A2022">
        <v>2017</v>
      </c>
      <c r="B2022" s="11">
        <v>45783.604166666664</v>
      </c>
      <c r="C2022" s="7">
        <v>557.80989999999997</v>
      </c>
      <c r="D2022">
        <v>1938262</v>
      </c>
    </row>
    <row r="2023" spans="1:4">
      <c r="A2023">
        <v>2018</v>
      </c>
      <c r="B2023" s="11">
        <v>45783.583333333336</v>
      </c>
      <c r="C2023" s="7">
        <v>557.26289999999995</v>
      </c>
      <c r="D2023">
        <v>1942852</v>
      </c>
    </row>
    <row r="2024" spans="1:4">
      <c r="A2024">
        <v>2019</v>
      </c>
      <c r="B2024" s="11">
        <v>45783.5625</v>
      </c>
      <c r="C2024" s="7">
        <v>555.27430000000004</v>
      </c>
      <c r="D2024">
        <v>1300187</v>
      </c>
    </row>
    <row r="2025" spans="1:4">
      <c r="A2025">
        <v>2020</v>
      </c>
      <c r="B2025" s="11">
        <v>45783.541666666664</v>
      </c>
      <c r="C2025" s="7">
        <v>556.48609999999996</v>
      </c>
      <c r="D2025">
        <v>1541506</v>
      </c>
    </row>
    <row r="2026" spans="1:4">
      <c r="A2026">
        <v>2021</v>
      </c>
      <c r="B2026" s="11">
        <v>45783.520833333336</v>
      </c>
      <c r="C2026" s="7">
        <v>556.06479999999999</v>
      </c>
      <c r="D2026">
        <v>1475060</v>
      </c>
    </row>
    <row r="2027" spans="1:4">
      <c r="A2027">
        <v>2022</v>
      </c>
      <c r="B2027" s="11">
        <v>45783.5</v>
      </c>
      <c r="C2027" s="7">
        <v>557.26289999999995</v>
      </c>
      <c r="D2027">
        <v>3710541</v>
      </c>
    </row>
    <row r="2028" spans="1:4">
      <c r="A2028">
        <v>2023</v>
      </c>
      <c r="B2028" s="11">
        <v>45783.479166666664</v>
      </c>
      <c r="C2028" s="7">
        <v>557.17830000000004</v>
      </c>
      <c r="D2028">
        <v>1366334</v>
      </c>
    </row>
    <row r="2029" spans="1:4">
      <c r="A2029">
        <v>2024</v>
      </c>
      <c r="B2029" s="11">
        <v>45783.458333333336</v>
      </c>
      <c r="C2029" s="7">
        <v>558.38649999999996</v>
      </c>
      <c r="D2029">
        <v>1781026</v>
      </c>
    </row>
    <row r="2030" spans="1:4">
      <c r="A2030">
        <v>2025</v>
      </c>
      <c r="B2030" s="11">
        <v>45783.4375</v>
      </c>
      <c r="C2030" s="7">
        <v>557.65060000000005</v>
      </c>
      <c r="D2030">
        <v>1871773</v>
      </c>
    </row>
    <row r="2031" spans="1:4">
      <c r="A2031">
        <v>2026</v>
      </c>
      <c r="B2031" s="11">
        <v>45783.416666666664</v>
      </c>
      <c r="C2031" s="7">
        <v>557.40200000000004</v>
      </c>
      <c r="D2031">
        <v>3043432</v>
      </c>
    </row>
    <row r="2032" spans="1:4">
      <c r="A2032">
        <v>2027</v>
      </c>
      <c r="B2032" s="11">
        <v>45783.395833333336</v>
      </c>
      <c r="C2032" s="7">
        <v>554.26030000000003</v>
      </c>
      <c r="D2032">
        <v>4149446</v>
      </c>
    </row>
    <row r="2033" spans="1:4">
      <c r="A2033">
        <v>2028</v>
      </c>
      <c r="B2033" s="11">
        <v>45782.666666666664</v>
      </c>
      <c r="C2033" s="7">
        <v>560.29549999999995</v>
      </c>
      <c r="D2033">
        <v>11309577</v>
      </c>
    </row>
    <row r="2034" spans="1:4">
      <c r="A2034">
        <v>2029</v>
      </c>
      <c r="B2034" s="11">
        <v>45782.645833333336</v>
      </c>
      <c r="C2034" s="7">
        <v>560.29549999999995</v>
      </c>
      <c r="D2034">
        <v>5568142</v>
      </c>
    </row>
    <row r="2035" spans="1:4">
      <c r="A2035">
        <v>2030</v>
      </c>
      <c r="B2035" s="11">
        <v>45782.625</v>
      </c>
      <c r="C2035" s="7">
        <v>561.41909999999996</v>
      </c>
      <c r="D2035">
        <v>2738654</v>
      </c>
    </row>
    <row r="2036" spans="1:4">
      <c r="A2036">
        <v>2031</v>
      </c>
      <c r="B2036" s="11">
        <v>45782.604166666664</v>
      </c>
      <c r="C2036" s="7">
        <v>562.55259999999998</v>
      </c>
      <c r="D2036">
        <v>1450478</v>
      </c>
    </row>
    <row r="2037" spans="1:4">
      <c r="A2037">
        <v>2032</v>
      </c>
      <c r="B2037" s="11">
        <v>45782.583333333336</v>
      </c>
      <c r="C2037" s="7">
        <v>562.90049999999997</v>
      </c>
      <c r="D2037">
        <v>1186601</v>
      </c>
    </row>
    <row r="2038" spans="1:4">
      <c r="A2038">
        <v>2033</v>
      </c>
      <c r="B2038" s="11">
        <v>45782.5625</v>
      </c>
      <c r="C2038" s="7">
        <v>562.45309999999995</v>
      </c>
      <c r="D2038">
        <v>839931</v>
      </c>
    </row>
    <row r="2039" spans="1:4">
      <c r="A2039">
        <v>2034</v>
      </c>
      <c r="B2039" s="11">
        <v>45782.541666666664</v>
      </c>
      <c r="C2039" s="7">
        <v>561.86649999999997</v>
      </c>
      <c r="D2039">
        <v>1032113</v>
      </c>
    </row>
    <row r="2040" spans="1:4">
      <c r="A2040">
        <v>2035</v>
      </c>
      <c r="B2040" s="11">
        <v>45782.520833333336</v>
      </c>
      <c r="C2040" s="7">
        <v>562.3537</v>
      </c>
      <c r="D2040">
        <v>965447</v>
      </c>
    </row>
    <row r="2041" spans="1:4">
      <c r="A2041">
        <v>2036</v>
      </c>
      <c r="B2041" s="11">
        <v>45782.5</v>
      </c>
      <c r="C2041" s="7">
        <v>562.47299999999996</v>
      </c>
      <c r="D2041">
        <v>1361343</v>
      </c>
    </row>
    <row r="2042" spans="1:4">
      <c r="A2042">
        <v>2037</v>
      </c>
      <c r="B2042" s="11">
        <v>45782.479166666664</v>
      </c>
      <c r="C2042" s="7">
        <v>561.78689999999995</v>
      </c>
      <c r="D2042">
        <v>1411592</v>
      </c>
    </row>
    <row r="2043" spans="1:4">
      <c r="A2043">
        <v>2038</v>
      </c>
      <c r="B2043" s="11">
        <v>45782.458333333336</v>
      </c>
      <c r="C2043" s="7">
        <v>561.59799999999996</v>
      </c>
      <c r="D2043">
        <v>2144597</v>
      </c>
    </row>
    <row r="2044" spans="1:4">
      <c r="A2044">
        <v>2039</v>
      </c>
      <c r="B2044" s="11">
        <v>45782.4375</v>
      </c>
      <c r="C2044" s="7">
        <v>561.68740000000003</v>
      </c>
      <c r="D2044">
        <v>2204999</v>
      </c>
    </row>
    <row r="2045" spans="1:4">
      <c r="A2045">
        <v>2040</v>
      </c>
      <c r="B2045" s="11">
        <v>45782.416666666664</v>
      </c>
      <c r="C2045" s="7">
        <v>560.49869999999999</v>
      </c>
      <c r="D2045">
        <v>2612810</v>
      </c>
    </row>
    <row r="2046" spans="1:4">
      <c r="A2046">
        <v>2041</v>
      </c>
      <c r="B2046" s="11">
        <v>45782.395833333336</v>
      </c>
      <c r="C2046" s="7">
        <v>560.5838</v>
      </c>
      <c r="D2046">
        <v>3832940</v>
      </c>
    </row>
    <row r="2047" spans="1:4">
      <c r="A2047">
        <v>2042</v>
      </c>
      <c r="B2047" s="11">
        <v>45779.666666666664</v>
      </c>
      <c r="C2047" s="7">
        <v>563.52700000000004</v>
      </c>
      <c r="D2047">
        <v>22515160</v>
      </c>
    </row>
    <row r="2048" spans="1:4">
      <c r="A2048">
        <v>2043</v>
      </c>
      <c r="B2048" s="11">
        <v>45779.645833333336</v>
      </c>
      <c r="C2048" s="7">
        <v>563.39769999999999</v>
      </c>
      <c r="D2048">
        <v>9847881</v>
      </c>
    </row>
    <row r="2049" spans="1:4">
      <c r="A2049">
        <v>2044</v>
      </c>
      <c r="B2049" s="11">
        <v>45779.625</v>
      </c>
      <c r="C2049" s="7">
        <v>564.39200000000005</v>
      </c>
      <c r="D2049">
        <v>3491119</v>
      </c>
    </row>
    <row r="2050" spans="1:4">
      <c r="A2050">
        <v>2045</v>
      </c>
      <c r="B2050" s="11">
        <v>45779.604166666664</v>
      </c>
      <c r="C2050" s="7">
        <v>563.82029999999997</v>
      </c>
      <c r="D2050">
        <v>2340892</v>
      </c>
    </row>
    <row r="2051" spans="1:4">
      <c r="A2051">
        <v>2046</v>
      </c>
      <c r="B2051" s="11">
        <v>45779.583333333336</v>
      </c>
      <c r="C2051" s="7">
        <v>564.45169999999996</v>
      </c>
      <c r="D2051">
        <v>1519214</v>
      </c>
    </row>
    <row r="2052" spans="1:4">
      <c r="A2052">
        <v>2047</v>
      </c>
      <c r="B2052" s="11">
        <v>45779.5625</v>
      </c>
      <c r="C2052" s="7">
        <v>564.00919999999996</v>
      </c>
      <c r="D2052">
        <v>1154006</v>
      </c>
    </row>
    <row r="2053" spans="1:4">
      <c r="A2053">
        <v>2048</v>
      </c>
      <c r="B2053" s="11">
        <v>45779.541666666664</v>
      </c>
      <c r="C2053" s="7">
        <v>563.54690000000005</v>
      </c>
      <c r="D2053">
        <v>1505885</v>
      </c>
    </row>
    <row r="2054" spans="1:4">
      <c r="A2054">
        <v>2049</v>
      </c>
      <c r="B2054" s="11">
        <v>45779.520833333336</v>
      </c>
      <c r="C2054" s="7">
        <v>564.27260000000001</v>
      </c>
      <c r="D2054">
        <v>1676645</v>
      </c>
    </row>
    <row r="2055" spans="1:4">
      <c r="A2055">
        <v>2050</v>
      </c>
      <c r="B2055" s="11">
        <v>45779.5</v>
      </c>
      <c r="C2055" s="7">
        <v>564.03409999999997</v>
      </c>
      <c r="D2055">
        <v>3669269</v>
      </c>
    </row>
    <row r="2056" spans="1:4">
      <c r="A2056">
        <v>2051</v>
      </c>
      <c r="B2056" s="11">
        <v>45779.479166666664</v>
      </c>
      <c r="C2056" s="7">
        <v>563.05960000000005</v>
      </c>
      <c r="D2056">
        <v>1489758</v>
      </c>
    </row>
    <row r="2057" spans="1:4">
      <c r="A2057">
        <v>2052</v>
      </c>
      <c r="B2057" s="11">
        <v>45779.458333333336</v>
      </c>
      <c r="C2057" s="7">
        <v>561.51350000000002</v>
      </c>
      <c r="D2057">
        <v>2077156</v>
      </c>
    </row>
    <row r="2058" spans="1:4">
      <c r="A2058">
        <v>2053</v>
      </c>
      <c r="B2058" s="11">
        <v>45779.4375</v>
      </c>
      <c r="C2058" s="7">
        <v>562.53269999999998</v>
      </c>
      <c r="D2058">
        <v>2093467</v>
      </c>
    </row>
    <row r="2059" spans="1:4">
      <c r="A2059">
        <v>2054</v>
      </c>
      <c r="B2059" s="11">
        <v>45779.416666666664</v>
      </c>
      <c r="C2059" s="7">
        <v>563.06209999999999</v>
      </c>
      <c r="D2059">
        <v>2679989</v>
      </c>
    </row>
    <row r="2060" spans="1:4">
      <c r="A2060">
        <v>2055</v>
      </c>
      <c r="B2060" s="11">
        <v>45779.395833333336</v>
      </c>
      <c r="C2060" s="7">
        <v>560.26559999999995</v>
      </c>
      <c r="D2060">
        <v>4656831</v>
      </c>
    </row>
    <row r="2061" spans="1:4">
      <c r="A2061">
        <v>2056</v>
      </c>
      <c r="B2061" s="11">
        <v>45778.666666666664</v>
      </c>
      <c r="C2061" s="7">
        <v>555.28420000000006</v>
      </c>
      <c r="D2061">
        <v>24389752</v>
      </c>
    </row>
    <row r="2062" spans="1:4">
      <c r="A2062">
        <v>2057</v>
      </c>
      <c r="B2062" s="11">
        <v>45778.645833333336</v>
      </c>
      <c r="C2062" s="7">
        <v>555.28420000000006</v>
      </c>
      <c r="D2062">
        <v>8744546</v>
      </c>
    </row>
    <row r="2063" spans="1:4">
      <c r="A2063">
        <v>2058</v>
      </c>
      <c r="B2063" s="11">
        <v>45778.625</v>
      </c>
      <c r="C2063" s="7">
        <v>558.91340000000002</v>
      </c>
      <c r="D2063">
        <v>2734471</v>
      </c>
    </row>
    <row r="2064" spans="1:4">
      <c r="A2064">
        <v>2059</v>
      </c>
      <c r="B2064" s="11">
        <v>45778.604166666664</v>
      </c>
      <c r="C2064" s="7">
        <v>558.55550000000005</v>
      </c>
      <c r="D2064">
        <v>1894226</v>
      </c>
    </row>
    <row r="2065" spans="1:4">
      <c r="A2065">
        <v>2060</v>
      </c>
      <c r="B2065" s="11">
        <v>45778.583333333336</v>
      </c>
      <c r="C2065" s="7">
        <v>558.69960000000003</v>
      </c>
      <c r="D2065">
        <v>1944949</v>
      </c>
    </row>
    <row r="2066" spans="1:4">
      <c r="A2066">
        <v>2061</v>
      </c>
      <c r="B2066" s="11">
        <v>45778.5625</v>
      </c>
      <c r="C2066" s="7">
        <v>557.41200000000003</v>
      </c>
      <c r="D2066">
        <v>1151554</v>
      </c>
    </row>
    <row r="2067" spans="1:4">
      <c r="A2067">
        <v>2062</v>
      </c>
      <c r="B2067" s="11">
        <v>45778.541666666664</v>
      </c>
      <c r="C2067" s="7">
        <v>558.14779999999996</v>
      </c>
      <c r="D2067">
        <v>1465791</v>
      </c>
    </row>
    <row r="2068" spans="1:4">
      <c r="A2068">
        <v>2063</v>
      </c>
      <c r="B2068" s="11">
        <v>45778.520833333336</v>
      </c>
      <c r="C2068" s="7">
        <v>556.56690000000003</v>
      </c>
      <c r="D2068">
        <v>1440138</v>
      </c>
    </row>
    <row r="2069" spans="1:4">
      <c r="A2069">
        <v>2064</v>
      </c>
      <c r="B2069" s="11">
        <v>45778.5</v>
      </c>
      <c r="C2069" s="7">
        <v>557.11369999999999</v>
      </c>
      <c r="D2069">
        <v>1907594</v>
      </c>
    </row>
    <row r="2070" spans="1:4">
      <c r="A2070">
        <v>2065</v>
      </c>
      <c r="B2070" s="11">
        <v>45778.479166666664</v>
      </c>
      <c r="C2070" s="7">
        <v>557.1617</v>
      </c>
      <c r="D2070">
        <v>2569002</v>
      </c>
    </row>
    <row r="2071" spans="1:4">
      <c r="A2071">
        <v>2066</v>
      </c>
      <c r="B2071" s="11">
        <v>45778.458333333336</v>
      </c>
      <c r="C2071" s="7">
        <v>560.15620000000001</v>
      </c>
      <c r="D2071">
        <v>2725337</v>
      </c>
    </row>
    <row r="2072" spans="1:4">
      <c r="A2072">
        <v>2067</v>
      </c>
      <c r="B2072" s="11">
        <v>45778.4375</v>
      </c>
      <c r="C2072" s="7">
        <v>560.17610000000002</v>
      </c>
      <c r="D2072">
        <v>2864454</v>
      </c>
    </row>
    <row r="2073" spans="1:4">
      <c r="A2073">
        <v>2068</v>
      </c>
      <c r="B2073" s="11">
        <v>45778.416666666664</v>
      </c>
      <c r="C2073" s="7">
        <v>558.85379999999998</v>
      </c>
      <c r="D2073">
        <v>3847534</v>
      </c>
    </row>
    <row r="2074" spans="1:4">
      <c r="A2074">
        <v>2069</v>
      </c>
      <c r="B2074" s="11">
        <v>45778.395833333336</v>
      </c>
      <c r="C2074" s="7">
        <v>557.29269999999997</v>
      </c>
      <c r="D2074">
        <v>5506796</v>
      </c>
    </row>
    <row r="2075" spans="1:4">
      <c r="A2075">
        <v>2070</v>
      </c>
      <c r="B2075" s="11">
        <v>45777.666666666664</v>
      </c>
      <c r="C2075" s="7">
        <v>551.37660000000005</v>
      </c>
      <c r="D2075">
        <v>37029265</v>
      </c>
    </row>
    <row r="2076" spans="1:4">
      <c r="A2076">
        <v>2071</v>
      </c>
      <c r="B2076" s="11">
        <v>45777.645833333336</v>
      </c>
      <c r="C2076" s="7">
        <v>551.37660000000005</v>
      </c>
      <c r="D2076">
        <v>18265078</v>
      </c>
    </row>
    <row r="2077" spans="1:4">
      <c r="A2077">
        <v>2072</v>
      </c>
      <c r="B2077" s="11">
        <v>45777.625</v>
      </c>
      <c r="C2077" s="7">
        <v>546.71979999999996</v>
      </c>
      <c r="D2077">
        <v>3116465</v>
      </c>
    </row>
    <row r="2078" spans="1:4">
      <c r="A2078">
        <v>2073</v>
      </c>
      <c r="B2078" s="11">
        <v>45777.604166666664</v>
      </c>
      <c r="C2078" s="7">
        <v>546.45489999999995</v>
      </c>
      <c r="D2078">
        <v>2473033</v>
      </c>
    </row>
    <row r="2079" spans="1:4">
      <c r="A2079">
        <v>2074</v>
      </c>
      <c r="B2079" s="11">
        <v>45777.583333333336</v>
      </c>
      <c r="C2079" s="7">
        <v>547.29010000000005</v>
      </c>
      <c r="D2079">
        <v>4522191</v>
      </c>
    </row>
    <row r="2080" spans="1:4">
      <c r="A2080">
        <v>2075</v>
      </c>
      <c r="B2080" s="11">
        <v>45777.5625</v>
      </c>
      <c r="C2080" s="7">
        <v>547.40449999999998</v>
      </c>
      <c r="D2080">
        <v>1722551</v>
      </c>
    </row>
    <row r="2081" spans="1:4">
      <c r="A2081">
        <v>2076</v>
      </c>
      <c r="B2081" s="11">
        <v>45777.541666666664</v>
      </c>
      <c r="C2081" s="7">
        <v>546.81290000000001</v>
      </c>
      <c r="D2081">
        <v>1643001</v>
      </c>
    </row>
    <row r="2082" spans="1:4">
      <c r="A2082">
        <v>2077</v>
      </c>
      <c r="B2082" s="11">
        <v>45777.520833333336</v>
      </c>
      <c r="C2082" s="7">
        <v>546.41510000000005</v>
      </c>
      <c r="D2082">
        <v>1541290</v>
      </c>
    </row>
    <row r="2083" spans="1:4">
      <c r="A2083">
        <v>2078</v>
      </c>
      <c r="B2083" s="11">
        <v>45777.5</v>
      </c>
      <c r="C2083" s="7">
        <v>544.96339999999998</v>
      </c>
      <c r="D2083">
        <v>2122770</v>
      </c>
    </row>
    <row r="2084" spans="1:4">
      <c r="A2084">
        <v>2079</v>
      </c>
      <c r="B2084" s="11">
        <v>45777.479166666664</v>
      </c>
      <c r="C2084" s="7">
        <v>546.29579999999999</v>
      </c>
      <c r="D2084">
        <v>2065688</v>
      </c>
    </row>
    <row r="2085" spans="1:4">
      <c r="A2085">
        <v>2080</v>
      </c>
      <c r="B2085" s="11">
        <v>45777.458333333336</v>
      </c>
      <c r="C2085" s="7">
        <v>545.8732</v>
      </c>
      <c r="D2085">
        <v>2971774</v>
      </c>
    </row>
    <row r="2086" spans="1:4">
      <c r="A2086">
        <v>2081</v>
      </c>
      <c r="B2086" s="11">
        <v>45777.4375</v>
      </c>
      <c r="C2086" s="7">
        <v>543.77530000000002</v>
      </c>
      <c r="D2086">
        <v>3438472</v>
      </c>
    </row>
    <row r="2087" spans="1:4">
      <c r="A2087">
        <v>2082</v>
      </c>
      <c r="B2087" s="11">
        <v>45777.416666666664</v>
      </c>
      <c r="C2087" s="7">
        <v>543.19359999999995</v>
      </c>
      <c r="D2087">
        <v>4712327</v>
      </c>
    </row>
    <row r="2088" spans="1:4">
      <c r="A2088">
        <v>2083</v>
      </c>
      <c r="B2088" s="11">
        <v>45777.395833333336</v>
      </c>
      <c r="C2088" s="7">
        <v>538.63969999999995</v>
      </c>
      <c r="D2088">
        <v>7477559</v>
      </c>
    </row>
    <row r="2089" spans="1:4">
      <c r="A2089">
        <v>2084</v>
      </c>
      <c r="B2089" s="11">
        <v>45776.666666666664</v>
      </c>
      <c r="C2089" s="7">
        <v>551.15790000000004</v>
      </c>
      <c r="D2089">
        <v>16842851</v>
      </c>
    </row>
    <row r="2090" spans="1:4">
      <c r="A2090">
        <v>2085</v>
      </c>
      <c r="B2090" s="11">
        <v>45776.645833333336</v>
      </c>
      <c r="C2090" s="7">
        <v>551.15790000000004</v>
      </c>
      <c r="D2090">
        <v>6881307</v>
      </c>
    </row>
    <row r="2091" spans="1:4">
      <c r="A2091">
        <v>2086</v>
      </c>
      <c r="B2091" s="11">
        <v>45776.625</v>
      </c>
      <c r="C2091" s="7">
        <v>551.5059</v>
      </c>
      <c r="D2091">
        <v>2214752</v>
      </c>
    </row>
    <row r="2092" spans="1:4">
      <c r="A2092">
        <v>2087</v>
      </c>
      <c r="B2092" s="11">
        <v>45776.604166666664</v>
      </c>
      <c r="C2092" s="7">
        <v>551.17780000000005</v>
      </c>
      <c r="D2092">
        <v>1422965</v>
      </c>
    </row>
    <row r="2093" spans="1:4">
      <c r="A2093">
        <v>2088</v>
      </c>
      <c r="B2093" s="11">
        <v>45776.583333333336</v>
      </c>
      <c r="C2093" s="7">
        <v>551.7346</v>
      </c>
      <c r="D2093">
        <v>2676506</v>
      </c>
    </row>
    <row r="2094" spans="1:4">
      <c r="A2094">
        <v>2089</v>
      </c>
      <c r="B2094" s="11">
        <v>45776.5625</v>
      </c>
      <c r="C2094" s="7">
        <v>551.63509999999997</v>
      </c>
      <c r="D2094">
        <v>2601438</v>
      </c>
    </row>
    <row r="2095" spans="1:4">
      <c r="A2095">
        <v>2090</v>
      </c>
      <c r="B2095" s="11">
        <v>45776.541666666664</v>
      </c>
      <c r="C2095" s="7">
        <v>549.49329999999998</v>
      </c>
      <c r="D2095">
        <v>1476144</v>
      </c>
    </row>
    <row r="2096" spans="1:4">
      <c r="A2096">
        <v>2091</v>
      </c>
      <c r="B2096" s="11">
        <v>45776.520833333336</v>
      </c>
      <c r="C2096" s="7">
        <v>547.90660000000003</v>
      </c>
      <c r="D2096">
        <v>1551752</v>
      </c>
    </row>
    <row r="2097" spans="1:4">
      <c r="A2097">
        <v>2092</v>
      </c>
      <c r="B2097" s="11">
        <v>45776.5</v>
      </c>
      <c r="C2097" s="7">
        <v>549.73609999999996</v>
      </c>
      <c r="D2097">
        <v>1087665</v>
      </c>
    </row>
    <row r="2098" spans="1:4">
      <c r="A2098">
        <v>2093</v>
      </c>
      <c r="B2098" s="11">
        <v>45776.479166666664</v>
      </c>
      <c r="C2098" s="7">
        <v>548.58259999999996</v>
      </c>
      <c r="D2098">
        <v>1174641</v>
      </c>
    </row>
    <row r="2099" spans="1:4">
      <c r="A2099">
        <v>2094</v>
      </c>
      <c r="B2099" s="11">
        <v>45776.458333333336</v>
      </c>
      <c r="C2099" s="7">
        <v>549.06979999999999</v>
      </c>
      <c r="D2099">
        <v>1605616</v>
      </c>
    </row>
    <row r="2100" spans="1:4">
      <c r="A2100">
        <v>2095</v>
      </c>
      <c r="B2100" s="11">
        <v>45776.4375</v>
      </c>
      <c r="C2100" s="7">
        <v>549.82550000000003</v>
      </c>
      <c r="D2100">
        <v>1872135</v>
      </c>
    </row>
    <row r="2101" spans="1:4">
      <c r="A2101">
        <v>2096</v>
      </c>
      <c r="B2101" s="11">
        <v>45776.416666666664</v>
      </c>
      <c r="C2101" s="7">
        <v>546.77300000000002</v>
      </c>
      <c r="D2101">
        <v>3103380</v>
      </c>
    </row>
    <row r="2102" spans="1:4">
      <c r="A2102">
        <v>2097</v>
      </c>
      <c r="B2102" s="11">
        <v>45776.395833333336</v>
      </c>
      <c r="C2102" s="7">
        <v>547.4393</v>
      </c>
      <c r="D2102">
        <v>3263968</v>
      </c>
    </row>
    <row r="2103" spans="1:4">
      <c r="A2103">
        <v>2098</v>
      </c>
      <c r="B2103" s="11">
        <v>45775.666666666664</v>
      </c>
      <c r="C2103" s="7">
        <v>547.70770000000005</v>
      </c>
      <c r="D2103">
        <v>15048048</v>
      </c>
    </row>
    <row r="2104" spans="1:4">
      <c r="A2104">
        <v>2099</v>
      </c>
      <c r="B2104" s="11">
        <v>45775.645833333336</v>
      </c>
      <c r="C2104" s="7">
        <v>547.75739999999996</v>
      </c>
      <c r="D2104">
        <v>6347460</v>
      </c>
    </row>
    <row r="2105" spans="1:4">
      <c r="A2105">
        <v>2100</v>
      </c>
      <c r="B2105" s="11">
        <v>45775.625</v>
      </c>
      <c r="C2105" s="7">
        <v>547.31859999999995</v>
      </c>
      <c r="D2105">
        <v>2844726</v>
      </c>
    </row>
    <row r="2106" spans="1:4">
      <c r="A2106">
        <v>2101</v>
      </c>
      <c r="B2106" s="11">
        <v>45775.604166666664</v>
      </c>
      <c r="C2106" s="7">
        <v>545.51030000000003</v>
      </c>
      <c r="D2106">
        <v>1326386</v>
      </c>
    </row>
    <row r="2107" spans="1:4">
      <c r="A2107">
        <v>2102</v>
      </c>
      <c r="B2107" s="11">
        <v>45775.583333333336</v>
      </c>
      <c r="C2107" s="7">
        <v>545.4606</v>
      </c>
      <c r="D2107">
        <v>1717186</v>
      </c>
    </row>
    <row r="2108" spans="1:4">
      <c r="A2108">
        <v>2103</v>
      </c>
      <c r="B2108" s="11">
        <v>45775.5625</v>
      </c>
      <c r="C2108" s="7">
        <v>544.60550000000001</v>
      </c>
      <c r="D2108">
        <v>1454833</v>
      </c>
    </row>
    <row r="2109" spans="1:4">
      <c r="A2109">
        <v>2104</v>
      </c>
      <c r="B2109" s="11">
        <v>45775.541666666664</v>
      </c>
      <c r="C2109" s="7">
        <v>542.28869999999995</v>
      </c>
      <c r="D2109">
        <v>1449889</v>
      </c>
    </row>
    <row r="2110" spans="1:4">
      <c r="A2110">
        <v>2105</v>
      </c>
      <c r="B2110" s="11">
        <v>45775.520833333336</v>
      </c>
      <c r="C2110" s="7">
        <v>543.303</v>
      </c>
      <c r="D2110">
        <v>1594221</v>
      </c>
    </row>
    <row r="2111" spans="1:4">
      <c r="A2111">
        <v>2106</v>
      </c>
      <c r="B2111" s="11">
        <v>45775.5</v>
      </c>
      <c r="C2111" s="7">
        <v>542.94500000000005</v>
      </c>
      <c r="D2111">
        <v>1964656</v>
      </c>
    </row>
    <row r="2112" spans="1:4">
      <c r="A2112">
        <v>2107</v>
      </c>
      <c r="B2112" s="11">
        <v>45775.479166666664</v>
      </c>
      <c r="C2112" s="7">
        <v>544.29719999999998</v>
      </c>
      <c r="D2112">
        <v>2035400</v>
      </c>
    </row>
    <row r="2113" spans="1:4">
      <c r="A2113">
        <v>2108</v>
      </c>
      <c r="B2113" s="11">
        <v>45775.458333333336</v>
      </c>
      <c r="C2113" s="7">
        <v>544.06859999999995</v>
      </c>
      <c r="D2113">
        <v>2678865</v>
      </c>
    </row>
    <row r="2114" spans="1:4">
      <c r="A2114">
        <v>2109</v>
      </c>
      <c r="B2114" s="11">
        <v>45775.4375</v>
      </c>
      <c r="C2114" s="7">
        <v>547.46410000000003</v>
      </c>
      <c r="D2114">
        <v>1803798</v>
      </c>
    </row>
    <row r="2115" spans="1:4">
      <c r="A2115">
        <v>2110</v>
      </c>
      <c r="B2115" s="11">
        <v>45775.416666666664</v>
      </c>
      <c r="C2115" s="7">
        <v>547.83690000000001</v>
      </c>
      <c r="D2115">
        <v>2452554</v>
      </c>
    </row>
    <row r="2116" spans="1:4">
      <c r="A2116">
        <v>2111</v>
      </c>
      <c r="B2116" s="11">
        <v>45775.395833333336</v>
      </c>
      <c r="C2116" s="7">
        <v>547.11109999999996</v>
      </c>
      <c r="D2116">
        <v>4895734</v>
      </c>
    </row>
    <row r="2117" spans="1:4">
      <c r="A2117">
        <v>2112</v>
      </c>
      <c r="B2117" s="11">
        <v>45772.666666666664</v>
      </c>
      <c r="C2117" s="7">
        <v>547.49890000000005</v>
      </c>
      <c r="D2117">
        <v>301</v>
      </c>
    </row>
    <row r="2118" spans="1:4">
      <c r="A2118">
        <v>2113</v>
      </c>
      <c r="B2118" s="11">
        <v>45772.645833333336</v>
      </c>
      <c r="C2118" s="7">
        <v>547.49890000000005</v>
      </c>
      <c r="D2118">
        <v>7347453</v>
      </c>
    </row>
    <row r="2119" spans="1:4">
      <c r="A2119">
        <v>2114</v>
      </c>
      <c r="B2119" s="11">
        <v>45772.625</v>
      </c>
      <c r="C2119" s="7">
        <v>546.41510000000005</v>
      </c>
      <c r="D2119">
        <v>1748168</v>
      </c>
    </row>
    <row r="2120" spans="1:4">
      <c r="A2120">
        <v>2115</v>
      </c>
      <c r="B2120" s="11">
        <v>45772.604166666664</v>
      </c>
      <c r="C2120" s="7">
        <v>546.7432</v>
      </c>
      <c r="D2120">
        <v>2123516</v>
      </c>
    </row>
    <row r="2121" spans="1:4">
      <c r="A2121">
        <v>2116</v>
      </c>
      <c r="B2121" s="11">
        <v>45772.583333333336</v>
      </c>
      <c r="C2121" s="7">
        <v>546.62289999999996</v>
      </c>
      <c r="D2121">
        <v>2589138</v>
      </c>
    </row>
    <row r="2122" spans="1:4">
      <c r="A2122">
        <v>2117</v>
      </c>
      <c r="B2122" s="11">
        <v>45772.5625</v>
      </c>
      <c r="C2122" s="7">
        <v>544.80430000000001</v>
      </c>
      <c r="D2122">
        <v>4325125</v>
      </c>
    </row>
    <row r="2123" spans="1:4">
      <c r="A2123">
        <v>2118</v>
      </c>
      <c r="B2123" s="11">
        <v>45772.541666666664</v>
      </c>
      <c r="C2123" s="7">
        <v>547.84690000000001</v>
      </c>
      <c r="D2123">
        <v>2242089</v>
      </c>
    </row>
    <row r="2124" spans="1:4">
      <c r="A2124">
        <v>2119</v>
      </c>
      <c r="B2124" s="11">
        <v>45772.520833333336</v>
      </c>
      <c r="C2124" s="7">
        <v>545.93790000000001</v>
      </c>
      <c r="D2124">
        <v>1532787</v>
      </c>
    </row>
    <row r="2125" spans="1:4">
      <c r="A2125">
        <v>2120</v>
      </c>
      <c r="B2125" s="11">
        <v>45772.5</v>
      </c>
      <c r="C2125" s="7">
        <v>545.2269</v>
      </c>
      <c r="D2125">
        <v>1435529</v>
      </c>
    </row>
    <row r="2126" spans="1:4">
      <c r="A2126">
        <v>2121</v>
      </c>
      <c r="B2126" s="11">
        <v>45772.479166666664</v>
      </c>
      <c r="C2126" s="7">
        <v>543.94929999999999</v>
      </c>
      <c r="D2126">
        <v>1272763</v>
      </c>
    </row>
    <row r="2127" spans="1:4">
      <c r="A2127">
        <v>2122</v>
      </c>
      <c r="B2127" s="11">
        <v>45772.458333333336</v>
      </c>
      <c r="C2127" s="7">
        <v>543.38250000000005</v>
      </c>
      <c r="D2127">
        <v>1510342</v>
      </c>
    </row>
    <row r="2128" spans="1:4">
      <c r="A2128">
        <v>2123</v>
      </c>
      <c r="B2128" s="11">
        <v>45772.4375</v>
      </c>
      <c r="C2128" s="7">
        <v>543.42219999999998</v>
      </c>
      <c r="D2128">
        <v>2351316</v>
      </c>
    </row>
    <row r="2129" spans="1:4">
      <c r="A2129">
        <v>2124</v>
      </c>
      <c r="B2129" s="11">
        <v>45772.416666666664</v>
      </c>
      <c r="C2129" s="7">
        <v>541.5616</v>
      </c>
      <c r="D2129">
        <v>4727415</v>
      </c>
    </row>
    <row r="2130" spans="1:4">
      <c r="A2130">
        <v>2125</v>
      </c>
      <c r="B2130" s="11">
        <v>45772.395833333336</v>
      </c>
      <c r="C2130" s="7">
        <v>542.45780000000002</v>
      </c>
      <c r="D2130">
        <v>4249161</v>
      </c>
    </row>
    <row r="2131" spans="1:4">
      <c r="A2131">
        <v>2126</v>
      </c>
      <c r="B2131" s="11">
        <v>45771.666666666664</v>
      </c>
      <c r="C2131" s="7">
        <v>543.57140000000004</v>
      </c>
      <c r="D2131">
        <v>21406370</v>
      </c>
    </row>
    <row r="2132" spans="1:4">
      <c r="A2132">
        <v>2127</v>
      </c>
      <c r="B2132" s="11">
        <v>45771.645833333336</v>
      </c>
      <c r="C2132" s="7">
        <v>543.52170000000001</v>
      </c>
      <c r="D2132">
        <v>10331799</v>
      </c>
    </row>
    <row r="2133" spans="1:4">
      <c r="A2133">
        <v>2128</v>
      </c>
      <c r="B2133" s="11">
        <v>45771.625</v>
      </c>
      <c r="C2133" s="7">
        <v>541.80160000000001</v>
      </c>
      <c r="D2133">
        <v>3371116</v>
      </c>
    </row>
    <row r="2134" spans="1:4">
      <c r="A2134">
        <v>2129</v>
      </c>
      <c r="B2134" s="11">
        <v>45771.604166666664</v>
      </c>
      <c r="C2134" s="7">
        <v>542.96489999999994</v>
      </c>
      <c r="D2134">
        <v>2176523</v>
      </c>
    </row>
    <row r="2135" spans="1:4">
      <c r="A2135">
        <v>2130</v>
      </c>
      <c r="B2135" s="11">
        <v>45771.583333333336</v>
      </c>
      <c r="C2135" s="7">
        <v>542.36829999999998</v>
      </c>
      <c r="D2135">
        <v>2681987</v>
      </c>
    </row>
    <row r="2136" spans="1:4">
      <c r="A2136">
        <v>2131</v>
      </c>
      <c r="B2136" s="11">
        <v>45771.5625</v>
      </c>
      <c r="C2136" s="7">
        <v>542.14959999999996</v>
      </c>
      <c r="D2136">
        <v>1408937</v>
      </c>
    </row>
    <row r="2137" spans="1:4">
      <c r="A2137">
        <v>2132</v>
      </c>
      <c r="B2137" s="11">
        <v>45771.541666666664</v>
      </c>
      <c r="C2137" s="7">
        <v>541.86320000000001</v>
      </c>
      <c r="D2137">
        <v>1761516</v>
      </c>
    </row>
    <row r="2138" spans="1:4">
      <c r="A2138">
        <v>2133</v>
      </c>
      <c r="B2138" s="11">
        <v>45771.520833333336</v>
      </c>
      <c r="C2138" s="7">
        <v>542.33849999999995</v>
      </c>
      <c r="D2138">
        <v>2438796</v>
      </c>
    </row>
    <row r="2139" spans="1:4">
      <c r="A2139">
        <v>2134</v>
      </c>
      <c r="B2139" s="11">
        <v>45771.5</v>
      </c>
      <c r="C2139" s="7">
        <v>541.3442</v>
      </c>
      <c r="D2139">
        <v>2210519</v>
      </c>
    </row>
    <row r="2140" spans="1:4">
      <c r="A2140">
        <v>2135</v>
      </c>
      <c r="B2140" s="11">
        <v>45771.479166666664</v>
      </c>
      <c r="C2140" s="7">
        <v>539.73350000000005</v>
      </c>
      <c r="D2140">
        <v>2063194</v>
      </c>
    </row>
    <row r="2141" spans="1:4">
      <c r="A2141">
        <v>2136</v>
      </c>
      <c r="B2141" s="11">
        <v>45771.458333333336</v>
      </c>
      <c r="C2141" s="7">
        <v>539.33600000000001</v>
      </c>
      <c r="D2141">
        <v>2669002</v>
      </c>
    </row>
    <row r="2142" spans="1:4">
      <c r="A2142">
        <v>2137</v>
      </c>
      <c r="B2142" s="11">
        <v>45771.4375</v>
      </c>
      <c r="C2142" s="7">
        <v>539.3954</v>
      </c>
      <c r="D2142">
        <v>3908917</v>
      </c>
    </row>
    <row r="2143" spans="1:4">
      <c r="A2143">
        <v>2138</v>
      </c>
      <c r="B2143" s="11">
        <v>45771.416666666664</v>
      </c>
      <c r="C2143" s="7">
        <v>539.03880000000004</v>
      </c>
      <c r="D2143">
        <v>3907461</v>
      </c>
    </row>
    <row r="2144" spans="1:4">
      <c r="A2144">
        <v>2139</v>
      </c>
      <c r="B2144" s="11">
        <v>45771.395833333336</v>
      </c>
      <c r="C2144" s="7">
        <v>536.40120000000002</v>
      </c>
      <c r="D2144">
        <v>3814279</v>
      </c>
    </row>
    <row r="2145" spans="1:4">
      <c r="A2145">
        <v>2140</v>
      </c>
      <c r="B2145" s="11">
        <v>45770.666666666664</v>
      </c>
      <c r="C2145" s="7">
        <v>532.36569999999995</v>
      </c>
      <c r="D2145">
        <v>9280</v>
      </c>
    </row>
    <row r="2146" spans="1:4">
      <c r="A2146">
        <v>2141</v>
      </c>
      <c r="B2146" s="11">
        <v>45770.645833333336</v>
      </c>
      <c r="C2146" s="7">
        <v>532.66399999999999</v>
      </c>
      <c r="D2146">
        <v>10885367</v>
      </c>
    </row>
    <row r="2147" spans="1:4">
      <c r="A2147">
        <v>2142</v>
      </c>
      <c r="B2147" s="11">
        <v>45770.625</v>
      </c>
      <c r="C2147" s="7">
        <v>531.57029999999997</v>
      </c>
      <c r="D2147">
        <v>3037850</v>
      </c>
    </row>
    <row r="2148" spans="1:4">
      <c r="A2148">
        <v>2143</v>
      </c>
      <c r="B2148" s="11">
        <v>45770.604166666664</v>
      </c>
      <c r="C2148" s="7">
        <v>533.25059999999996</v>
      </c>
      <c r="D2148">
        <v>2188733</v>
      </c>
    </row>
    <row r="2149" spans="1:4">
      <c r="A2149">
        <v>2144</v>
      </c>
      <c r="B2149" s="11">
        <v>45770.583333333336</v>
      </c>
      <c r="C2149" s="7">
        <v>533.59860000000003</v>
      </c>
      <c r="D2149">
        <v>2795074</v>
      </c>
    </row>
    <row r="2150" spans="1:4">
      <c r="A2150">
        <v>2145</v>
      </c>
      <c r="B2150" s="11">
        <v>45770.5625</v>
      </c>
      <c r="C2150" s="7">
        <v>535.21929999999998</v>
      </c>
      <c r="D2150">
        <v>2204456</v>
      </c>
    </row>
    <row r="2151" spans="1:4">
      <c r="A2151">
        <v>2146</v>
      </c>
      <c r="B2151" s="11">
        <v>45770.541666666664</v>
      </c>
      <c r="C2151" s="7">
        <v>535.36850000000004</v>
      </c>
      <c r="D2151">
        <v>2199521</v>
      </c>
    </row>
    <row r="2152" spans="1:4">
      <c r="A2152">
        <v>2147</v>
      </c>
      <c r="B2152" s="11">
        <v>45770.520833333336</v>
      </c>
      <c r="C2152" s="7">
        <v>535.2989</v>
      </c>
      <c r="D2152">
        <v>2901583</v>
      </c>
    </row>
    <row r="2153" spans="1:4">
      <c r="A2153">
        <v>2148</v>
      </c>
      <c r="B2153" s="11">
        <v>45770.5</v>
      </c>
      <c r="C2153" s="7">
        <v>533.25059999999996</v>
      </c>
      <c r="D2153">
        <v>3449236</v>
      </c>
    </row>
    <row r="2154" spans="1:4">
      <c r="A2154">
        <v>2149</v>
      </c>
      <c r="B2154" s="11">
        <v>45770.479166666664</v>
      </c>
      <c r="C2154" s="7">
        <v>534.33939999999996</v>
      </c>
      <c r="D2154">
        <v>4342218</v>
      </c>
    </row>
    <row r="2155" spans="1:4">
      <c r="A2155">
        <v>2150</v>
      </c>
      <c r="B2155" s="11">
        <v>45770.458333333336</v>
      </c>
      <c r="C2155" s="7">
        <v>535.51760000000002</v>
      </c>
      <c r="D2155">
        <v>5231245</v>
      </c>
    </row>
    <row r="2156" spans="1:4">
      <c r="A2156">
        <v>2151</v>
      </c>
      <c r="B2156" s="11">
        <v>45770.4375</v>
      </c>
      <c r="C2156" s="7">
        <v>539.55449999999996</v>
      </c>
      <c r="D2156">
        <v>2705141</v>
      </c>
    </row>
    <row r="2157" spans="1:4">
      <c r="A2157">
        <v>2152</v>
      </c>
      <c r="B2157" s="11">
        <v>45770.416666666664</v>
      </c>
      <c r="C2157" s="7">
        <v>540.61829999999998</v>
      </c>
      <c r="D2157">
        <v>5675139</v>
      </c>
    </row>
    <row r="2158" spans="1:4">
      <c r="A2158">
        <v>2153</v>
      </c>
      <c r="B2158" s="11">
        <v>45770.395833333336</v>
      </c>
      <c r="C2158" s="7">
        <v>541.03599999999994</v>
      </c>
      <c r="D2158">
        <v>13688021</v>
      </c>
    </row>
    <row r="2159" spans="1:4">
      <c r="A2159">
        <v>2154</v>
      </c>
      <c r="B2159" s="11">
        <v>45769.666666666664</v>
      </c>
      <c r="C2159" s="7">
        <v>524.2423</v>
      </c>
      <c r="D2159">
        <v>24462895</v>
      </c>
    </row>
    <row r="2160" spans="1:4">
      <c r="A2160">
        <v>2155</v>
      </c>
      <c r="B2160" s="11">
        <v>45769.645833333336</v>
      </c>
      <c r="C2160" s="7">
        <v>524.2423</v>
      </c>
      <c r="D2160">
        <v>8586406</v>
      </c>
    </row>
    <row r="2161" spans="1:4">
      <c r="A2161">
        <v>2156</v>
      </c>
      <c r="B2161" s="11">
        <v>45769.625</v>
      </c>
      <c r="C2161" s="7">
        <v>521.65219999999999</v>
      </c>
      <c r="D2161">
        <v>3373536</v>
      </c>
    </row>
    <row r="2162" spans="1:4">
      <c r="A2162">
        <v>2157</v>
      </c>
      <c r="B2162" s="11">
        <v>45769.604166666664</v>
      </c>
      <c r="C2162" s="7">
        <v>523.85209999999995</v>
      </c>
      <c r="D2162">
        <v>2189571</v>
      </c>
    </row>
    <row r="2163" spans="1:4">
      <c r="A2163">
        <v>2158</v>
      </c>
      <c r="B2163" s="11">
        <v>45769.583333333336</v>
      </c>
      <c r="C2163" s="7">
        <v>522.38300000000004</v>
      </c>
      <c r="D2163">
        <v>2971042</v>
      </c>
    </row>
    <row r="2164" spans="1:4">
      <c r="A2164">
        <v>2159</v>
      </c>
      <c r="B2164" s="11">
        <v>45769.5625</v>
      </c>
      <c r="C2164" s="7">
        <v>518.85820000000001</v>
      </c>
      <c r="D2164">
        <v>3165499</v>
      </c>
    </row>
    <row r="2165" spans="1:4">
      <c r="A2165">
        <v>2160</v>
      </c>
      <c r="B2165" s="11">
        <v>45769.541666666664</v>
      </c>
      <c r="C2165" s="7">
        <v>519.60389999999995</v>
      </c>
      <c r="D2165">
        <v>6457677</v>
      </c>
    </row>
    <row r="2166" spans="1:4">
      <c r="A2166">
        <v>2161</v>
      </c>
      <c r="B2166" s="11">
        <v>45769.520833333336</v>
      </c>
      <c r="C2166" s="7">
        <v>524.59029999999996</v>
      </c>
      <c r="D2166">
        <v>2740017</v>
      </c>
    </row>
    <row r="2167" spans="1:4">
      <c r="A2167">
        <v>2162</v>
      </c>
      <c r="B2167" s="11">
        <v>45769.5</v>
      </c>
      <c r="C2167" s="7">
        <v>525.84810000000004</v>
      </c>
      <c r="D2167">
        <v>5537595</v>
      </c>
    </row>
    <row r="2168" spans="1:4">
      <c r="A2168">
        <v>2163</v>
      </c>
      <c r="B2168" s="11">
        <v>45769.479166666664</v>
      </c>
      <c r="C2168" s="7">
        <v>523.20830000000001</v>
      </c>
      <c r="D2168">
        <v>3393178</v>
      </c>
    </row>
    <row r="2169" spans="1:4">
      <c r="A2169">
        <v>2164</v>
      </c>
      <c r="B2169" s="11">
        <v>45769.458333333336</v>
      </c>
      <c r="C2169" s="7">
        <v>521.95540000000005</v>
      </c>
      <c r="D2169">
        <v>2969637</v>
      </c>
    </row>
    <row r="2170" spans="1:4">
      <c r="A2170">
        <v>2165</v>
      </c>
      <c r="B2170" s="11">
        <v>45769.4375</v>
      </c>
      <c r="C2170" s="7">
        <v>521.68700000000001</v>
      </c>
      <c r="D2170">
        <v>2754368</v>
      </c>
    </row>
    <row r="2171" spans="1:4">
      <c r="A2171">
        <v>2166</v>
      </c>
      <c r="B2171" s="11">
        <v>45769.416666666664</v>
      </c>
      <c r="C2171" s="7">
        <v>520.07619999999997</v>
      </c>
      <c r="D2171">
        <v>3165256</v>
      </c>
    </row>
    <row r="2172" spans="1:4">
      <c r="A2172">
        <v>2167</v>
      </c>
      <c r="B2172" s="11">
        <v>45769.395833333336</v>
      </c>
      <c r="C2172" s="7">
        <v>518.94269999999995</v>
      </c>
      <c r="D2172">
        <v>4181443</v>
      </c>
    </row>
    <row r="2173" spans="1:4">
      <c r="A2173">
        <v>2168</v>
      </c>
      <c r="B2173" s="11">
        <v>45768.666666666664</v>
      </c>
      <c r="C2173" s="7">
        <v>510.9486</v>
      </c>
      <c r="D2173">
        <v>20948386</v>
      </c>
    </row>
    <row r="2174" spans="1:4">
      <c r="A2174">
        <v>2169</v>
      </c>
      <c r="B2174" s="11">
        <v>45768.645833333336</v>
      </c>
      <c r="C2174" s="7">
        <v>510.9486</v>
      </c>
      <c r="D2174">
        <v>12110765</v>
      </c>
    </row>
    <row r="2175" spans="1:4">
      <c r="A2175">
        <v>2170</v>
      </c>
      <c r="B2175" s="11">
        <v>45768.625</v>
      </c>
      <c r="C2175" s="7">
        <v>507.50830000000002</v>
      </c>
      <c r="D2175">
        <v>3553041</v>
      </c>
    </row>
    <row r="2176" spans="1:4">
      <c r="A2176">
        <v>2171</v>
      </c>
      <c r="B2176" s="11">
        <v>45768.604166666664</v>
      </c>
      <c r="C2176" s="7">
        <v>505.86770000000001</v>
      </c>
      <c r="D2176">
        <v>2733497</v>
      </c>
    </row>
    <row r="2177" spans="1:4">
      <c r="A2177">
        <v>2172</v>
      </c>
      <c r="B2177" s="11">
        <v>45768.583333333336</v>
      </c>
      <c r="C2177" s="7">
        <v>507.03100000000001</v>
      </c>
      <c r="D2177">
        <v>2706051</v>
      </c>
    </row>
    <row r="2178" spans="1:4">
      <c r="A2178">
        <v>2173</v>
      </c>
      <c r="B2178" s="11">
        <v>45768.5625</v>
      </c>
      <c r="C2178" s="7">
        <v>506.09350000000001</v>
      </c>
      <c r="D2178">
        <v>1914948</v>
      </c>
    </row>
    <row r="2179" spans="1:4">
      <c r="A2179">
        <v>2174</v>
      </c>
      <c r="B2179" s="11">
        <v>45768.541666666664</v>
      </c>
      <c r="C2179" s="7">
        <v>507.00130000000001</v>
      </c>
      <c r="D2179">
        <v>3463712</v>
      </c>
    </row>
    <row r="2180" spans="1:4">
      <c r="A2180">
        <v>2175</v>
      </c>
      <c r="B2180" s="11">
        <v>45768.520833333336</v>
      </c>
      <c r="C2180" s="7">
        <v>508.3236</v>
      </c>
      <c r="D2180">
        <v>2830485</v>
      </c>
    </row>
    <row r="2181" spans="1:4">
      <c r="A2181">
        <v>2176</v>
      </c>
      <c r="B2181" s="11">
        <v>45768.5</v>
      </c>
      <c r="C2181" s="7">
        <v>508.71140000000003</v>
      </c>
      <c r="D2181">
        <v>2532048</v>
      </c>
    </row>
    <row r="2182" spans="1:4">
      <c r="A2182">
        <v>2177</v>
      </c>
      <c r="B2182" s="11">
        <v>45768.479166666664</v>
      </c>
      <c r="C2182" s="7">
        <v>508.1447</v>
      </c>
      <c r="D2182">
        <v>3322889</v>
      </c>
    </row>
    <row r="2183" spans="1:4">
      <c r="A2183">
        <v>2178</v>
      </c>
      <c r="B2183" s="11">
        <v>45768.458333333336</v>
      </c>
      <c r="C2183" s="7">
        <v>510.14319999999998</v>
      </c>
      <c r="D2183">
        <v>2620092</v>
      </c>
    </row>
    <row r="2184" spans="1:4">
      <c r="A2184">
        <v>2179</v>
      </c>
      <c r="B2184" s="11">
        <v>45768.4375</v>
      </c>
      <c r="C2184" s="7">
        <v>511.6943</v>
      </c>
      <c r="D2184">
        <v>3327585</v>
      </c>
    </row>
    <row r="2185" spans="1:4">
      <c r="A2185">
        <v>2180</v>
      </c>
      <c r="B2185" s="11">
        <v>45768.416666666664</v>
      </c>
      <c r="C2185" s="7">
        <v>512.61900000000003</v>
      </c>
      <c r="D2185">
        <v>3346690</v>
      </c>
    </row>
    <row r="2186" spans="1:4">
      <c r="A2186">
        <v>2181</v>
      </c>
      <c r="B2186" s="11">
        <v>45768.395833333336</v>
      </c>
      <c r="C2186" s="7">
        <v>514.43859999999995</v>
      </c>
      <c r="D2186">
        <v>3957939</v>
      </c>
    </row>
    <row r="2187" spans="1:4">
      <c r="A2187">
        <v>2182</v>
      </c>
      <c r="B2187" s="11">
        <v>45764.666666666664</v>
      </c>
      <c r="C2187" s="7">
        <v>523.40710000000001</v>
      </c>
      <c r="D2187">
        <v>7945</v>
      </c>
    </row>
    <row r="2188" spans="1:4">
      <c r="A2188">
        <v>2183</v>
      </c>
      <c r="B2188" s="11">
        <v>45764.645833333336</v>
      </c>
      <c r="C2188" s="7">
        <v>523.40710000000001</v>
      </c>
      <c r="D2188">
        <v>8399219</v>
      </c>
    </row>
    <row r="2189" spans="1:4">
      <c r="A2189">
        <v>2184</v>
      </c>
      <c r="B2189" s="11">
        <v>45764.625</v>
      </c>
      <c r="C2189" s="7">
        <v>524.19259999999997</v>
      </c>
      <c r="D2189">
        <v>2981820</v>
      </c>
    </row>
    <row r="2190" spans="1:4">
      <c r="A2190">
        <v>2185</v>
      </c>
      <c r="B2190" s="11">
        <v>45764.604166666664</v>
      </c>
      <c r="C2190" s="7">
        <v>525.52499999999998</v>
      </c>
      <c r="D2190">
        <v>2565250</v>
      </c>
    </row>
    <row r="2191" spans="1:4">
      <c r="A2191">
        <v>2186</v>
      </c>
      <c r="B2191" s="11">
        <v>45764.583333333336</v>
      </c>
      <c r="C2191" s="7">
        <v>527.10590000000002</v>
      </c>
      <c r="D2191">
        <v>2163921</v>
      </c>
    </row>
    <row r="2192" spans="1:4">
      <c r="A2192">
        <v>2187</v>
      </c>
      <c r="B2192" s="11">
        <v>45764.5625</v>
      </c>
      <c r="C2192" s="7">
        <v>526.55859999999996</v>
      </c>
      <c r="D2192">
        <v>1524850</v>
      </c>
    </row>
    <row r="2193" spans="1:4">
      <c r="A2193">
        <v>2188</v>
      </c>
      <c r="B2193" s="11">
        <v>45764.541666666664</v>
      </c>
      <c r="C2193" s="7">
        <v>524.73450000000003</v>
      </c>
      <c r="D2193">
        <v>1201429</v>
      </c>
    </row>
    <row r="2194" spans="1:4">
      <c r="A2194">
        <v>2189</v>
      </c>
      <c r="B2194" s="11">
        <v>45764.520833333336</v>
      </c>
      <c r="C2194" s="7">
        <v>527.00649999999996</v>
      </c>
      <c r="D2194">
        <v>2421584</v>
      </c>
    </row>
    <row r="2195" spans="1:4">
      <c r="A2195">
        <v>2190</v>
      </c>
      <c r="B2195" s="11">
        <v>45764.5</v>
      </c>
      <c r="C2195" s="7">
        <v>526.49940000000004</v>
      </c>
      <c r="D2195">
        <v>5021580</v>
      </c>
    </row>
    <row r="2196" spans="1:4">
      <c r="A2196">
        <v>2191</v>
      </c>
      <c r="B2196" s="11">
        <v>45764.479166666664</v>
      </c>
      <c r="C2196" s="7">
        <v>523.64580000000001</v>
      </c>
      <c r="D2196">
        <v>1564613</v>
      </c>
    </row>
    <row r="2197" spans="1:4">
      <c r="A2197">
        <v>2192</v>
      </c>
      <c r="B2197" s="11">
        <v>45764.458333333336</v>
      </c>
      <c r="C2197" s="7">
        <v>523.72389999999996</v>
      </c>
      <c r="D2197">
        <v>2396662</v>
      </c>
    </row>
    <row r="2198" spans="1:4">
      <c r="A2198">
        <v>2193</v>
      </c>
      <c r="B2198" s="11">
        <v>45764.4375</v>
      </c>
      <c r="C2198" s="7">
        <v>522.05489999999998</v>
      </c>
      <c r="D2198">
        <v>2733753</v>
      </c>
    </row>
    <row r="2199" spans="1:4">
      <c r="A2199">
        <v>2194</v>
      </c>
      <c r="B2199" s="11">
        <v>45764.416666666664</v>
      </c>
      <c r="C2199" s="7">
        <v>522.21400000000006</v>
      </c>
      <c r="D2199">
        <v>2716056</v>
      </c>
    </row>
    <row r="2200" spans="1:4">
      <c r="A2200">
        <v>2195</v>
      </c>
      <c r="B2200" s="11">
        <v>45764.395833333336</v>
      </c>
      <c r="C2200" s="7">
        <v>525.64419999999996</v>
      </c>
      <c r="D2200">
        <v>4346058</v>
      </c>
    </row>
    <row r="2201" spans="1:4">
      <c r="A2201">
        <v>2196</v>
      </c>
      <c r="B2201" s="11">
        <v>45763.666666666664</v>
      </c>
      <c r="C2201" s="7">
        <v>522.66139999999996</v>
      </c>
      <c r="D2201">
        <v>32916659</v>
      </c>
    </row>
    <row r="2202" spans="1:4">
      <c r="A2202">
        <v>2197</v>
      </c>
      <c r="B2202" s="11">
        <v>45763.645833333336</v>
      </c>
      <c r="C2202" s="7">
        <v>522.66139999999996</v>
      </c>
      <c r="D2202">
        <v>12864682</v>
      </c>
    </row>
    <row r="2203" spans="1:4">
      <c r="A2203">
        <v>2198</v>
      </c>
      <c r="B2203" s="11">
        <v>45763.625</v>
      </c>
      <c r="C2203" s="7">
        <v>517.90369999999996</v>
      </c>
      <c r="D2203">
        <v>5143037</v>
      </c>
    </row>
    <row r="2204" spans="1:4">
      <c r="A2204">
        <v>2199</v>
      </c>
      <c r="B2204" s="11">
        <v>45763.604166666664</v>
      </c>
      <c r="C2204" s="7">
        <v>519.9221</v>
      </c>
      <c r="D2204">
        <v>3084358</v>
      </c>
    </row>
    <row r="2205" spans="1:4">
      <c r="A2205">
        <v>2200</v>
      </c>
      <c r="B2205" s="11">
        <v>45763.583333333336</v>
      </c>
      <c r="C2205" s="7">
        <v>522.91489999999999</v>
      </c>
      <c r="D2205">
        <v>3954777</v>
      </c>
    </row>
    <row r="2206" spans="1:4">
      <c r="A2206">
        <v>2201</v>
      </c>
      <c r="B2206" s="11">
        <v>45763.5625</v>
      </c>
      <c r="C2206" s="7">
        <v>521.15499999999997</v>
      </c>
      <c r="D2206">
        <v>6616548</v>
      </c>
    </row>
    <row r="2207" spans="1:4">
      <c r="A2207">
        <v>2202</v>
      </c>
      <c r="B2207" s="11">
        <v>45763.541666666664</v>
      </c>
      <c r="C2207" s="7">
        <v>528.5874</v>
      </c>
      <c r="D2207">
        <v>1510864</v>
      </c>
    </row>
    <row r="2208" spans="1:4">
      <c r="A2208">
        <v>2203</v>
      </c>
      <c r="B2208" s="11">
        <v>45763.520833333336</v>
      </c>
      <c r="C2208" s="7">
        <v>527.73230000000001</v>
      </c>
      <c r="D2208">
        <v>1576939</v>
      </c>
    </row>
    <row r="2209" spans="1:4">
      <c r="A2209">
        <v>2204</v>
      </c>
      <c r="B2209" s="11">
        <v>45763.5</v>
      </c>
      <c r="C2209" s="7">
        <v>528.45809999999994</v>
      </c>
      <c r="D2209">
        <v>1625145</v>
      </c>
    </row>
    <row r="2210" spans="1:4">
      <c r="A2210">
        <v>2205</v>
      </c>
      <c r="B2210" s="11">
        <v>45763.479166666664</v>
      </c>
      <c r="C2210" s="7">
        <v>528.64700000000005</v>
      </c>
      <c r="D2210">
        <v>1860020</v>
      </c>
    </row>
    <row r="2211" spans="1:4">
      <c r="A2211">
        <v>2206</v>
      </c>
      <c r="B2211" s="11">
        <v>45763.458333333336</v>
      </c>
      <c r="C2211" s="7">
        <v>531.66970000000003</v>
      </c>
      <c r="D2211">
        <v>2395136</v>
      </c>
    </row>
    <row r="2212" spans="1:4">
      <c r="A2212">
        <v>2207</v>
      </c>
      <c r="B2212" s="11">
        <v>45763.4375</v>
      </c>
      <c r="C2212" s="7">
        <v>529.31320000000005</v>
      </c>
      <c r="D2212">
        <v>1747144</v>
      </c>
    </row>
    <row r="2213" spans="1:4">
      <c r="A2213">
        <v>2208</v>
      </c>
      <c r="B2213" s="11">
        <v>45763.416666666664</v>
      </c>
      <c r="C2213" s="7">
        <v>528.86580000000004</v>
      </c>
      <c r="D2213">
        <v>2902240</v>
      </c>
    </row>
    <row r="2214" spans="1:4">
      <c r="A2214">
        <v>2209</v>
      </c>
      <c r="B2214" s="11">
        <v>45763.395833333336</v>
      </c>
      <c r="C2214" s="7">
        <v>526.68830000000003</v>
      </c>
      <c r="D2214">
        <v>5287267</v>
      </c>
    </row>
    <row r="2215" spans="1:4">
      <c r="A2215">
        <v>2210</v>
      </c>
      <c r="B2215" s="11">
        <v>45762.666666666664</v>
      </c>
      <c r="C2215" s="7">
        <v>534.54319999999996</v>
      </c>
      <c r="D2215">
        <v>21618321</v>
      </c>
    </row>
    <row r="2216" spans="1:4">
      <c r="A2216">
        <v>2211</v>
      </c>
      <c r="B2216" s="11">
        <v>45762.645833333336</v>
      </c>
      <c r="C2216" s="7">
        <v>534.54319999999996</v>
      </c>
      <c r="D2216">
        <v>7215059</v>
      </c>
    </row>
    <row r="2217" spans="1:4">
      <c r="A2217">
        <v>2212</v>
      </c>
      <c r="B2217" s="11">
        <v>45762.625</v>
      </c>
      <c r="C2217" s="7">
        <v>535.38840000000005</v>
      </c>
      <c r="D2217">
        <v>2063626</v>
      </c>
    </row>
    <row r="2218" spans="1:4">
      <c r="A2218">
        <v>2213</v>
      </c>
      <c r="B2218" s="11">
        <v>45762.604166666664</v>
      </c>
      <c r="C2218" s="7">
        <v>535.4778</v>
      </c>
      <c r="D2218">
        <v>1945897</v>
      </c>
    </row>
    <row r="2219" spans="1:4">
      <c r="A2219">
        <v>2214</v>
      </c>
      <c r="B2219" s="11">
        <v>45762.583333333336</v>
      </c>
      <c r="C2219" s="7">
        <v>534.38419999999996</v>
      </c>
      <c r="D2219">
        <v>1955925</v>
      </c>
    </row>
    <row r="2220" spans="1:4">
      <c r="A2220">
        <v>2215</v>
      </c>
      <c r="B2220" s="11">
        <v>45762.5625</v>
      </c>
      <c r="C2220" s="7">
        <v>535.19150000000002</v>
      </c>
      <c r="D2220">
        <v>2064324</v>
      </c>
    </row>
    <row r="2221" spans="1:4">
      <c r="A2221">
        <v>2216</v>
      </c>
      <c r="B2221" s="11">
        <v>45762.541666666664</v>
      </c>
      <c r="C2221" s="7">
        <v>534.66250000000002</v>
      </c>
      <c r="D2221">
        <v>1927565</v>
      </c>
    </row>
    <row r="2222" spans="1:4">
      <c r="A2222">
        <v>2217</v>
      </c>
      <c r="B2222" s="11">
        <v>45762.520833333336</v>
      </c>
      <c r="C2222" s="7">
        <v>535.98490000000004</v>
      </c>
      <c r="D2222">
        <v>1500432</v>
      </c>
    </row>
    <row r="2223" spans="1:4">
      <c r="A2223">
        <v>2218</v>
      </c>
      <c r="B2223" s="11">
        <v>45762.5</v>
      </c>
      <c r="C2223" s="7">
        <v>537.8741</v>
      </c>
      <c r="D2223">
        <v>1054846</v>
      </c>
    </row>
    <row r="2224" spans="1:4">
      <c r="A2224">
        <v>2219</v>
      </c>
      <c r="B2224" s="11">
        <v>45762.479166666664</v>
      </c>
      <c r="C2224" s="7">
        <v>537.91390000000001</v>
      </c>
      <c r="D2224">
        <v>1840692</v>
      </c>
    </row>
    <row r="2225" spans="1:4">
      <c r="A2225">
        <v>2220</v>
      </c>
      <c r="B2225" s="11">
        <v>45762.458333333336</v>
      </c>
      <c r="C2225" s="7">
        <v>537.19799999999998</v>
      </c>
      <c r="D2225">
        <v>1751112</v>
      </c>
    </row>
    <row r="2226" spans="1:4">
      <c r="A2226">
        <v>2221</v>
      </c>
      <c r="B2226" s="11">
        <v>45762.4375</v>
      </c>
      <c r="C2226" s="7">
        <v>537.52110000000005</v>
      </c>
      <c r="D2226">
        <v>2866489</v>
      </c>
    </row>
    <row r="2227" spans="1:4">
      <c r="A2227">
        <v>2222</v>
      </c>
      <c r="B2227" s="11">
        <v>45762.416666666664</v>
      </c>
      <c r="C2227" s="7">
        <v>536.42840000000001</v>
      </c>
      <c r="D2227">
        <v>4812578</v>
      </c>
    </row>
    <row r="2228" spans="1:4">
      <c r="A2228">
        <v>2223</v>
      </c>
      <c r="B2228" s="11">
        <v>45762.395833333336</v>
      </c>
      <c r="C2228" s="7">
        <v>538.34140000000002</v>
      </c>
      <c r="D2228">
        <v>4276006</v>
      </c>
    </row>
    <row r="2229" spans="1:4">
      <c r="A2229">
        <v>2224</v>
      </c>
      <c r="B2229" s="11">
        <v>45761.666666666664</v>
      </c>
      <c r="C2229" s="7">
        <v>536.04459999999995</v>
      </c>
      <c r="D2229">
        <v>19383110</v>
      </c>
    </row>
    <row r="2230" spans="1:4">
      <c r="A2230">
        <v>2225</v>
      </c>
      <c r="B2230" s="11">
        <v>45761.645833333336</v>
      </c>
      <c r="C2230" s="7">
        <v>536.04459999999995</v>
      </c>
      <c r="D2230">
        <v>9025212</v>
      </c>
    </row>
    <row r="2231" spans="1:4">
      <c r="A2231">
        <v>2226</v>
      </c>
      <c r="B2231" s="11">
        <v>45761.625</v>
      </c>
      <c r="C2231" s="7">
        <v>538.13760000000002</v>
      </c>
      <c r="D2231">
        <v>3163589</v>
      </c>
    </row>
    <row r="2232" spans="1:4">
      <c r="A2232">
        <v>2227</v>
      </c>
      <c r="B2232" s="11">
        <v>45761.604166666664</v>
      </c>
      <c r="C2232" s="7">
        <v>537.67529999999999</v>
      </c>
      <c r="D2232">
        <v>2253568</v>
      </c>
    </row>
    <row r="2233" spans="1:4">
      <c r="A2233">
        <v>2228</v>
      </c>
      <c r="B2233" s="11">
        <v>45761.583333333336</v>
      </c>
      <c r="C2233" s="7">
        <v>537.2577</v>
      </c>
      <c r="D2233">
        <v>1975525</v>
      </c>
    </row>
    <row r="2234" spans="1:4">
      <c r="A2234">
        <v>2229</v>
      </c>
      <c r="B2234" s="11">
        <v>45761.5625</v>
      </c>
      <c r="C2234" s="7">
        <v>535.96500000000003</v>
      </c>
      <c r="D2234">
        <v>1905763</v>
      </c>
    </row>
    <row r="2235" spans="1:4">
      <c r="A2235">
        <v>2230</v>
      </c>
      <c r="B2235" s="11">
        <v>45761.541666666664</v>
      </c>
      <c r="C2235" s="7">
        <v>534.404</v>
      </c>
      <c r="D2235">
        <v>2691405</v>
      </c>
    </row>
    <row r="2236" spans="1:4">
      <c r="A2236">
        <v>2231</v>
      </c>
      <c r="B2236" s="11">
        <v>45761.520833333336</v>
      </c>
      <c r="C2236" s="7">
        <v>532.30709999999999</v>
      </c>
      <c r="D2236">
        <v>2221936</v>
      </c>
    </row>
    <row r="2237" spans="1:4">
      <c r="A2237">
        <v>2232</v>
      </c>
      <c r="B2237" s="11">
        <v>45761.5</v>
      </c>
      <c r="C2237" s="7">
        <v>532.82309999999995</v>
      </c>
      <c r="D2237">
        <v>4600987</v>
      </c>
    </row>
    <row r="2238" spans="1:4">
      <c r="A2238">
        <v>2233</v>
      </c>
      <c r="B2238" s="11">
        <v>45761.479166666664</v>
      </c>
      <c r="C2238" s="7">
        <v>532.60429999999997</v>
      </c>
      <c r="D2238">
        <v>4418402</v>
      </c>
    </row>
    <row r="2239" spans="1:4">
      <c r="A2239">
        <v>2234</v>
      </c>
      <c r="B2239" s="11">
        <v>45761.458333333336</v>
      </c>
      <c r="C2239" s="7">
        <v>535.4778</v>
      </c>
      <c r="D2239">
        <v>3232628</v>
      </c>
    </row>
    <row r="2240" spans="1:4">
      <c r="A2240">
        <v>2235</v>
      </c>
      <c r="B2240" s="11">
        <v>45761.4375</v>
      </c>
      <c r="C2240" s="7">
        <v>539.44510000000002</v>
      </c>
      <c r="D2240">
        <v>2544799</v>
      </c>
    </row>
    <row r="2241" spans="1:4">
      <c r="A2241">
        <v>2236</v>
      </c>
      <c r="B2241" s="11">
        <v>45761.416666666664</v>
      </c>
      <c r="C2241" s="7">
        <v>539.08720000000005</v>
      </c>
      <c r="D2241">
        <v>3682609</v>
      </c>
    </row>
    <row r="2242" spans="1:4">
      <c r="A2242">
        <v>2237</v>
      </c>
      <c r="B2242" s="11">
        <v>45761.395833333336</v>
      </c>
      <c r="C2242" s="7">
        <v>537.58579999999995</v>
      </c>
      <c r="D2242">
        <v>6934459</v>
      </c>
    </row>
    <row r="2243" spans="1:4">
      <c r="A2243">
        <v>2238</v>
      </c>
      <c r="B2243" s="11">
        <v>45758.666666666664</v>
      </c>
      <c r="C2243" s="7">
        <v>530.89419999999996</v>
      </c>
      <c r="D2243">
        <v>36056813</v>
      </c>
    </row>
    <row r="2244" spans="1:4">
      <c r="A2244">
        <v>2239</v>
      </c>
      <c r="B2244" s="11">
        <v>45758.645833333336</v>
      </c>
      <c r="C2244" s="7">
        <v>530.89419999999996</v>
      </c>
      <c r="D2244">
        <v>11429445</v>
      </c>
    </row>
    <row r="2245" spans="1:4">
      <c r="A2245">
        <v>2240</v>
      </c>
      <c r="B2245" s="11">
        <v>45758.625</v>
      </c>
      <c r="C2245" s="7">
        <v>531.44100000000003</v>
      </c>
      <c r="D2245">
        <v>3839271</v>
      </c>
    </row>
    <row r="2246" spans="1:4">
      <c r="A2246">
        <v>2241</v>
      </c>
      <c r="B2246" s="11">
        <v>45758.604166666664</v>
      </c>
      <c r="C2246" s="7">
        <v>529.13419999999996</v>
      </c>
      <c r="D2246">
        <v>2684767</v>
      </c>
    </row>
    <row r="2247" spans="1:4">
      <c r="A2247">
        <v>2242</v>
      </c>
      <c r="B2247" s="11">
        <v>45758.583333333336</v>
      </c>
      <c r="C2247" s="7">
        <v>530.15840000000003</v>
      </c>
      <c r="D2247">
        <v>3221870</v>
      </c>
    </row>
    <row r="2248" spans="1:4">
      <c r="A2248">
        <v>2243</v>
      </c>
      <c r="B2248" s="11">
        <v>45758.5625</v>
      </c>
      <c r="C2248" s="7">
        <v>531.66970000000003</v>
      </c>
      <c r="D2248">
        <v>5344262</v>
      </c>
    </row>
    <row r="2249" spans="1:4">
      <c r="A2249">
        <v>2244</v>
      </c>
      <c r="B2249" s="11">
        <v>45758.541666666664</v>
      </c>
      <c r="C2249" s="7">
        <v>526.80269999999996</v>
      </c>
      <c r="D2249">
        <v>2913093</v>
      </c>
    </row>
    <row r="2250" spans="1:4">
      <c r="A2250">
        <v>2245</v>
      </c>
      <c r="B2250" s="11">
        <v>45758.520833333336</v>
      </c>
      <c r="C2250" s="7">
        <v>528.78629999999998</v>
      </c>
      <c r="D2250">
        <v>4200206</v>
      </c>
    </row>
    <row r="2251" spans="1:4">
      <c r="A2251">
        <v>2246</v>
      </c>
      <c r="B2251" s="11">
        <v>45758.5</v>
      </c>
      <c r="C2251" s="7">
        <v>524.5009</v>
      </c>
      <c r="D2251">
        <v>2573402</v>
      </c>
    </row>
    <row r="2252" spans="1:4">
      <c r="A2252">
        <v>2247</v>
      </c>
      <c r="B2252" s="11">
        <v>45758.479166666664</v>
      </c>
      <c r="C2252" s="7">
        <v>523.94399999999996</v>
      </c>
      <c r="D2252">
        <v>2512790</v>
      </c>
    </row>
    <row r="2253" spans="1:4">
      <c r="A2253">
        <v>2248</v>
      </c>
      <c r="B2253" s="11">
        <v>45758.458333333336</v>
      </c>
      <c r="C2253" s="7">
        <v>519.97680000000003</v>
      </c>
      <c r="D2253">
        <v>4104761</v>
      </c>
    </row>
    <row r="2254" spans="1:4">
      <c r="A2254">
        <v>2249</v>
      </c>
      <c r="B2254" s="11">
        <v>45758.4375</v>
      </c>
      <c r="C2254" s="7">
        <v>519.93700000000001</v>
      </c>
      <c r="D2254">
        <v>4213418</v>
      </c>
    </row>
    <row r="2255" spans="1:4">
      <c r="A2255">
        <v>2250</v>
      </c>
      <c r="B2255" s="11">
        <v>45758.416666666664</v>
      </c>
      <c r="C2255" s="7">
        <v>517.5607</v>
      </c>
      <c r="D2255">
        <v>6930889</v>
      </c>
    </row>
    <row r="2256" spans="1:4">
      <c r="A2256">
        <v>2251</v>
      </c>
      <c r="B2256" s="11">
        <v>45758.395833333336</v>
      </c>
      <c r="C2256" s="7">
        <v>522.14639999999997</v>
      </c>
      <c r="D2256">
        <v>7841349</v>
      </c>
    </row>
    <row r="2257" spans="1:4">
      <c r="A2257">
        <v>2252</v>
      </c>
      <c r="B2257" s="11">
        <v>45757.666666666664</v>
      </c>
      <c r="C2257" s="7">
        <v>521.58759999999995</v>
      </c>
      <c r="D2257">
        <v>50441330</v>
      </c>
    </row>
    <row r="2258" spans="1:4">
      <c r="A2258">
        <v>2253</v>
      </c>
      <c r="B2258" s="11">
        <v>45757.645833333336</v>
      </c>
      <c r="C2258" s="7">
        <v>521.58759999999995</v>
      </c>
      <c r="D2258">
        <v>20063544</v>
      </c>
    </row>
    <row r="2259" spans="1:4">
      <c r="A2259">
        <v>2254</v>
      </c>
      <c r="B2259" s="11">
        <v>45757.625</v>
      </c>
      <c r="C2259" s="7">
        <v>519.40009999999995</v>
      </c>
      <c r="D2259">
        <v>6084434</v>
      </c>
    </row>
    <row r="2260" spans="1:4">
      <c r="A2260">
        <v>2255</v>
      </c>
      <c r="B2260" s="11">
        <v>45757.604166666664</v>
      </c>
      <c r="C2260" s="7">
        <v>522.36310000000003</v>
      </c>
      <c r="D2260">
        <v>5925166</v>
      </c>
    </row>
    <row r="2261" spans="1:4">
      <c r="A2261">
        <v>2256</v>
      </c>
      <c r="B2261" s="11">
        <v>45757.583333333336</v>
      </c>
      <c r="C2261" s="7">
        <v>525.52499999999998</v>
      </c>
      <c r="D2261">
        <v>7200949</v>
      </c>
    </row>
    <row r="2262" spans="1:4">
      <c r="A2262">
        <v>2257</v>
      </c>
      <c r="B2262" s="11">
        <v>45757.5625</v>
      </c>
      <c r="C2262" s="7">
        <v>521.19979999999998</v>
      </c>
      <c r="D2262">
        <v>6797502</v>
      </c>
    </row>
    <row r="2263" spans="1:4">
      <c r="A2263">
        <v>2258</v>
      </c>
      <c r="B2263" s="11">
        <v>45757.541666666664</v>
      </c>
      <c r="C2263" s="7">
        <v>515.99959999999999</v>
      </c>
      <c r="D2263">
        <v>8929851</v>
      </c>
    </row>
    <row r="2264" spans="1:4">
      <c r="A2264">
        <v>2259</v>
      </c>
      <c r="B2264" s="11">
        <v>45757.520833333336</v>
      </c>
      <c r="C2264" s="7">
        <v>516.72550000000001</v>
      </c>
      <c r="D2264">
        <v>10169717</v>
      </c>
    </row>
    <row r="2265" spans="1:4">
      <c r="A2265">
        <v>2260</v>
      </c>
      <c r="B2265" s="11">
        <v>45757.5</v>
      </c>
      <c r="C2265" s="7">
        <v>508.75619999999998</v>
      </c>
      <c r="D2265">
        <v>12791618</v>
      </c>
    </row>
    <row r="2266" spans="1:4">
      <c r="A2266">
        <v>2261</v>
      </c>
      <c r="B2266" s="11">
        <v>45757.479166666664</v>
      </c>
      <c r="C2266" s="7">
        <v>515.36329999999998</v>
      </c>
      <c r="D2266">
        <v>7010063</v>
      </c>
    </row>
    <row r="2267" spans="1:4">
      <c r="A2267">
        <v>2262</v>
      </c>
      <c r="B2267" s="11">
        <v>45757.458333333336</v>
      </c>
      <c r="C2267" s="7">
        <v>520.81200000000001</v>
      </c>
      <c r="D2267">
        <v>4955679</v>
      </c>
    </row>
    <row r="2268" spans="1:4">
      <c r="A2268">
        <v>2263</v>
      </c>
      <c r="B2268" s="11">
        <v>45757.4375</v>
      </c>
      <c r="C2268" s="7">
        <v>523.37729999999999</v>
      </c>
      <c r="D2268">
        <v>5254570</v>
      </c>
    </row>
    <row r="2269" spans="1:4">
      <c r="A2269">
        <v>2264</v>
      </c>
      <c r="B2269" s="11">
        <v>45757.416666666664</v>
      </c>
      <c r="C2269" s="7">
        <v>525.26649999999995</v>
      </c>
      <c r="D2269">
        <v>6133817</v>
      </c>
    </row>
    <row r="2270" spans="1:4">
      <c r="A2270">
        <v>2265</v>
      </c>
      <c r="B2270" s="11">
        <v>45757.395833333336</v>
      </c>
      <c r="C2270" s="7">
        <v>525.88639999999998</v>
      </c>
      <c r="D2270">
        <v>10572992</v>
      </c>
    </row>
    <row r="2271" spans="1:4">
      <c r="A2271">
        <v>2266</v>
      </c>
      <c r="B2271" s="11">
        <v>45756.666666666664</v>
      </c>
      <c r="C2271" s="7">
        <v>545.49040000000002</v>
      </c>
      <c r="D2271">
        <v>81714907</v>
      </c>
    </row>
    <row r="2272" spans="1:4">
      <c r="A2272">
        <v>2267</v>
      </c>
      <c r="B2272" s="11">
        <v>45756.645833333336</v>
      </c>
      <c r="C2272" s="7">
        <v>545.49040000000002</v>
      </c>
      <c r="D2272">
        <v>31766790</v>
      </c>
    </row>
    <row r="2273" spans="1:4">
      <c r="A2273">
        <v>2268</v>
      </c>
      <c r="B2273" s="11">
        <v>45756.625</v>
      </c>
      <c r="C2273" s="7">
        <v>537.55600000000004</v>
      </c>
      <c r="D2273">
        <v>11191133</v>
      </c>
    </row>
    <row r="2274" spans="1:4">
      <c r="A2274">
        <v>2269</v>
      </c>
      <c r="B2274" s="11">
        <v>45756.604166666664</v>
      </c>
      <c r="C2274" s="7">
        <v>528.14</v>
      </c>
      <c r="D2274">
        <v>10491229</v>
      </c>
    </row>
    <row r="2275" spans="1:4">
      <c r="A2275">
        <v>2270</v>
      </c>
      <c r="B2275" s="11">
        <v>45756.583333333336</v>
      </c>
      <c r="C2275" s="7">
        <v>535.23929999999996</v>
      </c>
      <c r="D2275">
        <v>13580804</v>
      </c>
    </row>
    <row r="2276" spans="1:4">
      <c r="A2276">
        <v>2271</v>
      </c>
      <c r="B2276" s="11">
        <v>45756.5625</v>
      </c>
      <c r="C2276" s="7">
        <v>532.51980000000003</v>
      </c>
      <c r="D2276">
        <v>22355174</v>
      </c>
    </row>
    <row r="2277" spans="1:4">
      <c r="A2277">
        <v>2272</v>
      </c>
      <c r="B2277" s="11">
        <v>45756.541666666664</v>
      </c>
      <c r="C2277" s="7">
        <v>521.77650000000006</v>
      </c>
      <c r="D2277">
        <v>29704354</v>
      </c>
    </row>
    <row r="2278" spans="1:4">
      <c r="A2278">
        <v>2273</v>
      </c>
      <c r="B2278" s="11">
        <v>45756.520833333336</v>
      </c>
      <c r="C2278" s="7">
        <v>498.48009999999999</v>
      </c>
      <c r="D2278">
        <v>3251422</v>
      </c>
    </row>
    <row r="2279" spans="1:4">
      <c r="A2279">
        <v>2274</v>
      </c>
      <c r="B2279" s="11">
        <v>45756.5</v>
      </c>
      <c r="C2279" s="7">
        <v>496.233</v>
      </c>
      <c r="D2279">
        <v>2753400</v>
      </c>
    </row>
    <row r="2280" spans="1:4">
      <c r="A2280">
        <v>2275</v>
      </c>
      <c r="B2280" s="11">
        <v>45756.479166666664</v>
      </c>
      <c r="C2280" s="7">
        <v>493.08109999999999</v>
      </c>
      <c r="D2280">
        <v>3925598</v>
      </c>
    </row>
    <row r="2281" spans="1:4">
      <c r="A2281">
        <v>2276</v>
      </c>
      <c r="B2281" s="11">
        <v>45756.458333333336</v>
      </c>
      <c r="C2281" s="7">
        <v>495.35809999999998</v>
      </c>
      <c r="D2281">
        <v>4574340</v>
      </c>
    </row>
    <row r="2282" spans="1:4">
      <c r="A2282">
        <v>2277</v>
      </c>
      <c r="B2282" s="11">
        <v>45756.4375</v>
      </c>
      <c r="C2282" s="7">
        <v>490.31700000000001</v>
      </c>
      <c r="D2282">
        <v>6447077</v>
      </c>
    </row>
    <row r="2283" spans="1:4">
      <c r="A2283">
        <v>2278</v>
      </c>
      <c r="B2283" s="11">
        <v>45756.416666666664</v>
      </c>
      <c r="C2283" s="7">
        <v>496.15350000000001</v>
      </c>
      <c r="D2283">
        <v>7413897</v>
      </c>
    </row>
    <row r="2284" spans="1:4">
      <c r="A2284">
        <v>2279</v>
      </c>
      <c r="B2284" s="11">
        <v>45756.395833333336</v>
      </c>
      <c r="C2284" s="7">
        <v>497.34660000000002</v>
      </c>
      <c r="D2284">
        <v>12697187</v>
      </c>
    </row>
    <row r="2285" spans="1:4">
      <c r="A2285">
        <v>2280</v>
      </c>
      <c r="B2285" s="11">
        <v>45755.666666666664</v>
      </c>
      <c r="C2285" s="7">
        <v>493.64789999999999</v>
      </c>
      <c r="D2285">
        <v>45992358</v>
      </c>
    </row>
    <row r="2286" spans="1:4">
      <c r="A2286">
        <v>2281</v>
      </c>
      <c r="B2286" s="11">
        <v>45755.645833333336</v>
      </c>
      <c r="C2286" s="7">
        <v>493.64789999999999</v>
      </c>
      <c r="D2286">
        <v>27205038</v>
      </c>
    </row>
    <row r="2287" spans="1:4">
      <c r="A2287">
        <v>2282</v>
      </c>
      <c r="B2287" s="11">
        <v>45755.625</v>
      </c>
      <c r="C2287" s="7">
        <v>494.4271</v>
      </c>
      <c r="D2287">
        <v>10425768</v>
      </c>
    </row>
    <row r="2288" spans="1:4">
      <c r="A2288">
        <v>2283</v>
      </c>
      <c r="B2288" s="11">
        <v>45755.604166666664</v>
      </c>
      <c r="C2288" s="7">
        <v>499.04689999999999</v>
      </c>
      <c r="D2288">
        <v>6872751</v>
      </c>
    </row>
    <row r="2289" spans="1:4">
      <c r="A2289">
        <v>2284</v>
      </c>
      <c r="B2289" s="11">
        <v>45755.583333333336</v>
      </c>
      <c r="C2289" s="7">
        <v>499.70310000000001</v>
      </c>
      <c r="D2289">
        <v>4555373</v>
      </c>
    </row>
    <row r="2290" spans="1:4">
      <c r="A2290">
        <v>2285</v>
      </c>
      <c r="B2290" s="11">
        <v>45755.5625</v>
      </c>
      <c r="C2290" s="7">
        <v>503.65050000000002</v>
      </c>
      <c r="D2290">
        <v>7615935</v>
      </c>
    </row>
    <row r="2291" spans="1:4">
      <c r="A2291">
        <v>2286</v>
      </c>
      <c r="B2291" s="11">
        <v>45755.541666666664</v>
      </c>
      <c r="C2291" s="7">
        <v>499.4744</v>
      </c>
      <c r="D2291">
        <v>9797536</v>
      </c>
    </row>
    <row r="2292" spans="1:4">
      <c r="A2292">
        <v>2287</v>
      </c>
      <c r="B2292" s="11">
        <v>45755.520833333336</v>
      </c>
      <c r="C2292" s="7">
        <v>504.3365</v>
      </c>
      <c r="D2292">
        <v>11585117</v>
      </c>
    </row>
    <row r="2293" spans="1:4">
      <c r="A2293">
        <v>2288</v>
      </c>
      <c r="B2293" s="11">
        <v>45755.5</v>
      </c>
      <c r="C2293" s="7">
        <v>510.98829999999998</v>
      </c>
      <c r="D2293">
        <v>4228981</v>
      </c>
    </row>
    <row r="2294" spans="1:4">
      <c r="A2294">
        <v>2289</v>
      </c>
      <c r="B2294" s="11">
        <v>45755.479166666664</v>
      </c>
      <c r="C2294" s="7">
        <v>513.40449999999998</v>
      </c>
      <c r="D2294">
        <v>5205488</v>
      </c>
    </row>
    <row r="2295" spans="1:4">
      <c r="A2295">
        <v>2290</v>
      </c>
      <c r="B2295" s="11">
        <v>45755.458333333336</v>
      </c>
      <c r="C2295" s="7">
        <v>511.2817</v>
      </c>
      <c r="D2295">
        <v>6763821</v>
      </c>
    </row>
    <row r="2296" spans="1:4">
      <c r="A2296">
        <v>2291</v>
      </c>
      <c r="B2296" s="11">
        <v>45755.4375</v>
      </c>
      <c r="C2296" s="7">
        <v>514.83619999999996</v>
      </c>
      <c r="D2296">
        <v>5521821</v>
      </c>
    </row>
    <row r="2297" spans="1:4">
      <c r="A2297">
        <v>2292</v>
      </c>
      <c r="B2297" s="11">
        <v>45755.416666666664</v>
      </c>
      <c r="C2297" s="7">
        <v>520.30489999999998</v>
      </c>
      <c r="D2297">
        <v>6961406</v>
      </c>
    </row>
    <row r="2298" spans="1:4">
      <c r="A2298">
        <v>2293</v>
      </c>
      <c r="B2298" s="11">
        <v>45755.395833333336</v>
      </c>
      <c r="C2298" s="7">
        <v>520.05629999999996</v>
      </c>
      <c r="D2298">
        <v>13085183</v>
      </c>
    </row>
    <row r="2299" spans="1:4">
      <c r="A2299">
        <v>2294</v>
      </c>
      <c r="B2299" s="11">
        <v>45754.666666666664</v>
      </c>
      <c r="C2299" s="7">
        <v>501.50279999999998</v>
      </c>
      <c r="D2299">
        <v>75068195</v>
      </c>
    </row>
    <row r="2300" spans="1:4">
      <c r="A2300">
        <v>2295</v>
      </c>
      <c r="B2300" s="11">
        <v>45754.645833333336</v>
      </c>
      <c r="C2300" s="7">
        <v>501.50279999999998</v>
      </c>
      <c r="D2300">
        <v>17837078</v>
      </c>
    </row>
    <row r="2301" spans="1:4">
      <c r="A2301">
        <v>2296</v>
      </c>
      <c r="B2301" s="11">
        <v>45754.625</v>
      </c>
      <c r="C2301" s="7">
        <v>497.78910000000002</v>
      </c>
      <c r="D2301">
        <v>8374469</v>
      </c>
    </row>
    <row r="2302" spans="1:4">
      <c r="A2302">
        <v>2297</v>
      </c>
      <c r="B2302" s="11">
        <v>45754.604166666664</v>
      </c>
      <c r="C2302" s="7">
        <v>500.23009999999999</v>
      </c>
      <c r="D2302">
        <v>5329304</v>
      </c>
    </row>
    <row r="2303" spans="1:4">
      <c r="A2303">
        <v>2298</v>
      </c>
      <c r="B2303" s="11">
        <v>45754.583333333336</v>
      </c>
      <c r="C2303" s="7">
        <v>502.28829999999999</v>
      </c>
      <c r="D2303">
        <v>6676304</v>
      </c>
    </row>
    <row r="2304" spans="1:4">
      <c r="A2304">
        <v>2299</v>
      </c>
      <c r="B2304" s="11">
        <v>45754.5625</v>
      </c>
      <c r="C2304" s="7">
        <v>506.30520000000001</v>
      </c>
      <c r="D2304">
        <v>7969450</v>
      </c>
    </row>
    <row r="2305" spans="1:4">
      <c r="A2305">
        <v>2300</v>
      </c>
      <c r="B2305" s="11">
        <v>45754.541666666664</v>
      </c>
      <c r="C2305" s="7">
        <v>502.7457</v>
      </c>
      <c r="D2305">
        <v>8980496</v>
      </c>
    </row>
    <row r="2306" spans="1:4">
      <c r="A2306">
        <v>2301</v>
      </c>
      <c r="B2306" s="11">
        <v>45754.520833333336</v>
      </c>
      <c r="C2306" s="7">
        <v>493.03140000000002</v>
      </c>
      <c r="D2306">
        <v>5234767</v>
      </c>
    </row>
    <row r="2307" spans="1:4">
      <c r="A2307">
        <v>2302</v>
      </c>
      <c r="B2307" s="11">
        <v>45754.5</v>
      </c>
      <c r="C2307" s="7">
        <v>496.39210000000003</v>
      </c>
      <c r="D2307">
        <v>5707112</v>
      </c>
    </row>
    <row r="2308" spans="1:4">
      <c r="A2308">
        <v>2303</v>
      </c>
      <c r="B2308" s="11">
        <v>45754.479166666664</v>
      </c>
      <c r="C2308" s="7">
        <v>496.66059999999999</v>
      </c>
      <c r="D2308">
        <v>9974981</v>
      </c>
    </row>
    <row r="2309" spans="1:4">
      <c r="A2309">
        <v>2304</v>
      </c>
      <c r="B2309" s="11">
        <v>45754.458333333336</v>
      </c>
      <c r="C2309" s="7">
        <v>491.15219999999999</v>
      </c>
      <c r="D2309">
        <v>20204668</v>
      </c>
    </row>
    <row r="2310" spans="1:4">
      <c r="A2310">
        <v>2305</v>
      </c>
      <c r="B2310" s="11">
        <v>45754.4375</v>
      </c>
      <c r="C2310" s="7">
        <v>502.72570000000002</v>
      </c>
      <c r="D2310">
        <v>20345046</v>
      </c>
    </row>
    <row r="2311" spans="1:4">
      <c r="A2311">
        <v>2306</v>
      </c>
      <c r="B2311" s="11">
        <v>45754.416666666664</v>
      </c>
      <c r="C2311" s="7">
        <v>495.71600000000001</v>
      </c>
      <c r="D2311">
        <v>41942540</v>
      </c>
    </row>
    <row r="2312" spans="1:4">
      <c r="A2312">
        <v>2307</v>
      </c>
      <c r="B2312" s="11">
        <v>45754.395833333336</v>
      </c>
      <c r="C2312" s="7">
        <v>492.61880000000002</v>
      </c>
      <c r="D2312">
        <v>22966950</v>
      </c>
    </row>
    <row r="2313" spans="1:4">
      <c r="A2313">
        <v>2308</v>
      </c>
      <c r="B2313" s="11">
        <v>45751.666666666664</v>
      </c>
      <c r="C2313" s="7">
        <v>502.39760000000001</v>
      </c>
      <c r="D2313">
        <v>81676274</v>
      </c>
    </row>
    <row r="2314" spans="1:4">
      <c r="A2314">
        <v>2309</v>
      </c>
      <c r="B2314" s="11">
        <v>45751.645833333336</v>
      </c>
      <c r="C2314" s="7">
        <v>502.65620000000001</v>
      </c>
      <c r="D2314">
        <v>30925352</v>
      </c>
    </row>
    <row r="2315" spans="1:4">
      <c r="A2315">
        <v>2310</v>
      </c>
      <c r="B2315" s="11">
        <v>45751.625</v>
      </c>
      <c r="C2315" s="7">
        <v>507.33929999999998</v>
      </c>
      <c r="D2315">
        <v>8938571</v>
      </c>
    </row>
    <row r="2316" spans="1:4">
      <c r="A2316">
        <v>2311</v>
      </c>
      <c r="B2316" s="11">
        <v>45751.604166666664</v>
      </c>
      <c r="C2316" s="7">
        <v>505.09219999999999</v>
      </c>
      <c r="D2316">
        <v>7951279</v>
      </c>
    </row>
    <row r="2317" spans="1:4">
      <c r="A2317">
        <v>2312</v>
      </c>
      <c r="B2317" s="11">
        <v>45751.583333333336</v>
      </c>
      <c r="C2317" s="7">
        <v>505.97210000000001</v>
      </c>
      <c r="D2317">
        <v>6995307</v>
      </c>
    </row>
    <row r="2318" spans="1:4">
      <c r="A2318">
        <v>2313</v>
      </c>
      <c r="B2318" s="11">
        <v>45751.5625</v>
      </c>
      <c r="C2318" s="7">
        <v>511.81360000000001</v>
      </c>
      <c r="D2318">
        <v>6382187</v>
      </c>
    </row>
    <row r="2319" spans="1:4">
      <c r="A2319">
        <v>2314</v>
      </c>
      <c r="B2319" s="11">
        <v>45751.541666666664</v>
      </c>
      <c r="C2319" s="7">
        <v>507.9658</v>
      </c>
      <c r="D2319">
        <v>6989887</v>
      </c>
    </row>
    <row r="2320" spans="1:4">
      <c r="A2320">
        <v>2315</v>
      </c>
      <c r="B2320" s="11">
        <v>45751.520833333336</v>
      </c>
      <c r="C2320" s="7">
        <v>509.04950000000002</v>
      </c>
      <c r="D2320">
        <v>5555196</v>
      </c>
    </row>
    <row r="2321" spans="1:4">
      <c r="A2321">
        <v>2316</v>
      </c>
      <c r="B2321" s="11">
        <v>45751.5</v>
      </c>
      <c r="C2321" s="7">
        <v>509.36750000000001</v>
      </c>
      <c r="D2321">
        <v>4790347</v>
      </c>
    </row>
    <row r="2322" spans="1:4">
      <c r="A2322">
        <v>2317</v>
      </c>
      <c r="B2322" s="11">
        <v>45751.479166666664</v>
      </c>
      <c r="C2322" s="7">
        <v>512.15170000000001</v>
      </c>
      <c r="D2322">
        <v>7120579</v>
      </c>
    </row>
    <row r="2323" spans="1:4">
      <c r="A2323">
        <v>2318</v>
      </c>
      <c r="B2323" s="11">
        <v>45751.458333333336</v>
      </c>
      <c r="C2323" s="7">
        <v>513.39459999999997</v>
      </c>
      <c r="D2323">
        <v>15026664</v>
      </c>
    </row>
    <row r="2324" spans="1:4">
      <c r="A2324">
        <v>2319</v>
      </c>
      <c r="B2324" s="11">
        <v>45751.4375</v>
      </c>
      <c r="C2324" s="7">
        <v>512.28089999999997</v>
      </c>
      <c r="D2324">
        <v>12505804</v>
      </c>
    </row>
    <row r="2325" spans="1:4">
      <c r="A2325">
        <v>2320</v>
      </c>
      <c r="B2325" s="11">
        <v>45751.416666666664</v>
      </c>
      <c r="C2325" s="7">
        <v>513.20069999999998</v>
      </c>
      <c r="D2325">
        <v>8416104</v>
      </c>
    </row>
    <row r="2326" spans="1:4">
      <c r="A2326">
        <v>2321</v>
      </c>
      <c r="B2326" s="11">
        <v>45751.395833333336</v>
      </c>
      <c r="C2326" s="7">
        <v>519.97680000000003</v>
      </c>
      <c r="D2326">
        <v>14691585</v>
      </c>
    </row>
    <row r="2327" spans="1:4">
      <c r="A2327">
        <v>2322</v>
      </c>
      <c r="B2327" s="11">
        <v>45750.666666666664</v>
      </c>
      <c r="C2327" s="7">
        <v>533.63840000000005</v>
      </c>
      <c r="D2327">
        <v>45963803</v>
      </c>
    </row>
    <row r="2328" spans="1:4">
      <c r="A2328">
        <v>2323</v>
      </c>
      <c r="B2328" s="11">
        <v>45750.645833333336</v>
      </c>
      <c r="C2328" s="7">
        <v>533.63840000000005</v>
      </c>
      <c r="D2328">
        <v>21022868</v>
      </c>
    </row>
    <row r="2329" spans="1:4">
      <c r="A2329">
        <v>2324</v>
      </c>
      <c r="B2329" s="11">
        <v>45750.625</v>
      </c>
      <c r="C2329" s="7">
        <v>536.11419999999998</v>
      </c>
      <c r="D2329">
        <v>5313539</v>
      </c>
    </row>
    <row r="2330" spans="1:4">
      <c r="A2330">
        <v>2325</v>
      </c>
      <c r="B2330" s="11">
        <v>45750.604166666664</v>
      </c>
      <c r="C2330" s="7">
        <v>538.70929999999998</v>
      </c>
      <c r="D2330">
        <v>3826061</v>
      </c>
    </row>
    <row r="2331" spans="1:4">
      <c r="A2331">
        <v>2326</v>
      </c>
      <c r="B2331" s="11">
        <v>45750.583333333336</v>
      </c>
      <c r="C2331" s="7">
        <v>537.66030000000001</v>
      </c>
      <c r="D2331">
        <v>2999358</v>
      </c>
    </row>
    <row r="2332" spans="1:4">
      <c r="A2332">
        <v>2327</v>
      </c>
      <c r="B2332" s="11">
        <v>45750.5625</v>
      </c>
      <c r="C2332" s="7">
        <v>538.78890000000001</v>
      </c>
      <c r="D2332">
        <v>2470112</v>
      </c>
    </row>
    <row r="2333" spans="1:4">
      <c r="A2333">
        <v>2328</v>
      </c>
      <c r="B2333" s="11">
        <v>45750.541666666664</v>
      </c>
      <c r="C2333" s="7">
        <v>539.02250000000004</v>
      </c>
      <c r="D2333">
        <v>2425787</v>
      </c>
    </row>
    <row r="2334" spans="1:4">
      <c r="A2334">
        <v>2329</v>
      </c>
      <c r="B2334" s="11">
        <v>45750.520833333336</v>
      </c>
      <c r="C2334" s="7">
        <v>540.33000000000004</v>
      </c>
      <c r="D2334">
        <v>3213746</v>
      </c>
    </row>
    <row r="2335" spans="1:4">
      <c r="A2335">
        <v>2330</v>
      </c>
      <c r="B2335" s="11">
        <v>45750.5</v>
      </c>
      <c r="C2335" s="7">
        <v>542.84559999999999</v>
      </c>
      <c r="D2335">
        <v>3770479</v>
      </c>
    </row>
    <row r="2336" spans="1:4">
      <c r="A2336">
        <v>2331</v>
      </c>
      <c r="B2336" s="11">
        <v>45750.479166666664</v>
      </c>
      <c r="C2336" s="7">
        <v>540.49900000000002</v>
      </c>
      <c r="D2336">
        <v>4488301</v>
      </c>
    </row>
    <row r="2337" spans="1:4">
      <c r="A2337">
        <v>2332</v>
      </c>
      <c r="B2337" s="11">
        <v>45750.458333333336</v>
      </c>
      <c r="C2337" s="7">
        <v>538.57010000000002</v>
      </c>
      <c r="D2337">
        <v>5312381</v>
      </c>
    </row>
    <row r="2338" spans="1:4">
      <c r="A2338">
        <v>2333</v>
      </c>
      <c r="B2338" s="11">
        <v>45750.4375</v>
      </c>
      <c r="C2338" s="7">
        <v>537.05880000000002</v>
      </c>
      <c r="D2338">
        <v>5619232</v>
      </c>
    </row>
    <row r="2339" spans="1:4">
      <c r="A2339">
        <v>2334</v>
      </c>
      <c r="B2339" s="11">
        <v>45750.416666666664</v>
      </c>
      <c r="C2339" s="7">
        <v>539.87260000000003</v>
      </c>
      <c r="D2339">
        <v>7856231</v>
      </c>
    </row>
    <row r="2340" spans="1:4">
      <c r="A2340">
        <v>2335</v>
      </c>
      <c r="B2340" s="11">
        <v>45750.395833333336</v>
      </c>
      <c r="C2340" s="7">
        <v>541.04100000000005</v>
      </c>
      <c r="D2340">
        <v>11704102</v>
      </c>
    </row>
    <row r="2341" spans="1:4">
      <c r="A2341">
        <v>2336</v>
      </c>
      <c r="B2341" s="11">
        <v>45749.666666666664</v>
      </c>
      <c r="C2341" s="7">
        <v>561.29970000000003</v>
      </c>
      <c r="D2341">
        <v>39204244</v>
      </c>
    </row>
    <row r="2342" spans="1:4">
      <c r="A2342">
        <v>2337</v>
      </c>
      <c r="B2342" s="11">
        <v>45749.645833333336</v>
      </c>
      <c r="C2342" s="7">
        <v>561.29970000000003</v>
      </c>
      <c r="D2342">
        <v>8235863</v>
      </c>
    </row>
    <row r="2343" spans="1:4">
      <c r="A2343">
        <v>2338</v>
      </c>
      <c r="B2343" s="11">
        <v>45749.625</v>
      </c>
      <c r="C2343" s="7">
        <v>559.68899999999996</v>
      </c>
      <c r="D2343">
        <v>1869869</v>
      </c>
    </row>
    <row r="2344" spans="1:4">
      <c r="A2344">
        <v>2339</v>
      </c>
      <c r="B2344" s="11">
        <v>45749.604166666664</v>
      </c>
      <c r="C2344" s="7">
        <v>558.11800000000005</v>
      </c>
      <c r="D2344">
        <v>2388119</v>
      </c>
    </row>
    <row r="2345" spans="1:4">
      <c r="A2345">
        <v>2340</v>
      </c>
      <c r="B2345" s="11">
        <v>45749.583333333336</v>
      </c>
      <c r="C2345" s="7">
        <v>557.7998</v>
      </c>
      <c r="D2345">
        <v>2223449</v>
      </c>
    </row>
    <row r="2346" spans="1:4">
      <c r="A2346">
        <v>2341</v>
      </c>
      <c r="B2346" s="11">
        <v>45749.5625</v>
      </c>
      <c r="C2346" s="7">
        <v>560.64350000000002</v>
      </c>
      <c r="D2346">
        <v>2667686</v>
      </c>
    </row>
    <row r="2347" spans="1:4">
      <c r="A2347">
        <v>2342</v>
      </c>
      <c r="B2347" s="11">
        <v>45749.541666666664</v>
      </c>
      <c r="C2347" s="7">
        <v>562.7912</v>
      </c>
      <c r="D2347">
        <v>2593586</v>
      </c>
    </row>
    <row r="2348" spans="1:4">
      <c r="A2348">
        <v>2343</v>
      </c>
      <c r="B2348" s="11">
        <v>45749.520833333336</v>
      </c>
      <c r="C2348" s="7">
        <v>562.45809999999994</v>
      </c>
      <c r="D2348">
        <v>2547514</v>
      </c>
    </row>
    <row r="2349" spans="1:4">
      <c r="A2349">
        <v>2344</v>
      </c>
      <c r="B2349" s="11">
        <v>45749.5</v>
      </c>
      <c r="C2349" s="7">
        <v>561.10090000000002</v>
      </c>
      <c r="D2349">
        <v>1594847</v>
      </c>
    </row>
    <row r="2350" spans="1:4">
      <c r="A2350">
        <v>2345</v>
      </c>
      <c r="B2350" s="11">
        <v>45749.479166666664</v>
      </c>
      <c r="C2350" s="7">
        <v>559.13220000000001</v>
      </c>
      <c r="D2350">
        <v>2235742</v>
      </c>
    </row>
    <row r="2351" spans="1:4">
      <c r="A2351">
        <v>2346</v>
      </c>
      <c r="B2351" s="11">
        <v>45749.458333333336</v>
      </c>
      <c r="C2351" s="7">
        <v>560.08669999999995</v>
      </c>
      <c r="D2351">
        <v>2113683</v>
      </c>
    </row>
    <row r="2352" spans="1:4">
      <c r="A2352">
        <v>2347</v>
      </c>
      <c r="B2352" s="11">
        <v>45749.4375</v>
      </c>
      <c r="C2352" s="7">
        <v>558.83389999999997</v>
      </c>
      <c r="D2352">
        <v>1872016</v>
      </c>
    </row>
    <row r="2353" spans="1:4">
      <c r="A2353">
        <v>2348</v>
      </c>
      <c r="B2353" s="11">
        <v>45749.416666666664</v>
      </c>
      <c r="C2353" s="7">
        <v>557.64070000000004</v>
      </c>
      <c r="D2353">
        <v>2212118</v>
      </c>
    </row>
    <row r="2354" spans="1:4">
      <c r="A2354">
        <v>2349</v>
      </c>
      <c r="B2354" s="11">
        <v>45749.395833333336</v>
      </c>
      <c r="C2354" s="7">
        <v>555.38369999999998</v>
      </c>
      <c r="D2354">
        <v>4255808</v>
      </c>
    </row>
    <row r="2355" spans="1:4">
      <c r="A2355">
        <v>2350</v>
      </c>
      <c r="B2355" s="11">
        <v>45748.666666666664</v>
      </c>
      <c r="C2355" s="7">
        <v>557.77</v>
      </c>
      <c r="D2355">
        <v>18241818</v>
      </c>
    </row>
    <row r="2356" spans="1:4">
      <c r="A2356">
        <v>2351</v>
      </c>
      <c r="B2356" s="11">
        <v>45748.645833333336</v>
      </c>
      <c r="C2356" s="7">
        <v>557.77</v>
      </c>
      <c r="D2356">
        <v>6894220</v>
      </c>
    </row>
    <row r="2357" spans="1:4">
      <c r="A2357">
        <v>2352</v>
      </c>
      <c r="B2357" s="11">
        <v>45748.625</v>
      </c>
      <c r="C2357" s="7">
        <v>555.1848</v>
      </c>
      <c r="D2357">
        <v>2110627</v>
      </c>
    </row>
    <row r="2358" spans="1:4">
      <c r="A2358">
        <v>2353</v>
      </c>
      <c r="B2358" s="11">
        <v>45748.604166666664</v>
      </c>
      <c r="C2358" s="7">
        <v>554.29989999999998</v>
      </c>
      <c r="D2358">
        <v>1772352</v>
      </c>
    </row>
    <row r="2359" spans="1:4">
      <c r="A2359">
        <v>2354</v>
      </c>
      <c r="B2359" s="11">
        <v>45748.583333333336</v>
      </c>
      <c r="C2359" s="7">
        <v>553.54420000000005</v>
      </c>
      <c r="D2359">
        <v>2622219</v>
      </c>
    </row>
    <row r="2360" spans="1:4">
      <c r="A2360">
        <v>2355</v>
      </c>
      <c r="B2360" s="11">
        <v>45748.5625</v>
      </c>
      <c r="C2360" s="7">
        <v>555.8809</v>
      </c>
      <c r="D2360">
        <v>1503802</v>
      </c>
    </row>
    <row r="2361" spans="1:4">
      <c r="A2361">
        <v>2356</v>
      </c>
      <c r="B2361" s="11">
        <v>45748.541666666664</v>
      </c>
      <c r="C2361" s="7">
        <v>556.17899999999997</v>
      </c>
      <c r="D2361">
        <v>1294773</v>
      </c>
    </row>
    <row r="2362" spans="1:4">
      <c r="A2362">
        <v>2357</v>
      </c>
      <c r="B2362" s="11">
        <v>45748.520833333336</v>
      </c>
      <c r="C2362" s="7">
        <v>557.42190000000005</v>
      </c>
      <c r="D2362">
        <v>2545334</v>
      </c>
    </row>
    <row r="2363" spans="1:4">
      <c r="A2363">
        <v>2358</v>
      </c>
      <c r="B2363" s="11">
        <v>45748.5</v>
      </c>
      <c r="C2363" s="7">
        <v>557.58109999999999</v>
      </c>
      <c r="D2363">
        <v>1910367</v>
      </c>
    </row>
    <row r="2364" spans="1:4">
      <c r="A2364">
        <v>2359</v>
      </c>
      <c r="B2364" s="11">
        <v>45748.479166666664</v>
      </c>
      <c r="C2364" s="7">
        <v>558.39639999999997</v>
      </c>
      <c r="D2364">
        <v>1840208</v>
      </c>
    </row>
    <row r="2365" spans="1:4">
      <c r="A2365">
        <v>2360</v>
      </c>
      <c r="B2365" s="11">
        <v>45748.458333333336</v>
      </c>
      <c r="C2365" s="7">
        <v>557.58109999999999</v>
      </c>
      <c r="D2365">
        <v>3572675</v>
      </c>
    </row>
    <row r="2366" spans="1:4">
      <c r="A2366">
        <v>2361</v>
      </c>
      <c r="B2366" s="11">
        <v>45748.4375</v>
      </c>
      <c r="C2366" s="7">
        <v>556.42269999999996</v>
      </c>
      <c r="D2366">
        <v>3140408</v>
      </c>
    </row>
    <row r="2367" spans="1:4">
      <c r="A2367">
        <v>2362</v>
      </c>
      <c r="B2367" s="11">
        <v>45748.416666666664</v>
      </c>
      <c r="C2367" s="7">
        <v>551.91359999999997</v>
      </c>
      <c r="D2367">
        <v>3666455</v>
      </c>
    </row>
    <row r="2368" spans="1:4">
      <c r="A2368">
        <v>2363</v>
      </c>
      <c r="B2368" s="11">
        <v>45748.395833333336</v>
      </c>
      <c r="C2368" s="7">
        <v>554.02149999999995</v>
      </c>
      <c r="D2368">
        <v>3494382</v>
      </c>
    </row>
    <row r="2369" spans="1:4">
      <c r="A2369">
        <v>2364</v>
      </c>
      <c r="B2369" s="11">
        <v>45747.666666666664</v>
      </c>
      <c r="C2369" s="7">
        <v>556.19899999999996</v>
      </c>
      <c r="D2369">
        <v>40664375</v>
      </c>
    </row>
    <row r="2370" spans="1:4">
      <c r="A2370">
        <v>2365</v>
      </c>
      <c r="B2370" s="11">
        <v>45747.645833333336</v>
      </c>
      <c r="C2370" s="7">
        <v>556.19899999999996</v>
      </c>
      <c r="D2370">
        <v>17733212</v>
      </c>
    </row>
    <row r="2371" spans="1:4">
      <c r="A2371">
        <v>2366</v>
      </c>
      <c r="B2371" s="11">
        <v>45747.625</v>
      </c>
      <c r="C2371" s="7">
        <v>554.21040000000005</v>
      </c>
      <c r="D2371">
        <v>5582626</v>
      </c>
    </row>
    <row r="2372" spans="1:4">
      <c r="A2372">
        <v>2367</v>
      </c>
      <c r="B2372" s="11">
        <v>45747.604166666664</v>
      </c>
      <c r="C2372" s="7">
        <v>553.19870000000003</v>
      </c>
      <c r="D2372">
        <v>3856728</v>
      </c>
    </row>
    <row r="2373" spans="1:4">
      <c r="A2373">
        <v>2368</v>
      </c>
      <c r="B2373" s="11">
        <v>45747.583333333336</v>
      </c>
      <c r="C2373" s="7">
        <v>553.6934</v>
      </c>
      <c r="D2373">
        <v>4823685</v>
      </c>
    </row>
    <row r="2374" spans="1:4">
      <c r="A2374">
        <v>2369</v>
      </c>
      <c r="B2374" s="11">
        <v>45747.5625</v>
      </c>
      <c r="C2374" s="7">
        <v>549.94479999999999</v>
      </c>
      <c r="D2374">
        <v>1216959</v>
      </c>
    </row>
    <row r="2375" spans="1:4">
      <c r="A2375">
        <v>2370</v>
      </c>
      <c r="B2375" s="11">
        <v>45747.541666666664</v>
      </c>
      <c r="C2375" s="7">
        <v>550.50049999999999</v>
      </c>
      <c r="D2375">
        <v>2001312</v>
      </c>
    </row>
    <row r="2376" spans="1:4">
      <c r="A2376">
        <v>2371</v>
      </c>
      <c r="B2376" s="11">
        <v>45747.520833333336</v>
      </c>
      <c r="C2376" s="7">
        <v>550.10389999999995</v>
      </c>
      <c r="D2376">
        <v>1294049</v>
      </c>
    </row>
    <row r="2377" spans="1:4">
      <c r="A2377">
        <v>2372</v>
      </c>
      <c r="B2377" s="11">
        <v>45747.5</v>
      </c>
      <c r="C2377" s="7">
        <v>551.25869999999998</v>
      </c>
      <c r="D2377">
        <v>1450728</v>
      </c>
    </row>
    <row r="2378" spans="1:4">
      <c r="A2378">
        <v>2373</v>
      </c>
      <c r="B2378" s="11">
        <v>45747.479166666664</v>
      </c>
      <c r="C2378" s="7">
        <v>550.18349999999998</v>
      </c>
      <c r="D2378">
        <v>1803877</v>
      </c>
    </row>
    <row r="2379" spans="1:4">
      <c r="A2379">
        <v>2374</v>
      </c>
      <c r="B2379" s="11">
        <v>45747.458333333336</v>
      </c>
      <c r="C2379" s="7">
        <v>549.3184</v>
      </c>
      <c r="D2379">
        <v>2426899</v>
      </c>
    </row>
    <row r="2380" spans="1:4">
      <c r="A2380">
        <v>2375</v>
      </c>
      <c r="B2380" s="11">
        <v>45747.4375</v>
      </c>
      <c r="C2380" s="7">
        <v>548.56280000000004</v>
      </c>
      <c r="D2380">
        <v>2483318</v>
      </c>
    </row>
    <row r="2381" spans="1:4">
      <c r="A2381">
        <v>2376</v>
      </c>
      <c r="B2381" s="11">
        <v>45747.416666666664</v>
      </c>
      <c r="C2381" s="7">
        <v>546.37540000000001</v>
      </c>
      <c r="D2381">
        <v>3216641</v>
      </c>
    </row>
    <row r="2382" spans="1:4">
      <c r="A2382">
        <v>2377</v>
      </c>
      <c r="B2382" s="11">
        <v>45747.395833333336</v>
      </c>
      <c r="C2382" s="7">
        <v>546.58910000000003</v>
      </c>
      <c r="D2382">
        <v>6773807</v>
      </c>
    </row>
    <row r="2383" spans="1:4">
      <c r="A2383">
        <v>2378</v>
      </c>
      <c r="B2383" s="11">
        <v>45744.666666666664</v>
      </c>
      <c r="C2383" s="7">
        <v>552.49019999999996</v>
      </c>
      <c r="D2383">
        <v>24594666</v>
      </c>
    </row>
    <row r="2384" spans="1:4">
      <c r="A2384">
        <v>2379</v>
      </c>
      <c r="B2384" s="11">
        <v>45744.645833333336</v>
      </c>
      <c r="C2384" s="7">
        <v>552.5598</v>
      </c>
      <c r="D2384">
        <v>13214142</v>
      </c>
    </row>
    <row r="2385" spans="1:4">
      <c r="A2385">
        <v>2380</v>
      </c>
      <c r="B2385" s="11">
        <v>45744.625</v>
      </c>
      <c r="C2385" s="7">
        <v>552.62950000000001</v>
      </c>
      <c r="D2385">
        <v>2291837</v>
      </c>
    </row>
    <row r="2386" spans="1:4">
      <c r="A2386">
        <v>2381</v>
      </c>
      <c r="B2386" s="11">
        <v>45744.604166666664</v>
      </c>
      <c r="C2386" s="7">
        <v>552.96749999999997</v>
      </c>
      <c r="D2386">
        <v>1794238</v>
      </c>
    </row>
    <row r="2387" spans="1:4">
      <c r="A2387">
        <v>2382</v>
      </c>
      <c r="B2387" s="11">
        <v>45744.583333333336</v>
      </c>
      <c r="C2387" s="7">
        <v>552.78859999999997</v>
      </c>
      <c r="D2387">
        <v>2085411</v>
      </c>
    </row>
    <row r="2388" spans="1:4">
      <c r="A2388">
        <v>2383</v>
      </c>
      <c r="B2388" s="11">
        <v>45744.5625</v>
      </c>
      <c r="C2388" s="7">
        <v>553.20619999999997</v>
      </c>
      <c r="D2388">
        <v>2004751</v>
      </c>
    </row>
    <row r="2389" spans="1:4">
      <c r="A2389">
        <v>2384</v>
      </c>
      <c r="B2389" s="11">
        <v>45744.541666666664</v>
      </c>
      <c r="C2389" s="7">
        <v>552.23180000000002</v>
      </c>
      <c r="D2389">
        <v>2553641</v>
      </c>
    </row>
    <row r="2390" spans="1:4">
      <c r="A2390">
        <v>2385</v>
      </c>
      <c r="B2390" s="11">
        <v>45744.520833333336</v>
      </c>
      <c r="C2390" s="7">
        <v>553.34540000000004</v>
      </c>
      <c r="D2390">
        <v>2025112</v>
      </c>
    </row>
    <row r="2391" spans="1:4">
      <c r="A2391">
        <v>2386</v>
      </c>
      <c r="B2391" s="11">
        <v>45744.5</v>
      </c>
      <c r="C2391" s="7">
        <v>553.67349999999999</v>
      </c>
      <c r="D2391">
        <v>2094324</v>
      </c>
    </row>
    <row r="2392" spans="1:4">
      <c r="A2392">
        <v>2387</v>
      </c>
      <c r="B2392" s="11">
        <v>45744.479166666664</v>
      </c>
      <c r="C2392" s="7">
        <v>554.75729999999999</v>
      </c>
      <c r="D2392">
        <v>2184875</v>
      </c>
    </row>
    <row r="2393" spans="1:4">
      <c r="A2393">
        <v>2388</v>
      </c>
      <c r="B2393" s="11">
        <v>45744.458333333336</v>
      </c>
      <c r="C2393" s="7">
        <v>555.70180000000005</v>
      </c>
      <c r="D2393">
        <v>3549337</v>
      </c>
    </row>
    <row r="2394" spans="1:4">
      <c r="A2394">
        <v>2389</v>
      </c>
      <c r="B2394" s="11">
        <v>45744.4375</v>
      </c>
      <c r="C2394" s="7">
        <v>555.59249999999997</v>
      </c>
      <c r="D2394">
        <v>4237760</v>
      </c>
    </row>
    <row r="2395" spans="1:4">
      <c r="A2395">
        <v>2390</v>
      </c>
      <c r="B2395" s="11">
        <v>45744.416666666664</v>
      </c>
      <c r="C2395" s="7">
        <v>556.42269999999996</v>
      </c>
      <c r="D2395">
        <v>5595531</v>
      </c>
    </row>
    <row r="2396" spans="1:4">
      <c r="A2396">
        <v>2391</v>
      </c>
      <c r="B2396" s="11">
        <v>45744.395833333336</v>
      </c>
      <c r="C2396" s="7">
        <v>559.87789999999995</v>
      </c>
      <c r="D2396">
        <v>3437031</v>
      </c>
    </row>
    <row r="2397" spans="1:4">
      <c r="A2397">
        <v>2392</v>
      </c>
      <c r="B2397" s="11">
        <v>45743.666666666664</v>
      </c>
      <c r="C2397" s="7">
        <v>563.84519999999998</v>
      </c>
      <c r="D2397">
        <v>11607425</v>
      </c>
    </row>
    <row r="2398" spans="1:4">
      <c r="A2398">
        <v>2393</v>
      </c>
      <c r="B2398" s="11">
        <v>45743.645833333336</v>
      </c>
      <c r="C2398" s="7">
        <v>563.84519999999998</v>
      </c>
      <c r="D2398">
        <v>7342168</v>
      </c>
    </row>
    <row r="2399" spans="1:4">
      <c r="A2399">
        <v>2394</v>
      </c>
      <c r="B2399" s="11">
        <v>45743.625</v>
      </c>
      <c r="C2399" s="7">
        <v>566.50980000000004</v>
      </c>
      <c r="D2399">
        <v>2361421</v>
      </c>
    </row>
    <row r="2400" spans="1:4">
      <c r="A2400">
        <v>2395</v>
      </c>
      <c r="B2400" s="11">
        <v>45743.604166666664</v>
      </c>
      <c r="C2400" s="7">
        <v>564.30740000000003</v>
      </c>
      <c r="D2400">
        <v>1303029</v>
      </c>
    </row>
    <row r="2401" spans="1:4">
      <c r="A2401">
        <v>2396</v>
      </c>
      <c r="B2401" s="11">
        <v>45743.583333333336</v>
      </c>
      <c r="C2401" s="7">
        <v>564.66049999999996</v>
      </c>
      <c r="D2401">
        <v>1381948</v>
      </c>
    </row>
    <row r="2402" spans="1:4">
      <c r="A2402">
        <v>2397</v>
      </c>
      <c r="B2402" s="11">
        <v>45743.5625</v>
      </c>
      <c r="C2402" s="7">
        <v>563.35789999999997</v>
      </c>
      <c r="D2402">
        <v>1146229</v>
      </c>
    </row>
    <row r="2403" spans="1:4">
      <c r="A2403">
        <v>2398</v>
      </c>
      <c r="B2403" s="11">
        <v>45743.541666666664</v>
      </c>
      <c r="C2403" s="7">
        <v>563.50699999999995</v>
      </c>
      <c r="D2403">
        <v>1592813</v>
      </c>
    </row>
    <row r="2404" spans="1:4">
      <c r="A2404">
        <v>2399</v>
      </c>
      <c r="B2404" s="11">
        <v>45743.520833333336</v>
      </c>
      <c r="C2404" s="7">
        <v>563.54690000000005</v>
      </c>
      <c r="D2404">
        <v>1339971</v>
      </c>
    </row>
    <row r="2405" spans="1:4">
      <c r="A2405">
        <v>2400</v>
      </c>
      <c r="B2405" s="11">
        <v>45743.5</v>
      </c>
      <c r="C2405" s="7">
        <v>565.44590000000005</v>
      </c>
      <c r="D2405">
        <v>1310934</v>
      </c>
    </row>
    <row r="2406" spans="1:4">
      <c r="A2406">
        <v>2401</v>
      </c>
      <c r="B2406" s="11">
        <v>45743.479166666664</v>
      </c>
      <c r="C2406" s="7">
        <v>564.74</v>
      </c>
      <c r="D2406">
        <v>1933868</v>
      </c>
    </row>
    <row r="2407" spans="1:4">
      <c r="A2407">
        <v>2402</v>
      </c>
      <c r="B2407" s="11">
        <v>45743.458333333336</v>
      </c>
      <c r="C2407" s="7">
        <v>566.61919999999998</v>
      </c>
      <c r="D2407">
        <v>1344228</v>
      </c>
    </row>
    <row r="2408" spans="1:4">
      <c r="A2408">
        <v>2403</v>
      </c>
      <c r="B2408" s="11">
        <v>45743.4375</v>
      </c>
      <c r="C2408" s="7">
        <v>567.59360000000004</v>
      </c>
      <c r="D2408">
        <v>2373150</v>
      </c>
    </row>
    <row r="2409" spans="1:4">
      <c r="A2409">
        <v>2404</v>
      </c>
      <c r="B2409" s="11">
        <v>45743.416666666664</v>
      </c>
      <c r="C2409" s="7">
        <v>566.35069999999996</v>
      </c>
      <c r="D2409">
        <v>2405957</v>
      </c>
    </row>
    <row r="2410" spans="1:4">
      <c r="A2410">
        <v>2405</v>
      </c>
      <c r="B2410" s="11">
        <v>45743.395833333336</v>
      </c>
      <c r="C2410" s="7">
        <v>565.09299999999996</v>
      </c>
      <c r="D2410">
        <v>4721107</v>
      </c>
    </row>
    <row r="2411" spans="1:4">
      <c r="A2411">
        <v>2406</v>
      </c>
      <c r="B2411" s="11">
        <v>45742.666666666664</v>
      </c>
      <c r="C2411" s="7">
        <v>565.34649999999999</v>
      </c>
      <c r="D2411">
        <v>19643862</v>
      </c>
    </row>
    <row r="2412" spans="1:4">
      <c r="A2412">
        <v>2407</v>
      </c>
      <c r="B2412" s="11">
        <v>45742.645833333336</v>
      </c>
      <c r="C2412" s="7">
        <v>565.34649999999999</v>
      </c>
      <c r="D2412">
        <v>8668332</v>
      </c>
    </row>
    <row r="2413" spans="1:4">
      <c r="A2413">
        <v>2408</v>
      </c>
      <c r="B2413" s="11">
        <v>45742.625</v>
      </c>
      <c r="C2413" s="7">
        <v>564.51130000000001</v>
      </c>
      <c r="D2413">
        <v>2421332</v>
      </c>
    </row>
    <row r="2414" spans="1:4">
      <c r="A2414">
        <v>2409</v>
      </c>
      <c r="B2414" s="11">
        <v>45742.604166666664</v>
      </c>
      <c r="C2414" s="7">
        <v>564.19309999999996</v>
      </c>
      <c r="D2414">
        <v>1632013</v>
      </c>
    </row>
    <row r="2415" spans="1:4">
      <c r="A2415">
        <v>2410</v>
      </c>
      <c r="B2415" s="11">
        <v>45742.583333333336</v>
      </c>
      <c r="C2415" s="7">
        <v>565.91319999999996</v>
      </c>
      <c r="D2415">
        <v>1623070</v>
      </c>
    </row>
    <row r="2416" spans="1:4">
      <c r="A2416">
        <v>2411</v>
      </c>
      <c r="B2416" s="11">
        <v>45742.5625</v>
      </c>
      <c r="C2416" s="7">
        <v>564.82899999999995</v>
      </c>
      <c r="D2416">
        <v>1893300</v>
      </c>
    </row>
    <row r="2417" spans="1:4">
      <c r="A2417">
        <v>2412</v>
      </c>
      <c r="B2417" s="11">
        <v>45742.541666666664</v>
      </c>
      <c r="C2417" s="7">
        <v>565.65970000000004</v>
      </c>
      <c r="D2417">
        <v>1690551</v>
      </c>
    </row>
    <row r="2418" spans="1:4">
      <c r="A2418">
        <v>2413</v>
      </c>
      <c r="B2418" s="11">
        <v>45742.520833333336</v>
      </c>
      <c r="C2418" s="7">
        <v>566.14200000000005</v>
      </c>
      <c r="D2418">
        <v>1632177</v>
      </c>
    </row>
    <row r="2419" spans="1:4">
      <c r="A2419">
        <v>2414</v>
      </c>
      <c r="B2419" s="11">
        <v>45742.5</v>
      </c>
      <c r="C2419" s="7">
        <v>567.80240000000003</v>
      </c>
      <c r="D2419">
        <v>1837764</v>
      </c>
    </row>
    <row r="2420" spans="1:4">
      <c r="A2420">
        <v>2415</v>
      </c>
      <c r="B2420" s="11">
        <v>45742.479166666664</v>
      </c>
      <c r="C2420" s="7">
        <v>567.34500000000003</v>
      </c>
      <c r="D2420">
        <v>2110224</v>
      </c>
    </row>
    <row r="2421" spans="1:4">
      <c r="A2421">
        <v>2416</v>
      </c>
      <c r="B2421" s="11">
        <v>45742.458333333336</v>
      </c>
      <c r="C2421" s="7">
        <v>569.0453</v>
      </c>
      <c r="D2421">
        <v>1202195</v>
      </c>
    </row>
    <row r="2422" spans="1:4">
      <c r="A2422">
        <v>2417</v>
      </c>
      <c r="B2422" s="11">
        <v>45742.4375</v>
      </c>
      <c r="C2422" s="7">
        <v>570.16340000000002</v>
      </c>
      <c r="D2422">
        <v>1944320</v>
      </c>
    </row>
    <row r="2423" spans="1:4">
      <c r="A2423">
        <v>2418</v>
      </c>
      <c r="B2423" s="11">
        <v>45742.416666666664</v>
      </c>
      <c r="C2423" s="7">
        <v>570.05449999999996</v>
      </c>
      <c r="D2423">
        <v>2753762</v>
      </c>
    </row>
    <row r="2424" spans="1:4">
      <c r="A2424">
        <v>2419</v>
      </c>
      <c r="B2424" s="11">
        <v>45742.395833333336</v>
      </c>
      <c r="C2424" s="7">
        <v>570.25130000000001</v>
      </c>
      <c r="D2424">
        <v>3175994</v>
      </c>
    </row>
    <row r="2425" spans="1:4">
      <c r="A2425">
        <v>2420</v>
      </c>
      <c r="B2425" s="11">
        <v>45741.666666666664</v>
      </c>
      <c r="C2425" s="7">
        <v>572.17729999999995</v>
      </c>
      <c r="D2425">
        <v>13071439</v>
      </c>
    </row>
    <row r="2426" spans="1:4">
      <c r="A2426">
        <v>2421</v>
      </c>
      <c r="B2426" s="11">
        <v>45741.645833333336</v>
      </c>
      <c r="C2426" s="7">
        <v>572.17729999999995</v>
      </c>
      <c r="D2426">
        <v>6677132</v>
      </c>
    </row>
    <row r="2427" spans="1:4">
      <c r="A2427">
        <v>2422</v>
      </c>
      <c r="B2427" s="11">
        <v>45741.625</v>
      </c>
      <c r="C2427" s="7">
        <v>570.91459999999995</v>
      </c>
      <c r="D2427">
        <v>1685503</v>
      </c>
    </row>
    <row r="2428" spans="1:4">
      <c r="A2428">
        <v>2423</v>
      </c>
      <c r="B2428" s="11">
        <v>45741.604166666664</v>
      </c>
      <c r="C2428" s="7">
        <v>570.65599999999995</v>
      </c>
      <c r="D2428">
        <v>1438377</v>
      </c>
    </row>
    <row r="2429" spans="1:4">
      <c r="A2429">
        <v>2424</v>
      </c>
      <c r="B2429" s="11">
        <v>45741.583333333336</v>
      </c>
      <c r="C2429" s="7">
        <v>571.18799999999999</v>
      </c>
      <c r="D2429">
        <v>1446623</v>
      </c>
    </row>
    <row r="2430" spans="1:4">
      <c r="A2430">
        <v>2425</v>
      </c>
      <c r="B2430" s="11">
        <v>45741.5625</v>
      </c>
      <c r="C2430" s="7">
        <v>570.81510000000003</v>
      </c>
      <c r="D2430">
        <v>1093473</v>
      </c>
    </row>
    <row r="2431" spans="1:4">
      <c r="A2431">
        <v>2426</v>
      </c>
      <c r="B2431" s="11">
        <v>45741.541666666664</v>
      </c>
      <c r="C2431" s="7">
        <v>570.92449999999997</v>
      </c>
      <c r="D2431">
        <v>1247621</v>
      </c>
    </row>
    <row r="2432" spans="1:4">
      <c r="A2432">
        <v>2427</v>
      </c>
      <c r="B2432" s="11">
        <v>45741.520833333336</v>
      </c>
      <c r="C2432" s="7">
        <v>571.68020000000001</v>
      </c>
      <c r="D2432">
        <v>945336</v>
      </c>
    </row>
    <row r="2433" spans="1:4">
      <c r="A2433">
        <v>2428</v>
      </c>
      <c r="B2433" s="11">
        <v>45741.5</v>
      </c>
      <c r="C2433" s="7">
        <v>571.25260000000003</v>
      </c>
      <c r="D2433">
        <v>995777</v>
      </c>
    </row>
    <row r="2434" spans="1:4">
      <c r="A2434">
        <v>2429</v>
      </c>
      <c r="B2434" s="11">
        <v>45741.479166666664</v>
      </c>
      <c r="C2434" s="7">
        <v>571.49130000000002</v>
      </c>
      <c r="D2434">
        <v>1231484</v>
      </c>
    </row>
    <row r="2435" spans="1:4">
      <c r="A2435">
        <v>2430</v>
      </c>
      <c r="B2435" s="11">
        <v>45741.458333333336</v>
      </c>
      <c r="C2435" s="7">
        <v>572.41600000000005</v>
      </c>
      <c r="D2435">
        <v>1097131</v>
      </c>
    </row>
    <row r="2436" spans="1:4">
      <c r="A2436">
        <v>2431</v>
      </c>
      <c r="B2436" s="11">
        <v>45741.4375</v>
      </c>
      <c r="C2436" s="7">
        <v>572.6943</v>
      </c>
      <c r="D2436">
        <v>1943192</v>
      </c>
    </row>
    <row r="2437" spans="1:4">
      <c r="A2437">
        <v>2432</v>
      </c>
      <c r="B2437" s="11">
        <v>45741.416666666664</v>
      </c>
      <c r="C2437" s="7">
        <v>572.52530000000002</v>
      </c>
      <c r="D2437">
        <v>2432328</v>
      </c>
    </row>
    <row r="2438" spans="1:4">
      <c r="A2438">
        <v>2433</v>
      </c>
      <c r="B2438" s="11">
        <v>45741.395833333336</v>
      </c>
      <c r="C2438" s="7">
        <v>571.42660000000001</v>
      </c>
      <c r="D2438">
        <v>3050320</v>
      </c>
    </row>
    <row r="2439" spans="1:4">
      <c r="A2439">
        <v>2434</v>
      </c>
      <c r="B2439" s="11">
        <v>45740.666666666664</v>
      </c>
      <c r="C2439" s="7">
        <v>570.80520000000001</v>
      </c>
      <c r="D2439">
        <v>23437063</v>
      </c>
    </row>
    <row r="2440" spans="1:4">
      <c r="A2440">
        <v>2435</v>
      </c>
      <c r="B2440" s="11">
        <v>45740.645833333336</v>
      </c>
      <c r="C2440" s="7">
        <v>570.80520000000001</v>
      </c>
      <c r="D2440">
        <v>9868734</v>
      </c>
    </row>
    <row r="2441" spans="1:4">
      <c r="A2441">
        <v>2436</v>
      </c>
      <c r="B2441" s="11">
        <v>45740.625</v>
      </c>
      <c r="C2441" s="7">
        <v>570.71569999999997</v>
      </c>
      <c r="D2441">
        <v>2099052</v>
      </c>
    </row>
    <row r="2442" spans="1:4">
      <c r="A2442">
        <v>2437</v>
      </c>
      <c r="B2442" s="11">
        <v>45740.604166666664</v>
      </c>
      <c r="C2442" s="7">
        <v>570.36770000000001</v>
      </c>
      <c r="D2442">
        <v>2978839</v>
      </c>
    </row>
    <row r="2443" spans="1:4">
      <c r="A2443">
        <v>2438</v>
      </c>
      <c r="B2443" s="11">
        <v>45740.583333333336</v>
      </c>
      <c r="C2443" s="7">
        <v>569.13980000000004</v>
      </c>
      <c r="D2443">
        <v>1492882</v>
      </c>
    </row>
    <row r="2444" spans="1:4">
      <c r="A2444">
        <v>2439</v>
      </c>
      <c r="B2444" s="11">
        <v>45740.5625</v>
      </c>
      <c r="C2444" s="7">
        <v>569.82569999999998</v>
      </c>
      <c r="D2444">
        <v>1317241</v>
      </c>
    </row>
    <row r="2445" spans="1:4">
      <c r="A2445">
        <v>2440</v>
      </c>
      <c r="B2445" s="11">
        <v>45740.541666666664</v>
      </c>
      <c r="C2445" s="7">
        <v>569.81089999999995</v>
      </c>
      <c r="D2445">
        <v>1506861</v>
      </c>
    </row>
    <row r="2446" spans="1:4">
      <c r="A2446">
        <v>2441</v>
      </c>
      <c r="B2446" s="11">
        <v>45740.520833333336</v>
      </c>
      <c r="C2446" s="7">
        <v>569.87049999999999</v>
      </c>
      <c r="D2446">
        <v>1610787</v>
      </c>
    </row>
    <row r="2447" spans="1:4">
      <c r="A2447">
        <v>2442</v>
      </c>
      <c r="B2447" s="11">
        <v>45740.5</v>
      </c>
      <c r="C2447" s="7">
        <v>570.03959999999995</v>
      </c>
      <c r="D2447">
        <v>1917020</v>
      </c>
    </row>
    <row r="2448" spans="1:4">
      <c r="A2448">
        <v>2443</v>
      </c>
      <c r="B2448" s="11">
        <v>45740.479166666664</v>
      </c>
      <c r="C2448" s="7">
        <v>570.63610000000006</v>
      </c>
      <c r="D2448">
        <v>1341308</v>
      </c>
    </row>
    <row r="2449" spans="1:4">
      <c r="A2449">
        <v>2444</v>
      </c>
      <c r="B2449" s="11">
        <v>45740.458333333336</v>
      </c>
      <c r="C2449" s="7">
        <v>570.46709999999996</v>
      </c>
      <c r="D2449">
        <v>1562019</v>
      </c>
    </row>
    <row r="2450" spans="1:4">
      <c r="A2450">
        <v>2445</v>
      </c>
      <c r="B2450" s="11">
        <v>45740.4375</v>
      </c>
      <c r="C2450" s="7">
        <v>570.31799999999998</v>
      </c>
      <c r="D2450">
        <v>2357597</v>
      </c>
    </row>
    <row r="2451" spans="1:4">
      <c r="A2451">
        <v>2446</v>
      </c>
      <c r="B2451" s="11">
        <v>45740.416666666664</v>
      </c>
      <c r="C2451" s="7">
        <v>569.88049999999998</v>
      </c>
      <c r="D2451">
        <v>2447610</v>
      </c>
    </row>
    <row r="2452" spans="1:4">
      <c r="A2452">
        <v>2447</v>
      </c>
      <c r="B2452" s="11">
        <v>45740.395833333336</v>
      </c>
      <c r="C2452" s="7">
        <v>569.52750000000003</v>
      </c>
      <c r="D2452">
        <v>4829783</v>
      </c>
    </row>
    <row r="2453" spans="1:4">
      <c r="A2453">
        <v>2448</v>
      </c>
      <c r="B2453" s="11">
        <v>45737.666666666664</v>
      </c>
      <c r="C2453" s="7">
        <v>560.76279999999997</v>
      </c>
      <c r="D2453">
        <v>44481266</v>
      </c>
    </row>
    <row r="2454" spans="1:4">
      <c r="A2454">
        <v>2449</v>
      </c>
      <c r="B2454" s="11">
        <v>45737.645833333336</v>
      </c>
      <c r="C2454" s="7">
        <v>560.74289999999996</v>
      </c>
      <c r="D2454">
        <v>13739369</v>
      </c>
    </row>
    <row r="2455" spans="1:4">
      <c r="A2455">
        <v>2450</v>
      </c>
      <c r="B2455" s="11">
        <v>45737.625</v>
      </c>
      <c r="C2455" s="7">
        <v>558.81399999999996</v>
      </c>
      <c r="D2455">
        <v>2111819</v>
      </c>
    </row>
    <row r="2456" spans="1:4">
      <c r="A2456">
        <v>2451</v>
      </c>
      <c r="B2456" s="11">
        <v>45737.604166666664</v>
      </c>
      <c r="C2456" s="7">
        <v>559.34090000000003</v>
      </c>
      <c r="D2456">
        <v>1594319</v>
      </c>
    </row>
    <row r="2457" spans="1:4">
      <c r="A2457">
        <v>2452</v>
      </c>
      <c r="B2457" s="11">
        <v>45737.583333333336</v>
      </c>
      <c r="C2457" s="7">
        <v>558.91340000000002</v>
      </c>
      <c r="D2457">
        <v>1683597</v>
      </c>
    </row>
    <row r="2458" spans="1:4">
      <c r="A2458">
        <v>2453</v>
      </c>
      <c r="B2458" s="11">
        <v>45737.5625</v>
      </c>
      <c r="C2458" s="7">
        <v>559.68399999999997</v>
      </c>
      <c r="D2458">
        <v>1643655</v>
      </c>
    </row>
    <row r="2459" spans="1:4">
      <c r="A2459">
        <v>2454</v>
      </c>
      <c r="B2459" s="11">
        <v>45737.541666666664</v>
      </c>
      <c r="C2459" s="7">
        <v>558.89350000000002</v>
      </c>
      <c r="D2459">
        <v>1354991</v>
      </c>
    </row>
    <row r="2460" spans="1:4">
      <c r="A2460">
        <v>2455</v>
      </c>
      <c r="B2460" s="11">
        <v>45737.520833333336</v>
      </c>
      <c r="C2460" s="7">
        <v>560.40480000000002</v>
      </c>
      <c r="D2460">
        <v>1866892</v>
      </c>
    </row>
    <row r="2461" spans="1:4">
      <c r="A2461">
        <v>2456</v>
      </c>
      <c r="B2461" s="11">
        <v>45737.5</v>
      </c>
      <c r="C2461" s="7">
        <v>559.15200000000004</v>
      </c>
      <c r="D2461">
        <v>2888490</v>
      </c>
    </row>
    <row r="2462" spans="1:4">
      <c r="A2462">
        <v>2457</v>
      </c>
      <c r="B2462" s="11">
        <v>45737.479166666664</v>
      </c>
      <c r="C2462" s="7">
        <v>556.12940000000003</v>
      </c>
      <c r="D2462">
        <v>1288490</v>
      </c>
    </row>
    <row r="2463" spans="1:4">
      <c r="A2463">
        <v>2458</v>
      </c>
      <c r="B2463" s="11">
        <v>45737.458333333336</v>
      </c>
      <c r="C2463" s="7">
        <v>556.61659999999995</v>
      </c>
      <c r="D2463">
        <v>1672206</v>
      </c>
    </row>
    <row r="2464" spans="1:4">
      <c r="A2464">
        <v>2459</v>
      </c>
      <c r="B2464" s="11">
        <v>45737.4375</v>
      </c>
      <c r="C2464" s="7">
        <v>558.33569999999997</v>
      </c>
      <c r="D2464">
        <v>1866666</v>
      </c>
    </row>
    <row r="2465" spans="1:4">
      <c r="A2465">
        <v>2460</v>
      </c>
      <c r="B2465" s="11">
        <v>45737.416666666664</v>
      </c>
      <c r="C2465" s="7">
        <v>556.59670000000006</v>
      </c>
      <c r="D2465">
        <v>2235949</v>
      </c>
    </row>
    <row r="2466" spans="1:4">
      <c r="A2466">
        <v>2461</v>
      </c>
      <c r="B2466" s="11">
        <v>45737.395833333336</v>
      </c>
      <c r="C2466" s="7">
        <v>556.73649999999998</v>
      </c>
      <c r="D2466">
        <v>5335251</v>
      </c>
    </row>
    <row r="2467" spans="1:4">
      <c r="A2467">
        <v>2462</v>
      </c>
      <c r="B2467" s="11">
        <v>45736.666666666664</v>
      </c>
      <c r="C2467" s="7">
        <v>560.57820000000004</v>
      </c>
      <c r="D2467">
        <v>26094821</v>
      </c>
    </row>
    <row r="2468" spans="1:4">
      <c r="A2468">
        <v>2463</v>
      </c>
      <c r="B2468" s="11">
        <v>45736.645833333336</v>
      </c>
      <c r="C2468" s="7">
        <v>560.79639999999995</v>
      </c>
      <c r="D2468">
        <v>9519700</v>
      </c>
    </row>
    <row r="2469" spans="1:4">
      <c r="A2469">
        <v>2464</v>
      </c>
      <c r="B2469" s="11">
        <v>45736.625</v>
      </c>
      <c r="C2469" s="7">
        <v>559.89919999999995</v>
      </c>
      <c r="D2469">
        <v>2737038</v>
      </c>
    </row>
    <row r="2470" spans="1:4">
      <c r="A2470">
        <v>2465</v>
      </c>
      <c r="B2470" s="11">
        <v>45736.604166666664</v>
      </c>
      <c r="C2470" s="7">
        <v>559.47789999999998</v>
      </c>
      <c r="D2470">
        <v>2764366</v>
      </c>
    </row>
    <row r="2471" spans="1:4">
      <c r="A2471">
        <v>2466</v>
      </c>
      <c r="B2471" s="11">
        <v>45736.583333333336</v>
      </c>
      <c r="C2471" s="7">
        <v>559.23009999999999</v>
      </c>
      <c r="D2471">
        <v>1713027</v>
      </c>
    </row>
    <row r="2472" spans="1:4">
      <c r="A2472">
        <v>2467</v>
      </c>
      <c r="B2472" s="11">
        <v>45736.5625</v>
      </c>
      <c r="C2472" s="7">
        <v>560.28009999999995</v>
      </c>
      <c r="D2472">
        <v>1642805</v>
      </c>
    </row>
    <row r="2473" spans="1:4">
      <c r="A2473">
        <v>2468</v>
      </c>
      <c r="B2473" s="11">
        <v>45736.541666666664</v>
      </c>
      <c r="C2473" s="7">
        <v>559.8741</v>
      </c>
      <c r="D2473">
        <v>1620936</v>
      </c>
    </row>
    <row r="2474" spans="1:4">
      <c r="A2474">
        <v>2469</v>
      </c>
      <c r="B2474" s="11">
        <v>45736.520833333336</v>
      </c>
      <c r="C2474" s="7">
        <v>560.90549999999996</v>
      </c>
      <c r="D2474">
        <v>1841618</v>
      </c>
    </row>
    <row r="2475" spans="1:4">
      <c r="A2475">
        <v>2470</v>
      </c>
      <c r="B2475" s="11">
        <v>45736.5</v>
      </c>
      <c r="C2475" s="7">
        <v>561.24239999999998</v>
      </c>
      <c r="D2475">
        <v>2198540</v>
      </c>
    </row>
    <row r="2476" spans="1:4">
      <c r="A2476">
        <v>2471</v>
      </c>
      <c r="B2476" s="11">
        <v>45736.479166666664</v>
      </c>
      <c r="C2476" s="7">
        <v>563.10630000000003</v>
      </c>
      <c r="D2476">
        <v>1988015</v>
      </c>
    </row>
    <row r="2477" spans="1:4">
      <c r="A2477">
        <v>2472</v>
      </c>
      <c r="B2477" s="11">
        <v>45736.458333333336</v>
      </c>
      <c r="C2477" s="7">
        <v>563.96860000000004</v>
      </c>
      <c r="D2477">
        <v>1683351</v>
      </c>
    </row>
    <row r="2478" spans="1:4">
      <c r="A2478">
        <v>2473</v>
      </c>
      <c r="B2478" s="11">
        <v>45736.4375</v>
      </c>
      <c r="C2478" s="7">
        <v>564.55349999999999</v>
      </c>
      <c r="D2478">
        <v>2019260</v>
      </c>
    </row>
    <row r="2479" spans="1:4">
      <c r="A2479">
        <v>2474</v>
      </c>
      <c r="B2479" s="11">
        <v>45736.416666666664</v>
      </c>
      <c r="C2479" s="7">
        <v>564.54349999999999</v>
      </c>
      <c r="D2479">
        <v>3494509</v>
      </c>
    </row>
    <row r="2480" spans="1:4">
      <c r="A2480">
        <v>2475</v>
      </c>
      <c r="B2480" s="11">
        <v>45736.395833333336</v>
      </c>
      <c r="C2480" s="7">
        <v>561.68849999999998</v>
      </c>
      <c r="D2480">
        <v>3640210</v>
      </c>
    </row>
    <row r="2481" spans="1:4">
      <c r="A2481">
        <v>2476</v>
      </c>
      <c r="B2481" s="11">
        <v>45735.666666666664</v>
      </c>
      <c r="C2481" s="7">
        <v>562.20399999999995</v>
      </c>
      <c r="D2481">
        <v>27701875</v>
      </c>
    </row>
    <row r="2482" spans="1:4">
      <c r="A2482">
        <v>2477</v>
      </c>
      <c r="B2482" s="11">
        <v>45735.645833333336</v>
      </c>
      <c r="C2482" s="7">
        <v>562.23379999999997</v>
      </c>
      <c r="D2482">
        <v>10729524</v>
      </c>
    </row>
    <row r="2483" spans="1:4">
      <c r="A2483">
        <v>2478</v>
      </c>
      <c r="B2483" s="11">
        <v>45735.625</v>
      </c>
      <c r="C2483" s="7">
        <v>562.15940000000001</v>
      </c>
      <c r="D2483">
        <v>6591472</v>
      </c>
    </row>
    <row r="2484" spans="1:4">
      <c r="A2484">
        <v>2479</v>
      </c>
      <c r="B2484" s="11">
        <v>45735.604166666664</v>
      </c>
      <c r="C2484" s="7">
        <v>563.30439999999999</v>
      </c>
      <c r="D2484">
        <v>3986869</v>
      </c>
    </row>
    <row r="2485" spans="1:4">
      <c r="A2485">
        <v>2480</v>
      </c>
      <c r="B2485" s="11">
        <v>45735.583333333336</v>
      </c>
      <c r="C2485" s="7">
        <v>559.83479999999997</v>
      </c>
      <c r="D2485">
        <v>3592192</v>
      </c>
    </row>
    <row r="2486" spans="1:4">
      <c r="A2486">
        <v>2481</v>
      </c>
      <c r="B2486" s="11">
        <v>45735.5625</v>
      </c>
      <c r="C2486" s="7">
        <v>557.87199999999996</v>
      </c>
      <c r="D2486">
        <v>1261876</v>
      </c>
    </row>
    <row r="2487" spans="1:4">
      <c r="A2487">
        <v>2482</v>
      </c>
      <c r="B2487" s="11">
        <v>45735.541666666664</v>
      </c>
      <c r="C2487" s="7">
        <v>558.48789999999997</v>
      </c>
      <c r="D2487">
        <v>1256609</v>
      </c>
    </row>
    <row r="2488" spans="1:4">
      <c r="A2488">
        <v>2483</v>
      </c>
      <c r="B2488" s="11">
        <v>45735.520833333336</v>
      </c>
      <c r="C2488" s="7">
        <v>559.97360000000003</v>
      </c>
      <c r="D2488">
        <v>933003</v>
      </c>
    </row>
    <row r="2489" spans="1:4">
      <c r="A2489">
        <v>2484</v>
      </c>
      <c r="B2489" s="11">
        <v>45735.5</v>
      </c>
      <c r="C2489" s="7">
        <v>560.62789999999995</v>
      </c>
      <c r="D2489">
        <v>1169906</v>
      </c>
    </row>
    <row r="2490" spans="1:4">
      <c r="A2490">
        <v>2485</v>
      </c>
      <c r="B2490" s="11">
        <v>45735.479166666664</v>
      </c>
      <c r="C2490" s="7">
        <v>560.84590000000003</v>
      </c>
      <c r="D2490">
        <v>1578164</v>
      </c>
    </row>
    <row r="2491" spans="1:4">
      <c r="A2491">
        <v>2486</v>
      </c>
      <c r="B2491" s="11">
        <v>45735.458333333336</v>
      </c>
      <c r="C2491" s="7">
        <v>559.69600000000003</v>
      </c>
      <c r="D2491">
        <v>1249190</v>
      </c>
    </row>
    <row r="2492" spans="1:4">
      <c r="A2492">
        <v>2487</v>
      </c>
      <c r="B2492" s="11">
        <v>45735.4375</v>
      </c>
      <c r="C2492" s="7">
        <v>558.45680000000004</v>
      </c>
      <c r="D2492">
        <v>1537902</v>
      </c>
    </row>
    <row r="2493" spans="1:4">
      <c r="A2493">
        <v>2488</v>
      </c>
      <c r="B2493" s="11">
        <v>45735.416666666664</v>
      </c>
      <c r="C2493" s="7">
        <v>559.60820000000001</v>
      </c>
      <c r="D2493">
        <v>2105049</v>
      </c>
    </row>
    <row r="2494" spans="1:4">
      <c r="A2494">
        <v>2489</v>
      </c>
      <c r="B2494" s="11">
        <v>45735.395833333336</v>
      </c>
      <c r="C2494" s="7">
        <v>559.21029999999996</v>
      </c>
      <c r="D2494">
        <v>2862353</v>
      </c>
    </row>
    <row r="2495" spans="1:4">
      <c r="A2495">
        <v>2490</v>
      </c>
      <c r="B2495" s="11">
        <v>45734.666666666664</v>
      </c>
      <c r="C2495" s="7">
        <v>556.1472</v>
      </c>
      <c r="D2495">
        <v>33361803</v>
      </c>
    </row>
    <row r="2496" spans="1:4">
      <c r="A2496">
        <v>2491</v>
      </c>
      <c r="B2496" s="11">
        <v>45734.645833333336</v>
      </c>
      <c r="C2496" s="7">
        <v>556.1472</v>
      </c>
      <c r="D2496">
        <v>8187947</v>
      </c>
    </row>
    <row r="2497" spans="1:4">
      <c r="A2497">
        <v>2492</v>
      </c>
      <c r="B2497" s="11">
        <v>45734.625</v>
      </c>
      <c r="C2497" s="7">
        <v>556.4049</v>
      </c>
      <c r="D2497">
        <v>1474113</v>
      </c>
    </row>
    <row r="2498" spans="1:4">
      <c r="A2498">
        <v>2493</v>
      </c>
      <c r="B2498" s="11">
        <v>45734.604166666664</v>
      </c>
      <c r="C2498" s="7">
        <v>556.48299999999995</v>
      </c>
      <c r="D2498">
        <v>1456900</v>
      </c>
    </row>
    <row r="2499" spans="1:4">
      <c r="A2499">
        <v>2494</v>
      </c>
      <c r="B2499" s="11">
        <v>45734.583333333336</v>
      </c>
      <c r="C2499" s="7">
        <v>555.64149999999995</v>
      </c>
      <c r="D2499">
        <v>1184798</v>
      </c>
    </row>
    <row r="2500" spans="1:4">
      <c r="A2500">
        <v>2495</v>
      </c>
      <c r="B2500" s="11">
        <v>45734.5625</v>
      </c>
      <c r="C2500" s="7">
        <v>555.94889999999998</v>
      </c>
      <c r="D2500">
        <v>1301424</v>
      </c>
    </row>
    <row r="2501" spans="1:4">
      <c r="A2501">
        <v>2496</v>
      </c>
      <c r="B2501" s="11">
        <v>45734.541666666664</v>
      </c>
      <c r="C2501" s="7">
        <v>555.69110000000001</v>
      </c>
      <c r="D2501">
        <v>1730884</v>
      </c>
    </row>
    <row r="2502" spans="1:4">
      <c r="A2502">
        <v>2497</v>
      </c>
      <c r="B2502" s="11">
        <v>45734.520833333336</v>
      </c>
      <c r="C2502" s="7">
        <v>555.96370000000002</v>
      </c>
      <c r="D2502">
        <v>1575985</v>
      </c>
    </row>
    <row r="2503" spans="1:4">
      <c r="A2503">
        <v>2498</v>
      </c>
      <c r="B2503" s="11">
        <v>45734.5</v>
      </c>
      <c r="C2503" s="7">
        <v>556.82119999999998</v>
      </c>
      <c r="D2503">
        <v>1825169</v>
      </c>
    </row>
    <row r="2504" spans="1:4">
      <c r="A2504">
        <v>2499</v>
      </c>
      <c r="B2504" s="11">
        <v>45734.479166666664</v>
      </c>
      <c r="C2504" s="7">
        <v>554.78909999999996</v>
      </c>
      <c r="D2504">
        <v>1601306</v>
      </c>
    </row>
    <row r="2505" spans="1:4">
      <c r="A2505">
        <v>2500</v>
      </c>
      <c r="B2505" s="11">
        <v>45734.458333333336</v>
      </c>
      <c r="C2505" s="7">
        <v>554.99720000000002</v>
      </c>
      <c r="D2505">
        <v>2165756</v>
      </c>
    </row>
    <row r="2506" spans="1:4">
      <c r="A2506">
        <v>2501</v>
      </c>
      <c r="B2506" s="11">
        <v>45734.4375</v>
      </c>
      <c r="C2506" s="7">
        <v>555.97860000000003</v>
      </c>
      <c r="D2506">
        <v>2228276</v>
      </c>
    </row>
    <row r="2507" spans="1:4">
      <c r="A2507">
        <v>2502</v>
      </c>
      <c r="B2507" s="11">
        <v>45734.416666666664</v>
      </c>
      <c r="C2507" s="7">
        <v>556.31560000000002</v>
      </c>
      <c r="D2507">
        <v>3076691</v>
      </c>
    </row>
    <row r="2508" spans="1:4">
      <c r="A2508">
        <v>2503</v>
      </c>
      <c r="B2508" s="11">
        <v>45734.395833333336</v>
      </c>
      <c r="C2508" s="7">
        <v>555.88310000000001</v>
      </c>
      <c r="D2508">
        <v>4870372</v>
      </c>
    </row>
    <row r="2509" spans="1:4">
      <c r="A2509">
        <v>2504</v>
      </c>
      <c r="B2509" s="11">
        <v>45733.666666666664</v>
      </c>
      <c r="C2509" s="7">
        <v>562.22389999999996</v>
      </c>
      <c r="D2509">
        <v>16657290</v>
      </c>
    </row>
    <row r="2510" spans="1:4">
      <c r="A2510">
        <v>2505</v>
      </c>
      <c r="B2510" s="11">
        <v>45733.645833333336</v>
      </c>
      <c r="C2510" s="7">
        <v>562.22389999999996</v>
      </c>
      <c r="D2510">
        <v>7980933</v>
      </c>
    </row>
    <row r="2511" spans="1:4">
      <c r="A2511">
        <v>2506</v>
      </c>
      <c r="B2511" s="11">
        <v>45733.625</v>
      </c>
      <c r="C2511" s="7">
        <v>563.95870000000002</v>
      </c>
      <c r="D2511">
        <v>2266966</v>
      </c>
    </row>
    <row r="2512" spans="1:4">
      <c r="A2512">
        <v>2507</v>
      </c>
      <c r="B2512" s="11">
        <v>45733.604166666664</v>
      </c>
      <c r="C2512" s="7">
        <v>564.2604</v>
      </c>
      <c r="D2512">
        <v>2238727</v>
      </c>
    </row>
    <row r="2513" spans="1:4">
      <c r="A2513">
        <v>2508</v>
      </c>
      <c r="B2513" s="11">
        <v>45733.583333333336</v>
      </c>
      <c r="C2513" s="7">
        <v>563.69100000000003</v>
      </c>
      <c r="D2513">
        <v>2749091</v>
      </c>
    </row>
    <row r="2514" spans="1:4">
      <c r="A2514">
        <v>2509</v>
      </c>
      <c r="B2514" s="11">
        <v>45733.5625</v>
      </c>
      <c r="C2514" s="7">
        <v>562.18420000000003</v>
      </c>
      <c r="D2514">
        <v>1648483</v>
      </c>
    </row>
    <row r="2515" spans="1:4">
      <c r="A2515">
        <v>2510</v>
      </c>
      <c r="B2515" s="11">
        <v>45733.541666666664</v>
      </c>
      <c r="C2515" s="7">
        <v>560.92499999999995</v>
      </c>
      <c r="D2515">
        <v>1212716</v>
      </c>
    </row>
    <row r="2516" spans="1:4">
      <c r="A2516">
        <v>2511</v>
      </c>
      <c r="B2516" s="11">
        <v>45733.520833333336</v>
      </c>
      <c r="C2516" s="7">
        <v>559.62660000000005</v>
      </c>
      <c r="D2516">
        <v>1173476</v>
      </c>
    </row>
    <row r="2517" spans="1:4">
      <c r="A2517">
        <v>2512</v>
      </c>
      <c r="B2517" s="11">
        <v>45733.5</v>
      </c>
      <c r="C2517" s="7">
        <v>558.97239999999999</v>
      </c>
      <c r="D2517">
        <v>1087812</v>
      </c>
    </row>
    <row r="2518" spans="1:4">
      <c r="A2518">
        <v>2513</v>
      </c>
      <c r="B2518" s="11">
        <v>45733.479166666664</v>
      </c>
      <c r="C2518" s="7">
        <v>558.90300000000002</v>
      </c>
      <c r="D2518">
        <v>1525734</v>
      </c>
    </row>
    <row r="2519" spans="1:4">
      <c r="A2519">
        <v>2514</v>
      </c>
      <c r="B2519" s="11">
        <v>45733.458333333336</v>
      </c>
      <c r="C2519" s="7">
        <v>559.1558</v>
      </c>
      <c r="D2519">
        <v>1629590</v>
      </c>
    </row>
    <row r="2520" spans="1:4">
      <c r="A2520">
        <v>2515</v>
      </c>
      <c r="B2520" s="11">
        <v>45733.4375</v>
      </c>
      <c r="C2520" s="7">
        <v>559.13099999999997</v>
      </c>
      <c r="D2520">
        <v>1928177</v>
      </c>
    </row>
    <row r="2521" spans="1:4">
      <c r="A2521">
        <v>2516</v>
      </c>
      <c r="B2521" s="11">
        <v>45733.416666666664</v>
      </c>
      <c r="C2521" s="7">
        <v>559.577</v>
      </c>
      <c r="D2521">
        <v>2258448</v>
      </c>
    </row>
    <row r="2522" spans="1:4">
      <c r="A2522">
        <v>2517</v>
      </c>
      <c r="B2522" s="11">
        <v>45733.395833333336</v>
      </c>
      <c r="C2522" s="7">
        <v>560.50390000000004</v>
      </c>
      <c r="D2522">
        <v>4651265</v>
      </c>
    </row>
    <row r="2523" spans="1:4">
      <c r="A2523">
        <v>2518</v>
      </c>
      <c r="B2523" s="11">
        <v>45730.666666666664</v>
      </c>
      <c r="C2523" s="7">
        <v>557.92160000000001</v>
      </c>
      <c r="D2523">
        <v>23272102</v>
      </c>
    </row>
    <row r="2524" spans="1:4">
      <c r="A2524">
        <v>2519</v>
      </c>
      <c r="B2524" s="11">
        <v>45730.645833333336</v>
      </c>
      <c r="C2524" s="7">
        <v>557.84220000000005</v>
      </c>
      <c r="D2524">
        <v>10485052</v>
      </c>
    </row>
    <row r="2525" spans="1:4">
      <c r="A2525">
        <v>2520</v>
      </c>
      <c r="B2525" s="11">
        <v>45730.625</v>
      </c>
      <c r="C2525" s="7">
        <v>556.95010000000002</v>
      </c>
      <c r="D2525">
        <v>2054884</v>
      </c>
    </row>
    <row r="2526" spans="1:4">
      <c r="A2526">
        <v>2521</v>
      </c>
      <c r="B2526" s="11">
        <v>45730.604166666664</v>
      </c>
      <c r="C2526" s="7">
        <v>556.85599999999999</v>
      </c>
      <c r="D2526">
        <v>1803387</v>
      </c>
    </row>
    <row r="2527" spans="1:4">
      <c r="A2527">
        <v>2522</v>
      </c>
      <c r="B2527" s="11">
        <v>45730.583333333336</v>
      </c>
      <c r="C2527" s="7">
        <v>555.83979999999997</v>
      </c>
      <c r="D2527">
        <v>1791395</v>
      </c>
    </row>
    <row r="2528" spans="1:4">
      <c r="A2528">
        <v>2523</v>
      </c>
      <c r="B2528" s="11">
        <v>45730.5625</v>
      </c>
      <c r="C2528" s="7">
        <v>555.80010000000004</v>
      </c>
      <c r="D2528">
        <v>1949061</v>
      </c>
    </row>
    <row r="2529" spans="1:4">
      <c r="A2529">
        <v>2524</v>
      </c>
      <c r="B2529" s="11">
        <v>45730.541666666664</v>
      </c>
      <c r="C2529" s="7">
        <v>556.55340000000001</v>
      </c>
      <c r="D2529">
        <v>2012855</v>
      </c>
    </row>
    <row r="2530" spans="1:4">
      <c r="A2530">
        <v>2525</v>
      </c>
      <c r="B2530" s="11">
        <v>45730.520833333336</v>
      </c>
      <c r="C2530" s="7">
        <v>557.04920000000004</v>
      </c>
      <c r="D2530">
        <v>1932079</v>
      </c>
    </row>
    <row r="2531" spans="1:4">
      <c r="A2531">
        <v>2526</v>
      </c>
      <c r="B2531" s="11">
        <v>45730.5</v>
      </c>
      <c r="C2531" s="7">
        <v>555.32929999999999</v>
      </c>
      <c r="D2531">
        <v>1546660</v>
      </c>
    </row>
    <row r="2532" spans="1:4">
      <c r="A2532">
        <v>2527</v>
      </c>
      <c r="B2532" s="11">
        <v>45730.479166666664</v>
      </c>
      <c r="C2532" s="7">
        <v>557.22760000000005</v>
      </c>
      <c r="D2532">
        <v>1922389</v>
      </c>
    </row>
    <row r="2533" spans="1:4">
      <c r="A2533">
        <v>2528</v>
      </c>
      <c r="B2533" s="11">
        <v>45730.458333333336</v>
      </c>
      <c r="C2533" s="7">
        <v>556.20680000000004</v>
      </c>
      <c r="D2533">
        <v>2307136</v>
      </c>
    </row>
    <row r="2534" spans="1:4">
      <c r="A2534">
        <v>2529</v>
      </c>
      <c r="B2534" s="11">
        <v>45730.4375</v>
      </c>
      <c r="C2534" s="7">
        <v>555.52260000000001</v>
      </c>
      <c r="D2534">
        <v>2073895</v>
      </c>
    </row>
    <row r="2535" spans="1:4">
      <c r="A2535">
        <v>2530</v>
      </c>
      <c r="B2535" s="11">
        <v>45730.416666666664</v>
      </c>
      <c r="C2535" s="7">
        <v>552.07899999999995</v>
      </c>
      <c r="D2535">
        <v>4527192</v>
      </c>
    </row>
    <row r="2536" spans="1:4">
      <c r="A2536">
        <v>2531</v>
      </c>
      <c r="B2536" s="11">
        <v>45730.395833333336</v>
      </c>
      <c r="C2536" s="7">
        <v>552.07280000000003</v>
      </c>
      <c r="D2536">
        <v>4982233</v>
      </c>
    </row>
    <row r="2537" spans="1:4">
      <c r="A2537">
        <v>2532</v>
      </c>
      <c r="B2537" s="11">
        <v>45729.666666666664</v>
      </c>
      <c r="C2537" s="7">
        <v>546.63049999999998</v>
      </c>
      <c r="D2537">
        <v>33332863</v>
      </c>
    </row>
    <row r="2538" spans="1:4">
      <c r="A2538">
        <v>2533</v>
      </c>
      <c r="B2538" s="11">
        <v>45729.645833333336</v>
      </c>
      <c r="C2538" s="7">
        <v>546.63049999999998</v>
      </c>
      <c r="D2538">
        <v>11001275</v>
      </c>
    </row>
    <row r="2539" spans="1:4">
      <c r="A2539">
        <v>2534</v>
      </c>
      <c r="B2539" s="11">
        <v>45729.625</v>
      </c>
      <c r="C2539" s="7">
        <v>546.68989999999997</v>
      </c>
      <c r="D2539">
        <v>2909677</v>
      </c>
    </row>
    <row r="2540" spans="1:4">
      <c r="A2540">
        <v>2535</v>
      </c>
      <c r="B2540" s="11">
        <v>45729.604166666664</v>
      </c>
      <c r="C2540" s="7">
        <v>548.98979999999995</v>
      </c>
      <c r="D2540">
        <v>2802139</v>
      </c>
    </row>
    <row r="2541" spans="1:4">
      <c r="A2541">
        <v>2536</v>
      </c>
      <c r="B2541" s="11">
        <v>45729.583333333336</v>
      </c>
      <c r="C2541" s="7">
        <v>548.28570000000002</v>
      </c>
      <c r="D2541">
        <v>2882136</v>
      </c>
    </row>
    <row r="2542" spans="1:4">
      <c r="A2542">
        <v>2537</v>
      </c>
      <c r="B2542" s="11">
        <v>45729.5625</v>
      </c>
      <c r="C2542" s="7">
        <v>545.22280000000001</v>
      </c>
      <c r="D2542">
        <v>2811644</v>
      </c>
    </row>
    <row r="2543" spans="1:4">
      <c r="A2543">
        <v>2538</v>
      </c>
      <c r="B2543" s="11">
        <v>45729.541666666664</v>
      </c>
      <c r="C2543" s="7">
        <v>546.22410000000002</v>
      </c>
      <c r="D2543">
        <v>2542120</v>
      </c>
    </row>
    <row r="2544" spans="1:4">
      <c r="A2544">
        <v>2539</v>
      </c>
      <c r="B2544" s="11">
        <v>45729.520833333336</v>
      </c>
      <c r="C2544" s="7">
        <v>547.7903</v>
      </c>
      <c r="D2544">
        <v>3163341</v>
      </c>
    </row>
    <row r="2545" spans="1:4">
      <c r="A2545">
        <v>2540</v>
      </c>
      <c r="B2545" s="11">
        <v>45729.5</v>
      </c>
      <c r="C2545" s="7">
        <v>547.74069999999995</v>
      </c>
      <c r="D2545">
        <v>2046320</v>
      </c>
    </row>
    <row r="2546" spans="1:4">
      <c r="A2546">
        <v>2541</v>
      </c>
      <c r="B2546" s="11">
        <v>45729.479166666664</v>
      </c>
      <c r="C2546" s="7">
        <v>547.76059999999995</v>
      </c>
      <c r="D2546">
        <v>3384171</v>
      </c>
    </row>
    <row r="2547" spans="1:4">
      <c r="A2547">
        <v>2542</v>
      </c>
      <c r="B2547" s="11">
        <v>45729.458333333336</v>
      </c>
      <c r="C2547" s="7">
        <v>549.42589999999996</v>
      </c>
      <c r="D2547">
        <v>1985860</v>
      </c>
    </row>
    <row r="2548" spans="1:4">
      <c r="A2548">
        <v>2543</v>
      </c>
      <c r="B2548" s="11">
        <v>45729.4375</v>
      </c>
      <c r="C2548" s="7">
        <v>551.25009999999997</v>
      </c>
      <c r="D2548">
        <v>2113298</v>
      </c>
    </row>
    <row r="2549" spans="1:4">
      <c r="A2549">
        <v>2544</v>
      </c>
      <c r="B2549" s="11">
        <v>45729.416666666664</v>
      </c>
      <c r="C2549" s="7">
        <v>552.32060000000001</v>
      </c>
      <c r="D2549">
        <v>3104572</v>
      </c>
    </row>
    <row r="2550" spans="1:4">
      <c r="A2550">
        <v>2545</v>
      </c>
      <c r="B2550" s="11">
        <v>45729.395833333336</v>
      </c>
      <c r="C2550" s="7">
        <v>549.94529999999997</v>
      </c>
      <c r="D2550">
        <v>3376733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203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4"/>
  <cols>
    <col min="1" max="1" width="20" customWidth="1"/>
    <col min="2" max="2" width="23" customWidth="1"/>
    <col min="3" max="3" width="17" customWidth="1"/>
    <col min="4" max="5" width="19" customWidth="1"/>
  </cols>
  <sheetData>
    <row r="1" spans="1:22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" customHeight="1">
      <c r="A2" s="2" t="s">
        <v>241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2" customHeight="1">
      <c r="A3" s="3" t="s">
        <v>242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38" customHeight="1">
      <c r="A6" s="5" t="s">
        <v>237</v>
      </c>
      <c r="B6" s="5" t="s">
        <v>238</v>
      </c>
      <c r="C6" s="5" t="s">
        <v>239</v>
      </c>
      <c r="D6" s="5" t="s">
        <v>243</v>
      </c>
      <c r="E6" s="5" t="s">
        <v>244</v>
      </c>
    </row>
    <row r="7" spans="1:22">
      <c r="A7">
        <v>2</v>
      </c>
      <c r="B7" s="10">
        <v>45992</v>
      </c>
      <c r="C7" s="7">
        <v>680.27</v>
      </c>
      <c r="D7">
        <v>61135952</v>
      </c>
      <c r="E7">
        <v>88668808</v>
      </c>
    </row>
    <row r="8" spans="1:22">
      <c r="A8">
        <v>3</v>
      </c>
      <c r="B8" s="10">
        <v>45989</v>
      </c>
      <c r="C8" s="7">
        <v>683.39</v>
      </c>
      <c r="D8">
        <v>49212032</v>
      </c>
      <c r="E8">
        <v>91299240</v>
      </c>
    </row>
    <row r="9" spans="1:22">
      <c r="A9">
        <v>4</v>
      </c>
      <c r="B9" s="10">
        <v>45987</v>
      </c>
      <c r="C9" s="7">
        <v>679.68</v>
      </c>
      <c r="D9">
        <v>71879600</v>
      </c>
      <c r="E9">
        <v>93687456</v>
      </c>
    </row>
    <row r="10" spans="1:22">
      <c r="A10">
        <v>5</v>
      </c>
      <c r="B10" s="10">
        <v>45986</v>
      </c>
      <c r="C10" s="7">
        <v>675.02</v>
      </c>
      <c r="D10">
        <v>81077088</v>
      </c>
      <c r="E10">
        <v>93855640</v>
      </c>
    </row>
    <row r="11" spans="1:22">
      <c r="A11">
        <v>6</v>
      </c>
      <c r="B11" s="10">
        <v>45985</v>
      </c>
      <c r="C11" s="7">
        <v>668.73</v>
      </c>
      <c r="D11">
        <v>80437936</v>
      </c>
      <c r="E11">
        <v>93678968</v>
      </c>
    </row>
    <row r="12" spans="1:22">
      <c r="A12">
        <v>7</v>
      </c>
      <c r="B12" s="10">
        <v>45982</v>
      </c>
      <c r="C12" s="7">
        <v>659.03</v>
      </c>
      <c r="D12">
        <v>123956200</v>
      </c>
      <c r="E12">
        <v>92137440</v>
      </c>
    </row>
    <row r="13" spans="1:22">
      <c r="A13">
        <v>8</v>
      </c>
      <c r="B13" s="10">
        <v>45981</v>
      </c>
      <c r="C13" s="7">
        <v>652.53</v>
      </c>
      <c r="D13">
        <v>165293520</v>
      </c>
      <c r="E13">
        <v>89684632</v>
      </c>
    </row>
    <row r="14" spans="1:22">
      <c r="A14">
        <v>9</v>
      </c>
      <c r="B14" s="10">
        <v>45980</v>
      </c>
      <c r="C14" s="7">
        <v>662.63</v>
      </c>
      <c r="D14">
        <v>94702952</v>
      </c>
      <c r="E14">
        <v>83754112</v>
      </c>
    </row>
    <row r="15" spans="1:22">
      <c r="A15">
        <v>10</v>
      </c>
      <c r="B15" s="10">
        <v>45979</v>
      </c>
      <c r="C15" s="7">
        <v>660.08</v>
      </c>
      <c r="D15">
        <v>114467488</v>
      </c>
      <c r="E15">
        <v>83131400</v>
      </c>
    </row>
    <row r="16" spans="1:22">
      <c r="A16">
        <v>11</v>
      </c>
      <c r="B16" s="10">
        <v>45978</v>
      </c>
      <c r="C16" s="7">
        <v>665.67</v>
      </c>
      <c r="D16">
        <v>90456104</v>
      </c>
      <c r="E16">
        <v>79616104</v>
      </c>
    </row>
    <row r="17" spans="1:5">
      <c r="A17">
        <v>12</v>
      </c>
      <c r="B17" s="10">
        <v>45975</v>
      </c>
      <c r="C17" s="7">
        <v>671.93</v>
      </c>
      <c r="D17">
        <v>96846672</v>
      </c>
      <c r="E17">
        <v>77808352</v>
      </c>
    </row>
    <row r="18" spans="1:5">
      <c r="A18">
        <v>13</v>
      </c>
      <c r="B18" s="10">
        <v>45974</v>
      </c>
      <c r="C18" s="7">
        <v>672.04</v>
      </c>
      <c r="D18">
        <v>103457792</v>
      </c>
      <c r="E18">
        <v>76309008</v>
      </c>
    </row>
    <row r="19" spans="1:5">
      <c r="A19">
        <v>14</v>
      </c>
      <c r="B19" s="10">
        <v>45973</v>
      </c>
      <c r="C19" s="7">
        <v>683.38</v>
      </c>
      <c r="D19">
        <v>62312484</v>
      </c>
      <c r="E19">
        <v>73785456</v>
      </c>
    </row>
    <row r="20" spans="1:5">
      <c r="A20">
        <v>15</v>
      </c>
      <c r="B20" s="10">
        <v>45972</v>
      </c>
      <c r="C20" s="7">
        <v>683</v>
      </c>
      <c r="D20">
        <v>58953384</v>
      </c>
      <c r="E20">
        <v>75002224</v>
      </c>
    </row>
    <row r="21" spans="1:5">
      <c r="A21">
        <v>16</v>
      </c>
      <c r="B21" s="10">
        <v>45971</v>
      </c>
      <c r="C21" s="7">
        <v>681.44</v>
      </c>
      <c r="D21">
        <v>75842888</v>
      </c>
      <c r="E21">
        <v>74821928</v>
      </c>
    </row>
    <row r="22" spans="1:5">
      <c r="A22">
        <v>17</v>
      </c>
      <c r="B22" s="10">
        <v>45968</v>
      </c>
      <c r="C22" s="7">
        <v>670.97</v>
      </c>
      <c r="D22">
        <v>100592440</v>
      </c>
      <c r="E22">
        <v>73798632</v>
      </c>
    </row>
    <row r="23" spans="1:5">
      <c r="A23">
        <v>18</v>
      </c>
      <c r="B23" s="10">
        <v>45967</v>
      </c>
      <c r="C23" s="7">
        <v>670.31</v>
      </c>
      <c r="D23">
        <v>85035296</v>
      </c>
      <c r="E23">
        <v>73525856</v>
      </c>
    </row>
    <row r="24" spans="1:5">
      <c r="A24">
        <v>19</v>
      </c>
      <c r="B24" s="10">
        <v>45966</v>
      </c>
      <c r="C24" s="7">
        <v>677.58</v>
      </c>
      <c r="D24">
        <v>74402376</v>
      </c>
      <c r="E24">
        <v>75227728</v>
      </c>
    </row>
    <row r="25" spans="1:5">
      <c r="A25">
        <v>20</v>
      </c>
      <c r="B25" s="10">
        <v>45965</v>
      </c>
      <c r="C25" s="7">
        <v>675.24</v>
      </c>
      <c r="D25">
        <v>78426968</v>
      </c>
      <c r="E25">
        <v>75714408</v>
      </c>
    </row>
    <row r="26" spans="1:5">
      <c r="A26">
        <v>21</v>
      </c>
      <c r="B26" s="10">
        <v>45964</v>
      </c>
      <c r="C26" s="7">
        <v>683.34</v>
      </c>
      <c r="D26">
        <v>57315024</v>
      </c>
      <c r="E26">
        <v>76404576</v>
      </c>
    </row>
    <row r="27" spans="1:5">
      <c r="A27">
        <v>22</v>
      </c>
      <c r="B27" s="10">
        <v>45961</v>
      </c>
      <c r="C27" s="7">
        <v>682.06</v>
      </c>
      <c r="D27">
        <v>87164120</v>
      </c>
      <c r="E27">
        <v>77887608</v>
      </c>
    </row>
    <row r="28" spans="1:5">
      <c r="A28">
        <v>23</v>
      </c>
      <c r="B28" s="10">
        <v>45960</v>
      </c>
      <c r="C28" s="7">
        <v>679.83</v>
      </c>
      <c r="D28">
        <v>76335752</v>
      </c>
      <c r="E28">
        <v>82704840</v>
      </c>
    </row>
    <row r="29" spans="1:5">
      <c r="A29">
        <v>24</v>
      </c>
      <c r="B29" s="10">
        <v>45959</v>
      </c>
      <c r="C29" s="7">
        <v>687.39</v>
      </c>
      <c r="D29">
        <v>85362208</v>
      </c>
      <c r="E29">
        <v>82049256</v>
      </c>
    </row>
    <row r="30" spans="1:5">
      <c r="A30">
        <v>25</v>
      </c>
      <c r="B30" s="10">
        <v>45958</v>
      </c>
      <c r="C30" s="7">
        <v>687.06</v>
      </c>
      <c r="D30">
        <v>61738072</v>
      </c>
      <c r="E30">
        <v>80405256</v>
      </c>
    </row>
    <row r="31" spans="1:5">
      <c r="A31">
        <v>26</v>
      </c>
      <c r="B31" s="10">
        <v>45957</v>
      </c>
      <c r="C31" s="7">
        <v>685.24</v>
      </c>
      <c r="D31">
        <v>63339792</v>
      </c>
      <c r="E31">
        <v>81090720</v>
      </c>
    </row>
    <row r="32" spans="1:5">
      <c r="A32">
        <v>27</v>
      </c>
      <c r="B32" s="10">
        <v>45954</v>
      </c>
      <c r="C32" s="7">
        <v>677.25</v>
      </c>
      <c r="D32">
        <v>74356528</v>
      </c>
      <c r="E32">
        <v>80509624</v>
      </c>
    </row>
    <row r="33" spans="1:5">
      <c r="A33">
        <v>28</v>
      </c>
      <c r="B33" s="10">
        <v>45953</v>
      </c>
      <c r="C33" s="7">
        <v>671.76</v>
      </c>
      <c r="D33">
        <v>65604460</v>
      </c>
      <c r="E33">
        <v>80252144</v>
      </c>
    </row>
    <row r="34" spans="1:5">
      <c r="A34">
        <v>29</v>
      </c>
      <c r="B34" s="10">
        <v>45952</v>
      </c>
      <c r="C34" s="7">
        <v>667.8</v>
      </c>
      <c r="D34">
        <v>80564008</v>
      </c>
      <c r="E34">
        <v>79671576</v>
      </c>
    </row>
    <row r="35" spans="1:5">
      <c r="A35">
        <v>30</v>
      </c>
      <c r="B35" s="10">
        <v>45951</v>
      </c>
      <c r="C35" s="7">
        <v>671.29</v>
      </c>
      <c r="D35">
        <v>56249032</v>
      </c>
      <c r="E35">
        <v>79137000</v>
      </c>
    </row>
    <row r="36" spans="1:5">
      <c r="A36">
        <v>31</v>
      </c>
      <c r="B36" s="10">
        <v>45950</v>
      </c>
      <c r="C36" s="7">
        <v>671.3</v>
      </c>
      <c r="D36">
        <v>60493352</v>
      </c>
      <c r="E36">
        <v>81139600</v>
      </c>
    </row>
    <row r="37" spans="1:5">
      <c r="A37">
        <v>32</v>
      </c>
      <c r="B37" s="10">
        <v>45947</v>
      </c>
      <c r="C37" s="7">
        <v>664.39</v>
      </c>
      <c r="D37">
        <v>96500872</v>
      </c>
      <c r="E37">
        <v>82006648</v>
      </c>
    </row>
    <row r="38" spans="1:5">
      <c r="A38">
        <v>33</v>
      </c>
      <c r="B38" s="10">
        <v>45946</v>
      </c>
      <c r="C38" s="7">
        <v>660.64</v>
      </c>
      <c r="D38">
        <v>110563344</v>
      </c>
      <c r="E38">
        <v>80185200</v>
      </c>
    </row>
    <row r="39" spans="1:5">
      <c r="A39">
        <v>34</v>
      </c>
      <c r="B39" s="10">
        <v>45945</v>
      </c>
      <c r="C39" s="7">
        <v>665.17</v>
      </c>
      <c r="D39">
        <v>81702552</v>
      </c>
      <c r="E39">
        <v>78789120</v>
      </c>
    </row>
    <row r="40" spans="1:5">
      <c r="A40">
        <v>35</v>
      </c>
      <c r="B40" s="10">
        <v>45944</v>
      </c>
      <c r="C40" s="7">
        <v>662.23</v>
      </c>
      <c r="D40">
        <v>88779560</v>
      </c>
      <c r="E40">
        <v>77881096</v>
      </c>
    </row>
    <row r="41" spans="1:5">
      <c r="A41">
        <v>36</v>
      </c>
      <c r="B41" s="10">
        <v>45943</v>
      </c>
      <c r="C41" s="7">
        <v>663.04</v>
      </c>
      <c r="D41">
        <v>79560520</v>
      </c>
      <c r="E41">
        <v>77409720</v>
      </c>
    </row>
    <row r="42" spans="1:5">
      <c r="A42">
        <v>37</v>
      </c>
      <c r="B42" s="10">
        <v>45940</v>
      </c>
      <c r="C42" s="7">
        <v>653.02</v>
      </c>
      <c r="D42">
        <v>159422592</v>
      </c>
      <c r="E42">
        <v>76735832</v>
      </c>
    </row>
    <row r="43" spans="1:5">
      <c r="A43">
        <v>38</v>
      </c>
      <c r="B43" s="10">
        <v>45939</v>
      </c>
      <c r="C43" s="7">
        <v>671.16</v>
      </c>
      <c r="D43">
        <v>66501940</v>
      </c>
      <c r="E43">
        <v>72637360</v>
      </c>
    </row>
    <row r="44" spans="1:5">
      <c r="A44">
        <v>39</v>
      </c>
      <c r="B44" s="10">
        <v>45938</v>
      </c>
      <c r="C44" s="7">
        <v>673.11</v>
      </c>
      <c r="D44">
        <v>60702240</v>
      </c>
      <c r="E44">
        <v>74234520</v>
      </c>
    </row>
    <row r="45" spans="1:5">
      <c r="A45">
        <v>40</v>
      </c>
      <c r="B45" s="10">
        <v>45937</v>
      </c>
      <c r="C45" s="7">
        <v>669.12</v>
      </c>
      <c r="D45">
        <v>72020064</v>
      </c>
      <c r="E45">
        <v>76984520</v>
      </c>
    </row>
    <row r="46" spans="1:5">
      <c r="A46">
        <v>41</v>
      </c>
      <c r="B46" s="10">
        <v>45936</v>
      </c>
      <c r="C46" s="7">
        <v>671.61</v>
      </c>
      <c r="D46">
        <v>54623260</v>
      </c>
      <c r="E46">
        <v>76261112</v>
      </c>
    </row>
    <row r="47" spans="1:5">
      <c r="A47">
        <v>42</v>
      </c>
      <c r="B47" s="10">
        <v>45933</v>
      </c>
      <c r="C47" s="7">
        <v>669.21</v>
      </c>
      <c r="D47">
        <v>70494352</v>
      </c>
      <c r="E47">
        <v>76871056</v>
      </c>
    </row>
    <row r="48" spans="1:5">
      <c r="A48">
        <v>43</v>
      </c>
      <c r="B48" s="10">
        <v>45932</v>
      </c>
      <c r="C48" s="7">
        <v>669.22</v>
      </c>
      <c r="D48">
        <v>56895992</v>
      </c>
      <c r="E48">
        <v>77023440</v>
      </c>
    </row>
    <row r="49" spans="1:5">
      <c r="A49">
        <v>44</v>
      </c>
      <c r="B49" s="10">
        <v>45931</v>
      </c>
      <c r="C49" s="7">
        <v>668.45</v>
      </c>
      <c r="D49">
        <v>72545368</v>
      </c>
      <c r="E49">
        <v>77892664</v>
      </c>
    </row>
    <row r="50" spans="1:5">
      <c r="A50">
        <v>45</v>
      </c>
      <c r="B50" s="10">
        <v>45930</v>
      </c>
      <c r="C50" s="7">
        <v>666.18</v>
      </c>
      <c r="D50">
        <v>86288032</v>
      </c>
      <c r="E50">
        <v>78258608</v>
      </c>
    </row>
    <row r="51" spans="1:5">
      <c r="A51">
        <v>46</v>
      </c>
      <c r="B51" s="10">
        <v>45929</v>
      </c>
      <c r="C51" s="7">
        <v>663.68</v>
      </c>
      <c r="D51">
        <v>73499016</v>
      </c>
      <c r="E51">
        <v>76914992</v>
      </c>
    </row>
    <row r="52" spans="1:5">
      <c r="A52">
        <v>47</v>
      </c>
      <c r="B52" s="10">
        <v>45926</v>
      </c>
      <c r="C52" s="7">
        <v>661.82</v>
      </c>
      <c r="D52">
        <v>69179208</v>
      </c>
      <c r="E52">
        <v>76223936</v>
      </c>
    </row>
    <row r="53" spans="1:5">
      <c r="A53">
        <v>48</v>
      </c>
      <c r="B53" s="10">
        <v>45925</v>
      </c>
      <c r="C53" s="7">
        <v>658.05</v>
      </c>
      <c r="D53">
        <v>89622064</v>
      </c>
      <c r="E53">
        <v>77290584</v>
      </c>
    </row>
    <row r="54" spans="1:5">
      <c r="A54">
        <v>49</v>
      </c>
      <c r="B54" s="10">
        <v>45924</v>
      </c>
      <c r="C54" s="7">
        <v>661.1</v>
      </c>
      <c r="D54">
        <v>68082232</v>
      </c>
      <c r="E54">
        <v>75663728</v>
      </c>
    </row>
    <row r="55" spans="1:5">
      <c r="A55">
        <v>50</v>
      </c>
      <c r="B55" s="10">
        <v>45923</v>
      </c>
      <c r="C55" s="7">
        <v>663.21</v>
      </c>
      <c r="D55">
        <v>81708872</v>
      </c>
      <c r="E55">
        <v>75846304</v>
      </c>
    </row>
    <row r="56" spans="1:5">
      <c r="A56">
        <v>51</v>
      </c>
      <c r="B56" s="10">
        <v>45922</v>
      </c>
      <c r="C56" s="7">
        <v>666.84</v>
      </c>
      <c r="D56">
        <v>69452200</v>
      </c>
      <c r="E56">
        <v>75864616</v>
      </c>
    </row>
    <row r="57" spans="1:5">
      <c r="A57">
        <v>52</v>
      </c>
      <c r="B57" s="10">
        <v>45919</v>
      </c>
      <c r="C57" s="7">
        <v>663.7</v>
      </c>
      <c r="D57">
        <v>97945616</v>
      </c>
      <c r="E57">
        <v>76202616</v>
      </c>
    </row>
    <row r="58" spans="1:5">
      <c r="A58">
        <v>53</v>
      </c>
      <c r="B58" s="10">
        <v>45918</v>
      </c>
      <c r="C58" s="7">
        <v>660.42880000000002</v>
      </c>
      <c r="D58">
        <v>90459240</v>
      </c>
      <c r="E58">
        <v>73774208</v>
      </c>
    </row>
    <row r="59" spans="1:5">
      <c r="A59">
        <v>54</v>
      </c>
      <c r="B59" s="10">
        <v>45917</v>
      </c>
      <c r="C59" s="7">
        <v>657.35739999999998</v>
      </c>
      <c r="D59">
        <v>101952240</v>
      </c>
      <c r="E59">
        <v>70966328</v>
      </c>
    </row>
    <row r="60" spans="1:5">
      <c r="A60">
        <v>55</v>
      </c>
      <c r="B60" s="10">
        <v>45916</v>
      </c>
      <c r="C60" s="7">
        <v>658.17510000000004</v>
      </c>
      <c r="D60">
        <v>61168952</v>
      </c>
      <c r="E60">
        <v>67608280</v>
      </c>
    </row>
    <row r="61" spans="1:5">
      <c r="A61">
        <v>56</v>
      </c>
      <c r="B61" s="10">
        <v>45915</v>
      </c>
      <c r="C61" s="7">
        <v>659.08259999999996</v>
      </c>
      <c r="D61">
        <v>63772412</v>
      </c>
      <c r="E61">
        <v>66948640</v>
      </c>
    </row>
    <row r="62" spans="1:5">
      <c r="A62">
        <v>57</v>
      </c>
      <c r="B62" s="10">
        <v>45912</v>
      </c>
      <c r="C62" s="7">
        <v>655.59230000000002</v>
      </c>
      <c r="D62">
        <v>72780136</v>
      </c>
      <c r="E62">
        <v>68302696</v>
      </c>
    </row>
    <row r="63" spans="1:5">
      <c r="A63">
        <v>58</v>
      </c>
      <c r="B63" s="10">
        <v>45911</v>
      </c>
      <c r="C63" s="7">
        <v>655.8116</v>
      </c>
      <c r="D63">
        <v>69934360</v>
      </c>
      <c r="E63">
        <v>67104404</v>
      </c>
    </row>
    <row r="64" spans="1:5">
      <c r="A64">
        <v>59</v>
      </c>
      <c r="B64" s="10">
        <v>45910</v>
      </c>
      <c r="C64" s="7">
        <v>650.40660000000003</v>
      </c>
      <c r="D64">
        <v>78034528</v>
      </c>
      <c r="E64">
        <v>68368136</v>
      </c>
    </row>
    <row r="65" spans="1:5">
      <c r="A65">
        <v>60</v>
      </c>
      <c r="B65" s="10">
        <v>45909</v>
      </c>
      <c r="C65" s="7">
        <v>648.53189999999995</v>
      </c>
      <c r="D65">
        <v>66133856</v>
      </c>
      <c r="E65">
        <v>67815880</v>
      </c>
    </row>
    <row r="66" spans="1:5">
      <c r="A66">
        <v>61</v>
      </c>
      <c r="B66" s="10">
        <v>45908</v>
      </c>
      <c r="C66" s="7">
        <v>647.03599999999994</v>
      </c>
      <c r="D66">
        <v>63133104</v>
      </c>
      <c r="E66">
        <v>66327284</v>
      </c>
    </row>
    <row r="67" spans="1:5">
      <c r="A67">
        <v>62</v>
      </c>
      <c r="B67" s="10">
        <v>45905</v>
      </c>
      <c r="C67" s="7">
        <v>645.45039999999995</v>
      </c>
      <c r="D67">
        <v>85178936</v>
      </c>
      <c r="E67">
        <v>66691244</v>
      </c>
    </row>
    <row r="68" spans="1:5">
      <c r="A68">
        <v>63</v>
      </c>
      <c r="B68" s="10">
        <v>45904</v>
      </c>
      <c r="C68" s="7">
        <v>647.3252</v>
      </c>
      <c r="D68">
        <v>65219228</v>
      </c>
      <c r="E68">
        <v>64967812</v>
      </c>
    </row>
    <row r="69" spans="1:5">
      <c r="A69">
        <v>64</v>
      </c>
      <c r="B69" s="10">
        <v>45903</v>
      </c>
      <c r="C69" s="7">
        <v>641.96010000000001</v>
      </c>
      <c r="D69">
        <v>70820896</v>
      </c>
      <c r="E69">
        <v>64626048</v>
      </c>
    </row>
    <row r="70" spans="1:5">
      <c r="A70">
        <v>65</v>
      </c>
      <c r="B70" s="10">
        <v>45902</v>
      </c>
      <c r="C70" s="7">
        <v>638.49959999999999</v>
      </c>
      <c r="D70">
        <v>81983544</v>
      </c>
      <c r="E70">
        <v>64226108</v>
      </c>
    </row>
    <row r="71" spans="1:5">
      <c r="A71">
        <v>66</v>
      </c>
      <c r="B71" s="10">
        <v>45898</v>
      </c>
      <c r="C71" s="7">
        <v>643.26639999999998</v>
      </c>
      <c r="D71">
        <v>74522192</v>
      </c>
      <c r="E71">
        <v>62676692</v>
      </c>
    </row>
    <row r="72" spans="1:5">
      <c r="A72">
        <v>67</v>
      </c>
      <c r="B72" s="10">
        <v>45897</v>
      </c>
      <c r="C72" s="7">
        <v>647.12570000000005</v>
      </c>
      <c r="D72">
        <v>61519460</v>
      </c>
      <c r="E72">
        <v>61978656</v>
      </c>
    </row>
    <row r="73" spans="1:5">
      <c r="A73">
        <v>68</v>
      </c>
      <c r="B73" s="10">
        <v>45896</v>
      </c>
      <c r="C73" s="7">
        <v>644.84199999999998</v>
      </c>
      <c r="D73">
        <v>48341068</v>
      </c>
      <c r="E73">
        <v>62824412</v>
      </c>
    </row>
    <row r="74" spans="1:5">
      <c r="A74">
        <v>69</v>
      </c>
      <c r="B74" s="10">
        <v>45895</v>
      </c>
      <c r="C74" s="7">
        <v>643.37620000000004</v>
      </c>
      <c r="D74">
        <v>51581564</v>
      </c>
      <c r="E74">
        <v>63892176</v>
      </c>
    </row>
    <row r="75" spans="1:5">
      <c r="A75">
        <v>70</v>
      </c>
      <c r="B75" s="10">
        <v>45894</v>
      </c>
      <c r="C75" s="7">
        <v>640.69349999999997</v>
      </c>
      <c r="D75">
        <v>51274332</v>
      </c>
      <c r="E75">
        <v>64990164</v>
      </c>
    </row>
    <row r="76" spans="1:5">
      <c r="A76">
        <v>71</v>
      </c>
      <c r="B76" s="10">
        <v>45891</v>
      </c>
      <c r="C76" s="7">
        <v>643.52570000000003</v>
      </c>
      <c r="D76">
        <v>84083216</v>
      </c>
      <c r="E76">
        <v>66453076</v>
      </c>
    </row>
    <row r="77" spans="1:5">
      <c r="A77">
        <v>72</v>
      </c>
      <c r="B77" s="10">
        <v>45890</v>
      </c>
      <c r="C77" s="7">
        <v>633.79269999999997</v>
      </c>
      <c r="D77">
        <v>54805776</v>
      </c>
      <c r="E77">
        <v>70187768</v>
      </c>
    </row>
    <row r="78" spans="1:5">
      <c r="A78">
        <v>73</v>
      </c>
      <c r="B78" s="10">
        <v>45889</v>
      </c>
      <c r="C78" s="7">
        <v>636.34559999999999</v>
      </c>
      <c r="D78">
        <v>88890296</v>
      </c>
      <c r="E78">
        <v>73426400</v>
      </c>
    </row>
    <row r="79" spans="1:5">
      <c r="A79">
        <v>74</v>
      </c>
      <c r="B79" s="10">
        <v>45888</v>
      </c>
      <c r="C79" s="7">
        <v>638.04100000000005</v>
      </c>
      <c r="D79">
        <v>69750728</v>
      </c>
      <c r="E79">
        <v>72861632</v>
      </c>
    </row>
    <row r="80" spans="1:5">
      <c r="A80">
        <v>75</v>
      </c>
      <c r="B80" s="10">
        <v>45887</v>
      </c>
      <c r="C80" s="7">
        <v>641.5213</v>
      </c>
      <c r="D80">
        <v>43804912</v>
      </c>
      <c r="E80">
        <v>72248672</v>
      </c>
    </row>
    <row r="81" spans="1:5">
      <c r="A81">
        <v>76</v>
      </c>
      <c r="B81" s="10">
        <v>45884</v>
      </c>
      <c r="C81" s="7">
        <v>641.66089999999997</v>
      </c>
      <c r="D81">
        <v>68592504</v>
      </c>
      <c r="E81">
        <v>72989488</v>
      </c>
    </row>
    <row r="82" spans="1:5">
      <c r="A82">
        <v>77</v>
      </c>
      <c r="B82" s="10">
        <v>45883</v>
      </c>
      <c r="C82" s="7">
        <v>643.16669999999999</v>
      </c>
      <c r="D82">
        <v>59327464</v>
      </c>
      <c r="E82">
        <v>72207672</v>
      </c>
    </row>
    <row r="83" spans="1:5">
      <c r="A83">
        <v>78</v>
      </c>
      <c r="B83" s="10">
        <v>45882</v>
      </c>
      <c r="C83" s="7">
        <v>643.1069</v>
      </c>
      <c r="D83">
        <v>60092792</v>
      </c>
      <c r="E83">
        <v>73006320</v>
      </c>
    </row>
    <row r="84" spans="1:5">
      <c r="A84">
        <v>79</v>
      </c>
      <c r="B84" s="10">
        <v>45881</v>
      </c>
      <c r="C84" s="7">
        <v>640.91300000000001</v>
      </c>
      <c r="D84">
        <v>64821800</v>
      </c>
      <c r="E84">
        <v>73700872</v>
      </c>
    </row>
    <row r="85" spans="1:5">
      <c r="A85">
        <v>80</v>
      </c>
      <c r="B85" s="10">
        <v>45880</v>
      </c>
      <c r="C85" s="7">
        <v>634.1617</v>
      </c>
      <c r="D85">
        <v>58742300</v>
      </c>
      <c r="E85">
        <v>73382504</v>
      </c>
    </row>
    <row r="86" spans="1:5">
      <c r="A86">
        <v>81</v>
      </c>
      <c r="B86" s="10">
        <v>45877</v>
      </c>
      <c r="C86" s="7">
        <v>635.41819999999996</v>
      </c>
      <c r="D86">
        <v>64051624</v>
      </c>
      <c r="E86">
        <v>73691344</v>
      </c>
    </row>
    <row r="87" spans="1:5">
      <c r="A87">
        <v>82</v>
      </c>
      <c r="B87" s="10">
        <v>45876</v>
      </c>
      <c r="C87" s="7">
        <v>630.5018</v>
      </c>
      <c r="D87">
        <v>74205792</v>
      </c>
      <c r="E87">
        <v>73796016</v>
      </c>
    </row>
    <row r="88" spans="1:5">
      <c r="A88">
        <v>83</v>
      </c>
      <c r="B88" s="10">
        <v>45875</v>
      </c>
      <c r="C88" s="7">
        <v>631.03030000000001</v>
      </c>
      <c r="D88">
        <v>64357524</v>
      </c>
      <c r="E88">
        <v>73441344</v>
      </c>
    </row>
    <row r="89" spans="1:5">
      <c r="A89">
        <v>84</v>
      </c>
      <c r="B89" s="10">
        <v>45874</v>
      </c>
      <c r="C89" s="7">
        <v>626.23360000000002</v>
      </c>
      <c r="D89">
        <v>68051400</v>
      </c>
      <c r="E89">
        <v>75083344</v>
      </c>
    </row>
    <row r="90" spans="1:5">
      <c r="A90">
        <v>85</v>
      </c>
      <c r="B90" s="10">
        <v>45873</v>
      </c>
      <c r="C90" s="7">
        <v>629.4248</v>
      </c>
      <c r="D90">
        <v>73218016</v>
      </c>
      <c r="E90">
        <v>75501064</v>
      </c>
    </row>
    <row r="91" spans="1:5">
      <c r="A91">
        <v>86</v>
      </c>
      <c r="B91" s="10">
        <v>45870</v>
      </c>
      <c r="C91" s="7">
        <v>620.0009</v>
      </c>
      <c r="D91">
        <v>140103568</v>
      </c>
      <c r="E91">
        <v>74079768</v>
      </c>
    </row>
    <row r="92" spans="1:5">
      <c r="A92">
        <v>87</v>
      </c>
      <c r="B92" s="10">
        <v>45869</v>
      </c>
      <c r="C92" s="7">
        <v>630.33230000000003</v>
      </c>
      <c r="D92">
        <v>103385248</v>
      </c>
      <c r="E92">
        <v>68984208</v>
      </c>
    </row>
    <row r="93" spans="1:5">
      <c r="A93">
        <v>88</v>
      </c>
      <c r="B93" s="10">
        <v>45868</v>
      </c>
      <c r="C93" s="7">
        <v>632.70569999999998</v>
      </c>
      <c r="D93">
        <v>80418848</v>
      </c>
      <c r="E93">
        <v>65927124</v>
      </c>
    </row>
    <row r="94" spans="1:5">
      <c r="A94">
        <v>89</v>
      </c>
      <c r="B94" s="10">
        <v>45867</v>
      </c>
      <c r="C94" s="7">
        <v>633.50350000000003</v>
      </c>
      <c r="D94">
        <v>60556280</v>
      </c>
      <c r="E94">
        <v>64973420</v>
      </c>
    </row>
    <row r="95" spans="1:5">
      <c r="A95">
        <v>90</v>
      </c>
      <c r="B95" s="10">
        <v>45866</v>
      </c>
      <c r="C95" s="7">
        <v>635.17880000000002</v>
      </c>
      <c r="D95">
        <v>54917104</v>
      </c>
      <c r="E95">
        <v>64871308</v>
      </c>
    </row>
    <row r="96" spans="1:5">
      <c r="A96">
        <v>91</v>
      </c>
      <c r="B96" s="10">
        <v>45863</v>
      </c>
      <c r="C96" s="7">
        <v>635.33839999999998</v>
      </c>
      <c r="D96">
        <v>56865364</v>
      </c>
      <c r="E96">
        <v>66197804</v>
      </c>
    </row>
    <row r="97" spans="1:5">
      <c r="A97">
        <v>92</v>
      </c>
      <c r="B97" s="10">
        <v>45862</v>
      </c>
      <c r="C97" s="7">
        <v>632.66579999999999</v>
      </c>
      <c r="D97">
        <v>71307136</v>
      </c>
      <c r="E97">
        <v>65811164</v>
      </c>
    </row>
    <row r="98" spans="1:5">
      <c r="A98">
        <v>93</v>
      </c>
      <c r="B98" s="10">
        <v>45861</v>
      </c>
      <c r="C98" s="7">
        <v>632.45640000000003</v>
      </c>
      <c r="D98">
        <v>70511040</v>
      </c>
      <c r="E98">
        <v>65491380</v>
      </c>
    </row>
    <row r="99" spans="1:5">
      <c r="A99">
        <v>94</v>
      </c>
      <c r="B99" s="10">
        <v>45860</v>
      </c>
      <c r="C99" s="7">
        <v>627.12120000000004</v>
      </c>
      <c r="D99">
        <v>60046288</v>
      </c>
      <c r="E99">
        <v>65459320</v>
      </c>
    </row>
    <row r="100" spans="1:5">
      <c r="A100">
        <v>95</v>
      </c>
      <c r="B100" s="10">
        <v>45859</v>
      </c>
      <c r="C100" s="7">
        <v>627.03139999999996</v>
      </c>
      <c r="D100">
        <v>63374984</v>
      </c>
      <c r="E100">
        <v>67623072</v>
      </c>
    </row>
    <row r="101" spans="1:5">
      <c r="A101">
        <v>96</v>
      </c>
      <c r="B101" s="10">
        <v>45856</v>
      </c>
      <c r="C101" s="7">
        <v>625.84469999999999</v>
      </c>
      <c r="D101">
        <v>65621644</v>
      </c>
      <c r="E101">
        <v>69148632</v>
      </c>
    </row>
    <row r="102" spans="1:5">
      <c r="A102">
        <v>97</v>
      </c>
      <c r="B102" s="10">
        <v>45855</v>
      </c>
      <c r="C102" s="7">
        <v>626.30349999999999</v>
      </c>
      <c r="D102">
        <v>68885680</v>
      </c>
      <c r="E102">
        <v>70010416</v>
      </c>
    </row>
    <row r="103" spans="1:5">
      <c r="A103">
        <v>98</v>
      </c>
      <c r="B103" s="10">
        <v>45854</v>
      </c>
      <c r="C103" s="7">
        <v>622.49400000000003</v>
      </c>
      <c r="D103">
        <v>88987512</v>
      </c>
      <c r="E103">
        <v>69559016</v>
      </c>
    </row>
    <row r="104" spans="1:5">
      <c r="A104">
        <v>99</v>
      </c>
      <c r="B104" s="10">
        <v>45853</v>
      </c>
      <c r="C104" s="7">
        <v>620.41980000000001</v>
      </c>
      <c r="D104">
        <v>74317264</v>
      </c>
      <c r="E104">
        <v>68142208</v>
      </c>
    </row>
    <row r="105" spans="1:5">
      <c r="A105">
        <v>100</v>
      </c>
      <c r="B105" s="10">
        <v>45852</v>
      </c>
      <c r="C105" s="7">
        <v>623.08240000000001</v>
      </c>
      <c r="D105">
        <v>51898520</v>
      </c>
      <c r="E105">
        <v>69016120</v>
      </c>
    </row>
    <row r="106" spans="1:5">
      <c r="A106">
        <v>101</v>
      </c>
      <c r="B106" s="10">
        <v>45849</v>
      </c>
      <c r="C106" s="7">
        <v>621.89570000000003</v>
      </c>
      <c r="D106">
        <v>63670224</v>
      </c>
      <c r="E106">
        <v>71826312</v>
      </c>
    </row>
    <row r="107" spans="1:5">
      <c r="A107">
        <v>102</v>
      </c>
      <c r="B107" s="10">
        <v>45848</v>
      </c>
      <c r="C107" s="7">
        <v>624.08960000000002</v>
      </c>
      <c r="D107">
        <v>57528960</v>
      </c>
      <c r="E107">
        <v>72688632</v>
      </c>
    </row>
    <row r="108" spans="1:5">
      <c r="A108">
        <v>103</v>
      </c>
      <c r="B108" s="10">
        <v>45847</v>
      </c>
      <c r="C108" s="7">
        <v>622.33450000000005</v>
      </c>
      <c r="D108">
        <v>66113328</v>
      </c>
      <c r="E108">
        <v>74333992</v>
      </c>
    </row>
    <row r="109" spans="1:5">
      <c r="A109">
        <v>104</v>
      </c>
      <c r="B109" s="10">
        <v>45846</v>
      </c>
      <c r="C109" s="7">
        <v>618.62480000000005</v>
      </c>
      <c r="D109">
        <v>59024584</v>
      </c>
      <c r="E109">
        <v>75258712</v>
      </c>
    </row>
    <row r="110" spans="1:5">
      <c r="A110">
        <v>105</v>
      </c>
      <c r="B110" s="10">
        <v>45845</v>
      </c>
      <c r="C110" s="7">
        <v>618.96379999999999</v>
      </c>
      <c r="D110">
        <v>74814504</v>
      </c>
      <c r="E110">
        <v>77290808</v>
      </c>
    </row>
    <row r="111" spans="1:5">
      <c r="A111">
        <v>106</v>
      </c>
      <c r="B111" s="10">
        <v>45841</v>
      </c>
      <c r="C111" s="7">
        <v>623.61099999999999</v>
      </c>
      <c r="D111">
        <v>51065788</v>
      </c>
      <c r="E111">
        <v>76578440</v>
      </c>
    </row>
    <row r="112" spans="1:5">
      <c r="A112">
        <v>107</v>
      </c>
      <c r="B112" s="10">
        <v>45840</v>
      </c>
      <c r="C112" s="7">
        <v>618.73440000000005</v>
      </c>
      <c r="D112">
        <v>66510376</v>
      </c>
      <c r="E112">
        <v>78084608</v>
      </c>
    </row>
    <row r="113" spans="1:5">
      <c r="A113">
        <v>108</v>
      </c>
      <c r="B113" s="10">
        <v>45839</v>
      </c>
      <c r="C113" s="7">
        <v>615.94219999999996</v>
      </c>
      <c r="D113">
        <v>70030144</v>
      </c>
      <c r="E113">
        <v>78067040</v>
      </c>
    </row>
    <row r="114" spans="1:5">
      <c r="A114">
        <v>109</v>
      </c>
      <c r="B114" s="10">
        <v>45838</v>
      </c>
      <c r="C114" s="7">
        <v>616.14170000000001</v>
      </c>
      <c r="D114">
        <v>92502544</v>
      </c>
      <c r="E114">
        <v>76932792</v>
      </c>
    </row>
    <row r="115" spans="1:5">
      <c r="A115">
        <v>110</v>
      </c>
      <c r="B115" s="10">
        <v>45835</v>
      </c>
      <c r="C115" s="7">
        <v>613.20979999999997</v>
      </c>
      <c r="D115">
        <v>86258400</v>
      </c>
      <c r="E115">
        <v>75205208</v>
      </c>
    </row>
    <row r="116" spans="1:5">
      <c r="A116">
        <v>111</v>
      </c>
      <c r="B116" s="10">
        <v>45834</v>
      </c>
      <c r="C116" s="7">
        <v>610.17819999999995</v>
      </c>
      <c r="D116">
        <v>78548360</v>
      </c>
      <c r="E116">
        <v>75617072</v>
      </c>
    </row>
    <row r="117" spans="1:5">
      <c r="A117">
        <v>112</v>
      </c>
      <c r="B117" s="10">
        <v>45833</v>
      </c>
      <c r="C117" s="7">
        <v>605.44129999999996</v>
      </c>
      <c r="D117">
        <v>62114768</v>
      </c>
      <c r="E117">
        <v>74201464</v>
      </c>
    </row>
    <row r="118" spans="1:5">
      <c r="A118">
        <v>113</v>
      </c>
      <c r="B118" s="10">
        <v>45832</v>
      </c>
      <c r="C118" s="7">
        <v>605.10220000000004</v>
      </c>
      <c r="D118">
        <v>67735296</v>
      </c>
      <c r="E118">
        <v>74300896</v>
      </c>
    </row>
    <row r="119" spans="1:5">
      <c r="A119">
        <v>114</v>
      </c>
      <c r="B119" s="10">
        <v>45831</v>
      </c>
      <c r="C119" s="7">
        <v>598.49059999999997</v>
      </c>
      <c r="D119">
        <v>87426040</v>
      </c>
      <c r="E119">
        <v>73893904</v>
      </c>
    </row>
    <row r="120" spans="1:5">
      <c r="A120">
        <v>115</v>
      </c>
      <c r="B120" s="10">
        <v>45828</v>
      </c>
      <c r="C120" s="7">
        <v>592.63679999999999</v>
      </c>
      <c r="D120">
        <v>94051376</v>
      </c>
      <c r="E120">
        <v>74105584</v>
      </c>
    </row>
    <row r="121" spans="1:5">
      <c r="A121">
        <v>116</v>
      </c>
      <c r="B121" s="10">
        <v>45826</v>
      </c>
      <c r="C121" s="7">
        <v>594.0317</v>
      </c>
      <c r="D121">
        <v>76605032</v>
      </c>
      <c r="E121">
        <v>72507080</v>
      </c>
    </row>
    <row r="122" spans="1:5">
      <c r="A122">
        <v>117</v>
      </c>
      <c r="B122" s="10">
        <v>45825</v>
      </c>
      <c r="C122" s="7">
        <v>594.12120000000004</v>
      </c>
      <c r="D122">
        <v>82209368</v>
      </c>
      <c r="E122">
        <v>71963112</v>
      </c>
    </row>
    <row r="123" spans="1:5">
      <c r="A123">
        <v>118</v>
      </c>
      <c r="B123" s="10">
        <v>45824</v>
      </c>
      <c r="C123" s="7">
        <v>599.24180000000001</v>
      </c>
      <c r="D123">
        <v>79984128</v>
      </c>
      <c r="E123">
        <v>71321720</v>
      </c>
    </row>
    <row r="124" spans="1:5">
      <c r="A124">
        <v>119</v>
      </c>
      <c r="B124" s="10">
        <v>45821</v>
      </c>
      <c r="C124" s="7">
        <v>593.5942</v>
      </c>
      <c r="D124">
        <v>89506000</v>
      </c>
      <c r="E124">
        <v>71058048</v>
      </c>
    </row>
    <row r="125" spans="1:5">
      <c r="A125">
        <v>120</v>
      </c>
      <c r="B125" s="10">
        <v>45820</v>
      </c>
      <c r="C125" s="7">
        <v>600.3057</v>
      </c>
      <c r="D125">
        <v>64129004</v>
      </c>
      <c r="E125">
        <v>69815008</v>
      </c>
    </row>
    <row r="126" spans="1:5">
      <c r="A126">
        <v>121</v>
      </c>
      <c r="B126" s="10">
        <v>45819</v>
      </c>
      <c r="C126" s="7">
        <v>597.92930000000001</v>
      </c>
      <c r="D126">
        <v>73658224</v>
      </c>
      <c r="E126">
        <v>71886248</v>
      </c>
    </row>
    <row r="127" spans="1:5">
      <c r="A127">
        <v>122</v>
      </c>
      <c r="B127" s="10">
        <v>45818</v>
      </c>
      <c r="C127" s="7">
        <v>599.6395</v>
      </c>
      <c r="D127">
        <v>66246972</v>
      </c>
      <c r="E127">
        <v>71016672</v>
      </c>
    </row>
    <row r="128" spans="1:5">
      <c r="A128">
        <v>123</v>
      </c>
      <c r="B128" s="10">
        <v>45817</v>
      </c>
      <c r="C128" s="7">
        <v>596.25890000000004</v>
      </c>
      <c r="D128">
        <v>53016416</v>
      </c>
      <c r="E128">
        <v>71144768</v>
      </c>
    </row>
    <row r="129" spans="1:5">
      <c r="A129">
        <v>124</v>
      </c>
      <c r="B129" s="10">
        <v>45814</v>
      </c>
      <c r="C129" s="7">
        <v>595.72199999999998</v>
      </c>
      <c r="D129">
        <v>66588744</v>
      </c>
      <c r="E129">
        <v>72680488</v>
      </c>
    </row>
    <row r="130" spans="1:5">
      <c r="A130">
        <v>125</v>
      </c>
      <c r="B130" s="10">
        <v>45813</v>
      </c>
      <c r="C130" s="7">
        <v>589.66669999999999</v>
      </c>
      <c r="D130">
        <v>92436400</v>
      </c>
      <c r="E130">
        <v>72992448</v>
      </c>
    </row>
    <row r="131" spans="1:5">
      <c r="A131">
        <v>126</v>
      </c>
      <c r="B131" s="10">
        <v>45812</v>
      </c>
      <c r="C131" s="7">
        <v>592.53030000000001</v>
      </c>
      <c r="D131">
        <v>57314200</v>
      </c>
      <c r="E131">
        <v>71248920</v>
      </c>
    </row>
    <row r="132" spans="1:5">
      <c r="A132">
        <v>127</v>
      </c>
      <c r="B132" s="10">
        <v>45811</v>
      </c>
      <c r="C132" s="7">
        <v>592.68939999999998</v>
      </c>
      <c r="D132">
        <v>63606204</v>
      </c>
      <c r="E132">
        <v>71957792</v>
      </c>
    </row>
    <row r="133" spans="1:5">
      <c r="A133">
        <v>128</v>
      </c>
      <c r="B133" s="10">
        <v>45810</v>
      </c>
      <c r="C133" s="7">
        <v>589.32870000000003</v>
      </c>
      <c r="D133">
        <v>61630504</v>
      </c>
      <c r="E133">
        <v>72983616</v>
      </c>
    </row>
    <row r="134" spans="1:5">
      <c r="A134">
        <v>129</v>
      </c>
      <c r="B134" s="10">
        <v>45807</v>
      </c>
      <c r="C134" s="7">
        <v>586.02760000000001</v>
      </c>
      <c r="D134">
        <v>90601240</v>
      </c>
      <c r="E134">
        <v>71381808</v>
      </c>
    </row>
    <row r="135" spans="1:5">
      <c r="A135">
        <v>130</v>
      </c>
      <c r="B135" s="10">
        <v>45806</v>
      </c>
      <c r="C135" s="7">
        <v>586.68380000000002</v>
      </c>
      <c r="D135">
        <v>70073760</v>
      </c>
      <c r="E135">
        <v>69683776</v>
      </c>
    </row>
    <row r="136" spans="1:5">
      <c r="A136">
        <v>131</v>
      </c>
      <c r="B136" s="10">
        <v>45805</v>
      </c>
      <c r="C136" s="7">
        <v>584.37710000000004</v>
      </c>
      <c r="D136">
        <v>68445512</v>
      </c>
      <c r="E136">
        <v>68727744</v>
      </c>
    </row>
    <row r="137" spans="1:5">
      <c r="A137">
        <v>132</v>
      </c>
      <c r="B137" s="10">
        <v>45804</v>
      </c>
      <c r="C137" s="7">
        <v>587.77760000000001</v>
      </c>
      <c r="D137">
        <v>72588472</v>
      </c>
      <c r="E137">
        <v>67382352</v>
      </c>
    </row>
    <row r="138" spans="1:5">
      <c r="A138">
        <v>133</v>
      </c>
      <c r="B138" s="10">
        <v>45800</v>
      </c>
      <c r="C138" s="7">
        <v>575.80629999999996</v>
      </c>
      <c r="D138">
        <v>76029048</v>
      </c>
      <c r="E138">
        <v>65120404</v>
      </c>
    </row>
    <row r="139" spans="1:5">
      <c r="A139">
        <v>134</v>
      </c>
      <c r="B139" s="10">
        <v>45799</v>
      </c>
      <c r="C139" s="7">
        <v>579.76350000000002</v>
      </c>
      <c r="D139">
        <v>70860416</v>
      </c>
      <c r="E139">
        <v>64099620</v>
      </c>
    </row>
    <row r="140" spans="1:5">
      <c r="A140">
        <v>135</v>
      </c>
      <c r="B140" s="10">
        <v>45798</v>
      </c>
      <c r="C140" s="7">
        <v>579.53489999999999</v>
      </c>
      <c r="D140">
        <v>95197656</v>
      </c>
      <c r="E140">
        <v>63588000</v>
      </c>
    </row>
    <row r="141" spans="1:5">
      <c r="A141">
        <v>136</v>
      </c>
      <c r="B141" s="10">
        <v>45797</v>
      </c>
      <c r="C141" s="7">
        <v>589.46789999999999</v>
      </c>
      <c r="D141">
        <v>60614492</v>
      </c>
      <c r="E141">
        <v>63448256</v>
      </c>
    </row>
    <row r="142" spans="1:5">
      <c r="A142">
        <v>137</v>
      </c>
      <c r="B142" s="10">
        <v>45796</v>
      </c>
      <c r="C142" s="7">
        <v>591.45650000000001</v>
      </c>
      <c r="D142">
        <v>68168512</v>
      </c>
      <c r="E142">
        <v>62592296</v>
      </c>
    </row>
    <row r="143" spans="1:5">
      <c r="A143">
        <v>138</v>
      </c>
      <c r="B143" s="10">
        <v>45793</v>
      </c>
      <c r="C143" s="7">
        <v>590.81020000000001</v>
      </c>
      <c r="D143">
        <v>76052104</v>
      </c>
      <c r="E143">
        <v>61221980</v>
      </c>
    </row>
    <row r="144" spans="1:5">
      <c r="A144">
        <v>139</v>
      </c>
      <c r="B144" s="10">
        <v>45792</v>
      </c>
      <c r="C144" s="7">
        <v>587.0915</v>
      </c>
      <c r="D144">
        <v>71268144</v>
      </c>
      <c r="E144">
        <v>60226480</v>
      </c>
    </row>
    <row r="145" spans="1:5">
      <c r="A145">
        <v>140</v>
      </c>
      <c r="B145" s="10">
        <v>45791</v>
      </c>
      <c r="C145" s="7">
        <v>584.23789999999997</v>
      </c>
      <c r="D145">
        <v>66283532</v>
      </c>
      <c r="E145">
        <v>59751964</v>
      </c>
    </row>
    <row r="146" spans="1:5">
      <c r="A146">
        <v>141</v>
      </c>
      <c r="B146" s="10">
        <v>45790</v>
      </c>
      <c r="C146" s="7">
        <v>583.49220000000003</v>
      </c>
      <c r="D146">
        <v>67947224</v>
      </c>
      <c r="E146">
        <v>61372440</v>
      </c>
    </row>
    <row r="147" spans="1:5">
      <c r="A147">
        <v>142</v>
      </c>
      <c r="B147" s="10">
        <v>45789</v>
      </c>
      <c r="C147" s="7">
        <v>579.66409999999996</v>
      </c>
      <c r="D147">
        <v>78993568</v>
      </c>
      <c r="E147">
        <v>61905832</v>
      </c>
    </row>
    <row r="148" spans="1:5">
      <c r="A148">
        <v>143</v>
      </c>
      <c r="B148" s="10">
        <v>45786</v>
      </c>
      <c r="C148" s="7">
        <v>561.12049999999999</v>
      </c>
      <c r="D148">
        <v>37603428</v>
      </c>
      <c r="E148">
        <v>61264136</v>
      </c>
    </row>
    <row r="149" spans="1:5">
      <c r="A149">
        <v>144</v>
      </c>
      <c r="B149" s="10">
        <v>45785</v>
      </c>
      <c r="C149" s="7">
        <v>561.83640000000003</v>
      </c>
      <c r="D149">
        <v>65130788</v>
      </c>
      <c r="E149">
        <v>64081780</v>
      </c>
    </row>
    <row r="150" spans="1:5">
      <c r="A150">
        <v>145</v>
      </c>
      <c r="B150" s="10">
        <v>45784</v>
      </c>
      <c r="C150" s="7">
        <v>557.94870000000003</v>
      </c>
      <c r="D150">
        <v>55733228</v>
      </c>
      <c r="E150">
        <v>65305380</v>
      </c>
    </row>
    <row r="151" spans="1:5">
      <c r="A151">
        <v>146</v>
      </c>
      <c r="B151" s="10">
        <v>45783</v>
      </c>
      <c r="C151" s="7">
        <v>555.61210000000005</v>
      </c>
      <c r="D151">
        <v>48264708</v>
      </c>
      <c r="E151">
        <v>65382692</v>
      </c>
    </row>
    <row r="152" spans="1:5">
      <c r="A152">
        <v>147</v>
      </c>
      <c r="B152" s="10">
        <v>45782</v>
      </c>
      <c r="C152" s="7">
        <v>560.2953</v>
      </c>
      <c r="D152">
        <v>38659224</v>
      </c>
      <c r="E152">
        <v>66700644</v>
      </c>
    </row>
    <row r="153" spans="1:5">
      <c r="A153">
        <v>148</v>
      </c>
      <c r="B153" s="10">
        <v>45779</v>
      </c>
      <c r="C153" s="7">
        <v>563.52670000000001</v>
      </c>
      <c r="D153">
        <v>60717272</v>
      </c>
      <c r="E153">
        <v>70647784</v>
      </c>
    </row>
    <row r="154" spans="1:5">
      <c r="A154">
        <v>149</v>
      </c>
      <c r="B154" s="10">
        <v>45778</v>
      </c>
      <c r="C154" s="7">
        <v>555.28399999999999</v>
      </c>
      <c r="D154">
        <v>63186144</v>
      </c>
      <c r="E154">
        <v>77422048</v>
      </c>
    </row>
    <row r="155" spans="1:5">
      <c r="A155">
        <v>150</v>
      </c>
      <c r="B155" s="10">
        <v>45777</v>
      </c>
      <c r="C155" s="7">
        <v>551.37639999999999</v>
      </c>
      <c r="D155">
        <v>93101464</v>
      </c>
      <c r="E155">
        <v>89334128</v>
      </c>
    </row>
    <row r="156" spans="1:5">
      <c r="A156">
        <v>151</v>
      </c>
      <c r="B156" s="10">
        <v>45776</v>
      </c>
      <c r="C156" s="7">
        <v>551.15769999999998</v>
      </c>
      <c r="D156">
        <v>47775120</v>
      </c>
      <c r="E156">
        <v>94181800</v>
      </c>
    </row>
    <row r="157" spans="1:5">
      <c r="A157">
        <v>152</v>
      </c>
      <c r="B157" s="10">
        <v>45775</v>
      </c>
      <c r="C157" s="7">
        <v>547.70749999999998</v>
      </c>
      <c r="D157">
        <v>47613756</v>
      </c>
      <c r="E157">
        <v>108104216</v>
      </c>
    </row>
    <row r="158" spans="1:5">
      <c r="A158">
        <v>153</v>
      </c>
      <c r="B158" s="10">
        <v>45772</v>
      </c>
      <c r="C158" s="7">
        <v>547.49869999999999</v>
      </c>
      <c r="D158">
        <v>61119592</v>
      </c>
      <c r="E158">
        <v>119460976</v>
      </c>
    </row>
    <row r="159" spans="1:5">
      <c r="A159">
        <v>154</v>
      </c>
      <c r="B159" s="10">
        <v>45771</v>
      </c>
      <c r="C159" s="7">
        <v>543.57119999999998</v>
      </c>
      <c r="D159">
        <v>64150416</v>
      </c>
      <c r="E159">
        <v>123785400</v>
      </c>
    </row>
    <row r="160" spans="1:5">
      <c r="A160">
        <v>155</v>
      </c>
      <c r="B160" s="10">
        <v>45770</v>
      </c>
      <c r="C160" s="7">
        <v>532.3655</v>
      </c>
      <c r="D160">
        <v>90590656</v>
      </c>
      <c r="E160">
        <v>124576344</v>
      </c>
    </row>
    <row r="161" spans="1:5">
      <c r="A161">
        <v>156</v>
      </c>
      <c r="B161" s="10">
        <v>45769</v>
      </c>
      <c r="C161" s="7">
        <v>524.24210000000005</v>
      </c>
      <c r="D161">
        <v>75948120</v>
      </c>
      <c r="E161">
        <v>122177608</v>
      </c>
    </row>
    <row r="162" spans="1:5">
      <c r="A162">
        <v>157</v>
      </c>
      <c r="B162" s="10">
        <v>45768</v>
      </c>
      <c r="C162" s="7">
        <v>510.94839999999999</v>
      </c>
      <c r="D162">
        <v>69368128</v>
      </c>
      <c r="E162">
        <v>123469616</v>
      </c>
    </row>
    <row r="163" spans="1:5">
      <c r="A163">
        <v>158</v>
      </c>
      <c r="B163" s="10">
        <v>45764</v>
      </c>
      <c r="C163" s="7">
        <v>523.40689999999995</v>
      </c>
      <c r="D163">
        <v>79868080</v>
      </c>
      <c r="E163">
        <v>123622584</v>
      </c>
    </row>
    <row r="164" spans="1:5">
      <c r="A164">
        <v>159</v>
      </c>
      <c r="B164" s="10">
        <v>45763</v>
      </c>
      <c r="C164" s="7">
        <v>522.66120000000001</v>
      </c>
      <c r="D164">
        <v>83484816</v>
      </c>
      <c r="E164">
        <v>121108992</v>
      </c>
    </row>
    <row r="165" spans="1:5">
      <c r="A165">
        <v>160</v>
      </c>
      <c r="B165" s="10">
        <v>45762</v>
      </c>
      <c r="C165" s="7">
        <v>534.54300000000001</v>
      </c>
      <c r="D165">
        <v>56892872</v>
      </c>
      <c r="E165">
        <v>119025264</v>
      </c>
    </row>
    <row r="166" spans="1:5">
      <c r="A166">
        <v>161</v>
      </c>
      <c r="B166" s="10">
        <v>45761</v>
      </c>
      <c r="C166" s="7">
        <v>536.0444</v>
      </c>
      <c r="D166">
        <v>68033992</v>
      </c>
      <c r="E166">
        <v>117789456</v>
      </c>
    </row>
    <row r="167" spans="1:5">
      <c r="A167">
        <v>162</v>
      </c>
      <c r="B167" s="10">
        <v>45758</v>
      </c>
      <c r="C167" s="7">
        <v>530.89400000000001</v>
      </c>
      <c r="D167">
        <v>97866336</v>
      </c>
      <c r="E167">
        <v>117171648</v>
      </c>
    </row>
    <row r="168" spans="1:5">
      <c r="A168">
        <v>163</v>
      </c>
      <c r="B168" s="10">
        <v>45757</v>
      </c>
      <c r="C168" s="7">
        <v>521.58730000000003</v>
      </c>
      <c r="D168">
        <v>162331232</v>
      </c>
      <c r="E168">
        <v>116231424</v>
      </c>
    </row>
    <row r="169" spans="1:5">
      <c r="A169">
        <v>164</v>
      </c>
      <c r="B169" s="10">
        <v>45756</v>
      </c>
      <c r="C169" s="7">
        <v>545.49019999999996</v>
      </c>
      <c r="D169">
        <v>241867312</v>
      </c>
      <c r="E169">
        <v>109606552</v>
      </c>
    </row>
    <row r="170" spans="1:5">
      <c r="A170">
        <v>165</v>
      </c>
      <c r="B170" s="10">
        <v>45755</v>
      </c>
      <c r="C170" s="7">
        <v>493.64760000000001</v>
      </c>
      <c r="D170">
        <v>165816576</v>
      </c>
      <c r="E170">
        <v>97919128</v>
      </c>
    </row>
    <row r="171" spans="1:5">
      <c r="A171">
        <v>166</v>
      </c>
      <c r="B171" s="10">
        <v>45754</v>
      </c>
      <c r="C171" s="7">
        <v>501.50259999999997</v>
      </c>
      <c r="D171">
        <v>256611360</v>
      </c>
      <c r="E171">
        <v>91267456</v>
      </c>
    </row>
    <row r="172" spans="1:5">
      <c r="A172">
        <v>167</v>
      </c>
      <c r="B172" s="10">
        <v>45751</v>
      </c>
      <c r="C172" s="7">
        <v>502.39749999999998</v>
      </c>
      <c r="D172">
        <v>217965136</v>
      </c>
      <c r="E172">
        <v>77427280</v>
      </c>
    </row>
    <row r="173" spans="1:5">
      <c r="A173">
        <v>168</v>
      </c>
      <c r="B173" s="10">
        <v>45750</v>
      </c>
      <c r="C173" s="7">
        <v>533.63819999999998</v>
      </c>
      <c r="D173">
        <v>125986000</v>
      </c>
      <c r="E173">
        <v>67073620</v>
      </c>
    </row>
    <row r="174" spans="1:5">
      <c r="A174">
        <v>169</v>
      </c>
      <c r="B174" s="10">
        <v>45749</v>
      </c>
      <c r="C174" s="7">
        <v>561.29949999999997</v>
      </c>
      <c r="D174">
        <v>76014544</v>
      </c>
      <c r="E174">
        <v>63613184</v>
      </c>
    </row>
    <row r="175" spans="1:5">
      <c r="A175">
        <v>170</v>
      </c>
      <c r="B175" s="10">
        <v>45748</v>
      </c>
      <c r="C175" s="7">
        <v>557.76980000000003</v>
      </c>
      <c r="D175">
        <v>54609640</v>
      </c>
      <c r="E175">
        <v>63184756</v>
      </c>
    </row>
    <row r="176" spans="1:5">
      <c r="A176">
        <v>171</v>
      </c>
      <c r="B176" s="10">
        <v>45747</v>
      </c>
      <c r="C176" s="7">
        <v>556.19880000000001</v>
      </c>
      <c r="D176">
        <v>95328216</v>
      </c>
      <c r="E176">
        <v>65417588</v>
      </c>
    </row>
    <row r="177" spans="1:5">
      <c r="A177">
        <v>172</v>
      </c>
      <c r="B177" s="10">
        <v>45744</v>
      </c>
      <c r="C177" s="7">
        <v>552.49009999999998</v>
      </c>
      <c r="D177">
        <v>71662656</v>
      </c>
      <c r="E177">
        <v>65684148</v>
      </c>
    </row>
    <row r="178" spans="1:5">
      <c r="A178">
        <v>173</v>
      </c>
      <c r="B178" s="10">
        <v>45743</v>
      </c>
      <c r="C178" s="7">
        <v>563.84490000000005</v>
      </c>
      <c r="D178">
        <v>42164248</v>
      </c>
      <c r="E178">
        <v>66317228</v>
      </c>
    </row>
    <row r="179" spans="1:5">
      <c r="A179">
        <v>174</v>
      </c>
      <c r="B179" s="10">
        <v>45742</v>
      </c>
      <c r="C179" s="7">
        <v>565.34630000000004</v>
      </c>
      <c r="D179">
        <v>52228896</v>
      </c>
      <c r="E179">
        <v>68845936</v>
      </c>
    </row>
    <row r="180" spans="1:5">
      <c r="A180">
        <v>175</v>
      </c>
      <c r="B180" s="10">
        <v>45741</v>
      </c>
      <c r="C180" s="7">
        <v>572.1771</v>
      </c>
      <c r="D180">
        <v>38355736</v>
      </c>
      <c r="E180">
        <v>70112712</v>
      </c>
    </row>
    <row r="181" spans="1:5">
      <c r="A181">
        <v>176</v>
      </c>
      <c r="B181" s="10">
        <v>45740</v>
      </c>
      <c r="C181" s="7">
        <v>570.80489999999998</v>
      </c>
      <c r="D181">
        <v>58766796</v>
      </c>
      <c r="E181">
        <v>74865544</v>
      </c>
    </row>
    <row r="182" spans="1:5">
      <c r="A182">
        <v>177</v>
      </c>
      <c r="B182" s="10">
        <v>45737</v>
      </c>
      <c r="C182" s="7">
        <v>560.76260000000002</v>
      </c>
      <c r="D182">
        <v>83762960</v>
      </c>
      <c r="E182">
        <v>75897704</v>
      </c>
    </row>
    <row r="183" spans="1:5">
      <c r="A183">
        <v>178</v>
      </c>
      <c r="B183" s="10">
        <v>45736</v>
      </c>
      <c r="C183" s="7">
        <v>560.57830000000001</v>
      </c>
      <c r="D183">
        <v>62958196</v>
      </c>
      <c r="E183">
        <v>76229776</v>
      </c>
    </row>
    <row r="184" spans="1:5">
      <c r="A184">
        <v>179</v>
      </c>
      <c r="B184" s="10">
        <v>45735</v>
      </c>
      <c r="C184" s="7">
        <v>562.20399999999995</v>
      </c>
      <c r="D184">
        <v>66555984</v>
      </c>
      <c r="E184">
        <v>76979008</v>
      </c>
    </row>
    <row r="185" spans="1:5">
      <c r="A185">
        <v>180</v>
      </c>
      <c r="B185" s="10">
        <v>45734</v>
      </c>
      <c r="C185" s="7">
        <v>556.14710000000002</v>
      </c>
      <c r="D185">
        <v>66041424</v>
      </c>
      <c r="E185">
        <v>75430048</v>
      </c>
    </row>
    <row r="186" spans="1:5">
      <c r="A186">
        <v>181</v>
      </c>
      <c r="B186" s="10">
        <v>45733</v>
      </c>
      <c r="C186" s="7">
        <v>562.22389999999996</v>
      </c>
      <c r="D186">
        <v>49008708</v>
      </c>
      <c r="E186">
        <v>74911720</v>
      </c>
    </row>
    <row r="187" spans="1:5">
      <c r="A187">
        <v>182</v>
      </c>
      <c r="B187" s="10">
        <v>45730</v>
      </c>
      <c r="C187" s="7">
        <v>557.92160000000001</v>
      </c>
      <c r="D187">
        <v>62660320</v>
      </c>
      <c r="E187">
        <v>75026952</v>
      </c>
    </row>
    <row r="188" spans="1:5">
      <c r="A188">
        <v>183</v>
      </c>
      <c r="B188" s="10">
        <v>45729</v>
      </c>
      <c r="C188" s="7">
        <v>546.63049999999998</v>
      </c>
      <c r="D188">
        <v>74079416</v>
      </c>
      <c r="E188">
        <v>75950920</v>
      </c>
    </row>
    <row r="189" spans="1:5">
      <c r="A189">
        <v>184</v>
      </c>
      <c r="B189" s="10">
        <v>45728</v>
      </c>
      <c r="C189" s="7">
        <v>554.01580000000001</v>
      </c>
      <c r="D189">
        <v>69588168</v>
      </c>
      <c r="E189">
        <v>73449224</v>
      </c>
    </row>
    <row r="190" spans="1:5">
      <c r="A190">
        <v>185</v>
      </c>
      <c r="B190" s="10">
        <v>45727</v>
      </c>
      <c r="C190" s="7">
        <v>551.09140000000002</v>
      </c>
      <c r="D190">
        <v>88102112</v>
      </c>
    </row>
    <row r="191" spans="1:5">
      <c r="A191">
        <v>186</v>
      </c>
      <c r="B191" s="10">
        <v>45726</v>
      </c>
      <c r="C191" s="7">
        <v>555.71090000000004</v>
      </c>
      <c r="D191">
        <v>99326624</v>
      </c>
    </row>
    <row r="192" spans="1:5">
      <c r="A192">
        <v>187</v>
      </c>
      <c r="B192" s="10">
        <v>45723</v>
      </c>
      <c r="C192" s="7">
        <v>570.91769999999997</v>
      </c>
      <c r="D192">
        <v>81158816</v>
      </c>
    </row>
    <row r="193" spans="1:4">
      <c r="A193">
        <v>188</v>
      </c>
      <c r="B193" s="10">
        <v>45722</v>
      </c>
      <c r="C193" s="7">
        <v>567.73559999999998</v>
      </c>
      <c r="D193">
        <v>80094864</v>
      </c>
    </row>
    <row r="194" spans="1:4">
      <c r="A194">
        <v>189</v>
      </c>
      <c r="B194" s="10">
        <v>45721</v>
      </c>
      <c r="C194" s="7">
        <v>577.99570000000006</v>
      </c>
      <c r="D194">
        <v>71230528</v>
      </c>
    </row>
    <row r="195" spans="1:4">
      <c r="A195">
        <v>190</v>
      </c>
      <c r="B195" s="10">
        <v>45720</v>
      </c>
      <c r="C195" s="7">
        <v>571.84950000000003</v>
      </c>
      <c r="D195">
        <v>109648208</v>
      </c>
    </row>
    <row r="196" spans="1:4">
      <c r="A196">
        <v>191</v>
      </c>
      <c r="B196" s="10">
        <v>45719</v>
      </c>
      <c r="C196" s="7">
        <v>578.69949999999994</v>
      </c>
      <c r="D196">
        <v>74249200</v>
      </c>
    </row>
    <row r="197" spans="1:4">
      <c r="A197">
        <v>192</v>
      </c>
      <c r="B197" s="10">
        <v>45716</v>
      </c>
      <c r="C197" s="7">
        <v>589.01909999999998</v>
      </c>
      <c r="D197">
        <v>88744104</v>
      </c>
    </row>
    <row r="198" spans="1:4">
      <c r="A198">
        <v>193</v>
      </c>
      <c r="B198" s="10">
        <v>45715</v>
      </c>
      <c r="C198" s="7">
        <v>579.96839999999997</v>
      </c>
      <c r="D198">
        <v>74196664</v>
      </c>
    </row>
    <row r="199" spans="1:4">
      <c r="A199">
        <v>194</v>
      </c>
      <c r="B199" s="10">
        <v>45714</v>
      </c>
      <c r="C199" s="7">
        <v>589.37599999999998</v>
      </c>
      <c r="D199">
        <v>43321576</v>
      </c>
    </row>
    <row r="200" spans="1:4">
      <c r="A200">
        <v>195</v>
      </c>
      <c r="B200" s="10">
        <v>45713</v>
      </c>
      <c r="C200" s="7">
        <v>589.07860000000005</v>
      </c>
      <c r="D200">
        <v>58266472</v>
      </c>
    </row>
    <row r="201" spans="1:4">
      <c r="A201">
        <v>196</v>
      </c>
      <c r="B201" s="10">
        <v>45712</v>
      </c>
      <c r="C201" s="7">
        <v>592.02279999999996</v>
      </c>
      <c r="D201">
        <v>50737212</v>
      </c>
    </row>
    <row r="202" spans="1:4">
      <c r="A202">
        <v>197</v>
      </c>
      <c r="B202" s="10">
        <v>45709</v>
      </c>
      <c r="C202" s="7">
        <v>594.72910000000002</v>
      </c>
      <c r="D202">
        <v>76519816</v>
      </c>
    </row>
    <row r="203" spans="1:4">
      <c r="A203">
        <v>198</v>
      </c>
      <c r="B203" s="10">
        <v>45708</v>
      </c>
      <c r="C203" s="7">
        <v>605.07839999999999</v>
      </c>
      <c r="D203">
        <v>36554000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2548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4"/>
  <cols>
    <col min="1" max="1" width="20" customWidth="1"/>
    <col min="2" max="2" width="23" customWidth="1"/>
    <col min="3" max="3" width="17" customWidth="1"/>
    <col min="4" max="5" width="19" customWidth="1"/>
  </cols>
  <sheetData>
    <row r="1" spans="1:22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" customHeight="1">
      <c r="A2" s="2" t="s">
        <v>245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2" customHeight="1">
      <c r="A3" s="3" t="s">
        <v>246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38" customHeight="1">
      <c r="A6" s="5" t="s">
        <v>237</v>
      </c>
      <c r="B6" s="5" t="s">
        <v>238</v>
      </c>
      <c r="C6" s="5" t="s">
        <v>239</v>
      </c>
      <c r="D6" s="5" t="s">
        <v>243</v>
      </c>
      <c r="E6" s="5" t="s">
        <v>244</v>
      </c>
    </row>
    <row r="7" spans="1:22">
      <c r="A7">
        <v>2</v>
      </c>
      <c r="B7" s="11">
        <v>45992.666666666664</v>
      </c>
      <c r="C7" s="7">
        <v>680.27</v>
      </c>
      <c r="D7">
        <v>0</v>
      </c>
      <c r="E7">
        <v>2959247.75</v>
      </c>
    </row>
    <row r="8" spans="1:22">
      <c r="A8">
        <v>3</v>
      </c>
      <c r="B8" s="11">
        <v>45992.645833333336</v>
      </c>
      <c r="C8" s="7">
        <v>680.27</v>
      </c>
      <c r="D8">
        <v>12550585</v>
      </c>
      <c r="E8">
        <v>2959247.75</v>
      </c>
    </row>
    <row r="9" spans="1:22">
      <c r="A9">
        <v>4</v>
      </c>
      <c r="B9" s="11">
        <v>45992.625</v>
      </c>
      <c r="C9" s="7">
        <v>680.76499999999999</v>
      </c>
      <c r="D9">
        <v>2548565</v>
      </c>
      <c r="E9">
        <v>2122542</v>
      </c>
    </row>
    <row r="10" spans="1:22">
      <c r="A10">
        <v>5</v>
      </c>
      <c r="B10" s="11">
        <v>45992.604166666664</v>
      </c>
      <c r="C10" s="7">
        <v>680.14</v>
      </c>
      <c r="D10">
        <v>3033602</v>
      </c>
      <c r="E10">
        <v>1952637.75</v>
      </c>
    </row>
    <row r="11" spans="1:22">
      <c r="A11">
        <v>6</v>
      </c>
      <c r="B11" s="11">
        <v>45992.583333333336</v>
      </c>
      <c r="C11" s="7">
        <v>680.49</v>
      </c>
      <c r="D11">
        <v>3145771</v>
      </c>
      <c r="E11">
        <v>2441319.75</v>
      </c>
    </row>
    <row r="12" spans="1:22">
      <c r="A12">
        <v>7</v>
      </c>
      <c r="B12" s="11">
        <v>45992.5625</v>
      </c>
      <c r="C12" s="7">
        <v>682.81500000000005</v>
      </c>
      <c r="D12">
        <v>1582845</v>
      </c>
      <c r="E12">
        <v>2453621</v>
      </c>
    </row>
    <row r="13" spans="1:22">
      <c r="A13">
        <v>8</v>
      </c>
      <c r="B13" s="11">
        <v>45992.541666666664</v>
      </c>
      <c r="C13" s="7">
        <v>682.49</v>
      </c>
      <c r="D13">
        <v>1345902</v>
      </c>
      <c r="E13">
        <v>2578816.25</v>
      </c>
    </row>
    <row r="14" spans="1:22">
      <c r="A14">
        <v>9</v>
      </c>
      <c r="B14" s="11">
        <v>45992.520833333336</v>
      </c>
      <c r="C14" s="7">
        <v>682.005</v>
      </c>
      <c r="D14">
        <v>1374588</v>
      </c>
      <c r="E14">
        <v>2719327.25</v>
      </c>
    </row>
    <row r="15" spans="1:22">
      <c r="A15">
        <v>10</v>
      </c>
      <c r="B15" s="11">
        <v>45992.5</v>
      </c>
      <c r="C15" s="7">
        <v>682.01</v>
      </c>
      <c r="D15">
        <v>1516606</v>
      </c>
      <c r="E15">
        <v>2844391.25</v>
      </c>
    </row>
    <row r="16" spans="1:22">
      <c r="A16">
        <v>11</v>
      </c>
      <c r="B16" s="11">
        <v>45992.479166666664</v>
      </c>
      <c r="C16" s="7">
        <v>681.93</v>
      </c>
      <c r="D16">
        <v>1954095</v>
      </c>
      <c r="E16">
        <v>2983451</v>
      </c>
    </row>
    <row r="17" spans="1:5">
      <c r="A17">
        <v>12</v>
      </c>
      <c r="B17" s="11">
        <v>45992.458333333336</v>
      </c>
      <c r="C17" s="7">
        <v>681.11</v>
      </c>
      <c r="D17">
        <v>1802813</v>
      </c>
      <c r="E17">
        <v>3144017</v>
      </c>
    </row>
    <row r="18" spans="1:5">
      <c r="A18">
        <v>13</v>
      </c>
      <c r="B18" s="11">
        <v>45992.4375</v>
      </c>
      <c r="C18" s="7">
        <v>681.73</v>
      </c>
      <c r="D18">
        <v>3181322</v>
      </c>
      <c r="E18">
        <v>3023829.5</v>
      </c>
    </row>
    <row r="19" spans="1:5">
      <c r="A19">
        <v>14</v>
      </c>
      <c r="B19" s="11">
        <v>45992.416666666664</v>
      </c>
      <c r="C19" s="7">
        <v>679.67499999999995</v>
      </c>
      <c r="D19">
        <v>3953647</v>
      </c>
      <c r="E19">
        <v>3535224.5</v>
      </c>
    </row>
    <row r="20" spans="1:5">
      <c r="A20">
        <v>15</v>
      </c>
      <c r="B20" s="11">
        <v>45992.395833333336</v>
      </c>
      <c r="C20" s="7">
        <v>681.55</v>
      </c>
      <c r="D20">
        <v>6398375</v>
      </c>
      <c r="E20">
        <v>3537053.5</v>
      </c>
    </row>
    <row r="21" spans="1:5">
      <c r="A21">
        <v>16</v>
      </c>
      <c r="B21" s="11">
        <v>45989.645833333336</v>
      </c>
      <c r="C21" s="7">
        <v>683.39</v>
      </c>
      <c r="D21">
        <v>0</v>
      </c>
      <c r="E21">
        <v>3323708.25</v>
      </c>
    </row>
    <row r="22" spans="1:5">
      <c r="A22">
        <v>17</v>
      </c>
      <c r="B22" s="11">
        <v>45989.625</v>
      </c>
      <c r="C22" s="7">
        <v>683.39</v>
      </c>
      <c r="D22">
        <v>0</v>
      </c>
      <c r="E22">
        <v>3522978.75</v>
      </c>
    </row>
    <row r="23" spans="1:5">
      <c r="A23">
        <v>18</v>
      </c>
      <c r="B23" s="11">
        <v>45989.583333333336</v>
      </c>
      <c r="C23" s="7">
        <v>683.39</v>
      </c>
      <c r="D23">
        <v>0</v>
      </c>
      <c r="E23">
        <v>3707475.75</v>
      </c>
    </row>
    <row r="24" spans="1:5">
      <c r="A24">
        <v>19</v>
      </c>
      <c r="B24" s="11">
        <v>45989.541666666664</v>
      </c>
      <c r="C24" s="7">
        <v>683.39</v>
      </c>
      <c r="D24">
        <v>0</v>
      </c>
      <c r="E24">
        <v>3935781.25</v>
      </c>
    </row>
    <row r="25" spans="1:5">
      <c r="A25">
        <v>20</v>
      </c>
      <c r="B25" s="11">
        <v>45989.520833333336</v>
      </c>
      <c r="C25" s="7">
        <v>683.39</v>
      </c>
      <c r="D25">
        <v>10363832</v>
      </c>
      <c r="E25">
        <v>4081347</v>
      </c>
    </row>
    <row r="26" spans="1:5">
      <c r="A26">
        <v>21</v>
      </c>
      <c r="B26" s="11">
        <v>45989.5</v>
      </c>
      <c r="C26" s="7">
        <v>682.22</v>
      </c>
      <c r="D26">
        <v>3330290</v>
      </c>
      <c r="E26">
        <v>3555984.25</v>
      </c>
    </row>
    <row r="27" spans="1:5">
      <c r="A27">
        <v>22</v>
      </c>
      <c r="B27" s="11">
        <v>45989.479166666664</v>
      </c>
      <c r="C27" s="7">
        <v>682.72</v>
      </c>
      <c r="D27">
        <v>3460775</v>
      </c>
      <c r="E27">
        <v>3559658.75</v>
      </c>
    </row>
    <row r="28" spans="1:5">
      <c r="A28">
        <v>23</v>
      </c>
      <c r="B28" s="11">
        <v>45989.458333333336</v>
      </c>
      <c r="C28" s="7">
        <v>682.1499</v>
      </c>
      <c r="D28">
        <v>3453564</v>
      </c>
      <c r="E28">
        <v>3543295.75</v>
      </c>
    </row>
    <row r="29" spans="1:5">
      <c r="A29">
        <v>24</v>
      </c>
      <c r="B29" s="11">
        <v>45989.4375</v>
      </c>
      <c r="C29" s="7">
        <v>682.47</v>
      </c>
      <c r="D29">
        <v>3250550</v>
      </c>
      <c r="E29">
        <v>3512547.5</v>
      </c>
    </row>
    <row r="30" spans="1:5">
      <c r="A30">
        <v>25</v>
      </c>
      <c r="B30" s="11">
        <v>45989.416666666664</v>
      </c>
      <c r="C30" s="7">
        <v>681.69500000000005</v>
      </c>
      <c r="D30">
        <v>3602503</v>
      </c>
      <c r="E30">
        <v>3566108.5</v>
      </c>
    </row>
    <row r="31" spans="1:5">
      <c r="A31">
        <v>26</v>
      </c>
      <c r="B31" s="11">
        <v>45989.395833333336</v>
      </c>
      <c r="C31" s="7">
        <v>681.26499999999999</v>
      </c>
      <c r="D31">
        <v>4362583</v>
      </c>
      <c r="E31">
        <v>3792689.75</v>
      </c>
    </row>
    <row r="32" spans="1:5">
      <c r="A32">
        <v>27</v>
      </c>
      <c r="B32" s="11">
        <v>45987.666666666664</v>
      </c>
      <c r="C32" s="7">
        <v>679.68</v>
      </c>
      <c r="D32">
        <v>0</v>
      </c>
      <c r="E32">
        <v>3501851</v>
      </c>
    </row>
    <row r="33" spans="1:5">
      <c r="A33">
        <v>28</v>
      </c>
      <c r="B33" s="11">
        <v>45987.645833333336</v>
      </c>
      <c r="C33" s="7">
        <v>679.7</v>
      </c>
      <c r="D33">
        <v>10852250</v>
      </c>
      <c r="E33">
        <v>4198692</v>
      </c>
    </row>
    <row r="34" spans="1:5">
      <c r="A34">
        <v>29</v>
      </c>
      <c r="B34" s="11">
        <v>45987.625</v>
      </c>
      <c r="C34" s="7">
        <v>681.20500000000004</v>
      </c>
      <c r="D34">
        <v>3981080</v>
      </c>
      <c r="E34">
        <v>3756400.5</v>
      </c>
    </row>
    <row r="35" spans="1:5">
      <c r="A35">
        <v>30</v>
      </c>
      <c r="B35" s="11">
        <v>45987.604166666664</v>
      </c>
      <c r="C35" s="7">
        <v>680.88</v>
      </c>
      <c r="D35">
        <v>3198195</v>
      </c>
      <c r="E35">
        <v>3717635.5</v>
      </c>
    </row>
    <row r="36" spans="1:5">
      <c r="A36">
        <v>31</v>
      </c>
      <c r="B36" s="11">
        <v>45987.583333333336</v>
      </c>
      <c r="C36" s="7">
        <v>681.23</v>
      </c>
      <c r="D36">
        <v>2989060</v>
      </c>
      <c r="E36">
        <v>3725928.5</v>
      </c>
    </row>
    <row r="37" spans="1:5">
      <c r="A37">
        <v>32</v>
      </c>
      <c r="B37" s="11">
        <v>45987.5625</v>
      </c>
      <c r="C37" s="7">
        <v>680.38469999999995</v>
      </c>
      <c r="D37">
        <v>2767456</v>
      </c>
      <c r="E37">
        <v>3678166.25</v>
      </c>
    </row>
    <row r="38" spans="1:5">
      <c r="A38">
        <v>33</v>
      </c>
      <c r="B38" s="11">
        <v>45987.541666666664</v>
      </c>
      <c r="C38" s="7">
        <v>681.07</v>
      </c>
      <c r="D38">
        <v>3424580</v>
      </c>
      <c r="E38">
        <v>3681502.5</v>
      </c>
    </row>
    <row r="39" spans="1:5">
      <c r="A39">
        <v>34</v>
      </c>
      <c r="B39" s="11">
        <v>45987.520833333336</v>
      </c>
      <c r="C39" s="7">
        <v>681.09</v>
      </c>
      <c r="D39">
        <v>2183488</v>
      </c>
      <c r="E39">
        <v>3666829.5</v>
      </c>
    </row>
    <row r="40" spans="1:5">
      <c r="A40">
        <v>35</v>
      </c>
      <c r="B40" s="11">
        <v>45987.5</v>
      </c>
      <c r="C40" s="7">
        <v>680.97</v>
      </c>
      <c r="D40">
        <v>2483390</v>
      </c>
      <c r="E40">
        <v>3797122.75</v>
      </c>
    </row>
    <row r="41" spans="1:5">
      <c r="A41">
        <v>36</v>
      </c>
      <c r="B41" s="11">
        <v>45987.479166666664</v>
      </c>
      <c r="C41" s="7">
        <v>681.40859999999998</v>
      </c>
      <c r="D41">
        <v>3385408</v>
      </c>
      <c r="E41">
        <v>3830786.5</v>
      </c>
    </row>
    <row r="42" spans="1:5">
      <c r="A42">
        <v>37</v>
      </c>
      <c r="B42" s="11">
        <v>45987.458333333336</v>
      </c>
      <c r="C42" s="7">
        <v>680.64</v>
      </c>
      <c r="D42">
        <v>3215330</v>
      </c>
      <c r="E42">
        <v>3856587.25</v>
      </c>
    </row>
    <row r="43" spans="1:5">
      <c r="A43">
        <v>38</v>
      </c>
      <c r="B43" s="11">
        <v>45987.4375</v>
      </c>
      <c r="C43" s="7">
        <v>679.59</v>
      </c>
      <c r="D43">
        <v>2992341</v>
      </c>
      <c r="E43">
        <v>4000072.25</v>
      </c>
    </row>
    <row r="44" spans="1:5">
      <c r="A44">
        <v>39</v>
      </c>
      <c r="B44" s="11">
        <v>45987.416666666664</v>
      </c>
      <c r="C44" s="7">
        <v>678.2</v>
      </c>
      <c r="D44">
        <v>4053965</v>
      </c>
      <c r="E44">
        <v>4236439.5</v>
      </c>
    </row>
    <row r="45" spans="1:5">
      <c r="A45">
        <v>40</v>
      </c>
      <c r="B45" s="11">
        <v>45987.395833333336</v>
      </c>
      <c r="C45" s="7">
        <v>677.18</v>
      </c>
      <c r="D45">
        <v>7001221</v>
      </c>
      <c r="E45">
        <v>4637844.5</v>
      </c>
    </row>
    <row r="46" spans="1:5">
      <c r="A46">
        <v>41</v>
      </c>
      <c r="B46" s="11">
        <v>45986.666666666664</v>
      </c>
      <c r="C46" s="7">
        <v>675.02</v>
      </c>
      <c r="D46">
        <v>0</v>
      </c>
      <c r="E46">
        <v>4171096.75</v>
      </c>
    </row>
    <row r="47" spans="1:5">
      <c r="A47">
        <v>42</v>
      </c>
      <c r="B47" s="11">
        <v>45986.645833333336</v>
      </c>
      <c r="C47" s="7">
        <v>675.02</v>
      </c>
      <c r="D47">
        <v>10452618</v>
      </c>
      <c r="E47">
        <v>5107222</v>
      </c>
    </row>
    <row r="48" spans="1:5">
      <c r="A48">
        <v>43</v>
      </c>
      <c r="B48" s="11">
        <v>45986.625</v>
      </c>
      <c r="C48" s="7">
        <v>674.52</v>
      </c>
      <c r="D48">
        <v>4217875</v>
      </c>
      <c r="E48">
        <v>4634470</v>
      </c>
    </row>
    <row r="49" spans="1:5">
      <c r="A49">
        <v>44</v>
      </c>
      <c r="B49" s="11">
        <v>45986.604166666664</v>
      </c>
      <c r="C49" s="7">
        <v>674</v>
      </c>
      <c r="D49">
        <v>3399604</v>
      </c>
      <c r="E49">
        <v>4608150</v>
      </c>
    </row>
    <row r="50" spans="1:5">
      <c r="A50">
        <v>45</v>
      </c>
      <c r="B50" s="11">
        <v>45986.583333333336</v>
      </c>
      <c r="C50" s="7">
        <v>673.34</v>
      </c>
      <c r="D50">
        <v>3322590</v>
      </c>
      <c r="E50">
        <v>4543267.5</v>
      </c>
    </row>
    <row r="51" spans="1:5">
      <c r="A51">
        <v>46</v>
      </c>
      <c r="B51" s="11">
        <v>45986.5625</v>
      </c>
      <c r="C51" s="7">
        <v>673.82</v>
      </c>
      <c r="D51">
        <v>2272627</v>
      </c>
      <c r="E51">
        <v>4436026.5</v>
      </c>
    </row>
    <row r="52" spans="1:5">
      <c r="A52">
        <v>47</v>
      </c>
      <c r="B52" s="11">
        <v>45986.541666666664</v>
      </c>
      <c r="C52" s="7">
        <v>674.04</v>
      </c>
      <c r="D52">
        <v>2817500</v>
      </c>
      <c r="E52">
        <v>4430963.5</v>
      </c>
    </row>
    <row r="53" spans="1:5">
      <c r="A53">
        <v>48</v>
      </c>
      <c r="B53" s="11">
        <v>45986.520833333336</v>
      </c>
      <c r="C53" s="7">
        <v>673.33100000000002</v>
      </c>
      <c r="D53">
        <v>3204484</v>
      </c>
      <c r="E53">
        <v>4411324</v>
      </c>
    </row>
    <row r="54" spans="1:5">
      <c r="A54">
        <v>49</v>
      </c>
      <c r="B54" s="11">
        <v>45986.5</v>
      </c>
      <c r="C54" s="7">
        <v>673.33</v>
      </c>
      <c r="D54">
        <v>4137887</v>
      </c>
      <c r="E54">
        <v>4344700.5</v>
      </c>
    </row>
    <row r="55" spans="1:5">
      <c r="A55">
        <v>50</v>
      </c>
      <c r="B55" s="11">
        <v>45986.479166666664</v>
      </c>
      <c r="C55" s="7">
        <v>671.75059999999996</v>
      </c>
      <c r="D55">
        <v>2988349</v>
      </c>
      <c r="E55">
        <v>4233173.5</v>
      </c>
    </row>
    <row r="56" spans="1:5">
      <c r="A56">
        <v>51</v>
      </c>
      <c r="B56" s="11">
        <v>45986.458333333336</v>
      </c>
      <c r="C56" s="7">
        <v>670.62</v>
      </c>
      <c r="D56">
        <v>3772418</v>
      </c>
      <c r="E56">
        <v>4280518</v>
      </c>
    </row>
    <row r="57" spans="1:5">
      <c r="A57">
        <v>52</v>
      </c>
      <c r="B57" s="11">
        <v>45986.4375</v>
      </c>
      <c r="C57" s="7">
        <v>669.54</v>
      </c>
      <c r="D57">
        <v>5367606</v>
      </c>
      <c r="E57">
        <v>4295366</v>
      </c>
    </row>
    <row r="58" spans="1:5">
      <c r="A58">
        <v>53</v>
      </c>
      <c r="B58" s="11">
        <v>45986.416666666664</v>
      </c>
      <c r="C58" s="7">
        <v>668.46</v>
      </c>
      <c r="D58">
        <v>6537845</v>
      </c>
      <c r="E58">
        <v>4318662.5</v>
      </c>
    </row>
    <row r="59" spans="1:5">
      <c r="A59">
        <v>54</v>
      </c>
      <c r="B59" s="11">
        <v>45986.395833333336</v>
      </c>
      <c r="C59" s="7">
        <v>668.81</v>
      </c>
      <c r="D59">
        <v>10075047</v>
      </c>
      <c r="E59">
        <v>4429063</v>
      </c>
    </row>
    <row r="60" spans="1:5">
      <c r="A60">
        <v>55</v>
      </c>
      <c r="B60" s="11">
        <v>45985.666666666664</v>
      </c>
      <c r="C60" s="7">
        <v>668.73</v>
      </c>
      <c r="D60">
        <v>0</v>
      </c>
      <c r="E60">
        <v>3757393.25</v>
      </c>
    </row>
    <row r="61" spans="1:5">
      <c r="A61">
        <v>56</v>
      </c>
      <c r="B61" s="11">
        <v>45985.645833333336</v>
      </c>
      <c r="C61" s="7">
        <v>668.67</v>
      </c>
      <c r="D61">
        <v>14041883</v>
      </c>
      <c r="E61">
        <v>4715600</v>
      </c>
    </row>
    <row r="62" spans="1:5">
      <c r="A62">
        <v>57</v>
      </c>
      <c r="B62" s="11">
        <v>45985.625</v>
      </c>
      <c r="C62" s="7">
        <v>668.92</v>
      </c>
      <c r="D62">
        <v>3361335</v>
      </c>
      <c r="E62">
        <v>4098967.25</v>
      </c>
    </row>
    <row r="63" spans="1:5">
      <c r="A63">
        <v>58</v>
      </c>
      <c r="B63" s="11">
        <v>45985.604166666664</v>
      </c>
      <c r="C63" s="7">
        <v>668.36</v>
      </c>
      <c r="D63">
        <v>3823076</v>
      </c>
      <c r="E63">
        <v>4192129.5</v>
      </c>
    </row>
    <row r="64" spans="1:5">
      <c r="A64">
        <v>59</v>
      </c>
      <c r="B64" s="11">
        <v>45985.583333333336</v>
      </c>
      <c r="C64" s="7">
        <v>668.96</v>
      </c>
      <c r="D64">
        <v>2426362</v>
      </c>
      <c r="E64">
        <v>4246431</v>
      </c>
    </row>
    <row r="65" spans="1:5">
      <c r="A65">
        <v>60</v>
      </c>
      <c r="B65" s="11">
        <v>45985.5625</v>
      </c>
      <c r="C65" s="7">
        <v>669.23</v>
      </c>
      <c r="D65">
        <v>1713978</v>
      </c>
      <c r="E65">
        <v>4486581</v>
      </c>
    </row>
    <row r="66" spans="1:5">
      <c r="A66">
        <v>61</v>
      </c>
      <c r="B66" s="11">
        <v>45985.541666666664</v>
      </c>
      <c r="C66" s="7">
        <v>669.15</v>
      </c>
      <c r="D66">
        <v>2196681</v>
      </c>
      <c r="E66">
        <v>4682639.5</v>
      </c>
    </row>
    <row r="67" spans="1:5">
      <c r="A67">
        <v>62</v>
      </c>
      <c r="B67" s="11">
        <v>45985.520833333336</v>
      </c>
      <c r="C67" s="7">
        <v>669.1</v>
      </c>
      <c r="D67">
        <v>2522911</v>
      </c>
      <c r="E67">
        <v>4780818</v>
      </c>
    </row>
    <row r="68" spans="1:5">
      <c r="A68">
        <v>63</v>
      </c>
      <c r="B68" s="11">
        <v>45985.5</v>
      </c>
      <c r="C68" s="7">
        <v>668.21</v>
      </c>
      <c r="D68">
        <v>2205127</v>
      </c>
      <c r="E68">
        <v>5017094.5</v>
      </c>
    </row>
    <row r="69" spans="1:5">
      <c r="A69">
        <v>64</v>
      </c>
      <c r="B69" s="11">
        <v>45985.479166666664</v>
      </c>
      <c r="C69" s="7">
        <v>667.48</v>
      </c>
      <c r="D69">
        <v>2464983</v>
      </c>
      <c r="E69">
        <v>5316710</v>
      </c>
    </row>
    <row r="70" spans="1:5">
      <c r="A70">
        <v>65</v>
      </c>
      <c r="B70" s="11">
        <v>45985.458333333336</v>
      </c>
      <c r="C70" s="7">
        <v>667.91</v>
      </c>
      <c r="D70">
        <v>3698517</v>
      </c>
      <c r="E70">
        <v>5473632</v>
      </c>
    </row>
    <row r="71" spans="1:5">
      <c r="A71">
        <v>66</v>
      </c>
      <c r="B71" s="11">
        <v>45985.4375</v>
      </c>
      <c r="C71" s="7">
        <v>666.6771</v>
      </c>
      <c r="D71">
        <v>3995140</v>
      </c>
      <c r="E71">
        <v>5718257.5</v>
      </c>
    </row>
    <row r="72" spans="1:5">
      <c r="A72">
        <v>67</v>
      </c>
      <c r="B72" s="11">
        <v>45985.416666666664</v>
      </c>
      <c r="C72" s="7">
        <v>665.43499999999995</v>
      </c>
      <c r="D72">
        <v>5717053</v>
      </c>
      <c r="E72">
        <v>6021305</v>
      </c>
    </row>
    <row r="73" spans="1:5">
      <c r="A73">
        <v>68</v>
      </c>
      <c r="B73" s="11">
        <v>45985.395833333336</v>
      </c>
      <c r="C73" s="7">
        <v>664.22</v>
      </c>
      <c r="D73">
        <v>8193853</v>
      </c>
      <c r="E73">
        <v>6376377</v>
      </c>
    </row>
    <row r="74" spans="1:5">
      <c r="A74">
        <v>69</v>
      </c>
      <c r="B74" s="11">
        <v>45982.666666666664</v>
      </c>
      <c r="C74" s="7">
        <v>659.03</v>
      </c>
      <c r="D74">
        <v>0</v>
      </c>
      <c r="E74">
        <v>5830120</v>
      </c>
    </row>
    <row r="75" spans="1:5">
      <c r="A75">
        <v>70</v>
      </c>
      <c r="B75" s="11">
        <v>45982.645833333336</v>
      </c>
      <c r="C75" s="7">
        <v>659</v>
      </c>
      <c r="D75">
        <v>14373103</v>
      </c>
      <c r="E75">
        <v>7065930.5</v>
      </c>
    </row>
    <row r="76" spans="1:5">
      <c r="A76">
        <v>71</v>
      </c>
      <c r="B76" s="11">
        <v>45982.625</v>
      </c>
      <c r="C76" s="7">
        <v>659.44</v>
      </c>
      <c r="D76">
        <v>4792389</v>
      </c>
      <c r="E76">
        <v>6548918.5</v>
      </c>
    </row>
    <row r="77" spans="1:5">
      <c r="A77">
        <v>72</v>
      </c>
      <c r="B77" s="11">
        <v>45982.604166666664</v>
      </c>
      <c r="C77" s="7">
        <v>661.67</v>
      </c>
      <c r="D77">
        <v>4758770</v>
      </c>
      <c r="E77">
        <v>6618465.5</v>
      </c>
    </row>
    <row r="78" spans="1:5">
      <c r="A78">
        <v>73</v>
      </c>
      <c r="B78" s="11">
        <v>45982.583333333336</v>
      </c>
      <c r="C78" s="7">
        <v>664.23</v>
      </c>
      <c r="D78">
        <v>4637597</v>
      </c>
      <c r="E78">
        <v>6690876.5</v>
      </c>
    </row>
    <row r="79" spans="1:5">
      <c r="A79">
        <v>74</v>
      </c>
      <c r="B79" s="11">
        <v>45982.5625</v>
      </c>
      <c r="C79" s="7">
        <v>662.29</v>
      </c>
      <c r="D79">
        <v>6028615</v>
      </c>
      <c r="E79">
        <v>6812208</v>
      </c>
    </row>
    <row r="80" spans="1:5">
      <c r="A80">
        <v>75</v>
      </c>
      <c r="B80" s="11">
        <v>45982.541666666664</v>
      </c>
      <c r="C80" s="7">
        <v>658.13</v>
      </c>
      <c r="D80">
        <v>4654852</v>
      </c>
      <c r="E80">
        <v>7045700.5</v>
      </c>
    </row>
    <row r="81" spans="1:5">
      <c r="A81">
        <v>76</v>
      </c>
      <c r="B81" s="11">
        <v>45982.520833333336</v>
      </c>
      <c r="C81" s="7">
        <v>660.23</v>
      </c>
      <c r="D81">
        <v>3669363</v>
      </c>
      <c r="E81">
        <v>7435426.5</v>
      </c>
    </row>
    <row r="82" spans="1:5">
      <c r="A82">
        <v>77</v>
      </c>
      <c r="B82" s="11">
        <v>45982.5</v>
      </c>
      <c r="C82" s="7">
        <v>660.52</v>
      </c>
      <c r="D82">
        <v>6067053</v>
      </c>
      <c r="E82">
        <v>8238332.5</v>
      </c>
    </row>
    <row r="83" spans="1:5">
      <c r="A83">
        <v>78</v>
      </c>
      <c r="B83" s="11">
        <v>45982.479166666664</v>
      </c>
      <c r="C83" s="7">
        <v>660.82</v>
      </c>
      <c r="D83">
        <v>6699364</v>
      </c>
      <c r="E83">
        <v>8854090</v>
      </c>
    </row>
    <row r="84" spans="1:5">
      <c r="A84">
        <v>79</v>
      </c>
      <c r="B84" s="11">
        <v>45982.458333333336</v>
      </c>
      <c r="C84" s="7">
        <v>655.875</v>
      </c>
      <c r="D84">
        <v>4818814</v>
      </c>
      <c r="E84">
        <v>9148890</v>
      </c>
    </row>
    <row r="85" spans="1:5">
      <c r="A85">
        <v>80</v>
      </c>
      <c r="B85" s="11">
        <v>45982.4375</v>
      </c>
      <c r="C85" s="7">
        <v>653.01</v>
      </c>
      <c r="D85">
        <v>7367896</v>
      </c>
      <c r="E85">
        <v>9140518</v>
      </c>
    </row>
    <row r="86" spans="1:5">
      <c r="A86">
        <v>81</v>
      </c>
      <c r="B86" s="11">
        <v>45982.416666666664</v>
      </c>
      <c r="C86" s="7">
        <v>652.96</v>
      </c>
      <c r="D86">
        <v>8540855</v>
      </c>
      <c r="E86">
        <v>9090032</v>
      </c>
    </row>
    <row r="87" spans="1:5">
      <c r="A87">
        <v>82</v>
      </c>
      <c r="B87" s="11">
        <v>45982.395833333336</v>
      </c>
      <c r="C87" s="7">
        <v>654.83000000000004</v>
      </c>
      <c r="D87">
        <v>11043132</v>
      </c>
      <c r="E87">
        <v>9262522</v>
      </c>
    </row>
    <row r="88" spans="1:5">
      <c r="A88">
        <v>83</v>
      </c>
      <c r="B88" s="11">
        <v>45981.666666666664</v>
      </c>
      <c r="C88" s="7">
        <v>652.53</v>
      </c>
      <c r="D88">
        <v>0</v>
      </c>
      <c r="E88">
        <v>8526313</v>
      </c>
    </row>
    <row r="89" spans="1:5">
      <c r="A89">
        <v>84</v>
      </c>
      <c r="B89" s="11">
        <v>45981.645833333336</v>
      </c>
      <c r="C89" s="7">
        <v>652.53</v>
      </c>
      <c r="D89">
        <v>18537154</v>
      </c>
      <c r="E89">
        <v>9159447</v>
      </c>
    </row>
    <row r="90" spans="1:5">
      <c r="A90">
        <v>85</v>
      </c>
      <c r="B90" s="11">
        <v>45981.625</v>
      </c>
      <c r="C90" s="7">
        <v>656.21</v>
      </c>
      <c r="D90">
        <v>6617920</v>
      </c>
      <c r="E90">
        <v>8246535</v>
      </c>
    </row>
    <row r="91" spans="1:5">
      <c r="A91">
        <v>86</v>
      </c>
      <c r="B91" s="11">
        <v>45981.604166666664</v>
      </c>
      <c r="C91" s="7">
        <v>658.07</v>
      </c>
      <c r="D91">
        <v>5835598</v>
      </c>
      <c r="E91">
        <v>8061022.5</v>
      </c>
    </row>
    <row r="92" spans="1:5">
      <c r="A92">
        <v>87</v>
      </c>
      <c r="B92" s="11">
        <v>45981.583333333336</v>
      </c>
      <c r="C92" s="7">
        <v>656.94</v>
      </c>
      <c r="D92">
        <v>5844936</v>
      </c>
      <c r="E92">
        <v>7959013.5</v>
      </c>
    </row>
    <row r="93" spans="1:5">
      <c r="A93">
        <v>88</v>
      </c>
      <c r="B93" s="11">
        <v>45981.5625</v>
      </c>
      <c r="C93" s="7">
        <v>655.08000000000004</v>
      </c>
      <c r="D93">
        <v>6457565</v>
      </c>
      <c r="E93">
        <v>7864018.5</v>
      </c>
    </row>
    <row r="94" spans="1:5">
      <c r="A94">
        <v>89</v>
      </c>
      <c r="B94" s="11">
        <v>45981.541666666664</v>
      </c>
      <c r="C94" s="7">
        <v>659.44</v>
      </c>
      <c r="D94">
        <v>9531009</v>
      </c>
      <c r="E94">
        <v>7705843</v>
      </c>
    </row>
    <row r="95" spans="1:5">
      <c r="A95">
        <v>90</v>
      </c>
      <c r="B95" s="11">
        <v>45981.520833333336</v>
      </c>
      <c r="C95" s="7">
        <v>657.01059999999995</v>
      </c>
      <c r="D95">
        <v>10500736</v>
      </c>
      <c r="E95">
        <v>7448308.5</v>
      </c>
    </row>
    <row r="96" spans="1:5">
      <c r="A96">
        <v>91</v>
      </c>
      <c r="B96" s="11">
        <v>45981.5</v>
      </c>
      <c r="C96" s="7">
        <v>658.38</v>
      </c>
      <c r="D96">
        <v>15712958</v>
      </c>
      <c r="E96">
        <v>7020612.5</v>
      </c>
    </row>
    <row r="97" spans="1:5">
      <c r="A97">
        <v>92</v>
      </c>
      <c r="B97" s="11">
        <v>45981.479166666664</v>
      </c>
      <c r="C97" s="7">
        <v>659.75</v>
      </c>
      <c r="D97">
        <v>15303407</v>
      </c>
      <c r="E97">
        <v>6249054</v>
      </c>
    </row>
    <row r="98" spans="1:5">
      <c r="A98">
        <v>93</v>
      </c>
      <c r="B98" s="11">
        <v>45981.458333333336</v>
      </c>
      <c r="C98" s="7">
        <v>667.68</v>
      </c>
      <c r="D98">
        <v>11121366</v>
      </c>
      <c r="E98">
        <v>5621174</v>
      </c>
    </row>
    <row r="99" spans="1:5">
      <c r="A99">
        <v>94</v>
      </c>
      <c r="B99" s="11">
        <v>45981.4375</v>
      </c>
      <c r="C99" s="7">
        <v>672.67</v>
      </c>
      <c r="D99">
        <v>4693231</v>
      </c>
      <c r="E99">
        <v>5221323</v>
      </c>
    </row>
    <row r="100" spans="1:5">
      <c r="A100">
        <v>95</v>
      </c>
      <c r="B100" s="11">
        <v>45981.416666666664</v>
      </c>
      <c r="C100" s="7">
        <v>674.94</v>
      </c>
      <c r="D100">
        <v>6610609</v>
      </c>
      <c r="E100">
        <v>5394973.5</v>
      </c>
    </row>
    <row r="101" spans="1:5">
      <c r="A101">
        <v>96</v>
      </c>
      <c r="B101" s="11">
        <v>45981.395833333336</v>
      </c>
      <c r="C101" s="7">
        <v>675.10990000000004</v>
      </c>
      <c r="D101">
        <v>11128208</v>
      </c>
      <c r="E101">
        <v>5533311.5</v>
      </c>
    </row>
    <row r="102" spans="1:5">
      <c r="A102">
        <v>97</v>
      </c>
      <c r="B102" s="11">
        <v>45980.666666666664</v>
      </c>
      <c r="C102" s="7">
        <v>662.63</v>
      </c>
      <c r="D102">
        <v>0</v>
      </c>
      <c r="E102">
        <v>4791431</v>
      </c>
    </row>
    <row r="103" spans="1:5">
      <c r="A103">
        <v>98</v>
      </c>
      <c r="B103" s="11">
        <v>45980.645833333336</v>
      </c>
      <c r="C103" s="7">
        <v>662.63</v>
      </c>
      <c r="D103">
        <v>9497011</v>
      </c>
      <c r="E103">
        <v>5712033</v>
      </c>
    </row>
    <row r="104" spans="1:5">
      <c r="A104">
        <v>99</v>
      </c>
      <c r="B104" s="11">
        <v>45980.625</v>
      </c>
      <c r="C104" s="7">
        <v>663.52</v>
      </c>
      <c r="D104">
        <v>4843473</v>
      </c>
      <c r="E104">
        <v>5443790</v>
      </c>
    </row>
    <row r="105" spans="1:5">
      <c r="A105">
        <v>100</v>
      </c>
      <c r="B105" s="11">
        <v>45980.604166666664</v>
      </c>
      <c r="C105" s="7">
        <v>661.12</v>
      </c>
      <c r="D105">
        <v>3835230</v>
      </c>
      <c r="E105">
        <v>5432862.5</v>
      </c>
    </row>
    <row r="106" spans="1:5">
      <c r="A106">
        <v>101</v>
      </c>
      <c r="B106" s="11">
        <v>45980.583333333336</v>
      </c>
      <c r="C106" s="7">
        <v>659.74</v>
      </c>
      <c r="D106">
        <v>4305464</v>
      </c>
      <c r="E106">
        <v>5414276.5</v>
      </c>
    </row>
    <row r="107" spans="1:5">
      <c r="A107">
        <v>102</v>
      </c>
      <c r="B107" s="11">
        <v>45980.5625</v>
      </c>
      <c r="C107" s="7">
        <v>662.69</v>
      </c>
      <c r="D107">
        <v>4420012</v>
      </c>
      <c r="E107">
        <v>5431437.5</v>
      </c>
    </row>
    <row r="108" spans="1:5">
      <c r="A108">
        <v>103</v>
      </c>
      <c r="B108" s="11">
        <v>45980.541666666664</v>
      </c>
      <c r="C108" s="7">
        <v>660.84</v>
      </c>
      <c r="D108">
        <v>4084929</v>
      </c>
      <c r="E108">
        <v>5399004</v>
      </c>
    </row>
    <row r="109" spans="1:5">
      <c r="A109">
        <v>104</v>
      </c>
      <c r="B109" s="11">
        <v>45980.520833333336</v>
      </c>
      <c r="C109" s="7">
        <v>661.3</v>
      </c>
      <c r="D109">
        <v>5667995</v>
      </c>
      <c r="E109">
        <v>5510786.5</v>
      </c>
    </row>
    <row r="110" spans="1:5">
      <c r="A110">
        <v>105</v>
      </c>
      <c r="B110" s="11">
        <v>45980.5</v>
      </c>
      <c r="C110" s="7">
        <v>661.16</v>
      </c>
      <c r="D110">
        <v>4085293</v>
      </c>
      <c r="E110">
        <v>5387053.5</v>
      </c>
    </row>
    <row r="111" spans="1:5">
      <c r="A111">
        <v>106</v>
      </c>
      <c r="B111" s="11">
        <v>45980.479166666664</v>
      </c>
      <c r="C111" s="7">
        <v>662.47</v>
      </c>
      <c r="D111">
        <v>4139582</v>
      </c>
      <c r="E111">
        <v>5454316</v>
      </c>
    </row>
    <row r="112" spans="1:5">
      <c r="A112">
        <v>107</v>
      </c>
      <c r="B112" s="11">
        <v>45980.458333333336</v>
      </c>
      <c r="C112" s="7">
        <v>661.86</v>
      </c>
      <c r="D112">
        <v>5885206</v>
      </c>
      <c r="E112">
        <v>5674352</v>
      </c>
    </row>
    <row r="113" spans="1:5">
      <c r="A113">
        <v>108</v>
      </c>
      <c r="B113" s="11">
        <v>45980.4375</v>
      </c>
      <c r="C113" s="7">
        <v>662.79</v>
      </c>
      <c r="D113">
        <v>5123602</v>
      </c>
      <c r="E113">
        <v>5738717.5</v>
      </c>
    </row>
    <row r="114" spans="1:5">
      <c r="A114">
        <v>109</v>
      </c>
      <c r="B114" s="11">
        <v>45980.416666666664</v>
      </c>
      <c r="C114" s="7">
        <v>666.32</v>
      </c>
      <c r="D114">
        <v>7297990</v>
      </c>
      <c r="E114">
        <v>6124316</v>
      </c>
    </row>
    <row r="115" spans="1:5">
      <c r="A115">
        <v>110</v>
      </c>
      <c r="B115" s="11">
        <v>45980.395833333336</v>
      </c>
      <c r="C115" s="7">
        <v>665.85</v>
      </c>
      <c r="D115">
        <v>8685680</v>
      </c>
      <c r="E115">
        <v>6629842.5</v>
      </c>
    </row>
    <row r="116" spans="1:5">
      <c r="A116">
        <v>111</v>
      </c>
      <c r="B116" s="11">
        <v>45979.666666666664</v>
      </c>
      <c r="C116" s="7">
        <v>660.08</v>
      </c>
      <c r="D116">
        <v>0</v>
      </c>
      <c r="E116">
        <v>6050797.5</v>
      </c>
    </row>
    <row r="117" spans="1:5">
      <c r="A117">
        <v>112</v>
      </c>
      <c r="B117" s="11">
        <v>45979.645833333336</v>
      </c>
      <c r="C117" s="7">
        <v>660.08</v>
      </c>
      <c r="D117">
        <v>13809027</v>
      </c>
      <c r="E117">
        <v>7007943</v>
      </c>
    </row>
    <row r="118" spans="1:5">
      <c r="A118">
        <v>113</v>
      </c>
      <c r="B118" s="11">
        <v>45979.625</v>
      </c>
      <c r="C118" s="7">
        <v>662.45</v>
      </c>
      <c r="D118">
        <v>5473369</v>
      </c>
      <c r="E118">
        <v>6577056</v>
      </c>
    </row>
    <row r="119" spans="1:5">
      <c r="A119">
        <v>114</v>
      </c>
      <c r="B119" s="11">
        <v>45979.604166666664</v>
      </c>
      <c r="C119" s="7">
        <v>664.41849999999999</v>
      </c>
      <c r="D119">
        <v>4679559</v>
      </c>
      <c r="E119">
        <v>6614901</v>
      </c>
    </row>
    <row r="120" spans="1:5">
      <c r="A120">
        <v>115</v>
      </c>
      <c r="B120" s="11">
        <v>45979.583333333336</v>
      </c>
      <c r="C120" s="7">
        <v>662.97</v>
      </c>
      <c r="D120">
        <v>3556440</v>
      </c>
      <c r="E120">
        <v>6668899</v>
      </c>
    </row>
    <row r="121" spans="1:5">
      <c r="A121">
        <v>116</v>
      </c>
      <c r="B121" s="11">
        <v>45979.5625</v>
      </c>
      <c r="C121" s="7">
        <v>663.14</v>
      </c>
      <c r="D121">
        <v>4562879</v>
      </c>
      <c r="E121">
        <v>6681077.5</v>
      </c>
    </row>
    <row r="122" spans="1:5">
      <c r="A122">
        <v>117</v>
      </c>
      <c r="B122" s="11">
        <v>45979.541666666664</v>
      </c>
      <c r="C122" s="7">
        <v>663.47</v>
      </c>
      <c r="D122">
        <v>3933508</v>
      </c>
      <c r="E122">
        <v>6586661.5</v>
      </c>
    </row>
    <row r="123" spans="1:5">
      <c r="A123">
        <v>118</v>
      </c>
      <c r="B123" s="11">
        <v>45979.520833333336</v>
      </c>
      <c r="C123" s="7">
        <v>663.75</v>
      </c>
      <c r="D123">
        <v>5761666</v>
      </c>
      <c r="E123">
        <v>6532284</v>
      </c>
    </row>
    <row r="124" spans="1:5">
      <c r="A124">
        <v>119</v>
      </c>
      <c r="B124" s="11">
        <v>45979.5</v>
      </c>
      <c r="C124" s="7">
        <v>658.57</v>
      </c>
      <c r="D124">
        <v>3812004</v>
      </c>
      <c r="E124">
        <v>6287927.5</v>
      </c>
    </row>
    <row r="125" spans="1:5">
      <c r="A125">
        <v>120</v>
      </c>
      <c r="B125" s="11">
        <v>45979.479166666664</v>
      </c>
      <c r="C125" s="7">
        <v>661.16989999999998</v>
      </c>
      <c r="D125">
        <v>5094226</v>
      </c>
      <c r="E125">
        <v>6277974.5</v>
      </c>
    </row>
    <row r="126" spans="1:5">
      <c r="A126">
        <v>121</v>
      </c>
      <c r="B126" s="11">
        <v>45979.458333333336</v>
      </c>
      <c r="C126" s="7">
        <v>661.48</v>
      </c>
      <c r="D126">
        <v>7440123</v>
      </c>
      <c r="E126">
        <v>6315755</v>
      </c>
    </row>
    <row r="127" spans="1:5">
      <c r="A127">
        <v>122</v>
      </c>
      <c r="B127" s="11">
        <v>45979.4375</v>
      </c>
      <c r="C127" s="7">
        <v>657.11</v>
      </c>
      <c r="D127">
        <v>6850688</v>
      </c>
      <c r="E127">
        <v>6103393</v>
      </c>
    </row>
    <row r="128" spans="1:5">
      <c r="A128">
        <v>123</v>
      </c>
      <c r="B128" s="11">
        <v>45979.416666666664</v>
      </c>
      <c r="C128" s="7">
        <v>659.1</v>
      </c>
      <c r="D128">
        <v>10907580</v>
      </c>
      <c r="E128">
        <v>5943254</v>
      </c>
    </row>
    <row r="129" spans="1:5">
      <c r="A129">
        <v>124</v>
      </c>
      <c r="B129" s="11">
        <v>45979.395833333336</v>
      </c>
      <c r="C129" s="7">
        <v>658.56</v>
      </c>
      <c r="D129">
        <v>14880890</v>
      </c>
      <c r="E129">
        <v>5698020.5</v>
      </c>
    </row>
    <row r="130" spans="1:5">
      <c r="A130">
        <v>125</v>
      </c>
      <c r="B130" s="11">
        <v>45978.666666666664</v>
      </c>
      <c r="C130" s="7">
        <v>665.67</v>
      </c>
      <c r="D130">
        <v>0</v>
      </c>
      <c r="E130">
        <v>4705961</v>
      </c>
    </row>
    <row r="131" spans="1:5">
      <c r="A131">
        <v>126</v>
      </c>
      <c r="B131" s="11">
        <v>45978.645833333336</v>
      </c>
      <c r="C131" s="7">
        <v>665.67</v>
      </c>
      <c r="D131">
        <v>14357186</v>
      </c>
      <c r="E131">
        <v>5345325</v>
      </c>
    </row>
    <row r="132" spans="1:5">
      <c r="A132">
        <v>127</v>
      </c>
      <c r="B132" s="11">
        <v>45978.625</v>
      </c>
      <c r="C132" s="7">
        <v>663.88</v>
      </c>
      <c r="D132">
        <v>7345725</v>
      </c>
      <c r="E132">
        <v>4688930</v>
      </c>
    </row>
    <row r="133" spans="1:5">
      <c r="A133">
        <v>128</v>
      </c>
      <c r="B133" s="11">
        <v>45978.604166666664</v>
      </c>
      <c r="C133" s="7">
        <v>662.56</v>
      </c>
      <c r="D133">
        <v>6041038</v>
      </c>
      <c r="E133">
        <v>4412593.5</v>
      </c>
    </row>
    <row r="134" spans="1:5">
      <c r="A134">
        <v>129</v>
      </c>
      <c r="B134" s="11">
        <v>45978.583333333336</v>
      </c>
      <c r="C134" s="7">
        <v>665.77</v>
      </c>
      <c r="D134">
        <v>5489532</v>
      </c>
      <c r="E134">
        <v>4271707</v>
      </c>
    </row>
    <row r="135" spans="1:5">
      <c r="A135">
        <v>130</v>
      </c>
      <c r="B135" s="11">
        <v>45978.5625</v>
      </c>
      <c r="C135" s="7">
        <v>666.5222</v>
      </c>
      <c r="D135">
        <v>3739115</v>
      </c>
      <c r="E135">
        <v>4206964</v>
      </c>
    </row>
    <row r="136" spans="1:5">
      <c r="A136">
        <v>131</v>
      </c>
      <c r="B136" s="11">
        <v>45978.541666666664</v>
      </c>
      <c r="C136" s="7">
        <v>668.64</v>
      </c>
      <c r="D136">
        <v>3146641</v>
      </c>
      <c r="E136">
        <v>4260850</v>
      </c>
    </row>
    <row r="137" spans="1:5">
      <c r="A137">
        <v>132</v>
      </c>
      <c r="B137" s="11">
        <v>45978.520833333336</v>
      </c>
      <c r="C137" s="7">
        <v>669.23299999999995</v>
      </c>
      <c r="D137">
        <v>3117844</v>
      </c>
      <c r="E137">
        <v>4335838.5</v>
      </c>
    </row>
    <row r="138" spans="1:5">
      <c r="A138">
        <v>133</v>
      </c>
      <c r="B138" s="11">
        <v>45978.5</v>
      </c>
      <c r="C138" s="7">
        <v>672.39</v>
      </c>
      <c r="D138">
        <v>2096318</v>
      </c>
      <c r="E138">
        <v>4329001.5</v>
      </c>
    </row>
    <row r="139" spans="1:5">
      <c r="A139">
        <v>134</v>
      </c>
      <c r="B139" s="11">
        <v>45978.479166666664</v>
      </c>
      <c r="C139" s="7">
        <v>673</v>
      </c>
      <c r="D139">
        <v>3662712</v>
      </c>
      <c r="E139">
        <v>4441737.5</v>
      </c>
    </row>
    <row r="140" spans="1:5">
      <c r="A140">
        <v>135</v>
      </c>
      <c r="B140" s="11">
        <v>45978.458333333336</v>
      </c>
      <c r="C140" s="7">
        <v>670.52</v>
      </c>
      <c r="D140">
        <v>5660934</v>
      </c>
      <c r="E140">
        <v>4522842.5</v>
      </c>
    </row>
    <row r="141" spans="1:5">
      <c r="A141">
        <v>136</v>
      </c>
      <c r="B141" s="11">
        <v>45978.4375</v>
      </c>
      <c r="C141" s="7">
        <v>670.67499999999995</v>
      </c>
      <c r="D141">
        <v>4254695</v>
      </c>
      <c r="E141">
        <v>4592978.5</v>
      </c>
    </row>
    <row r="142" spans="1:5">
      <c r="A142">
        <v>137</v>
      </c>
      <c r="B142" s="11">
        <v>45978.416666666664</v>
      </c>
      <c r="C142" s="7">
        <v>672.05</v>
      </c>
      <c r="D142">
        <v>4448601</v>
      </c>
      <c r="E142">
        <v>4779523</v>
      </c>
    </row>
    <row r="143" spans="1:5">
      <c r="A143">
        <v>138</v>
      </c>
      <c r="B143" s="11">
        <v>45978.395833333336</v>
      </c>
      <c r="C143" s="7">
        <v>672.82</v>
      </c>
      <c r="D143">
        <v>7229073</v>
      </c>
      <c r="E143">
        <v>5352589.5</v>
      </c>
    </row>
    <row r="144" spans="1:5">
      <c r="A144">
        <v>139</v>
      </c>
      <c r="B144" s="11">
        <v>45975.666666666664</v>
      </c>
      <c r="C144" s="7">
        <v>671.93</v>
      </c>
      <c r="D144">
        <v>0</v>
      </c>
      <c r="E144">
        <v>4870651</v>
      </c>
    </row>
    <row r="145" spans="1:5">
      <c r="A145">
        <v>140</v>
      </c>
      <c r="B145" s="11">
        <v>45975.645833333336</v>
      </c>
      <c r="C145" s="7">
        <v>671.91</v>
      </c>
      <c r="D145">
        <v>9590459</v>
      </c>
      <c r="E145">
        <v>5841931</v>
      </c>
    </row>
    <row r="146" spans="1:5">
      <c r="A146">
        <v>141</v>
      </c>
      <c r="B146" s="11">
        <v>45975.625</v>
      </c>
      <c r="C146" s="7">
        <v>672.46</v>
      </c>
      <c r="D146">
        <v>4511262</v>
      </c>
      <c r="E146">
        <v>5611528.5</v>
      </c>
    </row>
    <row r="147" spans="1:5">
      <c r="A147">
        <v>142</v>
      </c>
      <c r="B147" s="11">
        <v>45975.604166666664</v>
      </c>
      <c r="C147" s="7">
        <v>674.67</v>
      </c>
      <c r="D147">
        <v>3200676</v>
      </c>
      <c r="E147">
        <v>5643851.5</v>
      </c>
    </row>
    <row r="148" spans="1:5">
      <c r="A148">
        <v>143</v>
      </c>
      <c r="B148" s="11">
        <v>45975.583333333336</v>
      </c>
      <c r="C148" s="7">
        <v>674.04010000000005</v>
      </c>
      <c r="D148">
        <v>3927741</v>
      </c>
      <c r="E148">
        <v>5693696.5</v>
      </c>
    </row>
    <row r="149" spans="1:5">
      <c r="A149">
        <v>144</v>
      </c>
      <c r="B149" s="11">
        <v>45975.5625</v>
      </c>
      <c r="C149" s="7">
        <v>673.25</v>
      </c>
      <c r="D149">
        <v>4518391</v>
      </c>
      <c r="E149">
        <v>5752140</v>
      </c>
    </row>
    <row r="150" spans="1:5">
      <c r="A150">
        <v>145</v>
      </c>
      <c r="B150" s="11">
        <v>45975.541666666664</v>
      </c>
      <c r="C150" s="7">
        <v>672.99</v>
      </c>
      <c r="D150">
        <v>4547401</v>
      </c>
      <c r="E150">
        <v>5690003.5</v>
      </c>
    </row>
    <row r="151" spans="1:5">
      <c r="A151">
        <v>146</v>
      </c>
      <c r="B151" s="11">
        <v>45975.520833333336</v>
      </c>
      <c r="C151" s="7">
        <v>674.02710000000002</v>
      </c>
      <c r="D151">
        <v>4271472</v>
      </c>
      <c r="E151">
        <v>5627959.5</v>
      </c>
    </row>
    <row r="152" spans="1:5">
      <c r="A152">
        <v>147</v>
      </c>
      <c r="B152" s="11">
        <v>45975.5</v>
      </c>
      <c r="C152" s="7">
        <v>674.94</v>
      </c>
      <c r="D152">
        <v>3015286</v>
      </c>
      <c r="E152">
        <v>5594442.5</v>
      </c>
    </row>
    <row r="153" spans="1:5">
      <c r="A153">
        <v>148</v>
      </c>
      <c r="B153" s="11">
        <v>45975.479166666664</v>
      </c>
      <c r="C153" s="7">
        <v>674.65</v>
      </c>
      <c r="D153">
        <v>3787360</v>
      </c>
      <c r="E153">
        <v>5684348.5</v>
      </c>
    </row>
    <row r="154" spans="1:5">
      <c r="A154">
        <v>149</v>
      </c>
      <c r="B154" s="11">
        <v>45975.458333333336</v>
      </c>
      <c r="C154" s="7">
        <v>674.48</v>
      </c>
      <c r="D154">
        <v>4879283</v>
      </c>
      <c r="E154">
        <v>5755608</v>
      </c>
    </row>
    <row r="155" spans="1:5">
      <c r="A155">
        <v>150</v>
      </c>
      <c r="B155" s="11">
        <v>45975.4375</v>
      </c>
      <c r="C155" s="7">
        <v>672.36360000000002</v>
      </c>
      <c r="D155">
        <v>6712977</v>
      </c>
      <c r="E155">
        <v>5877436.5</v>
      </c>
    </row>
    <row r="156" spans="1:5">
      <c r="A156">
        <v>151</v>
      </c>
      <c r="B156" s="11">
        <v>45975.416666666664</v>
      </c>
      <c r="C156" s="7">
        <v>669.74</v>
      </c>
      <c r="D156">
        <v>7052865</v>
      </c>
      <c r="E156">
        <v>5776217.5</v>
      </c>
    </row>
    <row r="157" spans="1:5">
      <c r="A157">
        <v>152</v>
      </c>
      <c r="B157" s="11">
        <v>45975.395833333336</v>
      </c>
      <c r="C157" s="7">
        <v>668.75</v>
      </c>
      <c r="D157">
        <v>13044593</v>
      </c>
      <c r="E157">
        <v>5815968</v>
      </c>
    </row>
    <row r="158" spans="1:5">
      <c r="A158">
        <v>153</v>
      </c>
      <c r="B158" s="11">
        <v>45974.666666666664</v>
      </c>
      <c r="C158" s="7">
        <v>672.04</v>
      </c>
      <c r="D158">
        <v>0</v>
      </c>
      <c r="E158">
        <v>4946328.5</v>
      </c>
    </row>
    <row r="159" spans="1:5">
      <c r="A159">
        <v>154</v>
      </c>
      <c r="B159" s="11">
        <v>45974.645833333336</v>
      </c>
      <c r="C159" s="7">
        <v>672.04</v>
      </c>
      <c r="D159">
        <v>14569200</v>
      </c>
      <c r="E159">
        <v>5655064.5</v>
      </c>
    </row>
    <row r="160" spans="1:5">
      <c r="A160">
        <v>155</v>
      </c>
      <c r="B160" s="11">
        <v>45974.625</v>
      </c>
      <c r="C160" s="7">
        <v>671.68</v>
      </c>
      <c r="D160">
        <v>6134418</v>
      </c>
      <c r="E160">
        <v>4875425.5</v>
      </c>
    </row>
    <row r="161" spans="1:5">
      <c r="A161">
        <v>156</v>
      </c>
      <c r="B161" s="11">
        <v>45974.604166666664</v>
      </c>
      <c r="C161" s="7">
        <v>671.66</v>
      </c>
      <c r="D161">
        <v>4996112</v>
      </c>
      <c r="E161">
        <v>4660940</v>
      </c>
    </row>
    <row r="162" spans="1:5">
      <c r="A162">
        <v>157</v>
      </c>
      <c r="B162" s="11">
        <v>45974.583333333336</v>
      </c>
      <c r="C162" s="7">
        <v>673.45</v>
      </c>
      <c r="D162">
        <v>3948352</v>
      </c>
      <c r="E162">
        <v>4497616.5</v>
      </c>
    </row>
    <row r="163" spans="1:5">
      <c r="A163">
        <v>158</v>
      </c>
      <c r="B163" s="11">
        <v>45974.5625</v>
      </c>
      <c r="C163" s="7">
        <v>672.76</v>
      </c>
      <c r="D163">
        <v>4804392</v>
      </c>
      <c r="E163">
        <v>4359707.5</v>
      </c>
    </row>
    <row r="164" spans="1:5">
      <c r="A164">
        <v>159</v>
      </c>
      <c r="B164" s="11">
        <v>45974.541666666664</v>
      </c>
      <c r="C164" s="7">
        <v>672.76</v>
      </c>
      <c r="D164">
        <v>3586345</v>
      </c>
      <c r="E164">
        <v>4163467.25</v>
      </c>
    </row>
    <row r="165" spans="1:5">
      <c r="A165">
        <v>160</v>
      </c>
      <c r="B165" s="11">
        <v>45974.520833333336</v>
      </c>
      <c r="C165" s="7">
        <v>674.23</v>
      </c>
      <c r="D165">
        <v>3616735</v>
      </c>
      <c r="E165">
        <v>4086982.75</v>
      </c>
    </row>
    <row r="166" spans="1:5">
      <c r="A166">
        <v>161</v>
      </c>
      <c r="B166" s="11">
        <v>45974.5</v>
      </c>
      <c r="C166" s="7">
        <v>675.90409999999997</v>
      </c>
      <c r="D166">
        <v>3768722</v>
      </c>
      <c r="E166">
        <v>3991146.75</v>
      </c>
    </row>
    <row r="167" spans="1:5">
      <c r="A167">
        <v>162</v>
      </c>
      <c r="B167" s="11">
        <v>45974.479166666664</v>
      </c>
      <c r="C167" s="7">
        <v>675.11</v>
      </c>
      <c r="D167">
        <v>4363872</v>
      </c>
      <c r="E167">
        <v>3934146.25</v>
      </c>
    </row>
    <row r="168" spans="1:5">
      <c r="A168">
        <v>163</v>
      </c>
      <c r="B168" s="11">
        <v>45974.458333333336</v>
      </c>
      <c r="C168" s="7">
        <v>675.64</v>
      </c>
      <c r="D168">
        <v>4856252</v>
      </c>
      <c r="E168">
        <v>3840157</v>
      </c>
    </row>
    <row r="169" spans="1:5">
      <c r="A169">
        <v>164</v>
      </c>
      <c r="B169" s="11">
        <v>45974.4375</v>
      </c>
      <c r="C169" s="7">
        <v>676.3</v>
      </c>
      <c r="D169">
        <v>6706710</v>
      </c>
      <c r="E169">
        <v>3740712.5</v>
      </c>
    </row>
    <row r="170" spans="1:5">
      <c r="A170">
        <v>165</v>
      </c>
      <c r="B170" s="11">
        <v>45974.416666666664</v>
      </c>
      <c r="C170" s="7">
        <v>678.9</v>
      </c>
      <c r="D170">
        <v>5194692</v>
      </c>
      <c r="E170">
        <v>3546984.5</v>
      </c>
    </row>
    <row r="171" spans="1:5">
      <c r="A171">
        <v>166</v>
      </c>
      <c r="B171" s="11">
        <v>45974.395833333336</v>
      </c>
      <c r="C171" s="7">
        <v>678.72</v>
      </c>
      <c r="D171">
        <v>7649125</v>
      </c>
      <c r="E171">
        <v>3630573.5</v>
      </c>
    </row>
    <row r="172" spans="1:5">
      <c r="A172">
        <v>167</v>
      </c>
      <c r="B172" s="11">
        <v>45973.666666666664</v>
      </c>
      <c r="C172" s="7">
        <v>683.38</v>
      </c>
      <c r="D172">
        <v>0</v>
      </c>
      <c r="E172">
        <v>3120631.75</v>
      </c>
    </row>
    <row r="173" spans="1:5">
      <c r="A173">
        <v>168</v>
      </c>
      <c r="B173" s="11">
        <v>45973.645833333336</v>
      </c>
      <c r="C173" s="7">
        <v>683.38</v>
      </c>
      <c r="D173">
        <v>10631041</v>
      </c>
      <c r="E173">
        <v>3802040</v>
      </c>
    </row>
    <row r="174" spans="1:5">
      <c r="A174">
        <v>169</v>
      </c>
      <c r="B174" s="11">
        <v>45973.625</v>
      </c>
      <c r="C174" s="7">
        <v>683.32500000000005</v>
      </c>
      <c r="D174">
        <v>2874617</v>
      </c>
      <c r="E174">
        <v>3296617.5</v>
      </c>
    </row>
    <row r="175" spans="1:5">
      <c r="A175">
        <v>170</v>
      </c>
      <c r="B175" s="11">
        <v>45973.604166666664</v>
      </c>
      <c r="C175" s="7">
        <v>682.73500000000001</v>
      </c>
      <c r="D175">
        <v>2917133</v>
      </c>
      <c r="E175">
        <v>3243152.25</v>
      </c>
    </row>
    <row r="176" spans="1:5">
      <c r="A176">
        <v>171</v>
      </c>
      <c r="B176" s="11">
        <v>45973.583333333336</v>
      </c>
      <c r="C176" s="7">
        <v>682.74</v>
      </c>
      <c r="D176">
        <v>2546259</v>
      </c>
      <c r="E176">
        <v>3208044</v>
      </c>
    </row>
    <row r="177" spans="1:5">
      <c r="A177">
        <v>172</v>
      </c>
      <c r="B177" s="11">
        <v>45973.5625</v>
      </c>
      <c r="C177" s="7">
        <v>683.64</v>
      </c>
      <c r="D177">
        <v>1879714</v>
      </c>
      <c r="E177">
        <v>3214204.75</v>
      </c>
    </row>
    <row r="178" spans="1:5">
      <c r="A178">
        <v>173</v>
      </c>
      <c r="B178" s="11">
        <v>45973.541666666664</v>
      </c>
      <c r="C178" s="7">
        <v>683.46169999999995</v>
      </c>
      <c r="D178">
        <v>1860792</v>
      </c>
      <c r="E178">
        <v>3288785.25</v>
      </c>
    </row>
    <row r="179" spans="1:5">
      <c r="A179">
        <v>174</v>
      </c>
      <c r="B179" s="11">
        <v>45973.520833333336</v>
      </c>
      <c r="C179" s="7">
        <v>683.68</v>
      </c>
      <c r="D179">
        <v>2439079</v>
      </c>
      <c r="E179">
        <v>3307924.5</v>
      </c>
    </row>
    <row r="180" spans="1:5">
      <c r="A180">
        <v>175</v>
      </c>
      <c r="B180" s="11">
        <v>45973.5</v>
      </c>
      <c r="C180" s="7">
        <v>682.44</v>
      </c>
      <c r="D180">
        <v>2179192</v>
      </c>
      <c r="E180">
        <v>3302994.25</v>
      </c>
    </row>
    <row r="181" spans="1:5">
      <c r="A181">
        <v>176</v>
      </c>
      <c r="B181" s="11">
        <v>45973.479166666664</v>
      </c>
      <c r="C181" s="7">
        <v>681.81</v>
      </c>
      <c r="D181">
        <v>2913717</v>
      </c>
      <c r="E181">
        <v>3299538.75</v>
      </c>
    </row>
    <row r="182" spans="1:5">
      <c r="A182">
        <v>177</v>
      </c>
      <c r="B182" s="11">
        <v>45973.458333333336</v>
      </c>
      <c r="C182" s="7">
        <v>682.35</v>
      </c>
      <c r="D182">
        <v>2954031</v>
      </c>
      <c r="E182">
        <v>3280657.75</v>
      </c>
    </row>
    <row r="183" spans="1:5">
      <c r="A183">
        <v>178</v>
      </c>
      <c r="B183" s="11">
        <v>45973.4375</v>
      </c>
      <c r="C183" s="7">
        <v>682.29</v>
      </c>
      <c r="D183">
        <v>3364587</v>
      </c>
      <c r="E183">
        <v>3254309.25</v>
      </c>
    </row>
    <row r="184" spans="1:5">
      <c r="A184">
        <v>179</v>
      </c>
      <c r="B184" s="11">
        <v>45973.416666666664</v>
      </c>
      <c r="C184" s="7">
        <v>683.23</v>
      </c>
      <c r="D184">
        <v>3800790</v>
      </c>
      <c r="E184">
        <v>3263764.75</v>
      </c>
    </row>
    <row r="185" spans="1:5">
      <c r="A185">
        <v>180</v>
      </c>
      <c r="B185" s="11">
        <v>45973.395833333336</v>
      </c>
      <c r="C185" s="7">
        <v>683.61</v>
      </c>
      <c r="D185">
        <v>6448524</v>
      </c>
      <c r="E185">
        <v>3328135.75</v>
      </c>
    </row>
    <row r="186" spans="1:5">
      <c r="A186">
        <v>181</v>
      </c>
      <c r="B186" s="11">
        <v>45972.666666666664</v>
      </c>
      <c r="C186" s="7">
        <v>683</v>
      </c>
      <c r="D186">
        <v>0</v>
      </c>
      <c r="E186">
        <v>2898234.25</v>
      </c>
    </row>
    <row r="187" spans="1:5">
      <c r="A187">
        <v>182</v>
      </c>
      <c r="B187" s="11">
        <v>45972.645833333336</v>
      </c>
      <c r="C187" s="7">
        <v>683</v>
      </c>
      <c r="D187">
        <v>10221125</v>
      </c>
      <c r="E187">
        <v>3673300.5</v>
      </c>
    </row>
    <row r="188" spans="1:5">
      <c r="A188">
        <v>183</v>
      </c>
      <c r="B188" s="11">
        <v>45972.625</v>
      </c>
      <c r="C188" s="7">
        <v>682.84</v>
      </c>
      <c r="D188">
        <v>3049702</v>
      </c>
      <c r="E188">
        <v>3232103.75</v>
      </c>
    </row>
    <row r="189" spans="1:5">
      <c r="A189">
        <v>184</v>
      </c>
      <c r="B189" s="11">
        <v>45972.604166666664</v>
      </c>
      <c r="C189" s="7">
        <v>683.14499999999998</v>
      </c>
      <c r="D189">
        <v>2072638</v>
      </c>
      <c r="E189">
        <v>3254600.5</v>
      </c>
    </row>
    <row r="190" spans="1:5">
      <c r="A190">
        <v>185</v>
      </c>
      <c r="B190" s="11">
        <v>45972.583333333336</v>
      </c>
      <c r="C190" s="7">
        <v>683.14</v>
      </c>
      <c r="D190">
        <v>2390509</v>
      </c>
      <c r="E190">
        <v>3263109.5</v>
      </c>
    </row>
    <row r="191" spans="1:5">
      <c r="A191">
        <v>186</v>
      </c>
      <c r="B191" s="11">
        <v>45972.5625</v>
      </c>
      <c r="C191" s="7">
        <v>683.09199999999998</v>
      </c>
      <c r="D191">
        <v>2638673</v>
      </c>
      <c r="E191">
        <v>3252580.5</v>
      </c>
    </row>
    <row r="192" spans="1:5">
      <c r="A192">
        <v>187</v>
      </c>
      <c r="B192" s="11">
        <v>45972.541666666664</v>
      </c>
      <c r="C192" s="7">
        <v>682.89</v>
      </c>
      <c r="D192">
        <v>2998419</v>
      </c>
      <c r="E192">
        <v>3243513.75</v>
      </c>
    </row>
    <row r="193" spans="1:5">
      <c r="A193">
        <v>188</v>
      </c>
      <c r="B193" s="11">
        <v>45972.520833333336</v>
      </c>
      <c r="C193" s="7">
        <v>682.09</v>
      </c>
      <c r="D193">
        <v>2147881</v>
      </c>
      <c r="E193">
        <v>3249981.75</v>
      </c>
    </row>
    <row r="194" spans="1:5">
      <c r="A194">
        <v>189</v>
      </c>
      <c r="B194" s="11">
        <v>45972.5</v>
      </c>
      <c r="C194" s="7">
        <v>681.02</v>
      </c>
      <c r="D194">
        <v>2365125</v>
      </c>
      <c r="E194">
        <v>3302947.75</v>
      </c>
    </row>
    <row r="195" spans="1:5">
      <c r="A195">
        <v>190</v>
      </c>
      <c r="B195" s="11">
        <v>45972.479166666664</v>
      </c>
      <c r="C195" s="7">
        <v>679.7</v>
      </c>
      <c r="D195">
        <v>2127360</v>
      </c>
      <c r="E195">
        <v>3323670.5</v>
      </c>
    </row>
    <row r="196" spans="1:5">
      <c r="A196">
        <v>191</v>
      </c>
      <c r="B196" s="11">
        <v>45972.458333333336</v>
      </c>
      <c r="C196" s="7">
        <v>679.29</v>
      </c>
      <c r="D196">
        <v>2630504</v>
      </c>
      <c r="E196">
        <v>3474693</v>
      </c>
    </row>
    <row r="197" spans="1:5">
      <c r="A197">
        <v>192</v>
      </c>
      <c r="B197" s="11">
        <v>45972.4375</v>
      </c>
      <c r="C197" s="7">
        <v>679.25</v>
      </c>
      <c r="D197">
        <v>2558803</v>
      </c>
      <c r="E197">
        <v>3607829.75</v>
      </c>
    </row>
    <row r="198" spans="1:5">
      <c r="A198">
        <v>193</v>
      </c>
      <c r="B198" s="11">
        <v>45972.416666666664</v>
      </c>
      <c r="C198" s="7">
        <v>679.36500000000001</v>
      </c>
      <c r="D198">
        <v>3506420</v>
      </c>
      <c r="E198">
        <v>3713882.5</v>
      </c>
    </row>
    <row r="199" spans="1:5">
      <c r="A199">
        <v>194</v>
      </c>
      <c r="B199" s="11">
        <v>45972.395833333336</v>
      </c>
      <c r="C199" s="7">
        <v>680.64499999999998</v>
      </c>
      <c r="D199">
        <v>4766355</v>
      </c>
      <c r="E199">
        <v>4150487</v>
      </c>
    </row>
    <row r="200" spans="1:5">
      <c r="A200">
        <v>195</v>
      </c>
      <c r="B200" s="11">
        <v>45971.666666666664</v>
      </c>
      <c r="C200" s="7">
        <v>681.44</v>
      </c>
      <c r="D200">
        <v>0</v>
      </c>
      <c r="E200">
        <v>3832730</v>
      </c>
    </row>
    <row r="201" spans="1:5">
      <c r="A201">
        <v>196</v>
      </c>
      <c r="B201" s="11">
        <v>45971.645833333336</v>
      </c>
      <c r="C201" s="7">
        <v>681.43</v>
      </c>
      <c r="D201">
        <v>11625992</v>
      </c>
      <c r="E201">
        <v>4536776.5</v>
      </c>
    </row>
    <row r="202" spans="1:5">
      <c r="A202">
        <v>197</v>
      </c>
      <c r="B202" s="11">
        <v>45971.625</v>
      </c>
      <c r="C202" s="7">
        <v>681.22</v>
      </c>
      <c r="D202">
        <v>3603174</v>
      </c>
      <c r="E202">
        <v>4209927</v>
      </c>
    </row>
    <row r="203" spans="1:5">
      <c r="A203">
        <v>198</v>
      </c>
      <c r="B203" s="11">
        <v>45971.604166666664</v>
      </c>
      <c r="C203" s="7">
        <v>681.27</v>
      </c>
      <c r="D203">
        <v>3387156</v>
      </c>
      <c r="E203">
        <v>4524963.5</v>
      </c>
    </row>
    <row r="204" spans="1:5">
      <c r="A204">
        <v>199</v>
      </c>
      <c r="B204" s="11">
        <v>45971.583333333336</v>
      </c>
      <c r="C204" s="7">
        <v>680.755</v>
      </c>
      <c r="D204">
        <v>2200272</v>
      </c>
      <c r="E204">
        <v>4539781.5</v>
      </c>
    </row>
    <row r="205" spans="1:5">
      <c r="A205">
        <v>200</v>
      </c>
      <c r="B205" s="11">
        <v>45971.5625</v>
      </c>
      <c r="C205" s="7">
        <v>679.84879999999998</v>
      </c>
      <c r="D205">
        <v>2232572</v>
      </c>
      <c r="E205">
        <v>4603811</v>
      </c>
    </row>
    <row r="206" spans="1:5">
      <c r="A206">
        <v>201</v>
      </c>
      <c r="B206" s="11">
        <v>45971.541666666664</v>
      </c>
      <c r="C206" s="7">
        <v>679.51</v>
      </c>
      <c r="D206">
        <v>2502673</v>
      </c>
      <c r="E206">
        <v>4676220</v>
      </c>
    </row>
    <row r="207" spans="1:5">
      <c r="A207">
        <v>202</v>
      </c>
      <c r="B207" s="11">
        <v>45971.520833333336</v>
      </c>
      <c r="C207" s="7">
        <v>679.42</v>
      </c>
      <c r="D207">
        <v>3095441</v>
      </c>
      <c r="E207">
        <v>4748773</v>
      </c>
    </row>
    <row r="208" spans="1:5">
      <c r="A208">
        <v>203</v>
      </c>
      <c r="B208" s="11">
        <v>45971.5</v>
      </c>
      <c r="C208" s="7">
        <v>677.52</v>
      </c>
      <c r="D208">
        <v>2942370</v>
      </c>
      <c r="E208">
        <v>4844096.5</v>
      </c>
    </row>
    <row r="209" spans="1:5">
      <c r="A209">
        <v>204</v>
      </c>
      <c r="B209" s="11">
        <v>45971.479166666664</v>
      </c>
      <c r="C209" s="7">
        <v>676.62</v>
      </c>
      <c r="D209">
        <v>2675966</v>
      </c>
      <c r="E209">
        <v>4964063</v>
      </c>
    </row>
    <row r="210" spans="1:5">
      <c r="A210">
        <v>205</v>
      </c>
      <c r="B210" s="11">
        <v>45971.458333333336</v>
      </c>
      <c r="C210" s="7">
        <v>675.64</v>
      </c>
      <c r="D210">
        <v>4392697</v>
      </c>
      <c r="E210">
        <v>5210295</v>
      </c>
    </row>
    <row r="211" spans="1:5">
      <c r="A211">
        <v>206</v>
      </c>
      <c r="B211" s="11">
        <v>45971.4375</v>
      </c>
      <c r="C211" s="7">
        <v>676.18</v>
      </c>
      <c r="D211">
        <v>4627555</v>
      </c>
      <c r="E211">
        <v>5347539</v>
      </c>
    </row>
    <row r="212" spans="1:5">
      <c r="A212">
        <v>207</v>
      </c>
      <c r="B212" s="11">
        <v>45971.416666666664</v>
      </c>
      <c r="C212" s="7">
        <v>678.88</v>
      </c>
      <c r="D212">
        <v>4149593</v>
      </c>
      <c r="E212">
        <v>5490741</v>
      </c>
    </row>
    <row r="213" spans="1:5">
      <c r="A213">
        <v>208</v>
      </c>
      <c r="B213" s="11">
        <v>45971.395833333336</v>
      </c>
      <c r="C213" s="7">
        <v>678.52499999999998</v>
      </c>
      <c r="D213">
        <v>10055489</v>
      </c>
      <c r="E213">
        <v>5940822</v>
      </c>
    </row>
    <row r="214" spans="1:5">
      <c r="A214">
        <v>209</v>
      </c>
      <c r="B214" s="11">
        <v>45968.666666666664</v>
      </c>
      <c r="C214" s="7">
        <v>670.97</v>
      </c>
      <c r="D214">
        <v>0</v>
      </c>
      <c r="E214">
        <v>5270456</v>
      </c>
    </row>
    <row r="215" spans="1:5">
      <c r="A215">
        <v>210</v>
      </c>
      <c r="B215" s="11">
        <v>45968.645833333336</v>
      </c>
      <c r="C215" s="7">
        <v>670.97</v>
      </c>
      <c r="D215">
        <v>10560701</v>
      </c>
      <c r="E215">
        <v>6146156</v>
      </c>
    </row>
    <row r="216" spans="1:5">
      <c r="A216">
        <v>211</v>
      </c>
      <c r="B216" s="11">
        <v>45968.625</v>
      </c>
      <c r="C216" s="7">
        <v>668.72</v>
      </c>
      <c r="D216">
        <v>6723249</v>
      </c>
      <c r="E216">
        <v>5654874.5</v>
      </c>
    </row>
    <row r="217" spans="1:5">
      <c r="A217">
        <v>212</v>
      </c>
      <c r="B217" s="11">
        <v>45968.604166666664</v>
      </c>
      <c r="C217" s="7">
        <v>669.79</v>
      </c>
      <c r="D217">
        <v>8328720</v>
      </c>
      <c r="E217">
        <v>5464408.5</v>
      </c>
    </row>
    <row r="218" spans="1:5">
      <c r="A218">
        <v>213</v>
      </c>
      <c r="B218" s="11">
        <v>45968.583333333336</v>
      </c>
      <c r="C218" s="7">
        <v>666.55010000000004</v>
      </c>
      <c r="D218">
        <v>3609428</v>
      </c>
      <c r="E218">
        <v>5133588.5</v>
      </c>
    </row>
    <row r="219" spans="1:5">
      <c r="A219">
        <v>214</v>
      </c>
      <c r="B219" s="11">
        <v>45968.5625</v>
      </c>
      <c r="C219" s="7">
        <v>665.44989999999996</v>
      </c>
      <c r="D219">
        <v>3160712</v>
      </c>
      <c r="E219">
        <v>5057039.5</v>
      </c>
    </row>
    <row r="220" spans="1:5">
      <c r="A220">
        <v>215</v>
      </c>
      <c r="B220" s="11">
        <v>45968.541666666664</v>
      </c>
      <c r="C220" s="7">
        <v>665.3</v>
      </c>
      <c r="D220">
        <v>3318704</v>
      </c>
      <c r="E220">
        <v>5081392</v>
      </c>
    </row>
    <row r="221" spans="1:5">
      <c r="A221">
        <v>216</v>
      </c>
      <c r="B221" s="11">
        <v>45968.520833333336</v>
      </c>
      <c r="C221" s="7">
        <v>663.95</v>
      </c>
      <c r="D221">
        <v>3590967</v>
      </c>
      <c r="E221">
        <v>5075813</v>
      </c>
    </row>
    <row r="222" spans="1:5">
      <c r="A222">
        <v>217</v>
      </c>
      <c r="B222" s="11">
        <v>45968.5</v>
      </c>
      <c r="C222" s="7">
        <v>663.5</v>
      </c>
      <c r="D222">
        <v>4525295</v>
      </c>
      <c r="E222">
        <v>5088763.5</v>
      </c>
    </row>
    <row r="223" spans="1:5">
      <c r="A223">
        <v>218</v>
      </c>
      <c r="B223" s="11">
        <v>45968.479166666664</v>
      </c>
      <c r="C223" s="7">
        <v>662.03</v>
      </c>
      <c r="D223">
        <v>4741872</v>
      </c>
      <c r="E223">
        <v>5042386.5</v>
      </c>
    </row>
    <row r="224" spans="1:5">
      <c r="A224">
        <v>219</v>
      </c>
      <c r="B224" s="11">
        <v>45968.458333333336</v>
      </c>
      <c r="C224" s="7">
        <v>662.76</v>
      </c>
      <c r="D224">
        <v>6369441</v>
      </c>
      <c r="E224">
        <v>5013780.5</v>
      </c>
    </row>
    <row r="225" spans="1:5">
      <c r="A225">
        <v>220</v>
      </c>
      <c r="B225" s="11">
        <v>45968.4375</v>
      </c>
      <c r="C225" s="7">
        <v>663.36</v>
      </c>
      <c r="D225">
        <v>6451361</v>
      </c>
      <c r="E225">
        <v>5058074</v>
      </c>
    </row>
    <row r="226" spans="1:5">
      <c r="A226">
        <v>221</v>
      </c>
      <c r="B226" s="11">
        <v>45968.416666666664</v>
      </c>
      <c r="C226" s="7">
        <v>665.88</v>
      </c>
      <c r="D226">
        <v>6775582</v>
      </c>
      <c r="E226">
        <v>5116150</v>
      </c>
    </row>
    <row r="227" spans="1:5">
      <c r="A227">
        <v>222</v>
      </c>
      <c r="B227" s="11">
        <v>45968.395833333336</v>
      </c>
      <c r="C227" s="7">
        <v>666.34500000000003</v>
      </c>
      <c r="D227">
        <v>10900807</v>
      </c>
      <c r="E227">
        <v>5087241</v>
      </c>
    </row>
    <row r="228" spans="1:5">
      <c r="A228">
        <v>223</v>
      </c>
      <c r="B228" s="11">
        <v>45967.666666666664</v>
      </c>
      <c r="C228" s="7">
        <v>670.31</v>
      </c>
      <c r="D228">
        <v>0</v>
      </c>
      <c r="E228">
        <v>4360520.5</v>
      </c>
    </row>
    <row r="229" spans="1:5">
      <c r="A229">
        <v>224</v>
      </c>
      <c r="B229" s="11">
        <v>45967.645833333336</v>
      </c>
      <c r="C229" s="7">
        <v>670.31</v>
      </c>
      <c r="D229">
        <v>13135499</v>
      </c>
      <c r="E229">
        <v>5219328</v>
      </c>
    </row>
    <row r="230" spans="1:5">
      <c r="A230">
        <v>225</v>
      </c>
      <c r="B230" s="11">
        <v>45967.625</v>
      </c>
      <c r="C230" s="7">
        <v>672.36749999999995</v>
      </c>
      <c r="D230">
        <v>3191483</v>
      </c>
      <c r="E230">
        <v>4530675</v>
      </c>
    </row>
    <row r="231" spans="1:5">
      <c r="A231">
        <v>226</v>
      </c>
      <c r="B231" s="11">
        <v>45967.604166666664</v>
      </c>
      <c r="C231" s="7">
        <v>673.01</v>
      </c>
      <c r="D231">
        <v>3866257</v>
      </c>
      <c r="E231">
        <v>4437954.5</v>
      </c>
    </row>
    <row r="232" spans="1:5">
      <c r="A232">
        <v>227</v>
      </c>
      <c r="B232" s="11">
        <v>45967.583333333336</v>
      </c>
      <c r="C232" s="7">
        <v>673.4</v>
      </c>
      <c r="D232">
        <v>3366419</v>
      </c>
      <c r="E232">
        <v>4350754.5</v>
      </c>
    </row>
    <row r="233" spans="1:5">
      <c r="A233">
        <v>228</v>
      </c>
      <c r="B233" s="11">
        <v>45967.5625</v>
      </c>
      <c r="C233" s="7">
        <v>671.43</v>
      </c>
      <c r="D233">
        <v>2461193</v>
      </c>
      <c r="E233">
        <v>4237850.5</v>
      </c>
    </row>
    <row r="234" spans="1:5">
      <c r="A234">
        <v>229</v>
      </c>
      <c r="B234" s="11">
        <v>45967.541666666664</v>
      </c>
      <c r="C234" s="7">
        <v>670.95</v>
      </c>
      <c r="D234">
        <v>3525997</v>
      </c>
      <c r="E234">
        <v>4198609</v>
      </c>
    </row>
    <row r="235" spans="1:5">
      <c r="A235">
        <v>230</v>
      </c>
      <c r="B235" s="11">
        <v>45967.520833333336</v>
      </c>
      <c r="C235" s="7">
        <v>671.04</v>
      </c>
      <c r="D235">
        <v>3235021</v>
      </c>
      <c r="E235">
        <v>4149006.75</v>
      </c>
    </row>
    <row r="236" spans="1:5">
      <c r="A236">
        <v>231</v>
      </c>
      <c r="B236" s="11">
        <v>45967.5</v>
      </c>
      <c r="C236" s="7">
        <v>669.54</v>
      </c>
      <c r="D236">
        <v>3785228</v>
      </c>
      <c r="E236">
        <v>4091997.75</v>
      </c>
    </row>
    <row r="237" spans="1:5">
      <c r="A237">
        <v>232</v>
      </c>
      <c r="B237" s="11">
        <v>45967.479166666664</v>
      </c>
      <c r="C237" s="7">
        <v>669.44</v>
      </c>
      <c r="D237">
        <v>3829637</v>
      </c>
      <c r="E237">
        <v>4076768.5</v>
      </c>
    </row>
    <row r="238" spans="1:5">
      <c r="A238">
        <v>233</v>
      </c>
      <c r="B238" s="11">
        <v>45967.458333333336</v>
      </c>
      <c r="C238" s="7">
        <v>671.34</v>
      </c>
      <c r="D238">
        <v>4312779</v>
      </c>
      <c r="E238">
        <v>4035054.25</v>
      </c>
    </row>
    <row r="239" spans="1:5">
      <c r="A239">
        <v>234</v>
      </c>
      <c r="B239" s="11">
        <v>45967.4375</v>
      </c>
      <c r="C239" s="7">
        <v>670.91</v>
      </c>
      <c r="D239">
        <v>7033850</v>
      </c>
      <c r="E239">
        <v>3960078</v>
      </c>
    </row>
    <row r="240" spans="1:5">
      <c r="A240">
        <v>235</v>
      </c>
      <c r="B240" s="11">
        <v>45967.416666666664</v>
      </c>
      <c r="C240" s="7">
        <v>674.61</v>
      </c>
      <c r="D240">
        <v>7322498</v>
      </c>
      <c r="E240">
        <v>3901485.25</v>
      </c>
    </row>
    <row r="241" spans="1:5">
      <c r="A241">
        <v>236</v>
      </c>
      <c r="B241" s="11">
        <v>45967.395833333336</v>
      </c>
      <c r="C241" s="7">
        <v>674.05</v>
      </c>
      <c r="D241">
        <v>6341946</v>
      </c>
      <c r="E241">
        <v>3872611.75</v>
      </c>
    </row>
    <row r="242" spans="1:5">
      <c r="A242">
        <v>237</v>
      </c>
      <c r="B242" s="11">
        <v>45966.666666666664</v>
      </c>
      <c r="C242" s="7">
        <v>677.58</v>
      </c>
      <c r="D242">
        <v>0</v>
      </c>
      <c r="E242">
        <v>3449815.25</v>
      </c>
    </row>
    <row r="243" spans="1:5">
      <c r="A243">
        <v>238</v>
      </c>
      <c r="B243" s="11">
        <v>45966.645833333336</v>
      </c>
      <c r="C243" s="7">
        <v>677.54499999999996</v>
      </c>
      <c r="D243">
        <v>12882110</v>
      </c>
      <c r="E243">
        <v>4216540</v>
      </c>
    </row>
    <row r="244" spans="1:5">
      <c r="A244">
        <v>239</v>
      </c>
      <c r="B244" s="11">
        <v>45966.625</v>
      </c>
      <c r="C244" s="7">
        <v>679.76</v>
      </c>
      <c r="D244">
        <v>2805710</v>
      </c>
      <c r="E244">
        <v>3598842.75</v>
      </c>
    </row>
    <row r="245" spans="1:5">
      <c r="A245">
        <v>240</v>
      </c>
      <c r="B245" s="11">
        <v>45966.604166666664</v>
      </c>
      <c r="C245" s="7">
        <v>680.21500000000003</v>
      </c>
      <c r="D245">
        <v>1800669</v>
      </c>
      <c r="E245">
        <v>3638616</v>
      </c>
    </row>
    <row r="246" spans="1:5">
      <c r="A246">
        <v>241</v>
      </c>
      <c r="B246" s="11">
        <v>45966.583333333336</v>
      </c>
      <c r="C246" s="7">
        <v>680.2</v>
      </c>
      <c r="D246">
        <v>2558259</v>
      </c>
      <c r="E246">
        <v>3765224.75</v>
      </c>
    </row>
    <row r="247" spans="1:5">
      <c r="A247">
        <v>242</v>
      </c>
      <c r="B247" s="11">
        <v>45966.5625</v>
      </c>
      <c r="C247" s="7">
        <v>680.59500000000003</v>
      </c>
      <c r="D247">
        <v>1672864</v>
      </c>
      <c r="E247">
        <v>3817485.25</v>
      </c>
    </row>
    <row r="248" spans="1:5">
      <c r="A248">
        <v>243</v>
      </c>
      <c r="B248" s="11">
        <v>45966.541666666664</v>
      </c>
      <c r="C248" s="7">
        <v>680.38</v>
      </c>
      <c r="D248">
        <v>1872566</v>
      </c>
      <c r="E248">
        <v>3867462.75</v>
      </c>
    </row>
    <row r="249" spans="1:5">
      <c r="A249">
        <v>244</v>
      </c>
      <c r="B249" s="11">
        <v>45966.520833333336</v>
      </c>
      <c r="C249" s="7">
        <v>680.19799999999998</v>
      </c>
      <c r="D249">
        <v>2781963</v>
      </c>
      <c r="E249">
        <v>3924934.25</v>
      </c>
    </row>
    <row r="250" spans="1:5">
      <c r="A250">
        <v>245</v>
      </c>
      <c r="B250" s="11">
        <v>45966.5</v>
      </c>
      <c r="C250" s="7">
        <v>680.0299</v>
      </c>
      <c r="D250">
        <v>2379887</v>
      </c>
      <c r="E250">
        <v>3975015</v>
      </c>
    </row>
    <row r="251" spans="1:5">
      <c r="A251">
        <v>246</v>
      </c>
      <c r="B251" s="11">
        <v>45966.479166666664</v>
      </c>
      <c r="C251" s="7">
        <v>679.3682</v>
      </c>
      <c r="D251">
        <v>3556790</v>
      </c>
      <c r="E251">
        <v>4000862</v>
      </c>
    </row>
    <row r="252" spans="1:5">
      <c r="A252">
        <v>247</v>
      </c>
      <c r="B252" s="11">
        <v>45966.458333333336</v>
      </c>
      <c r="C252" s="7">
        <v>678.34</v>
      </c>
      <c r="D252">
        <v>3203921</v>
      </c>
      <c r="E252">
        <v>3965741</v>
      </c>
    </row>
    <row r="253" spans="1:5">
      <c r="A253">
        <v>248</v>
      </c>
      <c r="B253" s="11">
        <v>45966.4375</v>
      </c>
      <c r="C253" s="7">
        <v>677.85</v>
      </c>
      <c r="D253">
        <v>3188136</v>
      </c>
      <c r="E253">
        <v>3973536</v>
      </c>
    </row>
    <row r="254" spans="1:5">
      <c r="A254">
        <v>249</v>
      </c>
      <c r="B254" s="11">
        <v>45966.416666666664</v>
      </c>
      <c r="C254" s="7">
        <v>677.41</v>
      </c>
      <c r="D254">
        <v>6154960</v>
      </c>
      <c r="E254">
        <v>4033643.75</v>
      </c>
    </row>
    <row r="255" spans="1:5">
      <c r="A255">
        <v>250</v>
      </c>
      <c r="B255" s="11">
        <v>45966.395833333336</v>
      </c>
      <c r="C255" s="7">
        <v>677.17</v>
      </c>
      <c r="D255">
        <v>6889394</v>
      </c>
      <c r="E255">
        <v>4250821.5</v>
      </c>
    </row>
    <row r="256" spans="1:5">
      <c r="A256">
        <v>251</v>
      </c>
      <c r="B256" s="11">
        <v>45965.666666666664</v>
      </c>
      <c r="C256" s="7">
        <v>675.24</v>
      </c>
      <c r="D256">
        <v>0</v>
      </c>
      <c r="E256">
        <v>3792528.5</v>
      </c>
    </row>
    <row r="257" spans="1:5">
      <c r="A257">
        <v>252</v>
      </c>
      <c r="B257" s="11">
        <v>45965.645833333336</v>
      </c>
      <c r="C257" s="7">
        <v>675.24</v>
      </c>
      <c r="D257">
        <v>11500869</v>
      </c>
      <c r="E257">
        <v>4330328</v>
      </c>
    </row>
    <row r="258" spans="1:5">
      <c r="A258">
        <v>253</v>
      </c>
      <c r="B258" s="11">
        <v>45965.625</v>
      </c>
      <c r="C258" s="7">
        <v>675.98500000000001</v>
      </c>
      <c r="D258">
        <v>3616653</v>
      </c>
      <c r="E258">
        <v>3712712.5</v>
      </c>
    </row>
    <row r="259" spans="1:5">
      <c r="A259">
        <v>254</v>
      </c>
      <c r="B259" s="11">
        <v>45965.604166666664</v>
      </c>
      <c r="C259" s="7">
        <v>675.22500000000002</v>
      </c>
      <c r="D259">
        <v>3402308</v>
      </c>
      <c r="E259">
        <v>3630891.75</v>
      </c>
    </row>
    <row r="260" spans="1:5">
      <c r="A260">
        <v>255</v>
      </c>
      <c r="B260" s="11">
        <v>45965.583333333336</v>
      </c>
      <c r="C260" s="7">
        <v>676.23</v>
      </c>
      <c r="D260">
        <v>3699800</v>
      </c>
      <c r="E260">
        <v>3550565.5</v>
      </c>
    </row>
    <row r="261" spans="1:5">
      <c r="A261">
        <v>256</v>
      </c>
      <c r="B261" s="11">
        <v>45965.5625</v>
      </c>
      <c r="C261" s="7">
        <v>676.08</v>
      </c>
      <c r="D261">
        <v>3342166</v>
      </c>
      <c r="E261">
        <v>3394846</v>
      </c>
    </row>
    <row r="262" spans="1:5">
      <c r="A262">
        <v>257</v>
      </c>
      <c r="B262" s="11">
        <v>45965.541666666664</v>
      </c>
      <c r="C262" s="7">
        <v>675.22</v>
      </c>
      <c r="D262">
        <v>2422527</v>
      </c>
      <c r="E262">
        <v>3270191.75</v>
      </c>
    </row>
    <row r="263" spans="1:5">
      <c r="A263">
        <v>258</v>
      </c>
      <c r="B263" s="11">
        <v>45965.520833333336</v>
      </c>
      <c r="C263" s="7">
        <v>675.92</v>
      </c>
      <c r="D263">
        <v>2734638</v>
      </c>
      <c r="E263">
        <v>3212353</v>
      </c>
    </row>
    <row r="264" spans="1:5">
      <c r="A264">
        <v>259</v>
      </c>
      <c r="B264" s="11">
        <v>45965.5</v>
      </c>
      <c r="C264" s="7">
        <v>676.94</v>
      </c>
      <c r="D264">
        <v>3533177</v>
      </c>
      <c r="E264">
        <v>3173318.75</v>
      </c>
    </row>
    <row r="265" spans="1:5">
      <c r="A265">
        <v>260</v>
      </c>
      <c r="B265" s="11">
        <v>45965.479166666664</v>
      </c>
      <c r="C265" s="7">
        <v>678.13</v>
      </c>
      <c r="D265">
        <v>2767591</v>
      </c>
      <c r="E265">
        <v>3090383.5</v>
      </c>
    </row>
    <row r="266" spans="1:5">
      <c r="A266">
        <v>261</v>
      </c>
      <c r="B266" s="11">
        <v>45965.458333333336</v>
      </c>
      <c r="C266" s="7">
        <v>678.15</v>
      </c>
      <c r="D266">
        <v>3029974</v>
      </c>
      <c r="E266">
        <v>3042005.25</v>
      </c>
    </row>
    <row r="267" spans="1:5">
      <c r="A267">
        <v>262</v>
      </c>
      <c r="B267" s="11">
        <v>45965.4375</v>
      </c>
      <c r="C267" s="7">
        <v>678.13</v>
      </c>
      <c r="D267">
        <v>3320847</v>
      </c>
      <c r="E267">
        <v>3105680.75</v>
      </c>
    </row>
    <row r="268" spans="1:5">
      <c r="A268">
        <v>263</v>
      </c>
      <c r="B268" s="11">
        <v>45965.416666666664</v>
      </c>
      <c r="C268" s="7">
        <v>679.24</v>
      </c>
      <c r="D268">
        <v>4089751</v>
      </c>
      <c r="E268">
        <v>3216411</v>
      </c>
    </row>
    <row r="269" spans="1:5">
      <c r="A269">
        <v>264</v>
      </c>
      <c r="B269" s="11">
        <v>45965.395833333336</v>
      </c>
      <c r="C269" s="7">
        <v>678.8</v>
      </c>
      <c r="D269">
        <v>9412625</v>
      </c>
      <c r="E269">
        <v>3408180.5</v>
      </c>
    </row>
    <row r="270" spans="1:5">
      <c r="A270">
        <v>265</v>
      </c>
      <c r="B270" s="11">
        <v>45964.666666666664</v>
      </c>
      <c r="C270" s="7">
        <v>683.34</v>
      </c>
      <c r="D270">
        <v>15000</v>
      </c>
      <c r="E270">
        <v>2780672.25</v>
      </c>
    </row>
    <row r="271" spans="1:5">
      <c r="A271">
        <v>266</v>
      </c>
      <c r="B271" s="11">
        <v>45964.645833333336</v>
      </c>
      <c r="C271" s="7">
        <v>683.34</v>
      </c>
      <c r="D271">
        <v>8066997</v>
      </c>
      <c r="E271">
        <v>3788359.25</v>
      </c>
    </row>
    <row r="272" spans="1:5">
      <c r="A272">
        <v>267</v>
      </c>
      <c r="B272" s="11">
        <v>45964.625</v>
      </c>
      <c r="C272" s="7">
        <v>683.13</v>
      </c>
      <c r="D272">
        <v>2236635</v>
      </c>
      <c r="E272">
        <v>3487188.75</v>
      </c>
    </row>
    <row r="273" spans="1:5">
      <c r="A273">
        <v>268</v>
      </c>
      <c r="B273" s="11">
        <v>45964.604166666664</v>
      </c>
      <c r="C273" s="7">
        <v>683.47</v>
      </c>
      <c r="D273">
        <v>2389341</v>
      </c>
      <c r="E273">
        <v>3501485.75</v>
      </c>
    </row>
    <row r="274" spans="1:5">
      <c r="A274">
        <v>269</v>
      </c>
      <c r="B274" s="11">
        <v>45964.583333333336</v>
      </c>
      <c r="C274" s="7">
        <v>683.25070000000005</v>
      </c>
      <c r="D274">
        <v>2197413</v>
      </c>
      <c r="E274">
        <v>3523058</v>
      </c>
    </row>
    <row r="275" spans="1:5">
      <c r="A275">
        <v>270</v>
      </c>
      <c r="B275" s="11">
        <v>45964.5625</v>
      </c>
      <c r="C275" s="7">
        <v>683.82</v>
      </c>
      <c r="D275">
        <v>1364008</v>
      </c>
      <c r="E275">
        <v>3523945.25</v>
      </c>
    </row>
    <row r="276" spans="1:5">
      <c r="A276">
        <v>271</v>
      </c>
      <c r="B276" s="11">
        <v>45964.541666666664</v>
      </c>
      <c r="C276" s="7">
        <v>683.64</v>
      </c>
      <c r="D276">
        <v>1472354</v>
      </c>
      <c r="E276">
        <v>3655661.25</v>
      </c>
    </row>
    <row r="277" spans="1:5">
      <c r="A277">
        <v>272</v>
      </c>
      <c r="B277" s="11">
        <v>45964.520833333336</v>
      </c>
      <c r="C277" s="7">
        <v>683.85500000000002</v>
      </c>
      <c r="D277">
        <v>1554945</v>
      </c>
      <c r="E277">
        <v>3709747.5</v>
      </c>
    </row>
    <row r="278" spans="1:5">
      <c r="A278">
        <v>273</v>
      </c>
      <c r="B278" s="11">
        <v>45964.5</v>
      </c>
      <c r="C278" s="7">
        <v>682.755</v>
      </c>
      <c r="D278">
        <v>2149125</v>
      </c>
      <c r="E278">
        <v>3863541.25</v>
      </c>
    </row>
    <row r="279" spans="1:5">
      <c r="A279">
        <v>274</v>
      </c>
      <c r="B279" s="11">
        <v>45964.479166666664</v>
      </c>
      <c r="C279" s="7">
        <v>683.43</v>
      </c>
      <c r="D279">
        <v>2289146</v>
      </c>
      <c r="E279">
        <v>3960967.75</v>
      </c>
    </row>
    <row r="280" spans="1:5">
      <c r="A280">
        <v>275</v>
      </c>
      <c r="B280" s="11">
        <v>45964.458333333336</v>
      </c>
      <c r="C280" s="7">
        <v>682.05</v>
      </c>
      <c r="D280">
        <v>2041916</v>
      </c>
      <c r="E280">
        <v>3961137.75</v>
      </c>
    </row>
    <row r="281" spans="1:5">
      <c r="A281">
        <v>276</v>
      </c>
      <c r="B281" s="11">
        <v>45964.4375</v>
      </c>
      <c r="C281" s="7">
        <v>682.42</v>
      </c>
      <c r="D281">
        <v>3985107</v>
      </c>
      <c r="E281">
        <v>3996961.5</v>
      </c>
    </row>
    <row r="282" spans="1:5">
      <c r="A282">
        <v>277</v>
      </c>
      <c r="B282" s="11">
        <v>45964.416666666664</v>
      </c>
      <c r="C282" s="7">
        <v>680.38990000000001</v>
      </c>
      <c r="D282">
        <v>4981801</v>
      </c>
      <c r="E282">
        <v>3945837.5</v>
      </c>
    </row>
    <row r="283" spans="1:5">
      <c r="A283">
        <v>278</v>
      </c>
      <c r="B283" s="11">
        <v>45964.395833333336</v>
      </c>
      <c r="C283" s="7">
        <v>682.52</v>
      </c>
      <c r="D283">
        <v>6966296</v>
      </c>
      <c r="E283">
        <v>3982794.5</v>
      </c>
    </row>
    <row r="284" spans="1:5">
      <c r="A284">
        <v>279</v>
      </c>
      <c r="B284" s="11">
        <v>45961.666666666664</v>
      </c>
      <c r="C284" s="7">
        <v>682.06</v>
      </c>
      <c r="D284">
        <v>0</v>
      </c>
      <c r="E284">
        <v>3518374.75</v>
      </c>
    </row>
    <row r="285" spans="1:5">
      <c r="A285">
        <v>280</v>
      </c>
      <c r="B285" s="11">
        <v>45961.645833333336</v>
      </c>
      <c r="C285" s="7">
        <v>682.06</v>
      </c>
      <c r="D285">
        <v>15130306</v>
      </c>
      <c r="E285">
        <v>4198342</v>
      </c>
    </row>
    <row r="286" spans="1:5">
      <c r="A286">
        <v>281</v>
      </c>
      <c r="B286" s="11">
        <v>45961.625</v>
      </c>
      <c r="C286" s="7">
        <v>684.08</v>
      </c>
      <c r="D286">
        <v>3549439</v>
      </c>
      <c r="E286">
        <v>3452709.25</v>
      </c>
    </row>
    <row r="287" spans="1:5">
      <c r="A287">
        <v>282</v>
      </c>
      <c r="B287" s="11">
        <v>45961.604166666664</v>
      </c>
      <c r="C287" s="7">
        <v>682.59</v>
      </c>
      <c r="D287">
        <v>2451090</v>
      </c>
      <c r="E287">
        <v>3389715</v>
      </c>
    </row>
    <row r="288" spans="1:5">
      <c r="A288">
        <v>283</v>
      </c>
      <c r="B288" s="11">
        <v>45961.583333333336</v>
      </c>
      <c r="C288" s="7">
        <v>682.298</v>
      </c>
      <c r="D288">
        <v>2712924</v>
      </c>
      <c r="E288">
        <v>3412022.75</v>
      </c>
    </row>
    <row r="289" spans="1:5">
      <c r="A289">
        <v>284</v>
      </c>
      <c r="B289" s="11">
        <v>45961.5625</v>
      </c>
      <c r="C289" s="7">
        <v>680.84929999999997</v>
      </c>
      <c r="D289">
        <v>2210722</v>
      </c>
      <c r="E289">
        <v>3339023.25</v>
      </c>
    </row>
    <row r="290" spans="1:5">
      <c r="A290">
        <v>285</v>
      </c>
      <c r="B290" s="11">
        <v>45961.541666666664</v>
      </c>
      <c r="C290" s="7">
        <v>679.79</v>
      </c>
      <c r="D290">
        <v>3339748</v>
      </c>
      <c r="E290">
        <v>3314894.25</v>
      </c>
    </row>
    <row r="291" spans="1:5">
      <c r="A291">
        <v>286</v>
      </c>
      <c r="B291" s="11">
        <v>45961.520833333336</v>
      </c>
      <c r="C291" s="7">
        <v>680.36500000000001</v>
      </c>
      <c r="D291">
        <v>2283647</v>
      </c>
      <c r="E291">
        <v>3209354.5</v>
      </c>
    </row>
    <row r="292" spans="1:5">
      <c r="A292">
        <v>287</v>
      </c>
      <c r="B292" s="11">
        <v>45961.5</v>
      </c>
      <c r="C292" s="7">
        <v>681.77</v>
      </c>
      <c r="D292">
        <v>3861851</v>
      </c>
      <c r="E292">
        <v>3179744.5</v>
      </c>
    </row>
    <row r="293" spans="1:5">
      <c r="A293">
        <v>288</v>
      </c>
      <c r="B293" s="11">
        <v>45961.479166666664</v>
      </c>
      <c r="C293" s="7">
        <v>682.06</v>
      </c>
      <c r="D293">
        <v>3610522</v>
      </c>
      <c r="E293">
        <v>3087223.75</v>
      </c>
    </row>
    <row r="294" spans="1:5">
      <c r="A294">
        <v>289</v>
      </c>
      <c r="B294" s="11">
        <v>45961.458333333336</v>
      </c>
      <c r="C294" s="7">
        <v>683.75990000000002</v>
      </c>
      <c r="D294">
        <v>2291699</v>
      </c>
      <c r="E294">
        <v>2967079.75</v>
      </c>
    </row>
    <row r="295" spans="1:5">
      <c r="A295">
        <v>290</v>
      </c>
      <c r="B295" s="11">
        <v>45961.4375</v>
      </c>
      <c r="C295" s="7">
        <v>684.48</v>
      </c>
      <c r="D295">
        <v>2579272</v>
      </c>
      <c r="E295">
        <v>3021407</v>
      </c>
    </row>
    <row r="296" spans="1:5">
      <c r="A296">
        <v>291</v>
      </c>
      <c r="B296" s="11">
        <v>45961.416666666664</v>
      </c>
      <c r="C296" s="7">
        <v>683.24</v>
      </c>
      <c r="D296">
        <v>3218244</v>
      </c>
      <c r="E296">
        <v>3152737</v>
      </c>
    </row>
    <row r="297" spans="1:5">
      <c r="A297">
        <v>292</v>
      </c>
      <c r="B297" s="11">
        <v>45961.395833333336</v>
      </c>
      <c r="C297" s="7">
        <v>683.55</v>
      </c>
      <c r="D297">
        <v>5536158</v>
      </c>
      <c r="E297">
        <v>3502220.25</v>
      </c>
    </row>
    <row r="298" spans="1:5">
      <c r="A298">
        <v>293</v>
      </c>
      <c r="B298" s="11">
        <v>45960.666666666664</v>
      </c>
      <c r="C298" s="7">
        <v>679.83</v>
      </c>
      <c r="D298">
        <v>0</v>
      </c>
      <c r="E298">
        <v>3133143</v>
      </c>
    </row>
    <row r="299" spans="1:5">
      <c r="A299">
        <v>294</v>
      </c>
      <c r="B299" s="11">
        <v>45960.645833333336</v>
      </c>
      <c r="C299" s="7">
        <v>679.83</v>
      </c>
      <c r="D299">
        <v>10199511</v>
      </c>
      <c r="E299">
        <v>3748398</v>
      </c>
    </row>
    <row r="300" spans="1:5">
      <c r="A300">
        <v>295</v>
      </c>
      <c r="B300" s="11">
        <v>45960.625</v>
      </c>
      <c r="C300" s="7">
        <v>681.31</v>
      </c>
      <c r="D300">
        <v>3945813</v>
      </c>
      <c r="E300">
        <v>3379113.5</v>
      </c>
    </row>
    <row r="301" spans="1:5">
      <c r="A301">
        <v>296</v>
      </c>
      <c r="B301" s="11">
        <v>45960.604166666664</v>
      </c>
      <c r="C301" s="7">
        <v>682.35</v>
      </c>
      <c r="D301">
        <v>2604523</v>
      </c>
      <c r="E301">
        <v>3909491.5</v>
      </c>
    </row>
    <row r="302" spans="1:5">
      <c r="A302">
        <v>297</v>
      </c>
      <c r="B302" s="11">
        <v>45960.583333333336</v>
      </c>
      <c r="C302" s="7">
        <v>682.96</v>
      </c>
      <c r="D302">
        <v>2785709</v>
      </c>
      <c r="E302">
        <v>3947086.75</v>
      </c>
    </row>
    <row r="303" spans="1:5">
      <c r="A303">
        <v>298</v>
      </c>
      <c r="B303" s="11">
        <v>45960.5625</v>
      </c>
      <c r="C303" s="7">
        <v>684.38</v>
      </c>
      <c r="D303">
        <v>1617928</v>
      </c>
      <c r="E303">
        <v>3876199.25</v>
      </c>
    </row>
    <row r="304" spans="1:5">
      <c r="A304">
        <v>299</v>
      </c>
      <c r="B304" s="11">
        <v>45960.541666666664</v>
      </c>
      <c r="C304" s="7">
        <v>684.33</v>
      </c>
      <c r="D304">
        <v>1848790</v>
      </c>
      <c r="E304">
        <v>3854006.75</v>
      </c>
    </row>
    <row r="305" spans="1:5">
      <c r="A305">
        <v>300</v>
      </c>
      <c r="B305" s="11">
        <v>45960.520833333336</v>
      </c>
      <c r="C305" s="7">
        <v>684.41</v>
      </c>
      <c r="D305">
        <v>1756649</v>
      </c>
      <c r="E305">
        <v>3820123.5</v>
      </c>
    </row>
    <row r="306" spans="1:5">
      <c r="A306">
        <v>301</v>
      </c>
      <c r="B306" s="11">
        <v>45960.5</v>
      </c>
      <c r="C306" s="7">
        <v>684.9</v>
      </c>
      <c r="D306">
        <v>1839499</v>
      </c>
      <c r="E306">
        <v>3821242.5</v>
      </c>
    </row>
    <row r="307" spans="1:5">
      <c r="A307">
        <v>302</v>
      </c>
      <c r="B307" s="11">
        <v>45960.479166666664</v>
      </c>
      <c r="C307" s="7">
        <v>683.35</v>
      </c>
      <c r="D307">
        <v>2474038</v>
      </c>
      <c r="E307">
        <v>3890238.5</v>
      </c>
    </row>
    <row r="308" spans="1:5">
      <c r="A308">
        <v>303</v>
      </c>
      <c r="B308" s="11">
        <v>45960.458333333336</v>
      </c>
      <c r="C308" s="7">
        <v>684.8</v>
      </c>
      <c r="D308">
        <v>1808362</v>
      </c>
      <c r="E308">
        <v>3962368.5</v>
      </c>
    </row>
    <row r="309" spans="1:5">
      <c r="A309">
        <v>304</v>
      </c>
      <c r="B309" s="11">
        <v>45960.4375</v>
      </c>
      <c r="C309" s="7">
        <v>684.49</v>
      </c>
      <c r="D309">
        <v>3106609</v>
      </c>
      <c r="E309">
        <v>4107914.25</v>
      </c>
    </row>
    <row r="310" spans="1:5">
      <c r="A310">
        <v>305</v>
      </c>
      <c r="B310" s="11">
        <v>45960.416666666664</v>
      </c>
      <c r="C310" s="7">
        <v>683.44</v>
      </c>
      <c r="D310">
        <v>4549223</v>
      </c>
      <c r="E310">
        <v>4143668.75</v>
      </c>
    </row>
    <row r="311" spans="1:5">
      <c r="A311">
        <v>306</v>
      </c>
      <c r="B311" s="11">
        <v>45960.395833333336</v>
      </c>
      <c r="C311" s="7">
        <v>685.05</v>
      </c>
      <c r="D311">
        <v>8460491</v>
      </c>
      <c r="E311">
        <v>4251539</v>
      </c>
    </row>
    <row r="312" spans="1:5">
      <c r="A312">
        <v>307</v>
      </c>
      <c r="B312" s="11">
        <v>45959.666666666664</v>
      </c>
      <c r="C312" s="7">
        <v>687.39</v>
      </c>
      <c r="D312">
        <v>0</v>
      </c>
      <c r="E312">
        <v>3687506.25</v>
      </c>
    </row>
    <row r="313" spans="1:5">
      <c r="A313">
        <v>308</v>
      </c>
      <c r="B313" s="11">
        <v>45959.645833333336</v>
      </c>
      <c r="C313" s="7">
        <v>687.39</v>
      </c>
      <c r="D313">
        <v>9228824</v>
      </c>
      <c r="E313">
        <v>4317628.5</v>
      </c>
    </row>
    <row r="314" spans="1:5">
      <c r="A314">
        <v>309</v>
      </c>
      <c r="B314" s="11">
        <v>45959.625</v>
      </c>
      <c r="C314" s="7">
        <v>685.45</v>
      </c>
      <c r="D314">
        <v>4660243</v>
      </c>
      <c r="E314">
        <v>3909738.25</v>
      </c>
    </row>
    <row r="315" spans="1:5">
      <c r="A315">
        <v>310</v>
      </c>
      <c r="B315" s="11">
        <v>45959.604166666664</v>
      </c>
      <c r="C315" s="7">
        <v>686.12</v>
      </c>
      <c r="D315">
        <v>11901486</v>
      </c>
      <c r="E315">
        <v>3723066</v>
      </c>
    </row>
    <row r="316" spans="1:5">
      <c r="A316">
        <v>311</v>
      </c>
      <c r="B316" s="11">
        <v>45959.583333333336</v>
      </c>
      <c r="C316" s="7">
        <v>688.04</v>
      </c>
      <c r="D316">
        <v>3168449</v>
      </c>
      <c r="E316">
        <v>3091042.5</v>
      </c>
    </row>
    <row r="317" spans="1:5">
      <c r="A317">
        <v>312</v>
      </c>
      <c r="B317" s="11">
        <v>45959.5625</v>
      </c>
      <c r="C317" s="7">
        <v>688.17</v>
      </c>
      <c r="D317">
        <v>1722399</v>
      </c>
      <c r="E317">
        <v>3014103.5</v>
      </c>
    </row>
    <row r="318" spans="1:5">
      <c r="A318">
        <v>313</v>
      </c>
      <c r="B318" s="11">
        <v>45959.541666666664</v>
      </c>
      <c r="C318" s="7">
        <v>687.86</v>
      </c>
      <c r="D318">
        <v>1285040</v>
      </c>
      <c r="E318">
        <v>3013456.75</v>
      </c>
    </row>
    <row r="319" spans="1:5">
      <c r="A319">
        <v>314</v>
      </c>
      <c r="B319" s="11">
        <v>45959.520833333336</v>
      </c>
      <c r="C319" s="7">
        <v>688.5675</v>
      </c>
      <c r="D319">
        <v>1340541</v>
      </c>
      <c r="E319">
        <v>3162811.5</v>
      </c>
    </row>
    <row r="320" spans="1:5">
      <c r="A320">
        <v>315</v>
      </c>
      <c r="B320" s="11">
        <v>45959.5</v>
      </c>
      <c r="C320" s="7">
        <v>688.48</v>
      </c>
      <c r="D320">
        <v>1773432</v>
      </c>
      <c r="E320">
        <v>3176149.25</v>
      </c>
    </row>
    <row r="321" spans="1:5">
      <c r="A321">
        <v>316</v>
      </c>
      <c r="B321" s="11">
        <v>45959.479166666664</v>
      </c>
      <c r="C321" s="7">
        <v>688</v>
      </c>
      <c r="D321">
        <v>2874439</v>
      </c>
      <c r="E321">
        <v>3189805.5</v>
      </c>
    </row>
    <row r="322" spans="1:5">
      <c r="A322">
        <v>317</v>
      </c>
      <c r="B322" s="11">
        <v>45959.458333333336</v>
      </c>
      <c r="C322" s="7">
        <v>688.24</v>
      </c>
      <c r="D322">
        <v>3555989</v>
      </c>
      <c r="E322">
        <v>3084689</v>
      </c>
    </row>
    <row r="323" spans="1:5">
      <c r="A323">
        <v>318</v>
      </c>
      <c r="B323" s="11">
        <v>45959.4375</v>
      </c>
      <c r="C323" s="7">
        <v>688.375</v>
      </c>
      <c r="D323">
        <v>3991548</v>
      </c>
      <c r="E323">
        <v>3012455.25</v>
      </c>
    </row>
    <row r="324" spans="1:5">
      <c r="A324">
        <v>319</v>
      </c>
      <c r="B324" s="11">
        <v>45959.416666666664</v>
      </c>
      <c r="C324" s="7">
        <v>688.99</v>
      </c>
      <c r="D324">
        <v>3642926</v>
      </c>
      <c r="E324">
        <v>2896067.5</v>
      </c>
    </row>
    <row r="325" spans="1:5">
      <c r="A325">
        <v>320</v>
      </c>
      <c r="B325" s="11">
        <v>45959.395833333336</v>
      </c>
      <c r="C325" s="7">
        <v>689.64</v>
      </c>
      <c r="D325">
        <v>6167277</v>
      </c>
      <c r="E325">
        <v>3041515.25</v>
      </c>
    </row>
    <row r="326" spans="1:5">
      <c r="A326">
        <v>321</v>
      </c>
      <c r="B326" s="11">
        <v>45958.666666666664</v>
      </c>
      <c r="C326" s="7">
        <v>687.06</v>
      </c>
      <c r="D326">
        <v>0</v>
      </c>
      <c r="E326">
        <v>2630363.5</v>
      </c>
    </row>
    <row r="327" spans="1:5">
      <c r="A327">
        <v>322</v>
      </c>
      <c r="B327" s="11">
        <v>45958.645833333336</v>
      </c>
      <c r="C327" s="7">
        <v>687.05</v>
      </c>
      <c r="D327">
        <v>9451838</v>
      </c>
      <c r="E327">
        <v>3414727.5</v>
      </c>
    </row>
    <row r="328" spans="1:5">
      <c r="A328">
        <v>323</v>
      </c>
      <c r="B328" s="11">
        <v>45958.625</v>
      </c>
      <c r="C328" s="7">
        <v>688.69500000000005</v>
      </c>
      <c r="D328">
        <v>3110467</v>
      </c>
      <c r="E328">
        <v>2955777.75</v>
      </c>
    </row>
    <row r="329" spans="1:5">
      <c r="A329">
        <v>324</v>
      </c>
      <c r="B329" s="11">
        <v>45958.604166666664</v>
      </c>
      <c r="C329" s="7">
        <v>688.13</v>
      </c>
      <c r="D329">
        <v>1860159</v>
      </c>
      <c r="E329">
        <v>2912431.5</v>
      </c>
    </row>
    <row r="330" spans="1:5">
      <c r="A330">
        <v>325</v>
      </c>
      <c r="B330" s="11">
        <v>45958.583333333336</v>
      </c>
      <c r="C330" s="7">
        <v>688.04</v>
      </c>
      <c r="D330">
        <v>2421132</v>
      </c>
      <c r="E330">
        <v>2872786.25</v>
      </c>
    </row>
    <row r="331" spans="1:5">
      <c r="A331">
        <v>326</v>
      </c>
      <c r="B331" s="11">
        <v>45958.5625</v>
      </c>
      <c r="C331" s="7">
        <v>687.625</v>
      </c>
      <c r="D331">
        <v>2014364</v>
      </c>
      <c r="E331">
        <v>2879486.5</v>
      </c>
    </row>
    <row r="332" spans="1:5">
      <c r="A332">
        <v>327</v>
      </c>
      <c r="B332" s="11">
        <v>45958.541666666664</v>
      </c>
      <c r="C332" s="7">
        <v>686.98</v>
      </c>
      <c r="D332">
        <v>1712700</v>
      </c>
      <c r="E332">
        <v>2869930.75</v>
      </c>
    </row>
    <row r="333" spans="1:5">
      <c r="A333">
        <v>328</v>
      </c>
      <c r="B333" s="11">
        <v>45958.520833333336</v>
      </c>
      <c r="C333" s="7">
        <v>686.87</v>
      </c>
      <c r="D333">
        <v>3525361</v>
      </c>
      <c r="E333">
        <v>2858079</v>
      </c>
    </row>
    <row r="334" spans="1:5">
      <c r="A334">
        <v>329</v>
      </c>
      <c r="B334" s="11">
        <v>45958.5</v>
      </c>
      <c r="C334" s="7">
        <v>686.18</v>
      </c>
      <c r="D334">
        <v>1540607</v>
      </c>
      <c r="E334">
        <v>2745635.75</v>
      </c>
    </row>
    <row r="335" spans="1:5">
      <c r="A335">
        <v>330</v>
      </c>
      <c r="B335" s="11">
        <v>45958.479166666664</v>
      </c>
      <c r="C335" s="7">
        <v>685.58500000000004</v>
      </c>
      <c r="D335">
        <v>1978277</v>
      </c>
      <c r="E335">
        <v>2767039.25</v>
      </c>
    </row>
    <row r="336" spans="1:5">
      <c r="A336">
        <v>331</v>
      </c>
      <c r="B336" s="11">
        <v>45958.458333333336</v>
      </c>
      <c r="C336" s="7">
        <v>685.52</v>
      </c>
      <c r="D336">
        <v>1297690</v>
      </c>
      <c r="E336">
        <v>2765205.25</v>
      </c>
    </row>
    <row r="337" spans="1:5">
      <c r="A337">
        <v>332</v>
      </c>
      <c r="B337" s="11">
        <v>45958.4375</v>
      </c>
      <c r="C337" s="7">
        <v>685.82</v>
      </c>
      <c r="D337">
        <v>2472484</v>
      </c>
      <c r="E337">
        <v>2851572.25</v>
      </c>
    </row>
    <row r="338" spans="1:5">
      <c r="A338">
        <v>333</v>
      </c>
      <c r="B338" s="11">
        <v>45958.416666666664</v>
      </c>
      <c r="C338" s="7">
        <v>686.11</v>
      </c>
      <c r="D338">
        <v>2245732</v>
      </c>
      <c r="E338">
        <v>2958673.5</v>
      </c>
    </row>
    <row r="339" spans="1:5">
      <c r="A339">
        <v>334</v>
      </c>
      <c r="B339" s="11">
        <v>45958.395833333336</v>
      </c>
      <c r="C339" s="7">
        <v>685.73</v>
      </c>
      <c r="D339">
        <v>5824642</v>
      </c>
      <c r="E339">
        <v>3193356</v>
      </c>
    </row>
    <row r="340" spans="1:5">
      <c r="A340">
        <v>335</v>
      </c>
      <c r="B340" s="11">
        <v>45957.666666666664</v>
      </c>
      <c r="C340" s="7">
        <v>685.24</v>
      </c>
      <c r="D340">
        <v>0</v>
      </c>
      <c r="E340">
        <v>2805046.5</v>
      </c>
    </row>
    <row r="341" spans="1:5">
      <c r="A341">
        <v>336</v>
      </c>
      <c r="B341" s="11">
        <v>45957.645833333336</v>
      </c>
      <c r="C341" s="7">
        <v>685.24</v>
      </c>
      <c r="D341">
        <v>11765461</v>
      </c>
      <c r="E341">
        <v>3579677.25</v>
      </c>
    </row>
    <row r="342" spans="1:5">
      <c r="A342">
        <v>337</v>
      </c>
      <c r="B342" s="11">
        <v>45957.625</v>
      </c>
      <c r="C342" s="7">
        <v>684.24</v>
      </c>
      <c r="D342">
        <v>2567590</v>
      </c>
      <c r="E342">
        <v>2953645.75</v>
      </c>
    </row>
    <row r="343" spans="1:5">
      <c r="A343">
        <v>338</v>
      </c>
      <c r="B343" s="11">
        <v>45957.604166666664</v>
      </c>
      <c r="C343" s="7">
        <v>684.13400000000001</v>
      </c>
      <c r="D343">
        <v>2460274</v>
      </c>
      <c r="E343">
        <v>2893766.5</v>
      </c>
    </row>
    <row r="344" spans="1:5">
      <c r="A344">
        <v>339</v>
      </c>
      <c r="B344" s="11">
        <v>45957.583333333336</v>
      </c>
      <c r="C344" s="7">
        <v>683.86</v>
      </c>
      <c r="D344">
        <v>1265480</v>
      </c>
      <c r="E344">
        <v>2814495.25</v>
      </c>
    </row>
    <row r="345" spans="1:5">
      <c r="A345">
        <v>340</v>
      </c>
      <c r="B345" s="11">
        <v>45957.5625</v>
      </c>
      <c r="C345" s="7">
        <v>683.9</v>
      </c>
      <c r="D345">
        <v>2521634</v>
      </c>
      <c r="E345">
        <v>2821612.5</v>
      </c>
    </row>
    <row r="346" spans="1:5">
      <c r="A346">
        <v>341</v>
      </c>
      <c r="B346" s="11">
        <v>45957.541666666664</v>
      </c>
      <c r="C346" s="7">
        <v>683.46</v>
      </c>
      <c r="D346">
        <v>1871031</v>
      </c>
      <c r="E346">
        <v>2722808.5</v>
      </c>
    </row>
    <row r="347" spans="1:5">
      <c r="A347">
        <v>342</v>
      </c>
      <c r="B347" s="11">
        <v>45957.520833333336</v>
      </c>
      <c r="C347" s="7">
        <v>683.77</v>
      </c>
      <c r="D347">
        <v>1534923</v>
      </c>
      <c r="E347">
        <v>2721336.75</v>
      </c>
    </row>
    <row r="348" spans="1:5">
      <c r="A348">
        <v>343</v>
      </c>
      <c r="B348" s="11">
        <v>45957.5</v>
      </c>
      <c r="C348" s="7">
        <v>683.53</v>
      </c>
      <c r="D348">
        <v>1838711</v>
      </c>
      <c r="E348">
        <v>2739687.25</v>
      </c>
    </row>
    <row r="349" spans="1:5">
      <c r="A349">
        <v>344</v>
      </c>
      <c r="B349" s="11">
        <v>45957.479166666664</v>
      </c>
      <c r="C349" s="7">
        <v>683.41800000000001</v>
      </c>
      <c r="D349">
        <v>1861660</v>
      </c>
      <c r="E349">
        <v>2783708.75</v>
      </c>
    </row>
    <row r="350" spans="1:5">
      <c r="A350">
        <v>345</v>
      </c>
      <c r="B350" s="11">
        <v>45957.458333333336</v>
      </c>
      <c r="C350" s="7">
        <v>683.36500000000001</v>
      </c>
      <c r="D350">
        <v>1950768</v>
      </c>
      <c r="E350">
        <v>2872888.25</v>
      </c>
    </row>
    <row r="351" spans="1:5">
      <c r="A351">
        <v>346</v>
      </c>
      <c r="B351" s="11">
        <v>45957.4375</v>
      </c>
      <c r="C351" s="7">
        <v>682.65</v>
      </c>
      <c r="D351">
        <v>2593194</v>
      </c>
      <c r="E351">
        <v>2930429.5</v>
      </c>
    </row>
    <row r="352" spans="1:5">
      <c r="A352">
        <v>347</v>
      </c>
      <c r="B352" s="11">
        <v>45957.416666666664</v>
      </c>
      <c r="C352" s="7">
        <v>683.02</v>
      </c>
      <c r="D352">
        <v>4079001</v>
      </c>
      <c r="E352">
        <v>2985315</v>
      </c>
    </row>
    <row r="353" spans="1:5">
      <c r="A353">
        <v>348</v>
      </c>
      <c r="B353" s="11">
        <v>45957.395833333336</v>
      </c>
      <c r="C353" s="7">
        <v>683.14499999999998</v>
      </c>
      <c r="D353">
        <v>5765971</v>
      </c>
      <c r="E353">
        <v>3154935</v>
      </c>
    </row>
    <row r="354" spans="1:5">
      <c r="A354">
        <v>349</v>
      </c>
      <c r="B354" s="11">
        <v>45954.666666666664</v>
      </c>
      <c r="C354" s="7">
        <v>677.25</v>
      </c>
      <c r="D354">
        <v>0</v>
      </c>
      <c r="E354">
        <v>2770537</v>
      </c>
    </row>
    <row r="355" spans="1:5">
      <c r="A355">
        <v>350</v>
      </c>
      <c r="B355" s="11">
        <v>45954.645833333336</v>
      </c>
      <c r="C355" s="7">
        <v>677.26</v>
      </c>
      <c r="D355">
        <v>11619461</v>
      </c>
      <c r="E355">
        <v>3456202.25</v>
      </c>
    </row>
    <row r="356" spans="1:5">
      <c r="A356">
        <v>351</v>
      </c>
      <c r="B356" s="11">
        <v>45954.625</v>
      </c>
      <c r="C356" s="7">
        <v>678.22</v>
      </c>
      <c r="D356">
        <v>2374989</v>
      </c>
      <c r="E356">
        <v>2838633.25</v>
      </c>
    </row>
    <row r="357" spans="1:5">
      <c r="A357">
        <v>352</v>
      </c>
      <c r="B357" s="11">
        <v>45954.604166666664</v>
      </c>
      <c r="C357" s="7">
        <v>678.2</v>
      </c>
      <c r="D357">
        <v>1669400</v>
      </c>
      <c r="E357">
        <v>2781813.75</v>
      </c>
    </row>
    <row r="358" spans="1:5">
      <c r="A358">
        <v>353</v>
      </c>
      <c r="B358" s="11">
        <v>45954.583333333336</v>
      </c>
      <c r="C358" s="7">
        <v>678.15</v>
      </c>
      <c r="D358">
        <v>1271205</v>
      </c>
      <c r="E358">
        <v>2800809</v>
      </c>
    </row>
    <row r="359" spans="1:5">
      <c r="A359">
        <v>354</v>
      </c>
      <c r="B359" s="11">
        <v>45954.5625</v>
      </c>
      <c r="C359" s="7">
        <v>678.06</v>
      </c>
      <c r="D359">
        <v>1372238</v>
      </c>
      <c r="E359">
        <v>2885934.25</v>
      </c>
    </row>
    <row r="360" spans="1:5">
      <c r="A360">
        <v>355</v>
      </c>
      <c r="B360" s="11">
        <v>45954.541666666664</v>
      </c>
      <c r="C360" s="7">
        <v>678.04</v>
      </c>
      <c r="D360">
        <v>1039575</v>
      </c>
      <c r="E360">
        <v>2975300.25</v>
      </c>
    </row>
    <row r="361" spans="1:5">
      <c r="A361">
        <v>356</v>
      </c>
      <c r="B361" s="11">
        <v>45954.520833333336</v>
      </c>
      <c r="C361" s="7">
        <v>677.90800000000002</v>
      </c>
      <c r="D361">
        <v>1848955</v>
      </c>
      <c r="E361">
        <v>3035090</v>
      </c>
    </row>
    <row r="362" spans="1:5">
      <c r="A362">
        <v>357</v>
      </c>
      <c r="B362" s="11">
        <v>45954.5</v>
      </c>
      <c r="C362" s="7">
        <v>677.88</v>
      </c>
      <c r="D362">
        <v>1810182</v>
      </c>
      <c r="E362">
        <v>3037832.75</v>
      </c>
    </row>
    <row r="363" spans="1:5">
      <c r="A363">
        <v>358</v>
      </c>
      <c r="B363" s="11">
        <v>45954.479166666664</v>
      </c>
      <c r="C363" s="7">
        <v>677.96</v>
      </c>
      <c r="D363">
        <v>2499033</v>
      </c>
      <c r="E363">
        <v>3051611.75</v>
      </c>
    </row>
    <row r="364" spans="1:5">
      <c r="A364">
        <v>359</v>
      </c>
      <c r="B364" s="11">
        <v>45954.458333333336</v>
      </c>
      <c r="C364" s="7">
        <v>678.19</v>
      </c>
      <c r="D364">
        <v>3199351</v>
      </c>
      <c r="E364">
        <v>3015813.5</v>
      </c>
    </row>
    <row r="365" spans="1:5">
      <c r="A365">
        <v>360</v>
      </c>
      <c r="B365" s="11">
        <v>45954.4375</v>
      </c>
      <c r="C365" s="7">
        <v>676.68</v>
      </c>
      <c r="D365">
        <v>2813888</v>
      </c>
      <c r="E365">
        <v>2969970.25</v>
      </c>
    </row>
    <row r="366" spans="1:5">
      <c r="A366">
        <v>361</v>
      </c>
      <c r="B366" s="11">
        <v>45954.416666666664</v>
      </c>
      <c r="C366" s="7">
        <v>676.74</v>
      </c>
      <c r="D366">
        <v>3416477</v>
      </c>
      <c r="E366">
        <v>3045165.5</v>
      </c>
    </row>
    <row r="367" spans="1:5">
      <c r="A367">
        <v>362</v>
      </c>
      <c r="B367" s="11">
        <v>45954.395833333336</v>
      </c>
      <c r="C367" s="7">
        <v>677.47</v>
      </c>
      <c r="D367">
        <v>6623301</v>
      </c>
      <c r="E367">
        <v>3182983.75</v>
      </c>
    </row>
    <row r="368" spans="1:5">
      <c r="A368">
        <v>363</v>
      </c>
      <c r="B368" s="11">
        <v>45953.666666666664</v>
      </c>
      <c r="C368" s="7">
        <v>671.76</v>
      </c>
      <c r="D368">
        <v>0</v>
      </c>
      <c r="E368">
        <v>2741430.25</v>
      </c>
    </row>
    <row r="369" spans="1:5">
      <c r="A369">
        <v>364</v>
      </c>
      <c r="B369" s="11">
        <v>45953.645833333336</v>
      </c>
      <c r="C369" s="7">
        <v>671.66</v>
      </c>
      <c r="D369">
        <v>10284979</v>
      </c>
      <c r="E369">
        <v>3327479.25</v>
      </c>
    </row>
    <row r="370" spans="1:5">
      <c r="A370">
        <v>365</v>
      </c>
      <c r="B370" s="11">
        <v>45953.625</v>
      </c>
      <c r="C370" s="7">
        <v>672.43499999999995</v>
      </c>
      <c r="D370">
        <v>2355927</v>
      </c>
      <c r="E370">
        <v>2954806.75</v>
      </c>
    </row>
    <row r="371" spans="1:5">
      <c r="A371">
        <v>366</v>
      </c>
      <c r="B371" s="11">
        <v>45953.604166666664</v>
      </c>
      <c r="C371" s="7">
        <v>672.59</v>
      </c>
      <c r="D371">
        <v>1522696</v>
      </c>
      <c r="E371">
        <v>2962115.5</v>
      </c>
    </row>
    <row r="372" spans="1:5">
      <c r="A372">
        <v>367</v>
      </c>
      <c r="B372" s="11">
        <v>45953.583333333336</v>
      </c>
      <c r="C372" s="7">
        <v>672.48</v>
      </c>
      <c r="D372">
        <v>1954329</v>
      </c>
      <c r="E372">
        <v>3079529</v>
      </c>
    </row>
    <row r="373" spans="1:5">
      <c r="A373">
        <v>368</v>
      </c>
      <c r="B373" s="11">
        <v>45953.5625</v>
      </c>
      <c r="C373" s="7">
        <v>672.38699999999994</v>
      </c>
      <c r="D373">
        <v>2548084</v>
      </c>
      <c r="E373">
        <v>3203319.25</v>
      </c>
    </row>
    <row r="374" spans="1:5">
      <c r="A374">
        <v>369</v>
      </c>
      <c r="B374" s="11">
        <v>45953.541666666664</v>
      </c>
      <c r="C374" s="7">
        <v>670.99030000000005</v>
      </c>
      <c r="D374">
        <v>2712728</v>
      </c>
      <c r="E374">
        <v>3227101.25</v>
      </c>
    </row>
    <row r="375" spans="1:5">
      <c r="A375">
        <v>370</v>
      </c>
      <c r="B375" s="11">
        <v>45953.520833333336</v>
      </c>
      <c r="C375" s="7">
        <v>671.46</v>
      </c>
      <c r="D375">
        <v>1936419</v>
      </c>
      <c r="E375">
        <v>3610975.75</v>
      </c>
    </row>
    <row r="376" spans="1:5">
      <c r="A376">
        <v>371</v>
      </c>
      <c r="B376" s="11">
        <v>45953.5</v>
      </c>
      <c r="C376" s="7">
        <v>670.52</v>
      </c>
      <c r="D376">
        <v>1890097</v>
      </c>
      <c r="E376">
        <v>3620875.75</v>
      </c>
    </row>
    <row r="377" spans="1:5">
      <c r="A377">
        <v>372</v>
      </c>
      <c r="B377" s="11">
        <v>45953.479166666664</v>
      </c>
      <c r="C377" s="7">
        <v>670.24</v>
      </c>
      <c r="D377">
        <v>2016869</v>
      </c>
      <c r="E377">
        <v>3693906.5</v>
      </c>
    </row>
    <row r="378" spans="1:5">
      <c r="A378">
        <v>373</v>
      </c>
      <c r="B378" s="11">
        <v>45953.458333333336</v>
      </c>
      <c r="C378" s="7">
        <v>670.09</v>
      </c>
      <c r="D378">
        <v>1962058</v>
      </c>
      <c r="E378">
        <v>3803266.5</v>
      </c>
    </row>
    <row r="379" spans="1:5">
      <c r="A379">
        <v>374</v>
      </c>
      <c r="B379" s="11">
        <v>45953.4375</v>
      </c>
      <c r="C379" s="7">
        <v>670.22</v>
      </c>
      <c r="D379">
        <v>2511700</v>
      </c>
      <c r="E379">
        <v>4014990</v>
      </c>
    </row>
    <row r="380" spans="1:5">
      <c r="A380">
        <v>375</v>
      </c>
      <c r="B380" s="11">
        <v>45953.416666666664</v>
      </c>
      <c r="C380" s="7">
        <v>669.37</v>
      </c>
      <c r="D380">
        <v>3941819</v>
      </c>
      <c r="E380">
        <v>4055391.5</v>
      </c>
    </row>
    <row r="381" spans="1:5">
      <c r="A381">
        <v>376</v>
      </c>
      <c r="B381" s="11">
        <v>45953.395833333336</v>
      </c>
      <c r="C381" s="7">
        <v>670.11839999999995</v>
      </c>
      <c r="D381">
        <v>5483750</v>
      </c>
      <c r="E381">
        <v>4062464.75</v>
      </c>
    </row>
    <row r="382" spans="1:5">
      <c r="A382">
        <v>377</v>
      </c>
      <c r="B382" s="11">
        <v>45952.666666666664</v>
      </c>
      <c r="C382" s="7">
        <v>667.8</v>
      </c>
      <c r="D382">
        <v>0</v>
      </c>
      <c r="E382">
        <v>3696881.5</v>
      </c>
    </row>
    <row r="383" spans="1:5">
      <c r="A383">
        <v>378</v>
      </c>
      <c r="B383" s="11">
        <v>45952.645833333336</v>
      </c>
      <c r="C383" s="7">
        <v>667.86</v>
      </c>
      <c r="D383">
        <v>8790732</v>
      </c>
      <c r="E383">
        <v>4102776.5</v>
      </c>
    </row>
    <row r="384" spans="1:5">
      <c r="A384">
        <v>379</v>
      </c>
      <c r="B384" s="11">
        <v>45952.625</v>
      </c>
      <c r="C384" s="7">
        <v>667.46</v>
      </c>
      <c r="D384">
        <v>4694892</v>
      </c>
      <c r="E384">
        <v>3653755.25</v>
      </c>
    </row>
    <row r="385" spans="1:5">
      <c r="A385">
        <v>380</v>
      </c>
      <c r="B385" s="11">
        <v>45952.604166666664</v>
      </c>
      <c r="C385" s="7">
        <v>666.49</v>
      </c>
      <c r="D385">
        <v>2465559</v>
      </c>
      <c r="E385">
        <v>3437523.75</v>
      </c>
    </row>
    <row r="386" spans="1:5">
      <c r="A386">
        <v>381</v>
      </c>
      <c r="B386" s="11">
        <v>45952.583333333336</v>
      </c>
      <c r="C386" s="7">
        <v>665.64</v>
      </c>
      <c r="D386">
        <v>3283899</v>
      </c>
      <c r="E386">
        <v>3398703.25</v>
      </c>
    </row>
    <row r="387" spans="1:5">
      <c r="A387">
        <v>382</v>
      </c>
      <c r="B387" s="11">
        <v>45952.5625</v>
      </c>
      <c r="C387" s="7">
        <v>664.78</v>
      </c>
      <c r="D387">
        <v>3811183</v>
      </c>
      <c r="E387">
        <v>3276796.5</v>
      </c>
    </row>
    <row r="388" spans="1:5">
      <c r="A388">
        <v>383</v>
      </c>
      <c r="B388" s="11">
        <v>45952.541666666664</v>
      </c>
      <c r="C388" s="7">
        <v>665.31010000000003</v>
      </c>
      <c r="D388">
        <v>2904815</v>
      </c>
      <c r="E388">
        <v>3210698.5</v>
      </c>
    </row>
    <row r="389" spans="1:5">
      <c r="A389">
        <v>384</v>
      </c>
      <c r="B389" s="11">
        <v>45952.520833333336</v>
      </c>
      <c r="C389" s="7">
        <v>667.19</v>
      </c>
      <c r="D389">
        <v>8470844</v>
      </c>
      <c r="E389">
        <v>3234599.25</v>
      </c>
    </row>
    <row r="390" spans="1:5">
      <c r="A390">
        <v>385</v>
      </c>
      <c r="B390" s="11">
        <v>45952.5</v>
      </c>
      <c r="C390" s="7">
        <v>667.63</v>
      </c>
      <c r="D390">
        <v>2084920</v>
      </c>
      <c r="E390">
        <v>2796112</v>
      </c>
    </row>
    <row r="391" spans="1:5">
      <c r="A391">
        <v>386</v>
      </c>
      <c r="B391" s="11">
        <v>45952.479166666664</v>
      </c>
      <c r="C391" s="7">
        <v>669.00800000000004</v>
      </c>
      <c r="D391">
        <v>2985556</v>
      </c>
      <c r="E391">
        <v>2796491.5</v>
      </c>
    </row>
    <row r="392" spans="1:5">
      <c r="A392">
        <v>387</v>
      </c>
      <c r="B392" s="11">
        <v>45952.458333333336</v>
      </c>
      <c r="C392" s="7">
        <v>667.89</v>
      </c>
      <c r="D392">
        <v>3657272</v>
      </c>
      <c r="E392">
        <v>2787087.75</v>
      </c>
    </row>
    <row r="393" spans="1:5">
      <c r="A393">
        <v>388</v>
      </c>
      <c r="B393" s="11">
        <v>45952.4375</v>
      </c>
      <c r="C393" s="7">
        <v>670.08</v>
      </c>
      <c r="D393">
        <v>5137910</v>
      </c>
      <c r="E393">
        <v>2748109.25</v>
      </c>
    </row>
    <row r="394" spans="1:5">
      <c r="A394">
        <v>389</v>
      </c>
      <c r="B394" s="11">
        <v>45952.416666666664</v>
      </c>
      <c r="C394" s="7">
        <v>669.33749999999998</v>
      </c>
      <c r="D394">
        <v>3117723</v>
      </c>
      <c r="E394">
        <v>2651216.5</v>
      </c>
    </row>
    <row r="395" spans="1:5">
      <c r="A395">
        <v>390</v>
      </c>
      <c r="B395" s="11">
        <v>45952.395833333336</v>
      </c>
      <c r="C395" s="7">
        <v>671.21500000000003</v>
      </c>
      <c r="D395">
        <v>4047917</v>
      </c>
      <c r="E395">
        <v>2757069.5</v>
      </c>
    </row>
    <row r="396" spans="1:5">
      <c r="A396">
        <v>391</v>
      </c>
      <c r="B396" s="11">
        <v>45951.666666666664</v>
      </c>
      <c r="C396" s="7">
        <v>671.29</v>
      </c>
      <c r="D396">
        <v>0</v>
      </c>
      <c r="E396">
        <v>2487208.5</v>
      </c>
    </row>
    <row r="397" spans="1:5">
      <c r="A397">
        <v>392</v>
      </c>
      <c r="B397" s="11">
        <v>45951.645833333336</v>
      </c>
      <c r="C397" s="7">
        <v>671.29</v>
      </c>
      <c r="D397">
        <v>6088426</v>
      </c>
      <c r="E397">
        <v>3032140.75</v>
      </c>
    </row>
    <row r="398" spans="1:5">
      <c r="A398">
        <v>393</v>
      </c>
      <c r="B398" s="11">
        <v>45951.625</v>
      </c>
      <c r="C398" s="7">
        <v>671.88499999999999</v>
      </c>
      <c r="D398">
        <v>2055411</v>
      </c>
      <c r="E398">
        <v>2773253.25</v>
      </c>
    </row>
    <row r="399" spans="1:5">
      <c r="A399">
        <v>394</v>
      </c>
      <c r="B399" s="11">
        <v>45951.604166666664</v>
      </c>
      <c r="C399" s="7">
        <v>671.93</v>
      </c>
      <c r="D399">
        <v>1451423</v>
      </c>
      <c r="E399">
        <v>2772069.25</v>
      </c>
    </row>
    <row r="400" spans="1:5">
      <c r="A400">
        <v>395</v>
      </c>
      <c r="B400" s="11">
        <v>45951.583333333336</v>
      </c>
      <c r="C400" s="7">
        <v>672.28579999999999</v>
      </c>
      <c r="D400">
        <v>1883249</v>
      </c>
      <c r="E400">
        <v>2780535</v>
      </c>
    </row>
    <row r="401" spans="1:5">
      <c r="A401">
        <v>396</v>
      </c>
      <c r="B401" s="11">
        <v>45951.5625</v>
      </c>
      <c r="C401" s="7">
        <v>672.2</v>
      </c>
      <c r="D401">
        <v>1455300</v>
      </c>
      <c r="E401">
        <v>2737431.25</v>
      </c>
    </row>
    <row r="402" spans="1:5">
      <c r="A402">
        <v>397</v>
      </c>
      <c r="B402" s="11">
        <v>45951.541666666664</v>
      </c>
      <c r="C402" s="7">
        <v>671.6</v>
      </c>
      <c r="D402">
        <v>2819711</v>
      </c>
      <c r="E402">
        <v>2769961.5</v>
      </c>
    </row>
    <row r="403" spans="1:5">
      <c r="A403">
        <v>398</v>
      </c>
      <c r="B403" s="11">
        <v>45951.520833333336</v>
      </c>
      <c r="C403" s="7">
        <v>671.42</v>
      </c>
      <c r="D403">
        <v>3263327</v>
      </c>
      <c r="E403">
        <v>2671942</v>
      </c>
    </row>
    <row r="404" spans="1:5">
      <c r="A404">
        <v>399</v>
      </c>
      <c r="B404" s="11">
        <v>45951.5</v>
      </c>
      <c r="C404" s="7">
        <v>672.65</v>
      </c>
      <c r="D404">
        <v>1893536</v>
      </c>
      <c r="E404">
        <v>2558275.75</v>
      </c>
    </row>
    <row r="405" spans="1:5">
      <c r="A405">
        <v>400</v>
      </c>
      <c r="B405" s="11">
        <v>45951.479166666664</v>
      </c>
      <c r="C405" s="7">
        <v>672.21799999999996</v>
      </c>
      <c r="D405">
        <v>2090613</v>
      </c>
      <c r="E405">
        <v>2593863.75</v>
      </c>
    </row>
    <row r="406" spans="1:5">
      <c r="A406">
        <v>401</v>
      </c>
      <c r="B406" s="11">
        <v>45951.458333333336</v>
      </c>
      <c r="C406" s="7">
        <v>671.95</v>
      </c>
      <c r="D406">
        <v>2844499</v>
      </c>
      <c r="E406">
        <v>2598583.25</v>
      </c>
    </row>
    <row r="407" spans="1:5">
      <c r="A407">
        <v>402</v>
      </c>
      <c r="B407" s="11">
        <v>45951.4375</v>
      </c>
      <c r="C407" s="7">
        <v>672.60500000000002</v>
      </c>
      <c r="D407">
        <v>3072595</v>
      </c>
      <c r="E407">
        <v>2606492.75</v>
      </c>
    </row>
    <row r="408" spans="1:5">
      <c r="A408">
        <v>403</v>
      </c>
      <c r="B408" s="11">
        <v>45951.416666666664</v>
      </c>
      <c r="C408" s="7">
        <v>670.59</v>
      </c>
      <c r="D408">
        <v>3684516</v>
      </c>
      <c r="E408">
        <v>2640032.5</v>
      </c>
    </row>
    <row r="409" spans="1:5">
      <c r="A409">
        <v>404</v>
      </c>
      <c r="B409" s="11">
        <v>45951.395833333336</v>
      </c>
      <c r="C409" s="7">
        <v>670.58</v>
      </c>
      <c r="D409">
        <v>4705520</v>
      </c>
      <c r="E409">
        <v>2775299.5</v>
      </c>
    </row>
    <row r="410" spans="1:5">
      <c r="A410">
        <v>405</v>
      </c>
      <c r="B410" s="11">
        <v>45950.666666666664</v>
      </c>
      <c r="C410" s="7">
        <v>671.3</v>
      </c>
      <c r="D410">
        <v>0</v>
      </c>
      <c r="E410">
        <v>2461598</v>
      </c>
    </row>
    <row r="411" spans="1:5">
      <c r="A411">
        <v>406</v>
      </c>
      <c r="B411" s="11">
        <v>45950.645833333336</v>
      </c>
      <c r="C411" s="7">
        <v>671.3</v>
      </c>
      <c r="D411">
        <v>8173985</v>
      </c>
      <c r="E411">
        <v>3024341.5</v>
      </c>
    </row>
    <row r="412" spans="1:5">
      <c r="A412">
        <v>407</v>
      </c>
      <c r="B412" s="11">
        <v>45950.625</v>
      </c>
      <c r="C412" s="7">
        <v>671.72</v>
      </c>
      <c r="D412">
        <v>2205112</v>
      </c>
      <c r="E412">
        <v>2683561.25</v>
      </c>
    </row>
    <row r="413" spans="1:5">
      <c r="A413">
        <v>408</v>
      </c>
      <c r="B413" s="11">
        <v>45950.604166666664</v>
      </c>
      <c r="C413" s="7">
        <v>671.65</v>
      </c>
      <c r="D413">
        <v>2037653</v>
      </c>
      <c r="E413">
        <v>2699215.75</v>
      </c>
    </row>
    <row r="414" spans="1:5">
      <c r="A414">
        <v>409</v>
      </c>
      <c r="B414" s="11">
        <v>45950.583333333336</v>
      </c>
      <c r="C414" s="7">
        <v>671.88</v>
      </c>
      <c r="D414">
        <v>1578409</v>
      </c>
      <c r="E414">
        <v>2781984.5</v>
      </c>
    </row>
    <row r="415" spans="1:5">
      <c r="A415">
        <v>410</v>
      </c>
      <c r="B415" s="11">
        <v>45950.5625</v>
      </c>
      <c r="C415" s="7">
        <v>671.77</v>
      </c>
      <c r="D415">
        <v>1236692</v>
      </c>
      <c r="E415">
        <v>2848436.75</v>
      </c>
    </row>
    <row r="416" spans="1:5">
      <c r="A416">
        <v>411</v>
      </c>
      <c r="B416" s="11">
        <v>45950.541666666664</v>
      </c>
      <c r="C416" s="7">
        <v>671.61950000000002</v>
      </c>
      <c r="D416">
        <v>1943256</v>
      </c>
      <c r="E416">
        <v>2904888.5</v>
      </c>
    </row>
    <row r="417" spans="1:5">
      <c r="A417">
        <v>412</v>
      </c>
      <c r="B417" s="11">
        <v>45950.520833333336</v>
      </c>
      <c r="C417" s="7">
        <v>671.02</v>
      </c>
      <c r="D417">
        <v>1349418</v>
      </c>
      <c r="E417">
        <v>2955309.5</v>
      </c>
    </row>
    <row r="418" spans="1:5">
      <c r="A418">
        <v>413</v>
      </c>
      <c r="B418" s="11">
        <v>45950.5</v>
      </c>
      <c r="C418" s="7">
        <v>670.83</v>
      </c>
      <c r="D418">
        <v>1558334</v>
      </c>
      <c r="E418">
        <v>3036620.25</v>
      </c>
    </row>
    <row r="419" spans="1:5">
      <c r="A419">
        <v>414</v>
      </c>
      <c r="B419" s="11">
        <v>45950.479166666664</v>
      </c>
      <c r="C419" s="7">
        <v>670.64</v>
      </c>
      <c r="D419">
        <v>2427353</v>
      </c>
      <c r="E419">
        <v>3179133.5</v>
      </c>
    </row>
    <row r="420" spans="1:5">
      <c r="A420">
        <v>415</v>
      </c>
      <c r="B420" s="11">
        <v>45950.458333333336</v>
      </c>
      <c r="C420" s="7">
        <v>670.97</v>
      </c>
      <c r="D420">
        <v>2161407</v>
      </c>
      <c r="E420">
        <v>3265521.75</v>
      </c>
    </row>
    <row r="421" spans="1:5">
      <c r="A421">
        <v>416</v>
      </c>
      <c r="B421" s="11">
        <v>45950.4375</v>
      </c>
      <c r="C421" s="7">
        <v>671.22</v>
      </c>
      <c r="D421">
        <v>2963140</v>
      </c>
      <c r="E421">
        <v>3374737</v>
      </c>
    </row>
    <row r="422" spans="1:5">
      <c r="A422">
        <v>417</v>
      </c>
      <c r="B422" s="11">
        <v>45950.416666666664</v>
      </c>
      <c r="C422" s="7">
        <v>670.3</v>
      </c>
      <c r="D422">
        <v>3575692</v>
      </c>
      <c r="E422">
        <v>3512680</v>
      </c>
    </row>
    <row r="423" spans="1:5">
      <c r="A423">
        <v>418</v>
      </c>
      <c r="B423" s="11">
        <v>45950.395833333336</v>
      </c>
      <c r="C423" s="7">
        <v>668.76</v>
      </c>
      <c r="D423">
        <v>5713520</v>
      </c>
      <c r="E423">
        <v>3962161.5</v>
      </c>
    </row>
    <row r="424" spans="1:5">
      <c r="A424">
        <v>419</v>
      </c>
      <c r="B424" s="11">
        <v>45947.666666666664</v>
      </c>
      <c r="C424" s="7">
        <v>664.39</v>
      </c>
      <c r="D424">
        <v>0</v>
      </c>
      <c r="E424">
        <v>3581260.25</v>
      </c>
    </row>
    <row r="425" spans="1:5">
      <c r="A425">
        <v>420</v>
      </c>
      <c r="B425" s="11">
        <v>45947.645833333336</v>
      </c>
      <c r="C425" s="7">
        <v>664.39</v>
      </c>
      <c r="D425">
        <v>8441151</v>
      </c>
      <c r="E425">
        <v>4379587</v>
      </c>
    </row>
    <row r="426" spans="1:5">
      <c r="A426">
        <v>421</v>
      </c>
      <c r="B426" s="11">
        <v>45947.625</v>
      </c>
      <c r="C426" s="7">
        <v>665.11500000000001</v>
      </c>
      <c r="D426">
        <v>3062281</v>
      </c>
      <c r="E426">
        <v>4115747.5</v>
      </c>
    </row>
    <row r="427" spans="1:5">
      <c r="A427">
        <v>422</v>
      </c>
      <c r="B427" s="11">
        <v>45947.604166666664</v>
      </c>
      <c r="C427" s="7">
        <v>664.37</v>
      </c>
      <c r="D427">
        <v>2439929</v>
      </c>
      <c r="E427">
        <v>4238640.5</v>
      </c>
    </row>
    <row r="428" spans="1:5">
      <c r="A428">
        <v>423</v>
      </c>
      <c r="B428" s="11">
        <v>45947.583333333336</v>
      </c>
      <c r="C428" s="7">
        <v>664.65</v>
      </c>
      <c r="D428">
        <v>3279184</v>
      </c>
      <c r="E428">
        <v>4497491.5</v>
      </c>
    </row>
    <row r="429" spans="1:5">
      <c r="A429">
        <v>424</v>
      </c>
      <c r="B429" s="11">
        <v>45947.5625</v>
      </c>
      <c r="C429" s="7">
        <v>662.87</v>
      </c>
      <c r="D429">
        <v>2575193</v>
      </c>
      <c r="E429">
        <v>4505183.5</v>
      </c>
    </row>
    <row r="430" spans="1:5">
      <c r="A430">
        <v>425</v>
      </c>
      <c r="B430" s="11">
        <v>45947.541666666664</v>
      </c>
      <c r="C430" s="7">
        <v>661.19</v>
      </c>
      <c r="D430">
        <v>2083470</v>
      </c>
      <c r="E430">
        <v>4675967</v>
      </c>
    </row>
    <row r="431" spans="1:5">
      <c r="A431">
        <v>426</v>
      </c>
      <c r="B431" s="11">
        <v>45947.520833333336</v>
      </c>
      <c r="C431" s="7">
        <v>662</v>
      </c>
      <c r="D431">
        <v>2699570</v>
      </c>
      <c r="E431">
        <v>5062509.5</v>
      </c>
    </row>
    <row r="432" spans="1:5">
      <c r="A432">
        <v>427</v>
      </c>
      <c r="B432" s="11">
        <v>45947.5</v>
      </c>
      <c r="C432" s="7">
        <v>663.12</v>
      </c>
      <c r="D432">
        <v>2569079</v>
      </c>
      <c r="E432">
        <v>5154912.5</v>
      </c>
    </row>
    <row r="433" spans="1:5">
      <c r="A433">
        <v>428</v>
      </c>
      <c r="B433" s="11">
        <v>45947.479166666664</v>
      </c>
      <c r="C433" s="7">
        <v>661.73</v>
      </c>
      <c r="D433">
        <v>3696034</v>
      </c>
      <c r="E433">
        <v>5317351</v>
      </c>
    </row>
    <row r="434" spans="1:5">
      <c r="A434">
        <v>429</v>
      </c>
      <c r="B434" s="11">
        <v>45947.458333333336</v>
      </c>
      <c r="C434" s="7">
        <v>659.41</v>
      </c>
      <c r="D434">
        <v>3723178</v>
      </c>
      <c r="E434">
        <v>5287680.5</v>
      </c>
    </row>
    <row r="435" spans="1:5">
      <c r="A435">
        <v>430</v>
      </c>
      <c r="B435" s="11">
        <v>45947.4375</v>
      </c>
      <c r="C435" s="7">
        <v>659.57</v>
      </c>
      <c r="D435">
        <v>3799633</v>
      </c>
      <c r="E435">
        <v>5295507.5</v>
      </c>
    </row>
    <row r="436" spans="1:5">
      <c r="A436">
        <v>431</v>
      </c>
      <c r="B436" s="11">
        <v>45947.416666666664</v>
      </c>
      <c r="C436" s="7">
        <v>662.4</v>
      </c>
      <c r="D436">
        <v>5032286</v>
      </c>
      <c r="E436">
        <v>5378434.5</v>
      </c>
    </row>
    <row r="437" spans="1:5">
      <c r="A437">
        <v>432</v>
      </c>
      <c r="B437" s="11">
        <v>45947.395833333336</v>
      </c>
      <c r="C437" s="7">
        <v>660.65</v>
      </c>
      <c r="D437">
        <v>10317915</v>
      </c>
      <c r="E437">
        <v>5455520</v>
      </c>
    </row>
    <row r="438" spans="1:5">
      <c r="A438">
        <v>433</v>
      </c>
      <c r="B438" s="11">
        <v>45946.666666666664</v>
      </c>
      <c r="C438" s="7">
        <v>660.64</v>
      </c>
      <c r="D438">
        <v>0</v>
      </c>
      <c r="E438">
        <v>4767659</v>
      </c>
    </row>
    <row r="439" spans="1:5">
      <c r="A439">
        <v>434</v>
      </c>
      <c r="B439" s="11">
        <v>45946.645833333336</v>
      </c>
      <c r="C439" s="7">
        <v>660.68</v>
      </c>
      <c r="D439">
        <v>11974899</v>
      </c>
      <c r="E439">
        <v>5506357.5</v>
      </c>
    </row>
    <row r="440" spans="1:5">
      <c r="A440">
        <v>435</v>
      </c>
      <c r="B440" s="11">
        <v>45946.625</v>
      </c>
      <c r="C440" s="7">
        <v>659.01</v>
      </c>
      <c r="D440">
        <v>4483562</v>
      </c>
      <c r="E440">
        <v>4874338.5</v>
      </c>
    </row>
    <row r="441" spans="1:5">
      <c r="A441">
        <v>436</v>
      </c>
      <c r="B441" s="11">
        <v>45946.604166666664</v>
      </c>
      <c r="C441" s="7">
        <v>660.58</v>
      </c>
      <c r="D441">
        <v>4905675</v>
      </c>
      <c r="E441">
        <v>4706487</v>
      </c>
    </row>
    <row r="442" spans="1:5">
      <c r="A442">
        <v>437</v>
      </c>
      <c r="B442" s="11">
        <v>45946.583333333336</v>
      </c>
      <c r="C442" s="7">
        <v>658.35</v>
      </c>
      <c r="D442">
        <v>6322698</v>
      </c>
      <c r="E442">
        <v>4526279</v>
      </c>
    </row>
    <row r="443" spans="1:5">
      <c r="A443">
        <v>438</v>
      </c>
      <c r="B443" s="11">
        <v>45946.5625</v>
      </c>
      <c r="C443" s="7">
        <v>661.81</v>
      </c>
      <c r="D443">
        <v>3394562</v>
      </c>
      <c r="E443">
        <v>4302938</v>
      </c>
    </row>
    <row r="444" spans="1:5">
      <c r="A444">
        <v>439</v>
      </c>
      <c r="B444" s="11">
        <v>45946.541666666664</v>
      </c>
      <c r="C444" s="7">
        <v>663.47</v>
      </c>
      <c r="D444">
        <v>5136943</v>
      </c>
      <c r="E444">
        <v>4564453</v>
      </c>
    </row>
    <row r="445" spans="1:5">
      <c r="A445">
        <v>440</v>
      </c>
      <c r="B445" s="11">
        <v>45946.520833333336</v>
      </c>
      <c r="C445" s="7">
        <v>663.28</v>
      </c>
      <c r="D445">
        <v>7881612</v>
      </c>
      <c r="E445">
        <v>4340320</v>
      </c>
    </row>
    <row r="446" spans="1:5">
      <c r="A446">
        <v>441</v>
      </c>
      <c r="B446" s="11">
        <v>45946.5</v>
      </c>
      <c r="C446" s="7">
        <v>662.46</v>
      </c>
      <c r="D446">
        <v>4085611</v>
      </c>
      <c r="E446">
        <v>4000403</v>
      </c>
    </row>
    <row r="447" spans="1:5">
      <c r="A447">
        <v>442</v>
      </c>
      <c r="B447" s="11">
        <v>45946.479166666664</v>
      </c>
      <c r="C447" s="7">
        <v>664.44</v>
      </c>
      <c r="D447">
        <v>5005656</v>
      </c>
      <c r="E447">
        <v>4020871.5</v>
      </c>
    </row>
    <row r="448" spans="1:5">
      <c r="A448">
        <v>443</v>
      </c>
      <c r="B448" s="11">
        <v>45946.458333333336</v>
      </c>
      <c r="C448" s="7">
        <v>665.75</v>
      </c>
      <c r="D448">
        <v>3250979</v>
      </c>
      <c r="E448">
        <v>3823802.75</v>
      </c>
    </row>
    <row r="449" spans="1:5">
      <c r="A449">
        <v>444</v>
      </c>
      <c r="B449" s="11">
        <v>45946.4375</v>
      </c>
      <c r="C449" s="7">
        <v>667.11</v>
      </c>
      <c r="D449">
        <v>3840578</v>
      </c>
      <c r="E449">
        <v>3744991</v>
      </c>
    </row>
    <row r="450" spans="1:5">
      <c r="A450">
        <v>445</v>
      </c>
      <c r="B450" s="11">
        <v>45946.416666666664</v>
      </c>
      <c r="C450" s="7">
        <v>666.93989999999997</v>
      </c>
      <c r="D450">
        <v>5043538</v>
      </c>
      <c r="E450">
        <v>3734047.75</v>
      </c>
    </row>
    <row r="451" spans="1:5">
      <c r="A451">
        <v>446</v>
      </c>
      <c r="B451" s="11">
        <v>45946.395833333336</v>
      </c>
      <c r="C451" s="7">
        <v>666.66499999999996</v>
      </c>
      <c r="D451">
        <v>6188574</v>
      </c>
      <c r="E451">
        <v>3927009.5</v>
      </c>
    </row>
    <row r="452" spans="1:5">
      <c r="A452">
        <v>447</v>
      </c>
      <c r="B452" s="11">
        <v>45945.666666666664</v>
      </c>
      <c r="C452" s="7">
        <v>665.17</v>
      </c>
      <c r="D452">
        <v>0</v>
      </c>
      <c r="E452">
        <v>3514438</v>
      </c>
    </row>
    <row r="453" spans="1:5">
      <c r="A453">
        <v>448</v>
      </c>
      <c r="B453" s="11">
        <v>45945.645833333336</v>
      </c>
      <c r="C453" s="7">
        <v>665.17</v>
      </c>
      <c r="D453">
        <v>11080478</v>
      </c>
      <c r="E453">
        <v>4576544</v>
      </c>
    </row>
    <row r="454" spans="1:5">
      <c r="A454">
        <v>449</v>
      </c>
      <c r="B454" s="11">
        <v>45945.625</v>
      </c>
      <c r="C454" s="7">
        <v>665.37</v>
      </c>
      <c r="D454">
        <v>2494614</v>
      </c>
      <c r="E454">
        <v>4000435</v>
      </c>
    </row>
    <row r="455" spans="1:5">
      <c r="A455">
        <v>450</v>
      </c>
      <c r="B455" s="11">
        <v>45945.604166666664</v>
      </c>
      <c r="C455" s="7">
        <v>665.7</v>
      </c>
      <c r="D455">
        <v>1965786</v>
      </c>
      <c r="E455">
        <v>3955467.5</v>
      </c>
    </row>
    <row r="456" spans="1:5">
      <c r="A456">
        <v>451</v>
      </c>
      <c r="B456" s="11">
        <v>45945.583333333336</v>
      </c>
      <c r="C456" s="7">
        <v>664.26130000000001</v>
      </c>
      <c r="D456">
        <v>2202558</v>
      </c>
      <c r="E456">
        <v>3972446.25</v>
      </c>
    </row>
    <row r="457" spans="1:5">
      <c r="A457">
        <v>452</v>
      </c>
      <c r="B457" s="11">
        <v>45945.5625</v>
      </c>
      <c r="C457" s="7">
        <v>664.23</v>
      </c>
      <c r="D457">
        <v>2972579</v>
      </c>
      <c r="E457">
        <v>3966547.25</v>
      </c>
    </row>
    <row r="458" spans="1:5">
      <c r="A458">
        <v>453</v>
      </c>
      <c r="B458" s="11">
        <v>45945.541666666664</v>
      </c>
      <c r="C458" s="7">
        <v>660.78</v>
      </c>
      <c r="D458">
        <v>7317288</v>
      </c>
      <c r="E458">
        <v>3919136.5</v>
      </c>
    </row>
    <row r="459" spans="1:5">
      <c r="A459">
        <v>454</v>
      </c>
      <c r="B459" s="11">
        <v>45945.520833333336</v>
      </c>
      <c r="C459" s="7">
        <v>664.1</v>
      </c>
      <c r="D459">
        <v>1774952</v>
      </c>
      <c r="E459">
        <v>3660273.25</v>
      </c>
    </row>
    <row r="460" spans="1:5">
      <c r="A460">
        <v>455</v>
      </c>
      <c r="B460" s="11">
        <v>45945.5</v>
      </c>
      <c r="C460" s="7">
        <v>665.58</v>
      </c>
      <c r="D460">
        <v>2782855</v>
      </c>
      <c r="E460">
        <v>3755743.25</v>
      </c>
    </row>
    <row r="461" spans="1:5">
      <c r="A461">
        <v>456</v>
      </c>
      <c r="B461" s="11">
        <v>45945.479166666664</v>
      </c>
      <c r="C461" s="7">
        <v>665.26</v>
      </c>
      <c r="D461">
        <v>4392639</v>
      </c>
      <c r="E461">
        <v>3843278.5</v>
      </c>
    </row>
    <row r="462" spans="1:5">
      <c r="A462">
        <v>457</v>
      </c>
      <c r="B462" s="11">
        <v>45945.458333333336</v>
      </c>
      <c r="C462" s="7">
        <v>667.64120000000003</v>
      </c>
      <c r="D462">
        <v>2049624</v>
      </c>
      <c r="E462">
        <v>3719269.75</v>
      </c>
    </row>
    <row r="463" spans="1:5">
      <c r="A463">
        <v>458</v>
      </c>
      <c r="B463" s="11">
        <v>45945.4375</v>
      </c>
      <c r="C463" s="7">
        <v>669.02</v>
      </c>
      <c r="D463">
        <v>2068803</v>
      </c>
      <c r="E463">
        <v>3803988</v>
      </c>
    </row>
    <row r="464" spans="1:5">
      <c r="A464">
        <v>459</v>
      </c>
      <c r="B464" s="11">
        <v>45945.416666666664</v>
      </c>
      <c r="C464" s="7">
        <v>669.68</v>
      </c>
      <c r="D464">
        <v>3676429</v>
      </c>
      <c r="E464">
        <v>4066216</v>
      </c>
    </row>
    <row r="465" spans="1:5">
      <c r="A465">
        <v>460</v>
      </c>
      <c r="B465" s="11">
        <v>45945.395833333336</v>
      </c>
      <c r="C465" s="7">
        <v>668.41049999999996</v>
      </c>
      <c r="D465">
        <v>7937964</v>
      </c>
      <c r="E465">
        <v>4475015</v>
      </c>
    </row>
    <row r="466" spans="1:5">
      <c r="A466">
        <v>461</v>
      </c>
      <c r="B466" s="11">
        <v>45944.666666666664</v>
      </c>
      <c r="C466" s="7">
        <v>662.23</v>
      </c>
      <c r="D466">
        <v>0</v>
      </c>
      <c r="E466">
        <v>3945817.25</v>
      </c>
    </row>
    <row r="467" spans="1:5">
      <c r="A467">
        <v>462</v>
      </c>
      <c r="B467" s="11">
        <v>45944.645833333336</v>
      </c>
      <c r="C467" s="7">
        <v>662.16</v>
      </c>
      <c r="D467">
        <v>15931589</v>
      </c>
      <c r="E467">
        <v>4532726</v>
      </c>
    </row>
    <row r="468" spans="1:5">
      <c r="A468">
        <v>463</v>
      </c>
      <c r="B468" s="11">
        <v>45944.625</v>
      </c>
      <c r="C468" s="7">
        <v>664.75</v>
      </c>
      <c r="D468">
        <v>2438846</v>
      </c>
      <c r="E468">
        <v>3706928.75</v>
      </c>
    </row>
    <row r="469" spans="1:5">
      <c r="A469">
        <v>464</v>
      </c>
      <c r="B469" s="11">
        <v>45944.604166666664</v>
      </c>
      <c r="C469" s="7">
        <v>664.95</v>
      </c>
      <c r="D469">
        <v>1820099</v>
      </c>
      <c r="E469">
        <v>3763972.5</v>
      </c>
    </row>
    <row r="470" spans="1:5">
      <c r="A470">
        <v>465</v>
      </c>
      <c r="B470" s="11">
        <v>45944.583333333336</v>
      </c>
      <c r="C470" s="7">
        <v>665.14</v>
      </c>
      <c r="D470">
        <v>2220470</v>
      </c>
      <c r="E470">
        <v>3780640</v>
      </c>
    </row>
    <row r="471" spans="1:5">
      <c r="A471">
        <v>466</v>
      </c>
      <c r="B471" s="11">
        <v>45944.5625</v>
      </c>
      <c r="C471" s="7">
        <v>665.20929999999998</v>
      </c>
      <c r="D471">
        <v>2114072</v>
      </c>
      <c r="E471">
        <v>3746078.25</v>
      </c>
    </row>
    <row r="472" spans="1:5">
      <c r="A472">
        <v>467</v>
      </c>
      <c r="B472" s="11">
        <v>45944.541666666664</v>
      </c>
      <c r="C472" s="7">
        <v>665.33</v>
      </c>
      <c r="D472">
        <v>2261416</v>
      </c>
      <c r="E472">
        <v>3743091.25</v>
      </c>
    </row>
    <row r="473" spans="1:5">
      <c r="A473">
        <v>468</v>
      </c>
      <c r="B473" s="11">
        <v>45944.520833333336</v>
      </c>
      <c r="C473" s="7">
        <v>664.35500000000002</v>
      </c>
      <c r="D473">
        <v>3434340</v>
      </c>
      <c r="E473">
        <v>3728954.25</v>
      </c>
    </row>
    <row r="474" spans="1:5">
      <c r="A474">
        <v>469</v>
      </c>
      <c r="B474" s="11">
        <v>45944.5</v>
      </c>
      <c r="C474" s="7">
        <v>663.67</v>
      </c>
      <c r="D474">
        <v>3207004</v>
      </c>
      <c r="E474">
        <v>3743905</v>
      </c>
    </row>
    <row r="475" spans="1:5">
      <c r="A475">
        <v>470</v>
      </c>
      <c r="B475" s="11">
        <v>45944.479166666664</v>
      </c>
      <c r="C475" s="7">
        <v>662.46</v>
      </c>
      <c r="D475">
        <v>4095883</v>
      </c>
      <c r="E475">
        <v>3702839.75</v>
      </c>
    </row>
    <row r="476" spans="1:5">
      <c r="A476">
        <v>471</v>
      </c>
      <c r="B476" s="11">
        <v>45944.458333333336</v>
      </c>
      <c r="C476" s="7">
        <v>659.68</v>
      </c>
      <c r="D476">
        <v>2532506</v>
      </c>
      <c r="E476">
        <v>3666853</v>
      </c>
    </row>
    <row r="477" spans="1:5">
      <c r="A477">
        <v>472</v>
      </c>
      <c r="B477" s="11">
        <v>45944.4375</v>
      </c>
      <c r="C477" s="7">
        <v>659.85</v>
      </c>
      <c r="D477">
        <v>3320399</v>
      </c>
      <c r="E477">
        <v>3751215.75</v>
      </c>
    </row>
    <row r="478" spans="1:5">
      <c r="A478">
        <v>473</v>
      </c>
      <c r="B478" s="11">
        <v>45944.416666666664</v>
      </c>
      <c r="C478" s="7">
        <v>659.77</v>
      </c>
      <c r="D478">
        <v>6002223</v>
      </c>
      <c r="E478">
        <v>3946859.75</v>
      </c>
    </row>
    <row r="479" spans="1:5">
      <c r="A479">
        <v>474</v>
      </c>
      <c r="B479" s="11">
        <v>45944.395833333336</v>
      </c>
      <c r="C479" s="7">
        <v>656.8</v>
      </c>
      <c r="D479">
        <v>9808411</v>
      </c>
      <c r="E479">
        <v>4277666.5</v>
      </c>
    </row>
    <row r="480" spans="1:5">
      <c r="A480">
        <v>475</v>
      </c>
      <c r="B480" s="11">
        <v>45943.666666666664</v>
      </c>
      <c r="C480" s="7">
        <v>663.04</v>
      </c>
      <c r="D480">
        <v>0</v>
      </c>
      <c r="E480">
        <v>3623772.5</v>
      </c>
    </row>
    <row r="481" spans="1:5">
      <c r="A481">
        <v>476</v>
      </c>
      <c r="B481" s="11">
        <v>45943.645833333336</v>
      </c>
      <c r="C481" s="7">
        <v>663.04</v>
      </c>
      <c r="D481">
        <v>8803629</v>
      </c>
      <c r="E481">
        <v>4895446</v>
      </c>
    </row>
    <row r="482" spans="1:5">
      <c r="A482">
        <v>477</v>
      </c>
      <c r="B482" s="11">
        <v>45943.625</v>
      </c>
      <c r="C482" s="7">
        <v>662.72500000000002</v>
      </c>
      <c r="D482">
        <v>3544635</v>
      </c>
      <c r="E482">
        <v>4652159.5</v>
      </c>
    </row>
    <row r="483" spans="1:5">
      <c r="A483">
        <v>478</v>
      </c>
      <c r="B483" s="11">
        <v>45943.604166666664</v>
      </c>
      <c r="C483" s="7">
        <v>662.21</v>
      </c>
      <c r="D483">
        <v>3294501</v>
      </c>
      <c r="E483">
        <v>4717761.5</v>
      </c>
    </row>
    <row r="484" spans="1:5">
      <c r="A484">
        <v>479</v>
      </c>
      <c r="B484" s="11">
        <v>45943.583333333336</v>
      </c>
      <c r="C484" s="7">
        <v>663.95</v>
      </c>
      <c r="D484">
        <v>2070112</v>
      </c>
      <c r="E484">
        <v>4743390.5</v>
      </c>
    </row>
    <row r="485" spans="1:5">
      <c r="A485">
        <v>480</v>
      </c>
      <c r="B485" s="11">
        <v>45943.5625</v>
      </c>
      <c r="C485" s="7">
        <v>663.26</v>
      </c>
      <c r="D485">
        <v>1702041</v>
      </c>
      <c r="E485">
        <v>4877085.5</v>
      </c>
    </row>
    <row r="486" spans="1:5">
      <c r="A486">
        <v>481</v>
      </c>
      <c r="B486" s="11">
        <v>45943.541666666664</v>
      </c>
      <c r="C486" s="7">
        <v>663.18</v>
      </c>
      <c r="D486">
        <v>2069267</v>
      </c>
      <c r="E486">
        <v>5117193.5</v>
      </c>
    </row>
    <row r="487" spans="1:5">
      <c r="A487">
        <v>482</v>
      </c>
      <c r="B487" s="11">
        <v>45943.520833333336</v>
      </c>
      <c r="C487" s="7">
        <v>664.27</v>
      </c>
      <c r="D487">
        <v>2049361</v>
      </c>
      <c r="E487">
        <v>5373045.5</v>
      </c>
    </row>
    <row r="488" spans="1:5">
      <c r="A488">
        <v>483</v>
      </c>
      <c r="B488" s="11">
        <v>45943.5</v>
      </c>
      <c r="C488" s="7">
        <v>663.49</v>
      </c>
      <c r="D488">
        <v>3658602</v>
      </c>
      <c r="E488">
        <v>5711298.5</v>
      </c>
    </row>
    <row r="489" spans="1:5">
      <c r="A489">
        <v>484</v>
      </c>
      <c r="B489" s="11">
        <v>45943.479166666664</v>
      </c>
      <c r="C489" s="7">
        <v>662.99</v>
      </c>
      <c r="D489">
        <v>2591026</v>
      </c>
      <c r="E489">
        <v>6503192</v>
      </c>
    </row>
    <row r="490" spans="1:5">
      <c r="A490">
        <v>485</v>
      </c>
      <c r="B490" s="11">
        <v>45943.458333333336</v>
      </c>
      <c r="C490" s="7">
        <v>662.69500000000005</v>
      </c>
      <c r="D490">
        <v>3556082</v>
      </c>
      <c r="E490">
        <v>7984204.5</v>
      </c>
    </row>
    <row r="491" spans="1:5">
      <c r="A491">
        <v>486</v>
      </c>
      <c r="B491" s="11">
        <v>45943.4375</v>
      </c>
      <c r="C491" s="7">
        <v>660.21119999999996</v>
      </c>
      <c r="D491">
        <v>3797946</v>
      </c>
      <c r="E491">
        <v>8146668.5</v>
      </c>
    </row>
    <row r="492" spans="1:5">
      <c r="A492">
        <v>487</v>
      </c>
      <c r="B492" s="11">
        <v>45943.416666666664</v>
      </c>
      <c r="C492" s="7">
        <v>660.87</v>
      </c>
      <c r="D492">
        <v>6255059</v>
      </c>
      <c r="E492">
        <v>8149542.5</v>
      </c>
    </row>
    <row r="493" spans="1:5">
      <c r="A493">
        <v>488</v>
      </c>
      <c r="B493" s="11">
        <v>45943.395833333336</v>
      </c>
      <c r="C493" s="7">
        <v>662.88</v>
      </c>
      <c r="D493">
        <v>10964328</v>
      </c>
      <c r="E493">
        <v>8168494</v>
      </c>
    </row>
    <row r="494" spans="1:5">
      <c r="A494">
        <v>489</v>
      </c>
      <c r="B494" s="11">
        <v>45940.666666666664</v>
      </c>
      <c r="C494" s="7">
        <v>653.02</v>
      </c>
      <c r="D494">
        <v>0</v>
      </c>
      <c r="E494">
        <v>7437539</v>
      </c>
    </row>
    <row r="495" spans="1:5">
      <c r="A495">
        <v>490</v>
      </c>
      <c r="B495" s="11">
        <v>45940.645833333336</v>
      </c>
      <c r="C495" s="7">
        <v>653.02</v>
      </c>
      <c r="D495">
        <v>19075100</v>
      </c>
      <c r="E495">
        <v>8059919.5</v>
      </c>
    </row>
    <row r="496" spans="1:5">
      <c r="A496">
        <v>491</v>
      </c>
      <c r="B496" s="11">
        <v>45940.625</v>
      </c>
      <c r="C496" s="7">
        <v>656.12</v>
      </c>
      <c r="D496">
        <v>5154336</v>
      </c>
      <c r="E496">
        <v>6987642</v>
      </c>
    </row>
    <row r="497" spans="1:5">
      <c r="A497">
        <v>492</v>
      </c>
      <c r="B497" s="11">
        <v>45940.604166666664</v>
      </c>
      <c r="C497" s="7">
        <v>657.21500000000003</v>
      </c>
      <c r="D497">
        <v>4528662</v>
      </c>
      <c r="E497">
        <v>6756515</v>
      </c>
    </row>
    <row r="498" spans="1:5">
      <c r="A498">
        <v>493</v>
      </c>
      <c r="B498" s="11">
        <v>45940.583333333336</v>
      </c>
      <c r="C498" s="7">
        <v>659.11</v>
      </c>
      <c r="D498">
        <v>3678936</v>
      </c>
      <c r="E498">
        <v>6587622.5</v>
      </c>
    </row>
    <row r="499" spans="1:5">
      <c r="A499">
        <v>494</v>
      </c>
      <c r="B499" s="11">
        <v>45940.5625</v>
      </c>
      <c r="C499" s="7">
        <v>659.64</v>
      </c>
      <c r="D499">
        <v>4075539</v>
      </c>
      <c r="E499">
        <v>6499420</v>
      </c>
    </row>
    <row r="500" spans="1:5">
      <c r="A500">
        <v>495</v>
      </c>
      <c r="B500" s="11">
        <v>45940.541666666664</v>
      </c>
      <c r="C500" s="7">
        <v>659.84</v>
      </c>
      <c r="D500">
        <v>5303657</v>
      </c>
      <c r="E500">
        <v>6446203.5</v>
      </c>
    </row>
    <row r="501" spans="1:5">
      <c r="A501">
        <v>496</v>
      </c>
      <c r="B501" s="11">
        <v>45940.520833333336</v>
      </c>
      <c r="C501" s="7">
        <v>659.04</v>
      </c>
      <c r="D501">
        <v>5907052</v>
      </c>
      <c r="E501">
        <v>6236782</v>
      </c>
    </row>
    <row r="502" spans="1:5">
      <c r="A502">
        <v>497</v>
      </c>
      <c r="B502" s="11">
        <v>45940.5</v>
      </c>
      <c r="C502" s="7">
        <v>661.5</v>
      </c>
      <c r="D502">
        <v>7123150</v>
      </c>
      <c r="E502">
        <v>5956418.5</v>
      </c>
    </row>
    <row r="503" spans="1:5">
      <c r="A503">
        <v>498</v>
      </c>
      <c r="B503" s="11">
        <v>45940.479166666664</v>
      </c>
      <c r="C503" s="7">
        <v>661.52</v>
      </c>
      <c r="D503">
        <v>15537008</v>
      </c>
      <c r="E503">
        <v>5683593.5</v>
      </c>
    </row>
    <row r="504" spans="1:5">
      <c r="A504">
        <v>499</v>
      </c>
      <c r="B504" s="11">
        <v>45940.458333333336</v>
      </c>
      <c r="C504" s="7">
        <v>662.42</v>
      </c>
      <c r="D504">
        <v>24806214</v>
      </c>
      <c r="E504">
        <v>4825086</v>
      </c>
    </row>
    <row r="505" spans="1:5">
      <c r="A505">
        <v>500</v>
      </c>
      <c r="B505" s="11">
        <v>45940.4375</v>
      </c>
      <c r="C505" s="7">
        <v>668.72500000000002</v>
      </c>
      <c r="D505">
        <v>5993044</v>
      </c>
      <c r="E505">
        <v>3508478</v>
      </c>
    </row>
    <row r="506" spans="1:5">
      <c r="A506">
        <v>501</v>
      </c>
      <c r="B506" s="11">
        <v>45940.416666666664</v>
      </c>
      <c r="C506" s="7">
        <v>672.56500000000005</v>
      </c>
      <c r="D506">
        <v>3841054</v>
      </c>
      <c r="E506">
        <v>3387349.5</v>
      </c>
    </row>
    <row r="507" spans="1:5">
      <c r="A507">
        <v>502</v>
      </c>
      <c r="B507" s="11">
        <v>45940.395833333336</v>
      </c>
      <c r="C507" s="7">
        <v>673.17</v>
      </c>
      <c r="D507">
        <v>6539333</v>
      </c>
      <c r="E507">
        <v>3615737.75</v>
      </c>
    </row>
    <row r="508" spans="1:5">
      <c r="A508">
        <v>503</v>
      </c>
      <c r="B508" s="11">
        <v>45939.666666666664</v>
      </c>
      <c r="C508" s="7">
        <v>671.16</v>
      </c>
      <c r="D508">
        <v>0</v>
      </c>
      <c r="E508">
        <v>3179782.25</v>
      </c>
    </row>
    <row r="509" spans="1:5">
      <c r="A509">
        <v>504</v>
      </c>
      <c r="B509" s="11">
        <v>45939.645833333336</v>
      </c>
      <c r="C509" s="7">
        <v>671.08</v>
      </c>
      <c r="D509">
        <v>9335711</v>
      </c>
      <c r="E509">
        <v>3832723.25</v>
      </c>
    </row>
    <row r="510" spans="1:5">
      <c r="A510">
        <v>505</v>
      </c>
      <c r="B510" s="11">
        <v>45939.625</v>
      </c>
      <c r="C510" s="7">
        <v>670.48</v>
      </c>
      <c r="D510">
        <v>2990931</v>
      </c>
      <c r="E510">
        <v>3413340.5</v>
      </c>
    </row>
    <row r="511" spans="1:5">
      <c r="A511">
        <v>506</v>
      </c>
      <c r="B511" s="11">
        <v>45939.604166666664</v>
      </c>
      <c r="C511" s="7">
        <v>669.92</v>
      </c>
      <c r="D511">
        <v>1687433</v>
      </c>
      <c r="E511">
        <v>3359794</v>
      </c>
    </row>
    <row r="512" spans="1:5">
      <c r="A512">
        <v>507</v>
      </c>
      <c r="B512" s="11">
        <v>45939.583333333336</v>
      </c>
      <c r="C512" s="7">
        <v>669.81500000000005</v>
      </c>
      <c r="D512">
        <v>1995276</v>
      </c>
      <c r="E512">
        <v>3427894.25</v>
      </c>
    </row>
    <row r="513" spans="1:5">
      <c r="A513">
        <v>508</v>
      </c>
      <c r="B513" s="11">
        <v>45939.5625</v>
      </c>
      <c r="C513" s="7">
        <v>670.18</v>
      </c>
      <c r="D513">
        <v>2355896</v>
      </c>
      <c r="E513">
        <v>3401843</v>
      </c>
    </row>
    <row r="514" spans="1:5">
      <c r="A514">
        <v>509</v>
      </c>
      <c r="B514" s="11">
        <v>45939.541666666664</v>
      </c>
      <c r="C514" s="7">
        <v>669.47</v>
      </c>
      <c r="D514">
        <v>3277290</v>
      </c>
      <c r="E514">
        <v>3332262.25</v>
      </c>
    </row>
    <row r="515" spans="1:5">
      <c r="A515">
        <v>510</v>
      </c>
      <c r="B515" s="11">
        <v>45939.520833333336</v>
      </c>
      <c r="C515" s="7">
        <v>669.76</v>
      </c>
      <c r="D515">
        <v>2162337</v>
      </c>
      <c r="E515">
        <v>3211850</v>
      </c>
    </row>
    <row r="516" spans="1:5">
      <c r="A516">
        <v>511</v>
      </c>
      <c r="B516" s="11">
        <v>45939.5</v>
      </c>
      <c r="C516" s="7">
        <v>670.96500000000003</v>
      </c>
      <c r="D516">
        <v>1701604</v>
      </c>
      <c r="E516">
        <v>3188975.5</v>
      </c>
    </row>
    <row r="517" spans="1:5">
      <c r="A517">
        <v>512</v>
      </c>
      <c r="B517" s="11">
        <v>45939.479166666664</v>
      </c>
      <c r="C517" s="7">
        <v>671.33</v>
      </c>
      <c r="D517">
        <v>3030773</v>
      </c>
      <c r="E517">
        <v>3215122.5</v>
      </c>
    </row>
    <row r="518" spans="1:5">
      <c r="A518">
        <v>513</v>
      </c>
      <c r="B518" s="11">
        <v>45939.458333333336</v>
      </c>
      <c r="C518" s="7">
        <v>670.75</v>
      </c>
      <c r="D518">
        <v>2659396</v>
      </c>
      <c r="E518">
        <v>3201972.75</v>
      </c>
    </row>
    <row r="519" spans="1:5">
      <c r="A519">
        <v>514</v>
      </c>
      <c r="B519" s="11">
        <v>45939.4375</v>
      </c>
      <c r="C519" s="7">
        <v>671.4</v>
      </c>
      <c r="D519">
        <v>5057093</v>
      </c>
      <c r="E519">
        <v>3240501.5</v>
      </c>
    </row>
    <row r="520" spans="1:5">
      <c r="A520">
        <v>515</v>
      </c>
      <c r="B520" s="11">
        <v>45939.416666666664</v>
      </c>
      <c r="C520" s="7">
        <v>671.18</v>
      </c>
      <c r="D520">
        <v>4176116</v>
      </c>
      <c r="E520">
        <v>3205751.5</v>
      </c>
    </row>
    <row r="521" spans="1:5">
      <c r="A521">
        <v>516</v>
      </c>
      <c r="B521" s="11">
        <v>45939.395833333336</v>
      </c>
      <c r="C521" s="7">
        <v>671.73</v>
      </c>
      <c r="D521">
        <v>7266878</v>
      </c>
      <c r="E521">
        <v>3372830</v>
      </c>
    </row>
    <row r="522" spans="1:5">
      <c r="A522">
        <v>517</v>
      </c>
      <c r="B522" s="11">
        <v>45938.666666666664</v>
      </c>
      <c r="C522" s="7">
        <v>673.11</v>
      </c>
      <c r="D522">
        <v>0</v>
      </c>
      <c r="E522">
        <v>2888371.5</v>
      </c>
    </row>
    <row r="523" spans="1:5">
      <c r="A523">
        <v>518</v>
      </c>
      <c r="B523" s="11">
        <v>45938.645833333336</v>
      </c>
      <c r="C523" s="7">
        <v>673.11</v>
      </c>
      <c r="D523">
        <v>9794114</v>
      </c>
      <c r="E523">
        <v>3427251.5</v>
      </c>
    </row>
    <row r="524" spans="1:5">
      <c r="A524">
        <v>519</v>
      </c>
      <c r="B524" s="11">
        <v>45938.625</v>
      </c>
      <c r="C524" s="7">
        <v>672.875</v>
      </c>
      <c r="D524">
        <v>3044969</v>
      </c>
      <c r="E524">
        <v>2922239.75</v>
      </c>
    </row>
    <row r="525" spans="1:5">
      <c r="A525">
        <v>520</v>
      </c>
      <c r="B525" s="11">
        <v>45938.604166666664</v>
      </c>
      <c r="C525" s="7">
        <v>672.24069999999995</v>
      </c>
      <c r="D525">
        <v>2187735</v>
      </c>
      <c r="E525">
        <v>2830533</v>
      </c>
    </row>
    <row r="526" spans="1:5">
      <c r="A526">
        <v>521</v>
      </c>
      <c r="B526" s="11">
        <v>45938.583333333336</v>
      </c>
      <c r="C526" s="7">
        <v>672.85</v>
      </c>
      <c r="D526">
        <v>2708937</v>
      </c>
      <c r="E526">
        <v>2831637.25</v>
      </c>
    </row>
    <row r="527" spans="1:5">
      <c r="A527">
        <v>522</v>
      </c>
      <c r="B527" s="11">
        <v>45938.5625</v>
      </c>
      <c r="C527" s="7">
        <v>672.65</v>
      </c>
      <c r="D527">
        <v>1604507</v>
      </c>
      <c r="E527">
        <v>2767139.75</v>
      </c>
    </row>
    <row r="528" spans="1:5">
      <c r="A528">
        <v>523</v>
      </c>
      <c r="B528" s="11">
        <v>45938.541666666664</v>
      </c>
      <c r="C528" s="7">
        <v>672.91499999999996</v>
      </c>
      <c r="D528">
        <v>1312185</v>
      </c>
      <c r="E528">
        <v>2798397.25</v>
      </c>
    </row>
    <row r="529" spans="1:5">
      <c r="A529">
        <v>524</v>
      </c>
      <c r="B529" s="11">
        <v>45938.520833333336</v>
      </c>
      <c r="C529" s="7">
        <v>672.72</v>
      </c>
      <c r="D529">
        <v>1471107</v>
      </c>
      <c r="E529">
        <v>2906554.25</v>
      </c>
    </row>
    <row r="530" spans="1:5">
      <c r="A530">
        <v>525</v>
      </c>
      <c r="B530" s="11">
        <v>45938.5</v>
      </c>
      <c r="C530" s="7">
        <v>672.64499999999998</v>
      </c>
      <c r="D530">
        <v>1819217</v>
      </c>
      <c r="E530">
        <v>3090714.75</v>
      </c>
    </row>
    <row r="531" spans="1:5">
      <c r="A531">
        <v>526</v>
      </c>
      <c r="B531" s="11">
        <v>45938.479166666664</v>
      </c>
      <c r="C531" s="7">
        <v>672.8</v>
      </c>
      <c r="D531">
        <v>2093811</v>
      </c>
      <c r="E531">
        <v>3455947.5</v>
      </c>
    </row>
    <row r="532" spans="1:5">
      <c r="A532">
        <v>527</v>
      </c>
      <c r="B532" s="11">
        <v>45938.458333333336</v>
      </c>
      <c r="C532" s="7">
        <v>672.53</v>
      </c>
      <c r="D532">
        <v>2833528</v>
      </c>
      <c r="E532">
        <v>3898656.75</v>
      </c>
    </row>
    <row r="533" spans="1:5">
      <c r="A533">
        <v>528</v>
      </c>
      <c r="B533" s="11">
        <v>45938.4375</v>
      </c>
      <c r="C533" s="7">
        <v>671.75</v>
      </c>
      <c r="D533">
        <v>3237325</v>
      </c>
      <c r="E533">
        <v>3965480.5</v>
      </c>
    </row>
    <row r="534" spans="1:5">
      <c r="A534">
        <v>529</v>
      </c>
      <c r="B534" s="11">
        <v>45938.416666666664</v>
      </c>
      <c r="C534" s="7">
        <v>671.91</v>
      </c>
      <c r="D534">
        <v>4535845</v>
      </c>
      <c r="E534">
        <v>3964453.5</v>
      </c>
    </row>
    <row r="535" spans="1:5">
      <c r="A535">
        <v>530</v>
      </c>
      <c r="B535" s="11">
        <v>45938.395833333336</v>
      </c>
      <c r="C535" s="7">
        <v>670.38499999999999</v>
      </c>
      <c r="D535">
        <v>6682292</v>
      </c>
      <c r="E535">
        <v>4029725.25</v>
      </c>
    </row>
    <row r="536" spans="1:5">
      <c r="A536">
        <v>531</v>
      </c>
      <c r="B536" s="11">
        <v>45937.666666666664</v>
      </c>
      <c r="C536" s="7">
        <v>669.12</v>
      </c>
      <c r="D536">
        <v>0</v>
      </c>
      <c r="E536">
        <v>3584239.25</v>
      </c>
    </row>
    <row r="537" spans="1:5">
      <c r="A537">
        <v>532</v>
      </c>
      <c r="B537" s="11">
        <v>45937.645833333336</v>
      </c>
      <c r="C537" s="7">
        <v>669.12</v>
      </c>
      <c r="D537">
        <v>8083200</v>
      </c>
      <c r="E537">
        <v>4069652.5</v>
      </c>
    </row>
    <row r="538" spans="1:5">
      <c r="A538">
        <v>533</v>
      </c>
      <c r="B538" s="11">
        <v>45937.625</v>
      </c>
      <c r="C538" s="7">
        <v>668.57</v>
      </c>
      <c r="D538">
        <v>2218937</v>
      </c>
      <c r="E538">
        <v>3674559</v>
      </c>
    </row>
    <row r="539" spans="1:5">
      <c r="A539">
        <v>534</v>
      </c>
      <c r="B539" s="11">
        <v>45937.604166666664</v>
      </c>
      <c r="C539" s="7">
        <v>669</v>
      </c>
      <c r="D539">
        <v>1669368</v>
      </c>
      <c r="E539">
        <v>3649019.75</v>
      </c>
    </row>
    <row r="540" spans="1:5">
      <c r="A540">
        <v>535</v>
      </c>
      <c r="B540" s="11">
        <v>45937.583333333336</v>
      </c>
      <c r="C540" s="7">
        <v>668.64</v>
      </c>
      <c r="D540">
        <v>2204298</v>
      </c>
      <c r="E540">
        <v>3677607.75</v>
      </c>
    </row>
    <row r="541" spans="1:5">
      <c r="A541">
        <v>536</v>
      </c>
      <c r="B541" s="11">
        <v>45937.5625</v>
      </c>
      <c r="C541" s="7">
        <v>668.33</v>
      </c>
      <c r="D541">
        <v>1741476</v>
      </c>
      <c r="E541">
        <v>3656673.75</v>
      </c>
    </row>
    <row r="542" spans="1:5">
      <c r="A542">
        <v>537</v>
      </c>
      <c r="B542" s="11">
        <v>45937.541666666664</v>
      </c>
      <c r="C542" s="7">
        <v>668.92</v>
      </c>
      <c r="D542">
        <v>2073371</v>
      </c>
      <c r="E542">
        <v>3670332.5</v>
      </c>
    </row>
    <row r="543" spans="1:5">
      <c r="A543">
        <v>538</v>
      </c>
      <c r="B543" s="11">
        <v>45937.520833333336</v>
      </c>
      <c r="C543" s="7">
        <v>668.36</v>
      </c>
      <c r="D543">
        <v>2934538</v>
      </c>
      <c r="E543">
        <v>3618194.75</v>
      </c>
    </row>
    <row r="544" spans="1:5">
      <c r="A544">
        <v>539</v>
      </c>
      <c r="B544" s="11">
        <v>45937.5</v>
      </c>
      <c r="C544" s="7">
        <v>668.39</v>
      </c>
      <c r="D544">
        <v>4233517</v>
      </c>
      <c r="E544">
        <v>3527987.75</v>
      </c>
    </row>
    <row r="545" spans="1:5">
      <c r="A545">
        <v>540</v>
      </c>
      <c r="B545" s="11">
        <v>45937.479166666664</v>
      </c>
      <c r="C545" s="7">
        <v>668.23</v>
      </c>
      <c r="D545">
        <v>7297708</v>
      </c>
      <c r="E545">
        <v>3394030</v>
      </c>
    </row>
    <row r="546" spans="1:5">
      <c r="A546">
        <v>541</v>
      </c>
      <c r="B546" s="11">
        <v>45937.458333333336</v>
      </c>
      <c r="C546" s="7">
        <v>669.23</v>
      </c>
      <c r="D546">
        <v>8734450</v>
      </c>
      <c r="E546">
        <v>3043380.75</v>
      </c>
    </row>
    <row r="547" spans="1:5">
      <c r="A547">
        <v>542</v>
      </c>
      <c r="B547" s="11">
        <v>45937.4375</v>
      </c>
      <c r="C547" s="7">
        <v>670.91</v>
      </c>
      <c r="D547">
        <v>3835883</v>
      </c>
      <c r="E547">
        <v>2619144.75</v>
      </c>
    </row>
    <row r="548" spans="1:5">
      <c r="A548">
        <v>543</v>
      </c>
      <c r="B548" s="11">
        <v>45937.416666666664</v>
      </c>
      <c r="C548" s="7">
        <v>671.3</v>
      </c>
      <c r="D548">
        <v>3221920</v>
      </c>
      <c r="E548">
        <v>2641795</v>
      </c>
    </row>
    <row r="549" spans="1:5">
      <c r="A549">
        <v>544</v>
      </c>
      <c r="B549" s="11">
        <v>45937.395833333336</v>
      </c>
      <c r="C549" s="7">
        <v>672.09500000000003</v>
      </c>
      <c r="D549">
        <v>5514922</v>
      </c>
      <c r="E549">
        <v>2907296.5</v>
      </c>
    </row>
    <row r="550" spans="1:5">
      <c r="A550">
        <v>545</v>
      </c>
      <c r="B550" s="11">
        <v>45936.666666666664</v>
      </c>
      <c r="C550" s="7">
        <v>671.61</v>
      </c>
      <c r="D550">
        <v>0</v>
      </c>
      <c r="E550">
        <v>2539635.25</v>
      </c>
    </row>
    <row r="551" spans="1:5">
      <c r="A551">
        <v>546</v>
      </c>
      <c r="B551" s="11">
        <v>45936.645833333336</v>
      </c>
      <c r="C551" s="7">
        <v>671.61</v>
      </c>
      <c r="D551">
        <v>7281199</v>
      </c>
      <c r="E551">
        <v>3058038</v>
      </c>
    </row>
    <row r="552" spans="1:5">
      <c r="A552">
        <v>547</v>
      </c>
      <c r="B552" s="11">
        <v>45936.625</v>
      </c>
      <c r="C552" s="7">
        <v>671.73</v>
      </c>
      <c r="D552">
        <v>2156797</v>
      </c>
      <c r="E552">
        <v>2786517.75</v>
      </c>
    </row>
    <row r="553" spans="1:5">
      <c r="A553">
        <v>548</v>
      </c>
      <c r="B553" s="11">
        <v>45936.604166666664</v>
      </c>
      <c r="C553" s="7">
        <v>672.11</v>
      </c>
      <c r="D553">
        <v>1835848</v>
      </c>
      <c r="E553">
        <v>2823379.5</v>
      </c>
    </row>
    <row r="554" spans="1:5">
      <c r="A554">
        <v>549</v>
      </c>
      <c r="B554" s="11">
        <v>45936.583333333336</v>
      </c>
      <c r="C554" s="7">
        <v>672.24</v>
      </c>
      <c r="D554">
        <v>2098191</v>
      </c>
      <c r="E554">
        <v>3036676.5</v>
      </c>
    </row>
    <row r="555" spans="1:5">
      <c r="A555">
        <v>550</v>
      </c>
      <c r="B555" s="11">
        <v>45936.5625</v>
      </c>
      <c r="C555" s="7">
        <v>672.28</v>
      </c>
      <c r="D555">
        <v>1890286</v>
      </c>
      <c r="E555">
        <v>3270847</v>
      </c>
    </row>
    <row r="556" spans="1:5">
      <c r="A556">
        <v>551</v>
      </c>
      <c r="B556" s="11">
        <v>45936.541666666664</v>
      </c>
      <c r="C556" s="7">
        <v>672.08</v>
      </c>
      <c r="D556">
        <v>1946359</v>
      </c>
      <c r="E556">
        <v>3463646.25</v>
      </c>
    </row>
    <row r="557" spans="1:5">
      <c r="A557">
        <v>552</v>
      </c>
      <c r="B557" s="11">
        <v>45936.520833333336</v>
      </c>
      <c r="C557" s="7">
        <v>671.71</v>
      </c>
      <c r="D557">
        <v>1291302</v>
      </c>
      <c r="E557">
        <v>3431014.5</v>
      </c>
    </row>
    <row r="558" spans="1:5">
      <c r="A558">
        <v>553</v>
      </c>
      <c r="B558" s="11">
        <v>45936.5</v>
      </c>
      <c r="C558" s="7">
        <v>671.8</v>
      </c>
      <c r="D558">
        <v>1581436</v>
      </c>
      <c r="E558">
        <v>3452918</v>
      </c>
    </row>
    <row r="559" spans="1:5">
      <c r="A559">
        <v>554</v>
      </c>
      <c r="B559" s="11">
        <v>45936.479166666664</v>
      </c>
      <c r="C559" s="7">
        <v>671.83</v>
      </c>
      <c r="D559">
        <v>2224150</v>
      </c>
      <c r="E559">
        <v>3528883</v>
      </c>
    </row>
    <row r="560" spans="1:5">
      <c r="A560">
        <v>555</v>
      </c>
      <c r="B560" s="11">
        <v>45936.458333333336</v>
      </c>
      <c r="C560" s="7">
        <v>671.17</v>
      </c>
      <c r="D560">
        <v>2037968</v>
      </c>
      <c r="E560">
        <v>3534973</v>
      </c>
    </row>
    <row r="561" spans="1:5">
      <c r="A561">
        <v>556</v>
      </c>
      <c r="B561" s="11">
        <v>45936.4375</v>
      </c>
      <c r="C561" s="7">
        <v>670.77</v>
      </c>
      <c r="D561">
        <v>2370910</v>
      </c>
      <c r="E561">
        <v>3599202</v>
      </c>
    </row>
    <row r="562" spans="1:5">
      <c r="A562">
        <v>557</v>
      </c>
      <c r="B562" s="11">
        <v>45936.416666666664</v>
      </c>
      <c r="C562" s="7">
        <v>670.5</v>
      </c>
      <c r="D562">
        <v>4175636</v>
      </c>
      <c r="E562">
        <v>3710794.75</v>
      </c>
    </row>
    <row r="563" spans="1:5">
      <c r="A563">
        <v>558</v>
      </c>
      <c r="B563" s="11">
        <v>45936.395833333336</v>
      </c>
      <c r="C563" s="7">
        <v>669.95</v>
      </c>
      <c r="D563">
        <v>7204445</v>
      </c>
      <c r="E563">
        <v>3780568.25</v>
      </c>
    </row>
    <row r="564" spans="1:5">
      <c r="A564">
        <v>559</v>
      </c>
      <c r="B564" s="11">
        <v>45933.666666666664</v>
      </c>
      <c r="C564" s="7">
        <v>669.21</v>
      </c>
      <c r="D564">
        <v>0</v>
      </c>
      <c r="E564">
        <v>3300271.75</v>
      </c>
    </row>
    <row r="565" spans="1:5">
      <c r="A565">
        <v>560</v>
      </c>
      <c r="B565" s="11">
        <v>45933.645833333336</v>
      </c>
      <c r="C565" s="7">
        <v>669.24</v>
      </c>
      <c r="D565">
        <v>7776043</v>
      </c>
      <c r="E565">
        <v>3927146</v>
      </c>
    </row>
    <row r="566" spans="1:5">
      <c r="A566">
        <v>561</v>
      </c>
      <c r="B566" s="11">
        <v>45933.625</v>
      </c>
      <c r="C566" s="7">
        <v>669.62</v>
      </c>
      <c r="D566">
        <v>3208394</v>
      </c>
      <c r="E566">
        <v>3535978.75</v>
      </c>
    </row>
    <row r="567" spans="1:5">
      <c r="A567">
        <v>562</v>
      </c>
      <c r="B567" s="11">
        <v>45933.604166666664</v>
      </c>
      <c r="C567" s="7">
        <v>669.9</v>
      </c>
      <c r="D567">
        <v>2709723</v>
      </c>
      <c r="E567">
        <v>3444231.75</v>
      </c>
    </row>
    <row r="568" spans="1:5">
      <c r="A568">
        <v>563</v>
      </c>
      <c r="B568" s="11">
        <v>45933.583333333336</v>
      </c>
      <c r="C568" s="7">
        <v>670.55</v>
      </c>
      <c r="D568">
        <v>5035306</v>
      </c>
      <c r="E568">
        <v>3404618</v>
      </c>
    </row>
    <row r="569" spans="1:5">
      <c r="A569">
        <v>564</v>
      </c>
      <c r="B569" s="11">
        <v>45933.5625</v>
      </c>
      <c r="C569" s="7">
        <v>669.24</v>
      </c>
      <c r="D569">
        <v>5610748</v>
      </c>
      <c r="E569">
        <v>3201804.75</v>
      </c>
    </row>
    <row r="570" spans="1:5">
      <c r="A570">
        <v>565</v>
      </c>
      <c r="B570" s="11">
        <v>45933.541666666664</v>
      </c>
      <c r="C570" s="7">
        <v>670.26499999999999</v>
      </c>
      <c r="D570">
        <v>4782275</v>
      </c>
      <c r="E570">
        <v>2928567.25</v>
      </c>
    </row>
    <row r="571" spans="1:5">
      <c r="A571">
        <v>566</v>
      </c>
      <c r="B571" s="11">
        <v>45933.520833333336</v>
      </c>
      <c r="C571" s="7">
        <v>672.2</v>
      </c>
      <c r="D571">
        <v>1456880</v>
      </c>
      <c r="E571">
        <v>2707304.5</v>
      </c>
    </row>
    <row r="572" spans="1:5">
      <c r="A572">
        <v>567</v>
      </c>
      <c r="B572" s="11">
        <v>45933.5</v>
      </c>
      <c r="C572" s="7">
        <v>672.43</v>
      </c>
      <c r="D572">
        <v>1619856</v>
      </c>
      <c r="E572">
        <v>2713480.5</v>
      </c>
    </row>
    <row r="573" spans="1:5">
      <c r="A573">
        <v>568</v>
      </c>
      <c r="B573" s="11">
        <v>45933.479166666664</v>
      </c>
      <c r="C573" s="7">
        <v>672.51</v>
      </c>
      <c r="D573">
        <v>2720911</v>
      </c>
      <c r="E573">
        <v>2746008.75</v>
      </c>
    </row>
    <row r="574" spans="1:5">
      <c r="A574">
        <v>569</v>
      </c>
      <c r="B574" s="11">
        <v>45933.458333333336</v>
      </c>
      <c r="C574" s="7">
        <v>671.76</v>
      </c>
      <c r="D574">
        <v>2315499</v>
      </c>
      <c r="E574">
        <v>2755753</v>
      </c>
    </row>
    <row r="575" spans="1:5">
      <c r="A575">
        <v>570</v>
      </c>
      <c r="B575" s="11">
        <v>45933.4375</v>
      </c>
      <c r="C575" s="7">
        <v>672.1</v>
      </c>
      <c r="D575">
        <v>3001404</v>
      </c>
      <c r="E575">
        <v>2796734</v>
      </c>
    </row>
    <row r="576" spans="1:5">
      <c r="A576">
        <v>571</v>
      </c>
      <c r="B576" s="11">
        <v>45933.416666666664</v>
      </c>
      <c r="C576" s="7">
        <v>671.36500000000001</v>
      </c>
      <c r="D576">
        <v>4044802</v>
      </c>
      <c r="E576">
        <v>2827241</v>
      </c>
    </row>
    <row r="577" spans="1:5">
      <c r="A577">
        <v>572</v>
      </c>
      <c r="B577" s="11">
        <v>45933.395833333336</v>
      </c>
      <c r="C577" s="7">
        <v>670.67</v>
      </c>
      <c r="D577">
        <v>5222237</v>
      </c>
      <c r="E577">
        <v>3019766.25</v>
      </c>
    </row>
    <row r="578" spans="1:5">
      <c r="A578">
        <v>573</v>
      </c>
      <c r="B578" s="11">
        <v>45932.666666666664</v>
      </c>
      <c r="C578" s="7">
        <v>669.22</v>
      </c>
      <c r="D578">
        <v>0</v>
      </c>
      <c r="E578">
        <v>2671617</v>
      </c>
    </row>
    <row r="579" spans="1:5">
      <c r="A579">
        <v>574</v>
      </c>
      <c r="B579" s="11">
        <v>45932.645833333336</v>
      </c>
      <c r="C579" s="7">
        <v>669.22</v>
      </c>
      <c r="D579">
        <v>9403111</v>
      </c>
      <c r="E579">
        <v>3364775.25</v>
      </c>
    </row>
    <row r="580" spans="1:5">
      <c r="A580">
        <v>575</v>
      </c>
      <c r="B580" s="11">
        <v>45932.625</v>
      </c>
      <c r="C580" s="7">
        <v>669.45</v>
      </c>
      <c r="D580">
        <v>1908535</v>
      </c>
      <c r="E580">
        <v>2940752.25</v>
      </c>
    </row>
    <row r="581" spans="1:5">
      <c r="A581">
        <v>576</v>
      </c>
      <c r="B581" s="11">
        <v>45932.604166666664</v>
      </c>
      <c r="C581" s="7">
        <v>669.42</v>
      </c>
      <c r="D581">
        <v>1832191</v>
      </c>
      <c r="E581">
        <v>2969729</v>
      </c>
    </row>
    <row r="582" spans="1:5">
      <c r="A582">
        <v>577</v>
      </c>
      <c r="B582" s="11">
        <v>45932.583333333336</v>
      </c>
      <c r="C582" s="7">
        <v>669.56</v>
      </c>
      <c r="D582">
        <v>2115514</v>
      </c>
      <c r="E582">
        <v>3037524</v>
      </c>
    </row>
    <row r="583" spans="1:5">
      <c r="A583">
        <v>578</v>
      </c>
      <c r="B583" s="11">
        <v>45932.5625</v>
      </c>
      <c r="C583" s="7">
        <v>668.89499999999998</v>
      </c>
      <c r="D583">
        <v>1993107</v>
      </c>
      <c r="E583">
        <v>3005882.5</v>
      </c>
    </row>
    <row r="584" spans="1:5">
      <c r="A584">
        <v>579</v>
      </c>
      <c r="B584" s="11">
        <v>45932.541666666664</v>
      </c>
      <c r="C584" s="7">
        <v>668.495</v>
      </c>
      <c r="D584">
        <v>1512186</v>
      </c>
      <c r="E584">
        <v>3063325</v>
      </c>
    </row>
    <row r="585" spans="1:5">
      <c r="A585">
        <v>580</v>
      </c>
      <c r="B585" s="11">
        <v>45932.520833333336</v>
      </c>
      <c r="C585" s="7">
        <v>668.37</v>
      </c>
      <c r="D585">
        <v>1463333</v>
      </c>
      <c r="E585">
        <v>3080248</v>
      </c>
    </row>
    <row r="586" spans="1:5">
      <c r="A586">
        <v>581</v>
      </c>
      <c r="B586" s="11">
        <v>45932.5</v>
      </c>
      <c r="C586" s="7">
        <v>668.13530000000003</v>
      </c>
      <c r="D586">
        <v>1549520</v>
      </c>
      <c r="E586">
        <v>3109032.5</v>
      </c>
    </row>
    <row r="587" spans="1:5">
      <c r="A587">
        <v>582</v>
      </c>
      <c r="B587" s="11">
        <v>45932.479166666664</v>
      </c>
      <c r="C587" s="7">
        <v>668.30499999999995</v>
      </c>
      <c r="D587">
        <v>2107782</v>
      </c>
      <c r="E587">
        <v>3207063</v>
      </c>
    </row>
    <row r="588" spans="1:5">
      <c r="A588">
        <v>583</v>
      </c>
      <c r="B588" s="11">
        <v>45932.458333333336</v>
      </c>
      <c r="C588" s="7">
        <v>667.61</v>
      </c>
      <c r="D588">
        <v>2867074</v>
      </c>
      <c r="E588">
        <v>3260421.25</v>
      </c>
    </row>
    <row r="589" spans="1:5">
      <c r="A589">
        <v>584</v>
      </c>
      <c r="B589" s="11">
        <v>45932.4375</v>
      </c>
      <c r="C589" s="7">
        <v>667.56</v>
      </c>
      <c r="D589">
        <v>2930215</v>
      </c>
      <c r="E589">
        <v>3305116.75</v>
      </c>
    </row>
    <row r="590" spans="1:5">
      <c r="A590">
        <v>585</v>
      </c>
      <c r="B590" s="11">
        <v>45932.416666666664</v>
      </c>
      <c r="C590" s="7">
        <v>668.73500000000001</v>
      </c>
      <c r="D590">
        <v>3459009</v>
      </c>
      <c r="E590">
        <v>3388621.25</v>
      </c>
    </row>
    <row r="591" spans="1:5">
      <c r="A591">
        <v>586</v>
      </c>
      <c r="B591" s="11">
        <v>45932.395833333336</v>
      </c>
      <c r="C591" s="7">
        <v>669.3</v>
      </c>
      <c r="D591">
        <v>6932678</v>
      </c>
      <c r="E591">
        <v>3759277.5</v>
      </c>
    </row>
    <row r="592" spans="1:5">
      <c r="A592">
        <v>587</v>
      </c>
      <c r="B592" s="11">
        <v>45931.666666666664</v>
      </c>
      <c r="C592" s="7">
        <v>668.45</v>
      </c>
      <c r="D592">
        <v>0</v>
      </c>
      <c r="E592">
        <v>3297098.75</v>
      </c>
    </row>
    <row r="593" spans="1:5">
      <c r="A593">
        <v>588</v>
      </c>
      <c r="B593" s="11">
        <v>45931.645833333336</v>
      </c>
      <c r="C593" s="7">
        <v>668.50009999999997</v>
      </c>
      <c r="D593">
        <v>10397374</v>
      </c>
      <c r="E593">
        <v>4565704.5</v>
      </c>
    </row>
    <row r="594" spans="1:5">
      <c r="A594">
        <v>589</v>
      </c>
      <c r="B594" s="11">
        <v>45931.625</v>
      </c>
      <c r="C594" s="7">
        <v>669.1</v>
      </c>
      <c r="D594">
        <v>3042767</v>
      </c>
      <c r="E594">
        <v>4170158</v>
      </c>
    </row>
    <row r="595" spans="1:5">
      <c r="A595">
        <v>590</v>
      </c>
      <c r="B595" s="11">
        <v>45931.604166666664</v>
      </c>
      <c r="C595" s="7">
        <v>669.1</v>
      </c>
      <c r="D595">
        <v>2343186</v>
      </c>
      <c r="E595">
        <v>4145733.75</v>
      </c>
    </row>
    <row r="596" spans="1:5">
      <c r="A596">
        <v>591</v>
      </c>
      <c r="B596" s="11">
        <v>45931.583333333336</v>
      </c>
      <c r="C596" s="7">
        <v>668.76</v>
      </c>
      <c r="D596">
        <v>2849116</v>
      </c>
      <c r="E596">
        <v>4233643.5</v>
      </c>
    </row>
    <row r="597" spans="1:5">
      <c r="A597">
        <v>592</v>
      </c>
      <c r="B597" s="11">
        <v>45931.5625</v>
      </c>
      <c r="C597" s="7">
        <v>667.952</v>
      </c>
      <c r="D597">
        <v>1640891</v>
      </c>
      <c r="E597">
        <v>4200493.5</v>
      </c>
    </row>
    <row r="598" spans="1:5">
      <c r="A598">
        <v>593</v>
      </c>
      <c r="B598" s="11">
        <v>45931.541666666664</v>
      </c>
      <c r="C598" s="7">
        <v>667.99869999999999</v>
      </c>
      <c r="D598">
        <v>2854743</v>
      </c>
      <c r="E598">
        <v>4254542.5</v>
      </c>
    </row>
    <row r="599" spans="1:5">
      <c r="A599">
        <v>594</v>
      </c>
      <c r="B599" s="11">
        <v>45931.520833333336</v>
      </c>
      <c r="C599" s="7">
        <v>666.91</v>
      </c>
      <c r="D599">
        <v>1766033</v>
      </c>
      <c r="E599">
        <v>4169583.5</v>
      </c>
    </row>
    <row r="600" spans="1:5">
      <c r="A600">
        <v>595</v>
      </c>
      <c r="B600" s="11">
        <v>45931.5</v>
      </c>
      <c r="C600" s="7">
        <v>666.9</v>
      </c>
      <c r="D600">
        <v>1895100</v>
      </c>
      <c r="E600">
        <v>4188607.75</v>
      </c>
    </row>
    <row r="601" spans="1:5">
      <c r="A601">
        <v>596</v>
      </c>
      <c r="B601" s="11">
        <v>45931.479166666664</v>
      </c>
      <c r="C601" s="7">
        <v>667</v>
      </c>
      <c r="D601">
        <v>3019978</v>
      </c>
      <c r="E601">
        <v>4232194</v>
      </c>
    </row>
    <row r="602" spans="1:5">
      <c r="A602">
        <v>597</v>
      </c>
      <c r="B602" s="11">
        <v>45931.458333333336</v>
      </c>
      <c r="C602" s="7">
        <v>666.32799999999997</v>
      </c>
      <c r="D602">
        <v>2908154</v>
      </c>
      <c r="E602">
        <v>4220605.5</v>
      </c>
    </row>
    <row r="603" spans="1:5">
      <c r="A603">
        <v>598</v>
      </c>
      <c r="B603" s="11">
        <v>45931.4375</v>
      </c>
      <c r="C603" s="7">
        <v>665.81</v>
      </c>
      <c r="D603">
        <v>3537509</v>
      </c>
      <c r="E603">
        <v>4262661</v>
      </c>
    </row>
    <row r="604" spans="1:5">
      <c r="A604">
        <v>599</v>
      </c>
      <c r="B604" s="11">
        <v>45931.416666666664</v>
      </c>
      <c r="C604" s="7">
        <v>665.58500000000004</v>
      </c>
      <c r="D604">
        <v>4182780</v>
      </c>
      <c r="E604">
        <v>4284820</v>
      </c>
    </row>
    <row r="605" spans="1:5">
      <c r="A605">
        <v>600</v>
      </c>
      <c r="B605" s="11">
        <v>45931.395833333336</v>
      </c>
      <c r="C605" s="7">
        <v>663.68240000000003</v>
      </c>
      <c r="D605">
        <v>9018852</v>
      </c>
      <c r="E605">
        <v>4371457</v>
      </c>
    </row>
    <row r="606" spans="1:5">
      <c r="A606">
        <v>601</v>
      </c>
      <c r="B606" s="11">
        <v>45930.666666666664</v>
      </c>
      <c r="C606" s="7">
        <v>666.18</v>
      </c>
      <c r="D606">
        <v>0</v>
      </c>
      <c r="E606">
        <v>3770200.25</v>
      </c>
    </row>
    <row r="607" spans="1:5">
      <c r="A607">
        <v>602</v>
      </c>
      <c r="B607" s="11">
        <v>45930.645833333336</v>
      </c>
      <c r="C607" s="7">
        <v>666.20500000000004</v>
      </c>
      <c r="D607">
        <v>19029084</v>
      </c>
      <c r="E607">
        <v>4502140</v>
      </c>
    </row>
    <row r="608" spans="1:5">
      <c r="A608">
        <v>603</v>
      </c>
      <c r="B608" s="11">
        <v>45930.625</v>
      </c>
      <c r="C608" s="7">
        <v>665.40499999999997</v>
      </c>
      <c r="D608">
        <v>4464176</v>
      </c>
      <c r="E608">
        <v>3593634.75</v>
      </c>
    </row>
    <row r="609" spans="1:5">
      <c r="A609">
        <v>604</v>
      </c>
      <c r="B609" s="11">
        <v>45930.604166666664</v>
      </c>
      <c r="C609" s="7">
        <v>664.43</v>
      </c>
      <c r="D609">
        <v>2676405</v>
      </c>
      <c r="E609">
        <v>3461017.5</v>
      </c>
    </row>
    <row r="610" spans="1:5">
      <c r="A610">
        <v>605</v>
      </c>
      <c r="B610" s="11">
        <v>45930.583333333336</v>
      </c>
      <c r="C610" s="7">
        <v>663.84990000000005</v>
      </c>
      <c r="D610">
        <v>3661834</v>
      </c>
      <c r="E610">
        <v>3449859</v>
      </c>
    </row>
    <row r="611" spans="1:5">
      <c r="A611">
        <v>606</v>
      </c>
      <c r="B611" s="11">
        <v>45930.5625</v>
      </c>
      <c r="C611" s="7">
        <v>662.51</v>
      </c>
      <c r="D611">
        <v>2351864</v>
      </c>
      <c r="E611">
        <v>3383712</v>
      </c>
    </row>
    <row r="612" spans="1:5">
      <c r="A612">
        <v>607</v>
      </c>
      <c r="B612" s="11">
        <v>45930.541666666664</v>
      </c>
      <c r="C612" s="7">
        <v>662.06</v>
      </c>
      <c r="D612">
        <v>2451626</v>
      </c>
      <c r="E612">
        <v>3386011</v>
      </c>
    </row>
    <row r="613" spans="1:5">
      <c r="A613">
        <v>608</v>
      </c>
      <c r="B613" s="11">
        <v>45930.520833333336</v>
      </c>
      <c r="C613" s="7">
        <v>662.78</v>
      </c>
      <c r="D613">
        <v>1580359</v>
      </c>
      <c r="E613">
        <v>3321532.5</v>
      </c>
    </row>
    <row r="614" spans="1:5">
      <c r="A614">
        <v>609</v>
      </c>
      <c r="B614" s="11">
        <v>45930.5</v>
      </c>
      <c r="C614" s="7">
        <v>663.41</v>
      </c>
      <c r="D614">
        <v>2051394</v>
      </c>
      <c r="E614">
        <v>3366300</v>
      </c>
    </row>
    <row r="615" spans="1:5">
      <c r="A615">
        <v>610</v>
      </c>
      <c r="B615" s="11">
        <v>45930.479166666664</v>
      </c>
      <c r="C615" s="7">
        <v>663.00189999999998</v>
      </c>
      <c r="D615">
        <v>2548894</v>
      </c>
      <c r="E615">
        <v>3440900.5</v>
      </c>
    </row>
    <row r="616" spans="1:5">
      <c r="A616">
        <v>611</v>
      </c>
      <c r="B616" s="11">
        <v>45930.458333333336</v>
      </c>
      <c r="C616" s="7">
        <v>662.19</v>
      </c>
      <c r="D616">
        <v>2846151</v>
      </c>
      <c r="E616">
        <v>3527269</v>
      </c>
    </row>
    <row r="617" spans="1:5">
      <c r="A617">
        <v>612</v>
      </c>
      <c r="B617" s="11">
        <v>45930.4375</v>
      </c>
      <c r="C617" s="7">
        <v>663.23</v>
      </c>
      <c r="D617">
        <v>3538986</v>
      </c>
      <c r="E617">
        <v>3521853</v>
      </c>
    </row>
    <row r="618" spans="1:5">
      <c r="A618">
        <v>613</v>
      </c>
      <c r="B618" s="11">
        <v>45930.416666666664</v>
      </c>
      <c r="C618" s="7">
        <v>662.89</v>
      </c>
      <c r="D618">
        <v>3869893</v>
      </c>
      <c r="E618">
        <v>3568942.5</v>
      </c>
    </row>
    <row r="619" spans="1:5">
      <c r="A619">
        <v>614</v>
      </c>
      <c r="B619" s="11">
        <v>45930.395833333336</v>
      </c>
      <c r="C619" s="7">
        <v>663.06500000000005</v>
      </c>
      <c r="D619">
        <v>5482339</v>
      </c>
      <c r="E619">
        <v>3743970.5</v>
      </c>
    </row>
    <row r="620" spans="1:5">
      <c r="A620">
        <v>615</v>
      </c>
      <c r="B620" s="11">
        <v>45929.666666666664</v>
      </c>
      <c r="C620" s="7">
        <v>663.68</v>
      </c>
      <c r="D620">
        <v>0</v>
      </c>
      <c r="E620">
        <v>3378481.25</v>
      </c>
    </row>
    <row r="621" spans="1:5">
      <c r="A621">
        <v>616</v>
      </c>
      <c r="B621" s="11">
        <v>45929.645833333336</v>
      </c>
      <c r="C621" s="7">
        <v>663.68</v>
      </c>
      <c r="D621">
        <v>10979093</v>
      </c>
      <c r="E621">
        <v>3915805</v>
      </c>
    </row>
    <row r="622" spans="1:5">
      <c r="A622">
        <v>617</v>
      </c>
      <c r="B622" s="11">
        <v>45929.625</v>
      </c>
      <c r="C622" s="7">
        <v>662.64</v>
      </c>
      <c r="D622">
        <v>5401507</v>
      </c>
      <c r="E622">
        <v>3309339.75</v>
      </c>
    </row>
    <row r="623" spans="1:5">
      <c r="A623">
        <v>618</v>
      </c>
      <c r="B623" s="11">
        <v>45929.604166666664</v>
      </c>
      <c r="C623" s="7">
        <v>663.34</v>
      </c>
      <c r="D623">
        <v>2474917</v>
      </c>
      <c r="E623">
        <v>3097331.25</v>
      </c>
    </row>
    <row r="624" spans="1:5">
      <c r="A624">
        <v>619</v>
      </c>
      <c r="B624" s="11">
        <v>45929.583333333336</v>
      </c>
      <c r="C624" s="7">
        <v>663.46010000000001</v>
      </c>
      <c r="D624">
        <v>2509028</v>
      </c>
      <c r="E624">
        <v>3103782.25</v>
      </c>
    </row>
    <row r="625" spans="1:5">
      <c r="A625">
        <v>620</v>
      </c>
      <c r="B625" s="11">
        <v>45929.5625</v>
      </c>
      <c r="C625" s="7">
        <v>662.96</v>
      </c>
      <c r="D625">
        <v>2669628</v>
      </c>
      <c r="E625">
        <v>3072223.5</v>
      </c>
    </row>
    <row r="626" spans="1:5">
      <c r="A626">
        <v>621</v>
      </c>
      <c r="B626" s="11">
        <v>45929.541666666664</v>
      </c>
      <c r="C626" s="7">
        <v>662.56</v>
      </c>
      <c r="D626">
        <v>2386349</v>
      </c>
      <c r="E626">
        <v>3028848</v>
      </c>
    </row>
    <row r="627" spans="1:5">
      <c r="A627">
        <v>622</v>
      </c>
      <c r="B627" s="11">
        <v>45929.520833333336</v>
      </c>
      <c r="C627" s="7">
        <v>663.06500000000005</v>
      </c>
      <c r="D627">
        <v>1484450</v>
      </c>
      <c r="E627">
        <v>3021582.25</v>
      </c>
    </row>
    <row r="628" spans="1:5">
      <c r="A628">
        <v>623</v>
      </c>
      <c r="B628" s="11">
        <v>45929.5</v>
      </c>
      <c r="C628" s="7">
        <v>663.47500000000002</v>
      </c>
      <c r="D628">
        <v>2251872</v>
      </c>
      <c r="E628">
        <v>3079526.5</v>
      </c>
    </row>
    <row r="629" spans="1:5">
      <c r="A629">
        <v>624</v>
      </c>
      <c r="B629" s="11">
        <v>45929.479166666664</v>
      </c>
      <c r="C629" s="7">
        <v>663.33</v>
      </c>
      <c r="D629">
        <v>3170399</v>
      </c>
      <c r="E629">
        <v>3088857.25</v>
      </c>
    </row>
    <row r="630" spans="1:5">
      <c r="A630">
        <v>625</v>
      </c>
      <c r="B630" s="11">
        <v>45929.458333333336</v>
      </c>
      <c r="C630" s="7">
        <v>663.52499999999998</v>
      </c>
      <c r="D630">
        <v>3844422</v>
      </c>
      <c r="E630">
        <v>3038409.25</v>
      </c>
    </row>
    <row r="631" spans="1:5">
      <c r="A631">
        <v>626</v>
      </c>
      <c r="B631" s="11">
        <v>45929.4375</v>
      </c>
      <c r="C631" s="7">
        <v>664.47</v>
      </c>
      <c r="D631">
        <v>2764912</v>
      </c>
      <c r="E631">
        <v>3013144.75</v>
      </c>
    </row>
    <row r="632" spans="1:5">
      <c r="A632">
        <v>627</v>
      </c>
      <c r="B632" s="11">
        <v>45929.416666666664</v>
      </c>
      <c r="C632" s="7">
        <v>664.76</v>
      </c>
      <c r="D632">
        <v>4245329</v>
      </c>
      <c r="E632">
        <v>3251107.75</v>
      </c>
    </row>
    <row r="633" spans="1:5">
      <c r="A633">
        <v>628</v>
      </c>
      <c r="B633" s="11">
        <v>45929.395833333336</v>
      </c>
      <c r="C633" s="7">
        <v>664.61</v>
      </c>
      <c r="D633">
        <v>6495314</v>
      </c>
      <c r="E633">
        <v>3513022.75</v>
      </c>
    </row>
    <row r="634" spans="1:5">
      <c r="A634">
        <v>629</v>
      </c>
      <c r="B634" s="11">
        <v>45926.666666666664</v>
      </c>
      <c r="C634" s="7">
        <v>661.82</v>
      </c>
      <c r="D634">
        <v>0</v>
      </c>
      <c r="E634">
        <v>3080001.75</v>
      </c>
    </row>
    <row r="635" spans="1:5">
      <c r="A635">
        <v>630</v>
      </c>
      <c r="B635" s="11">
        <v>45926.645833333336</v>
      </c>
      <c r="C635" s="7">
        <v>661.82</v>
      </c>
      <c r="D635">
        <v>8059855</v>
      </c>
      <c r="E635">
        <v>3600123.75</v>
      </c>
    </row>
    <row r="636" spans="1:5">
      <c r="A636">
        <v>631</v>
      </c>
      <c r="B636" s="11">
        <v>45926.625</v>
      </c>
      <c r="C636" s="7">
        <v>661.59</v>
      </c>
      <c r="D636">
        <v>1882116</v>
      </c>
      <c r="E636">
        <v>3271120.5</v>
      </c>
    </row>
    <row r="637" spans="1:5">
      <c r="A637">
        <v>632</v>
      </c>
      <c r="B637" s="11">
        <v>45926.604166666664</v>
      </c>
      <c r="C637" s="7">
        <v>661.89499999999998</v>
      </c>
      <c r="D637">
        <v>2221379</v>
      </c>
      <c r="E637">
        <v>3421848.25</v>
      </c>
    </row>
    <row r="638" spans="1:5">
      <c r="A638">
        <v>633</v>
      </c>
      <c r="B638" s="11">
        <v>45926.583333333336</v>
      </c>
      <c r="C638" s="7">
        <v>661.77</v>
      </c>
      <c r="D638">
        <v>2571681</v>
      </c>
      <c r="E638">
        <v>3711653.25</v>
      </c>
    </row>
    <row r="639" spans="1:5">
      <c r="A639">
        <v>634</v>
      </c>
      <c r="B639" s="11">
        <v>45926.5625</v>
      </c>
      <c r="C639" s="7">
        <v>661.33</v>
      </c>
      <c r="D639">
        <v>2035646</v>
      </c>
      <c r="E639">
        <v>3741645.5</v>
      </c>
    </row>
    <row r="640" spans="1:5">
      <c r="A640">
        <v>635</v>
      </c>
      <c r="B640" s="11">
        <v>45926.541666666664</v>
      </c>
      <c r="C640" s="7">
        <v>661.63</v>
      </c>
      <c r="D640">
        <v>2018997</v>
      </c>
      <c r="E640">
        <v>3802851.5</v>
      </c>
    </row>
    <row r="641" spans="1:5">
      <c r="A641">
        <v>636</v>
      </c>
      <c r="B641" s="11">
        <v>45926.520833333336</v>
      </c>
      <c r="C641" s="7">
        <v>661.29</v>
      </c>
      <c r="D641">
        <v>2277360</v>
      </c>
      <c r="E641">
        <v>3824167.75</v>
      </c>
    </row>
    <row r="642" spans="1:5">
      <c r="A642">
        <v>637</v>
      </c>
      <c r="B642" s="11">
        <v>45926.5</v>
      </c>
      <c r="C642" s="7">
        <v>660.43</v>
      </c>
      <c r="D642">
        <v>2353614</v>
      </c>
      <c r="E642">
        <v>3833093.25</v>
      </c>
    </row>
    <row r="643" spans="1:5">
      <c r="A643">
        <v>638</v>
      </c>
      <c r="B643" s="11">
        <v>45926.479166666664</v>
      </c>
      <c r="C643" s="7">
        <v>658.71559999999999</v>
      </c>
      <c r="D643">
        <v>2391836</v>
      </c>
      <c r="E643">
        <v>3915626.75</v>
      </c>
    </row>
    <row r="644" spans="1:5">
      <c r="A644">
        <v>639</v>
      </c>
      <c r="B644" s="11">
        <v>45926.458333333336</v>
      </c>
      <c r="C644" s="7">
        <v>659.89</v>
      </c>
      <c r="D644">
        <v>2413679</v>
      </c>
      <c r="E644">
        <v>4019222.25</v>
      </c>
    </row>
    <row r="645" spans="1:5">
      <c r="A645">
        <v>640</v>
      </c>
      <c r="B645" s="11">
        <v>45926.4375</v>
      </c>
      <c r="C645" s="7">
        <v>658.45</v>
      </c>
      <c r="D645">
        <v>3465455</v>
      </c>
      <c r="E645">
        <v>4078668.75</v>
      </c>
    </row>
    <row r="646" spans="1:5">
      <c r="A646">
        <v>641</v>
      </c>
      <c r="B646" s="11">
        <v>45926.416666666664</v>
      </c>
      <c r="C646" s="7">
        <v>658.69</v>
      </c>
      <c r="D646">
        <v>6334356</v>
      </c>
      <c r="E646">
        <v>4320379</v>
      </c>
    </row>
    <row r="647" spans="1:5">
      <c r="A647">
        <v>642</v>
      </c>
      <c r="B647" s="11">
        <v>45926.395833333336</v>
      </c>
      <c r="C647" s="7">
        <v>661.83</v>
      </c>
      <c r="D647">
        <v>8174053</v>
      </c>
      <c r="E647">
        <v>4622142.5</v>
      </c>
    </row>
    <row r="648" spans="1:5">
      <c r="A648">
        <v>643</v>
      </c>
      <c r="B648" s="11">
        <v>45925.666666666664</v>
      </c>
      <c r="C648" s="7">
        <v>658.05</v>
      </c>
      <c r="D648">
        <v>0</v>
      </c>
      <c r="E648">
        <v>4077205.5</v>
      </c>
    </row>
    <row r="649" spans="1:5">
      <c r="A649">
        <v>644</v>
      </c>
      <c r="B649" s="11">
        <v>45925.645833333336</v>
      </c>
      <c r="C649" s="7">
        <v>658.05</v>
      </c>
      <c r="D649">
        <v>7801830</v>
      </c>
      <c r="E649">
        <v>4665002</v>
      </c>
    </row>
    <row r="650" spans="1:5">
      <c r="A650">
        <v>645</v>
      </c>
      <c r="B650" s="11">
        <v>45925.625</v>
      </c>
      <c r="C650" s="7">
        <v>657.47</v>
      </c>
      <c r="D650">
        <v>3124805</v>
      </c>
      <c r="E650">
        <v>4294863</v>
      </c>
    </row>
    <row r="651" spans="1:5">
      <c r="A651">
        <v>646</v>
      </c>
      <c r="B651" s="11">
        <v>45925.604166666664</v>
      </c>
      <c r="C651" s="7">
        <v>657.8</v>
      </c>
      <c r="D651">
        <v>4143031</v>
      </c>
      <c r="E651">
        <v>4265864.5</v>
      </c>
    </row>
    <row r="652" spans="1:5">
      <c r="A652">
        <v>647</v>
      </c>
      <c r="B652" s="11">
        <v>45925.583333333336</v>
      </c>
      <c r="C652" s="7">
        <v>656.96900000000005</v>
      </c>
      <c r="D652">
        <v>6568456</v>
      </c>
      <c r="E652">
        <v>4187953.5</v>
      </c>
    </row>
    <row r="653" spans="1:5">
      <c r="A653">
        <v>648</v>
      </c>
      <c r="B653" s="11">
        <v>45925.5625</v>
      </c>
      <c r="C653" s="7">
        <v>655.56500000000005</v>
      </c>
      <c r="D653">
        <v>3021565</v>
      </c>
      <c r="E653">
        <v>3937742.5</v>
      </c>
    </row>
    <row r="654" spans="1:5">
      <c r="A654">
        <v>649</v>
      </c>
      <c r="B654" s="11">
        <v>45925.541666666664</v>
      </c>
      <c r="C654" s="7">
        <v>657.24</v>
      </c>
      <c r="D654">
        <v>2953734</v>
      </c>
      <c r="E654">
        <v>3894329.25</v>
      </c>
    </row>
    <row r="655" spans="1:5">
      <c r="A655">
        <v>650</v>
      </c>
      <c r="B655" s="11">
        <v>45925.520833333336</v>
      </c>
      <c r="C655" s="7">
        <v>657.77499999999998</v>
      </c>
      <c r="D655">
        <v>2338742</v>
      </c>
      <c r="E655">
        <v>3834107.75</v>
      </c>
    </row>
    <row r="656" spans="1:5">
      <c r="A656">
        <v>651</v>
      </c>
      <c r="B656" s="11">
        <v>45925.5</v>
      </c>
      <c r="C656" s="7">
        <v>658.05499999999995</v>
      </c>
      <c r="D656">
        <v>2411244</v>
      </c>
      <c r="E656">
        <v>4025172</v>
      </c>
    </row>
    <row r="657" spans="1:5">
      <c r="A657">
        <v>652</v>
      </c>
      <c r="B657" s="11">
        <v>45925.479166666664</v>
      </c>
      <c r="C657" s="7">
        <v>658.91</v>
      </c>
      <c r="D657">
        <v>3591616</v>
      </c>
      <c r="E657">
        <v>4148627</v>
      </c>
    </row>
    <row r="658" spans="1:5">
      <c r="A658">
        <v>653</v>
      </c>
      <c r="B658" s="11">
        <v>45925.458333333336</v>
      </c>
      <c r="C658" s="7">
        <v>657.52829999999994</v>
      </c>
      <c r="D658">
        <v>3945767</v>
      </c>
      <c r="E658">
        <v>4045459</v>
      </c>
    </row>
    <row r="659" spans="1:5">
      <c r="A659">
        <v>654</v>
      </c>
      <c r="B659" s="11">
        <v>45925.4375</v>
      </c>
      <c r="C659" s="7">
        <v>658.78</v>
      </c>
      <c r="D659">
        <v>3305377</v>
      </c>
      <c r="E659">
        <v>3960422</v>
      </c>
    </row>
    <row r="660" spans="1:5">
      <c r="A660">
        <v>655</v>
      </c>
      <c r="B660" s="11">
        <v>45925.416666666664</v>
      </c>
      <c r="C660" s="7">
        <v>658.52</v>
      </c>
      <c r="D660">
        <v>7091107</v>
      </c>
      <c r="E660">
        <v>3990417</v>
      </c>
    </row>
    <row r="661" spans="1:5">
      <c r="A661">
        <v>656</v>
      </c>
      <c r="B661" s="11">
        <v>45925.395833333336</v>
      </c>
      <c r="C661" s="7">
        <v>655.99</v>
      </c>
      <c r="D661">
        <v>10860807</v>
      </c>
      <c r="E661">
        <v>3938378.5</v>
      </c>
    </row>
    <row r="662" spans="1:5">
      <c r="A662">
        <v>657</v>
      </c>
      <c r="B662" s="11">
        <v>45924.666666666664</v>
      </c>
      <c r="C662" s="7">
        <v>661.1</v>
      </c>
      <c r="D662">
        <v>0</v>
      </c>
      <c r="E662">
        <v>3214324.75</v>
      </c>
    </row>
    <row r="663" spans="1:5">
      <c r="A663">
        <v>658</v>
      </c>
      <c r="B663" s="11">
        <v>45924.645833333336</v>
      </c>
      <c r="C663" s="7">
        <v>661.1</v>
      </c>
      <c r="D663">
        <v>8816951</v>
      </c>
      <c r="E663">
        <v>3942478</v>
      </c>
    </row>
    <row r="664" spans="1:5">
      <c r="A664">
        <v>659</v>
      </c>
      <c r="B664" s="11">
        <v>45924.625</v>
      </c>
      <c r="C664" s="7">
        <v>660.80250000000001</v>
      </c>
      <c r="D664">
        <v>2249743</v>
      </c>
      <c r="E664">
        <v>3585239.25</v>
      </c>
    </row>
    <row r="665" spans="1:5">
      <c r="A665">
        <v>660</v>
      </c>
      <c r="B665" s="11">
        <v>45924.604166666664</v>
      </c>
      <c r="C665" s="7">
        <v>661.11249999999995</v>
      </c>
      <c r="D665">
        <v>2689825</v>
      </c>
      <c r="E665">
        <v>3659125.5</v>
      </c>
    </row>
    <row r="666" spans="1:5">
      <c r="A666">
        <v>661</v>
      </c>
      <c r="B666" s="11">
        <v>45924.583333333336</v>
      </c>
      <c r="C666" s="7">
        <v>660.39</v>
      </c>
      <c r="D666">
        <v>2974369</v>
      </c>
      <c r="E666">
        <v>3717351.25</v>
      </c>
    </row>
    <row r="667" spans="1:5">
      <c r="A667">
        <v>662</v>
      </c>
      <c r="B667" s="11">
        <v>45924.5625</v>
      </c>
      <c r="C667" s="7">
        <v>660.54</v>
      </c>
      <c r="D667">
        <v>2815290</v>
      </c>
      <c r="E667">
        <v>3976507.75</v>
      </c>
    </row>
    <row r="668" spans="1:5">
      <c r="A668">
        <v>663</v>
      </c>
      <c r="B668" s="11">
        <v>45924.541666666664</v>
      </c>
      <c r="C668" s="7">
        <v>661.38</v>
      </c>
      <c r="D668">
        <v>2370366</v>
      </c>
      <c r="E668">
        <v>4022156.75</v>
      </c>
    </row>
    <row r="669" spans="1:5">
      <c r="A669">
        <v>664</v>
      </c>
      <c r="B669" s="11">
        <v>45924.520833333336</v>
      </c>
      <c r="C669" s="7">
        <v>660.51</v>
      </c>
      <c r="D669">
        <v>2050414</v>
      </c>
      <c r="E669">
        <v>4079856.75</v>
      </c>
    </row>
    <row r="670" spans="1:5">
      <c r="A670">
        <v>665</v>
      </c>
      <c r="B670" s="11">
        <v>45924.5</v>
      </c>
      <c r="C670" s="7">
        <v>660.92</v>
      </c>
      <c r="D670">
        <v>5204705</v>
      </c>
      <c r="E670">
        <v>4158722.5</v>
      </c>
    </row>
    <row r="671" spans="1:5">
      <c r="A671">
        <v>666</v>
      </c>
      <c r="B671" s="11">
        <v>45924.479166666664</v>
      </c>
      <c r="C671" s="7">
        <v>660.38</v>
      </c>
      <c r="D671">
        <v>4263067</v>
      </c>
      <c r="E671">
        <v>3968104.25</v>
      </c>
    </row>
    <row r="672" spans="1:5">
      <c r="A672">
        <v>667</v>
      </c>
      <c r="B672" s="11">
        <v>45924.458333333336</v>
      </c>
      <c r="C672" s="7">
        <v>662.66499999999996</v>
      </c>
      <c r="D672">
        <v>2044097</v>
      </c>
      <c r="E672">
        <v>3824479.75</v>
      </c>
    </row>
    <row r="673" spans="1:5">
      <c r="A673">
        <v>668</v>
      </c>
      <c r="B673" s="11">
        <v>45924.4375</v>
      </c>
      <c r="C673" s="7">
        <v>663.02</v>
      </c>
      <c r="D673">
        <v>2670211</v>
      </c>
      <c r="E673">
        <v>3876482.5</v>
      </c>
    </row>
    <row r="674" spans="1:5">
      <c r="A674">
        <v>669</v>
      </c>
      <c r="B674" s="11">
        <v>45924.416666666664</v>
      </c>
      <c r="C674" s="7">
        <v>663.17</v>
      </c>
      <c r="D674">
        <v>3755304</v>
      </c>
      <c r="E674">
        <v>3978511</v>
      </c>
    </row>
    <row r="675" spans="1:5">
      <c r="A675">
        <v>670</v>
      </c>
      <c r="B675" s="11">
        <v>45924.395833333336</v>
      </c>
      <c r="C675" s="7">
        <v>663.01499999999999</v>
      </c>
      <c r="D675">
        <v>6310528</v>
      </c>
      <c r="E675">
        <v>4130752.75</v>
      </c>
    </row>
    <row r="676" spans="1:5">
      <c r="A676">
        <v>671</v>
      </c>
      <c r="B676" s="11">
        <v>45923.666666666664</v>
      </c>
      <c r="C676" s="7">
        <v>663.21</v>
      </c>
      <c r="D676">
        <v>0</v>
      </c>
      <c r="E676">
        <v>3710124.25</v>
      </c>
    </row>
    <row r="677" spans="1:5">
      <c r="A677">
        <v>672</v>
      </c>
      <c r="B677" s="11">
        <v>45923.645833333336</v>
      </c>
      <c r="C677" s="7">
        <v>663.21</v>
      </c>
      <c r="D677">
        <v>10922301</v>
      </c>
      <c r="E677">
        <v>4321685.5</v>
      </c>
    </row>
    <row r="678" spans="1:5">
      <c r="A678">
        <v>673</v>
      </c>
      <c r="B678" s="11">
        <v>45923.625</v>
      </c>
      <c r="C678" s="7">
        <v>662.39</v>
      </c>
      <c r="D678">
        <v>3458367</v>
      </c>
      <c r="E678">
        <v>3770966.75</v>
      </c>
    </row>
    <row r="679" spans="1:5">
      <c r="A679">
        <v>674</v>
      </c>
      <c r="B679" s="11">
        <v>45923.604166666664</v>
      </c>
      <c r="C679" s="7">
        <v>662.12</v>
      </c>
      <c r="D679">
        <v>3358039</v>
      </c>
      <c r="E679">
        <v>3678338.75</v>
      </c>
    </row>
    <row r="680" spans="1:5">
      <c r="A680">
        <v>675</v>
      </c>
      <c r="B680" s="11">
        <v>45923.583333333336</v>
      </c>
      <c r="C680" s="7">
        <v>662.67</v>
      </c>
      <c r="D680">
        <v>3563212</v>
      </c>
      <c r="E680">
        <v>3667477.25</v>
      </c>
    </row>
    <row r="681" spans="1:5">
      <c r="A681">
        <v>676</v>
      </c>
      <c r="B681" s="11">
        <v>45923.5625</v>
      </c>
      <c r="C681" s="7">
        <v>663.21</v>
      </c>
      <c r="D681">
        <v>6861715</v>
      </c>
      <c r="E681">
        <v>3580477.25</v>
      </c>
    </row>
    <row r="682" spans="1:5">
      <c r="A682">
        <v>677</v>
      </c>
      <c r="B682" s="11">
        <v>45923.541666666664</v>
      </c>
      <c r="C682" s="7">
        <v>663.61</v>
      </c>
      <c r="D682">
        <v>3500027</v>
      </c>
      <c r="E682">
        <v>3258847.25</v>
      </c>
    </row>
    <row r="683" spans="1:5">
      <c r="A683">
        <v>678</v>
      </c>
      <c r="B683" s="11">
        <v>45923.520833333336</v>
      </c>
      <c r="C683" s="7">
        <v>665.14</v>
      </c>
      <c r="D683">
        <v>3235866</v>
      </c>
      <c r="E683">
        <v>3256152.25</v>
      </c>
    </row>
    <row r="684" spans="1:5">
      <c r="A684">
        <v>679</v>
      </c>
      <c r="B684" s="11">
        <v>45923.5</v>
      </c>
      <c r="C684" s="7">
        <v>665.23</v>
      </c>
      <c r="D684">
        <v>3233399</v>
      </c>
      <c r="E684">
        <v>3334408.5</v>
      </c>
    </row>
    <row r="685" spans="1:5">
      <c r="A685">
        <v>680</v>
      </c>
      <c r="B685" s="11">
        <v>45923.479166666664</v>
      </c>
      <c r="C685" s="7">
        <v>665.57069999999999</v>
      </c>
      <c r="D685">
        <v>2345432</v>
      </c>
      <c r="E685">
        <v>3269006</v>
      </c>
    </row>
    <row r="686" spans="1:5">
      <c r="A686">
        <v>681</v>
      </c>
      <c r="B686" s="11">
        <v>45923.458333333336</v>
      </c>
      <c r="C686" s="7">
        <v>666.16</v>
      </c>
      <c r="D686">
        <v>2108698</v>
      </c>
      <c r="E686">
        <v>3313364</v>
      </c>
    </row>
    <row r="687" spans="1:5">
      <c r="A687">
        <v>682</v>
      </c>
      <c r="B687" s="11">
        <v>45923.4375</v>
      </c>
      <c r="C687" s="7">
        <v>666.35</v>
      </c>
      <c r="D687">
        <v>2824140</v>
      </c>
      <c r="E687">
        <v>3416740</v>
      </c>
    </row>
    <row r="688" spans="1:5">
      <c r="A688">
        <v>683</v>
      </c>
      <c r="B688" s="11">
        <v>45923.416666666664</v>
      </c>
      <c r="C688" s="7">
        <v>666.61009999999999</v>
      </c>
      <c r="D688">
        <v>4200636</v>
      </c>
      <c r="E688">
        <v>3492925.25</v>
      </c>
    </row>
    <row r="689" spans="1:5">
      <c r="A689">
        <v>684</v>
      </c>
      <c r="B689" s="11">
        <v>45923.395833333336</v>
      </c>
      <c r="C689" s="7">
        <v>666.78</v>
      </c>
      <c r="D689">
        <v>6038930</v>
      </c>
      <c r="E689">
        <v>3640255</v>
      </c>
    </row>
    <row r="690" spans="1:5">
      <c r="A690">
        <v>685</v>
      </c>
      <c r="B690" s="11">
        <v>45922.666666666664</v>
      </c>
      <c r="C690" s="7">
        <v>666.84</v>
      </c>
      <c r="D690">
        <v>1100</v>
      </c>
      <c r="E690">
        <v>3237659.5</v>
      </c>
    </row>
    <row r="691" spans="1:5">
      <c r="A691">
        <v>686</v>
      </c>
      <c r="B691" s="11">
        <v>45922.645833333336</v>
      </c>
      <c r="C691" s="7">
        <v>666.84</v>
      </c>
      <c r="D691">
        <v>9173419</v>
      </c>
      <c r="E691">
        <v>4194518</v>
      </c>
    </row>
    <row r="692" spans="1:5">
      <c r="A692">
        <v>687</v>
      </c>
      <c r="B692" s="11">
        <v>45922.625</v>
      </c>
      <c r="C692" s="7">
        <v>667.13499999999999</v>
      </c>
      <c r="D692">
        <v>2661520</v>
      </c>
      <c r="E692">
        <v>3915577.5</v>
      </c>
    </row>
    <row r="693" spans="1:5">
      <c r="A693">
        <v>688</v>
      </c>
      <c r="B693" s="11">
        <v>45922.604166666664</v>
      </c>
      <c r="C693" s="7">
        <v>666.78</v>
      </c>
      <c r="D693">
        <v>2068949</v>
      </c>
      <c r="E693">
        <v>3905399.75</v>
      </c>
    </row>
    <row r="694" spans="1:5">
      <c r="A694">
        <v>689</v>
      </c>
      <c r="B694" s="11">
        <v>45922.583333333336</v>
      </c>
      <c r="C694" s="7">
        <v>666.55</v>
      </c>
      <c r="D694">
        <v>3195115</v>
      </c>
      <c r="E694">
        <v>3958072.75</v>
      </c>
    </row>
    <row r="695" spans="1:5">
      <c r="A695">
        <v>690</v>
      </c>
      <c r="B695" s="11">
        <v>45922.5625</v>
      </c>
      <c r="C695" s="7">
        <v>666.36</v>
      </c>
      <c r="D695">
        <v>2258214</v>
      </c>
      <c r="E695">
        <v>3881466.25</v>
      </c>
    </row>
    <row r="696" spans="1:5">
      <c r="A696">
        <v>691</v>
      </c>
      <c r="B696" s="11">
        <v>45922.541666666664</v>
      </c>
      <c r="C696" s="7">
        <v>666.49</v>
      </c>
      <c r="D696">
        <v>2037264</v>
      </c>
      <c r="E696">
        <v>3835485.25</v>
      </c>
    </row>
    <row r="697" spans="1:5">
      <c r="A697">
        <v>692</v>
      </c>
      <c r="B697" s="11">
        <v>45922.520833333336</v>
      </c>
      <c r="C697" s="7">
        <v>666.40499999999997</v>
      </c>
      <c r="D697">
        <v>3459603</v>
      </c>
      <c r="E697">
        <v>3843467.5</v>
      </c>
    </row>
    <row r="698" spans="1:5">
      <c r="A698">
        <v>693</v>
      </c>
      <c r="B698" s="11">
        <v>45922.5</v>
      </c>
      <c r="C698" s="7">
        <v>665.85500000000002</v>
      </c>
      <c r="D698">
        <v>4409707</v>
      </c>
      <c r="E698">
        <v>3814333.5</v>
      </c>
    </row>
    <row r="699" spans="1:5">
      <c r="A699">
        <v>694</v>
      </c>
      <c r="B699" s="11">
        <v>45922.479166666664</v>
      </c>
      <c r="C699" s="7">
        <v>664.58500000000004</v>
      </c>
      <c r="D699">
        <v>2252363</v>
      </c>
      <c r="E699">
        <v>3682556.25</v>
      </c>
    </row>
    <row r="700" spans="1:5">
      <c r="A700">
        <v>695</v>
      </c>
      <c r="B700" s="11">
        <v>45922.458333333336</v>
      </c>
      <c r="C700" s="7">
        <v>664.93</v>
      </c>
      <c r="D700">
        <v>3010803</v>
      </c>
      <c r="E700">
        <v>3721296.75</v>
      </c>
    </row>
    <row r="701" spans="1:5">
      <c r="A701">
        <v>696</v>
      </c>
      <c r="B701" s="11">
        <v>45922.4375</v>
      </c>
      <c r="C701" s="7">
        <v>664.96</v>
      </c>
      <c r="D701">
        <v>3659337</v>
      </c>
      <c r="E701">
        <v>3746531.75</v>
      </c>
    </row>
    <row r="702" spans="1:5">
      <c r="A702">
        <v>697</v>
      </c>
      <c r="B702" s="11">
        <v>45922.416666666664</v>
      </c>
      <c r="C702" s="7">
        <v>664.07</v>
      </c>
      <c r="D702">
        <v>3966920</v>
      </c>
      <c r="E702">
        <v>3717861</v>
      </c>
    </row>
    <row r="703" spans="1:5">
      <c r="A703">
        <v>698</v>
      </c>
      <c r="B703" s="11">
        <v>45922.395833333336</v>
      </c>
      <c r="C703" s="7">
        <v>663.43</v>
      </c>
      <c r="D703">
        <v>6410580</v>
      </c>
      <c r="E703">
        <v>3992765.25</v>
      </c>
    </row>
    <row r="704" spans="1:5">
      <c r="A704">
        <v>699</v>
      </c>
      <c r="B704" s="11">
        <v>45919.666666666664</v>
      </c>
      <c r="C704" s="7">
        <v>663.7</v>
      </c>
      <c r="D704">
        <v>0</v>
      </c>
      <c r="E704">
        <v>3565393.25</v>
      </c>
    </row>
    <row r="705" spans="1:5">
      <c r="A705">
        <v>700</v>
      </c>
      <c r="B705" s="11">
        <v>45919.645833333336</v>
      </c>
      <c r="C705" s="7">
        <v>663.62</v>
      </c>
      <c r="D705">
        <v>14353976</v>
      </c>
      <c r="E705">
        <v>4387132</v>
      </c>
    </row>
    <row r="706" spans="1:5">
      <c r="A706">
        <v>701</v>
      </c>
      <c r="B706" s="11">
        <v>45919.625</v>
      </c>
      <c r="C706" s="7">
        <v>663.85</v>
      </c>
      <c r="D706">
        <v>4989312</v>
      </c>
      <c r="E706">
        <v>3680348.25</v>
      </c>
    </row>
    <row r="707" spans="1:5">
      <c r="A707">
        <v>702</v>
      </c>
      <c r="B707" s="11">
        <v>45919.604166666664</v>
      </c>
      <c r="C707" s="7">
        <v>663.07</v>
      </c>
      <c r="D707">
        <v>2508853</v>
      </c>
      <c r="E707">
        <v>3513170.25</v>
      </c>
    </row>
    <row r="708" spans="1:5">
      <c r="A708">
        <v>703</v>
      </c>
      <c r="B708" s="11">
        <v>45919.583333333336</v>
      </c>
      <c r="C708" s="7">
        <v>662.52499999999998</v>
      </c>
      <c r="D708">
        <v>2859046</v>
      </c>
      <c r="E708">
        <v>3481439.75</v>
      </c>
    </row>
    <row r="709" spans="1:5">
      <c r="A709">
        <v>704</v>
      </c>
      <c r="B709" s="11">
        <v>45919.5625</v>
      </c>
      <c r="C709" s="7">
        <v>662.7</v>
      </c>
      <c r="D709">
        <v>2046014</v>
      </c>
      <c r="E709">
        <v>3453887.5</v>
      </c>
    </row>
    <row r="710" spans="1:5">
      <c r="A710">
        <v>705</v>
      </c>
      <c r="B710" s="11">
        <v>45919.541666666664</v>
      </c>
      <c r="C710" s="7">
        <v>662.46</v>
      </c>
      <c r="D710">
        <v>1568501</v>
      </c>
      <c r="E710">
        <v>3456445.25</v>
      </c>
    </row>
    <row r="711" spans="1:5">
      <c r="A711">
        <v>706</v>
      </c>
      <c r="B711" s="11">
        <v>45919.520833333336</v>
      </c>
      <c r="C711" s="7">
        <v>662.51499999999999</v>
      </c>
      <c r="D711">
        <v>2156998</v>
      </c>
      <c r="E711">
        <v>3496015.75</v>
      </c>
    </row>
    <row r="712" spans="1:5">
      <c r="A712">
        <v>707</v>
      </c>
      <c r="B712" s="11">
        <v>45919.5</v>
      </c>
      <c r="C712" s="7">
        <v>662.46</v>
      </c>
      <c r="D712">
        <v>3022592</v>
      </c>
      <c r="E712">
        <v>3498842.5</v>
      </c>
    </row>
    <row r="713" spans="1:5">
      <c r="A713">
        <v>708</v>
      </c>
      <c r="B713" s="11">
        <v>45919.479166666664</v>
      </c>
      <c r="C713" s="7">
        <v>661.59</v>
      </c>
      <c r="D713">
        <v>2433049</v>
      </c>
      <c r="E713">
        <v>3477704</v>
      </c>
    </row>
    <row r="714" spans="1:5">
      <c r="A714">
        <v>709</v>
      </c>
      <c r="B714" s="11">
        <v>45919.458333333336</v>
      </c>
      <c r="C714" s="7">
        <v>660.7</v>
      </c>
      <c r="D714">
        <v>2833472</v>
      </c>
      <c r="E714">
        <v>3562248.25</v>
      </c>
    </row>
    <row r="715" spans="1:5">
      <c r="A715">
        <v>710</v>
      </c>
      <c r="B715" s="11">
        <v>45919.4375</v>
      </c>
      <c r="C715" s="7">
        <v>661.6</v>
      </c>
      <c r="D715">
        <v>3389325</v>
      </c>
      <c r="E715">
        <v>3697469.25</v>
      </c>
    </row>
    <row r="716" spans="1:5">
      <c r="A716">
        <v>711</v>
      </c>
      <c r="B716" s="11">
        <v>45919.416666666664</v>
      </c>
      <c r="C716" s="7">
        <v>661.875</v>
      </c>
      <c r="D716">
        <v>3229278</v>
      </c>
      <c r="E716">
        <v>3931258.25</v>
      </c>
    </row>
    <row r="717" spans="1:5">
      <c r="A717">
        <v>712</v>
      </c>
      <c r="B717" s="11">
        <v>45919.395833333336</v>
      </c>
      <c r="C717" s="7">
        <v>662.125</v>
      </c>
      <c r="D717">
        <v>8090484</v>
      </c>
      <c r="E717">
        <v>4435956</v>
      </c>
    </row>
    <row r="718" spans="1:5">
      <c r="A718">
        <v>713</v>
      </c>
      <c r="B718" s="11">
        <v>45918.666666666664</v>
      </c>
      <c r="C718" s="7">
        <v>660.42899999999997</v>
      </c>
      <c r="D718">
        <v>0</v>
      </c>
      <c r="E718">
        <v>3896590.25</v>
      </c>
    </row>
    <row r="719" spans="1:5">
      <c r="A719">
        <v>714</v>
      </c>
      <c r="B719" s="11">
        <v>45918.645833333336</v>
      </c>
      <c r="C719" s="7">
        <v>660.42899999999997</v>
      </c>
      <c r="D719">
        <v>12326079</v>
      </c>
      <c r="E719">
        <v>4620518</v>
      </c>
    </row>
    <row r="720" spans="1:5">
      <c r="A720">
        <v>715</v>
      </c>
      <c r="B720" s="11">
        <v>45918.625</v>
      </c>
      <c r="C720" s="7">
        <v>660.84780000000001</v>
      </c>
      <c r="D720">
        <v>3752219</v>
      </c>
      <c r="E720">
        <v>4432169.5</v>
      </c>
    </row>
    <row r="721" spans="1:5">
      <c r="A721">
        <v>716</v>
      </c>
      <c r="B721" s="11">
        <v>45918.604166666664</v>
      </c>
      <c r="C721" s="7">
        <v>661.42610000000002</v>
      </c>
      <c r="D721">
        <v>2481645</v>
      </c>
      <c r="E721">
        <v>5097764</v>
      </c>
    </row>
    <row r="722" spans="1:5">
      <c r="A722">
        <v>717</v>
      </c>
      <c r="B722" s="11">
        <v>45918.583333333336</v>
      </c>
      <c r="C722" s="7">
        <v>660.9674</v>
      </c>
      <c r="D722">
        <v>2032896</v>
      </c>
      <c r="E722">
        <v>5667869</v>
      </c>
    </row>
    <row r="723" spans="1:5">
      <c r="A723">
        <v>718</v>
      </c>
      <c r="B723" s="11">
        <v>45918.5625</v>
      </c>
      <c r="C723" s="7">
        <v>660.92759999999998</v>
      </c>
      <c r="D723">
        <v>2445760</v>
      </c>
      <c r="E723">
        <v>5670451.5</v>
      </c>
    </row>
    <row r="724" spans="1:5">
      <c r="A724">
        <v>719</v>
      </c>
      <c r="B724" s="11">
        <v>45918.541666666664</v>
      </c>
      <c r="C724" s="7">
        <v>661.48599999999999</v>
      </c>
      <c r="D724">
        <v>2084382</v>
      </c>
      <c r="E724">
        <v>5605500</v>
      </c>
    </row>
    <row r="725" spans="1:5">
      <c r="A725">
        <v>720</v>
      </c>
      <c r="B725" s="11">
        <v>45918.520833333336</v>
      </c>
      <c r="C725" s="7">
        <v>662.14419999999996</v>
      </c>
      <c r="D725">
        <v>2162056</v>
      </c>
      <c r="E725">
        <v>5596776.5</v>
      </c>
    </row>
    <row r="726" spans="1:5">
      <c r="A726">
        <v>721</v>
      </c>
      <c r="B726" s="11">
        <v>45918.5</v>
      </c>
      <c r="C726" s="7">
        <v>661.64549999999997</v>
      </c>
      <c r="D726">
        <v>2199402</v>
      </c>
      <c r="E726">
        <v>5525999.5</v>
      </c>
    </row>
    <row r="727" spans="1:5">
      <c r="A727">
        <v>722</v>
      </c>
      <c r="B727" s="11">
        <v>45918.479166666664</v>
      </c>
      <c r="C727" s="7">
        <v>660.72810000000004</v>
      </c>
      <c r="D727">
        <v>2705514</v>
      </c>
      <c r="E727">
        <v>5472737</v>
      </c>
    </row>
    <row r="728" spans="1:5">
      <c r="A728">
        <v>723</v>
      </c>
      <c r="B728" s="11">
        <v>45918.458333333336</v>
      </c>
      <c r="C728" s="7">
        <v>661.55579999999998</v>
      </c>
      <c r="D728">
        <v>3701212</v>
      </c>
      <c r="E728">
        <v>5397557.5</v>
      </c>
    </row>
    <row r="729" spans="1:5">
      <c r="A729">
        <v>724</v>
      </c>
      <c r="B729" s="11">
        <v>45918.4375</v>
      </c>
      <c r="C729" s="7">
        <v>660.92759999999998</v>
      </c>
      <c r="D729">
        <v>4861788</v>
      </c>
      <c r="E729">
        <v>5315088</v>
      </c>
    </row>
    <row r="730" spans="1:5">
      <c r="A730">
        <v>725</v>
      </c>
      <c r="B730" s="11">
        <v>45918.416666666664</v>
      </c>
      <c r="C730" s="7">
        <v>662.65279999999996</v>
      </c>
      <c r="D730">
        <v>6896158</v>
      </c>
      <c r="E730">
        <v>5237200.5</v>
      </c>
    </row>
    <row r="731" spans="1:5">
      <c r="A731">
        <v>726</v>
      </c>
      <c r="B731" s="11">
        <v>45918.395833333336</v>
      </c>
      <c r="C731" s="7">
        <v>660.25940000000003</v>
      </c>
      <c r="D731">
        <v>10799744</v>
      </c>
      <c r="E731">
        <v>5149174.5</v>
      </c>
    </row>
    <row r="732" spans="1:5">
      <c r="A732">
        <v>727</v>
      </c>
      <c r="B732" s="11">
        <v>45917.666666666664</v>
      </c>
      <c r="C732" s="7">
        <v>657.35739999999998</v>
      </c>
      <c r="D732">
        <v>0</v>
      </c>
      <c r="E732">
        <v>4429191.5</v>
      </c>
    </row>
    <row r="733" spans="1:5">
      <c r="A733">
        <v>728</v>
      </c>
      <c r="B733" s="11">
        <v>45917.645833333336</v>
      </c>
      <c r="C733" s="7">
        <v>657.35739999999998</v>
      </c>
      <c r="D733">
        <v>10858915</v>
      </c>
      <c r="E733">
        <v>5116068.5</v>
      </c>
    </row>
    <row r="734" spans="1:5">
      <c r="A734">
        <v>729</v>
      </c>
      <c r="B734" s="11">
        <v>45917.625</v>
      </c>
      <c r="C734" s="7">
        <v>658.245</v>
      </c>
      <c r="D734">
        <v>9500854</v>
      </c>
      <c r="E734">
        <v>4577025</v>
      </c>
    </row>
    <row r="735" spans="1:5">
      <c r="A735">
        <v>730</v>
      </c>
      <c r="B735" s="11">
        <v>45917.604166666664</v>
      </c>
      <c r="C735" s="7">
        <v>655.89149999999995</v>
      </c>
      <c r="D735">
        <v>13736131</v>
      </c>
      <c r="E735">
        <v>4081444.5</v>
      </c>
    </row>
    <row r="736" spans="1:5">
      <c r="A736">
        <v>731</v>
      </c>
      <c r="B736" s="11">
        <v>45917.583333333336</v>
      </c>
      <c r="C736" s="7">
        <v>658.53420000000006</v>
      </c>
      <c r="D736">
        <v>11033222</v>
      </c>
      <c r="E736">
        <v>3270308.25</v>
      </c>
    </row>
    <row r="737" spans="1:5">
      <c r="A737">
        <v>732</v>
      </c>
      <c r="B737" s="11">
        <v>45917.5625</v>
      </c>
      <c r="C737" s="7">
        <v>657.85609999999997</v>
      </c>
      <c r="D737">
        <v>2071635</v>
      </c>
      <c r="E737">
        <v>2640506</v>
      </c>
    </row>
    <row r="738" spans="1:5">
      <c r="A738">
        <v>733</v>
      </c>
      <c r="B738" s="11">
        <v>45917.541666666664</v>
      </c>
      <c r="C738" s="7">
        <v>656.85080000000005</v>
      </c>
      <c r="D738">
        <v>1471484</v>
      </c>
      <c r="E738">
        <v>2604756.75</v>
      </c>
    </row>
    <row r="739" spans="1:5">
      <c r="A739">
        <v>734</v>
      </c>
      <c r="B739" s="11">
        <v>45917.520833333336</v>
      </c>
      <c r="C739" s="7">
        <v>656.48990000000003</v>
      </c>
      <c r="D739">
        <v>1953532</v>
      </c>
      <c r="E739">
        <v>2619742.75</v>
      </c>
    </row>
    <row r="740" spans="1:5">
      <c r="A740">
        <v>735</v>
      </c>
      <c r="B740" s="11">
        <v>45917.5</v>
      </c>
      <c r="C740" s="7">
        <v>657.08820000000003</v>
      </c>
      <c r="D740">
        <v>1100400</v>
      </c>
      <c r="E740">
        <v>2585932.25</v>
      </c>
    </row>
    <row r="741" spans="1:5">
      <c r="A741">
        <v>736</v>
      </c>
      <c r="B741" s="11">
        <v>45917.479166666664</v>
      </c>
      <c r="C741" s="7">
        <v>657.44719999999995</v>
      </c>
      <c r="D741">
        <v>1400468</v>
      </c>
      <c r="E741">
        <v>2674282</v>
      </c>
    </row>
    <row r="742" spans="1:5">
      <c r="A742">
        <v>737</v>
      </c>
      <c r="B742" s="11">
        <v>45917.458333333336</v>
      </c>
      <c r="C742" s="7">
        <v>657.12310000000002</v>
      </c>
      <c r="D742">
        <v>1577817</v>
      </c>
      <c r="E742">
        <v>2757552.75</v>
      </c>
    </row>
    <row r="743" spans="1:5">
      <c r="A743">
        <v>738</v>
      </c>
      <c r="B743" s="11">
        <v>45917.4375</v>
      </c>
      <c r="C743" s="7">
        <v>657.53689999999995</v>
      </c>
      <c r="D743">
        <v>2464172</v>
      </c>
      <c r="E743">
        <v>2818409.75</v>
      </c>
    </row>
    <row r="744" spans="1:5">
      <c r="A744">
        <v>739</v>
      </c>
      <c r="B744" s="11">
        <v>45917.416666666664</v>
      </c>
      <c r="C744" s="7">
        <v>657.34749999999997</v>
      </c>
      <c r="D744">
        <v>3693472</v>
      </c>
      <c r="E744">
        <v>2979909.25</v>
      </c>
    </row>
    <row r="745" spans="1:5">
      <c r="A745">
        <v>740</v>
      </c>
      <c r="B745" s="11">
        <v>45917.395833333336</v>
      </c>
      <c r="C745" s="7">
        <v>658.09040000000005</v>
      </c>
      <c r="D745">
        <v>5575772</v>
      </c>
      <c r="E745">
        <v>3188961.5</v>
      </c>
    </row>
    <row r="746" spans="1:5">
      <c r="A746">
        <v>741</v>
      </c>
      <c r="B746" s="11">
        <v>45916.666666666664</v>
      </c>
      <c r="C746" s="7">
        <v>658.17520000000002</v>
      </c>
      <c r="D746">
        <v>0</v>
      </c>
      <c r="E746">
        <v>2817243.5</v>
      </c>
    </row>
    <row r="747" spans="1:5">
      <c r="A747">
        <v>742</v>
      </c>
      <c r="B747" s="11">
        <v>45916.645833333336</v>
      </c>
      <c r="C747" s="7">
        <v>658.11540000000002</v>
      </c>
      <c r="D747">
        <v>10303150</v>
      </c>
      <c r="E747">
        <v>3464692.5</v>
      </c>
    </row>
    <row r="748" spans="1:5">
      <c r="A748">
        <v>743</v>
      </c>
      <c r="B748" s="11">
        <v>45916.625</v>
      </c>
      <c r="C748" s="7">
        <v>658.33969999999999</v>
      </c>
      <c r="D748">
        <v>2773265</v>
      </c>
      <c r="E748">
        <v>2959826.5</v>
      </c>
    </row>
    <row r="749" spans="1:5">
      <c r="A749">
        <v>744</v>
      </c>
      <c r="B749" s="11">
        <v>45916.604166666664</v>
      </c>
      <c r="C749" s="7">
        <v>658.77350000000001</v>
      </c>
      <c r="D749">
        <v>2067146</v>
      </c>
      <c r="E749">
        <v>2981609</v>
      </c>
    </row>
    <row r="750" spans="1:5">
      <c r="A750">
        <v>745</v>
      </c>
      <c r="B750" s="11">
        <v>45916.583333333336</v>
      </c>
      <c r="C750" s="7">
        <v>658.37959999999998</v>
      </c>
      <c r="D750">
        <v>1569088</v>
      </c>
      <c r="E750">
        <v>3007702.5</v>
      </c>
    </row>
    <row r="751" spans="1:5">
      <c r="A751">
        <v>746</v>
      </c>
      <c r="B751" s="11">
        <v>45916.5625</v>
      </c>
      <c r="C751" s="7">
        <v>658.35469999999998</v>
      </c>
      <c r="D751">
        <v>1586188</v>
      </c>
      <c r="E751">
        <v>3063044</v>
      </c>
    </row>
    <row r="752" spans="1:5">
      <c r="A752">
        <v>747</v>
      </c>
      <c r="B752" s="11">
        <v>45916.541666666664</v>
      </c>
      <c r="C752" s="7">
        <v>658.45370000000003</v>
      </c>
      <c r="D752">
        <v>1535396</v>
      </c>
      <c r="E752">
        <v>3131699.25</v>
      </c>
    </row>
    <row r="753" spans="1:5">
      <c r="A753">
        <v>748</v>
      </c>
      <c r="B753" s="11">
        <v>45916.520833333336</v>
      </c>
      <c r="C753" s="7">
        <v>658.08040000000005</v>
      </c>
      <c r="D753">
        <v>1696275</v>
      </c>
      <c r="E753">
        <v>3159401.5</v>
      </c>
    </row>
    <row r="754" spans="1:5">
      <c r="A754">
        <v>749</v>
      </c>
      <c r="B754" s="11">
        <v>45916.5</v>
      </c>
      <c r="C754" s="7">
        <v>658.05550000000005</v>
      </c>
      <c r="D754">
        <v>1446374</v>
      </c>
      <c r="E754">
        <v>3180462.25</v>
      </c>
    </row>
    <row r="755" spans="1:5">
      <c r="A755">
        <v>750</v>
      </c>
      <c r="B755" s="11">
        <v>45916.479166666664</v>
      </c>
      <c r="C755" s="7">
        <v>657.83119999999997</v>
      </c>
      <c r="D755">
        <v>2425647</v>
      </c>
      <c r="E755">
        <v>3229229.75</v>
      </c>
    </row>
    <row r="756" spans="1:5">
      <c r="A756">
        <v>751</v>
      </c>
      <c r="B756" s="11">
        <v>45916.458333333336</v>
      </c>
      <c r="C756" s="7">
        <v>657.77760000000001</v>
      </c>
      <c r="D756">
        <v>2649531</v>
      </c>
      <c r="E756">
        <v>3261760.75</v>
      </c>
    </row>
    <row r="757" spans="1:5">
      <c r="A757">
        <v>752</v>
      </c>
      <c r="B757" s="11">
        <v>45916.4375</v>
      </c>
      <c r="C757" s="7">
        <v>658.06550000000004</v>
      </c>
      <c r="D757">
        <v>2490671</v>
      </c>
      <c r="E757">
        <v>3317867.75</v>
      </c>
    </row>
    <row r="758" spans="1:5">
      <c r="A758">
        <v>753</v>
      </c>
      <c r="B758" s="11">
        <v>45916.416666666664</v>
      </c>
      <c r="C758" s="7">
        <v>658.08540000000005</v>
      </c>
      <c r="D758">
        <v>4886664</v>
      </c>
      <c r="E758">
        <v>3393035</v>
      </c>
    </row>
    <row r="759" spans="1:5">
      <c r="A759">
        <v>754</v>
      </c>
      <c r="B759" s="11">
        <v>45916.395833333336</v>
      </c>
      <c r="C759" s="7">
        <v>658.37459999999999</v>
      </c>
      <c r="D759">
        <v>6829256</v>
      </c>
      <c r="E759">
        <v>3532833.75</v>
      </c>
    </row>
    <row r="760" spans="1:5">
      <c r="A760">
        <v>755</v>
      </c>
      <c r="B760" s="11">
        <v>45915.666666666664</v>
      </c>
      <c r="C760" s="7">
        <v>659.08259999999996</v>
      </c>
      <c r="D760">
        <v>0</v>
      </c>
      <c r="E760">
        <v>3077550.25</v>
      </c>
    </row>
    <row r="761" spans="1:5">
      <c r="A761">
        <v>756</v>
      </c>
      <c r="B761" s="11">
        <v>45915.645833333336</v>
      </c>
      <c r="C761" s="7">
        <v>659.08259999999996</v>
      </c>
      <c r="D761">
        <v>9711736</v>
      </c>
      <c r="E761">
        <v>4005846.75</v>
      </c>
    </row>
    <row r="762" spans="1:5">
      <c r="A762">
        <v>757</v>
      </c>
      <c r="B762" s="11">
        <v>45915.625</v>
      </c>
      <c r="C762" s="7">
        <v>658.20510000000002</v>
      </c>
      <c r="D762">
        <v>2730160</v>
      </c>
      <c r="E762">
        <v>3665615.25</v>
      </c>
    </row>
    <row r="763" spans="1:5">
      <c r="A763">
        <v>758</v>
      </c>
      <c r="B763" s="11">
        <v>45915.604166666664</v>
      </c>
      <c r="C763" s="7">
        <v>658.16520000000003</v>
      </c>
      <c r="D763">
        <v>3100002</v>
      </c>
      <c r="E763">
        <v>3727494</v>
      </c>
    </row>
    <row r="764" spans="1:5">
      <c r="A764">
        <v>759</v>
      </c>
      <c r="B764" s="11">
        <v>45915.583333333336</v>
      </c>
      <c r="C764" s="7">
        <v>658.06550000000004</v>
      </c>
      <c r="D764">
        <v>2458550</v>
      </c>
      <c r="E764">
        <v>3683675.75</v>
      </c>
    </row>
    <row r="765" spans="1:5">
      <c r="A765">
        <v>760</v>
      </c>
      <c r="B765" s="11">
        <v>45915.5625</v>
      </c>
      <c r="C765" s="7">
        <v>658.76350000000002</v>
      </c>
      <c r="D765">
        <v>2399210</v>
      </c>
      <c r="E765">
        <v>3648780.75</v>
      </c>
    </row>
    <row r="766" spans="1:5">
      <c r="A766">
        <v>761</v>
      </c>
      <c r="B766" s="11">
        <v>45915.541666666664</v>
      </c>
      <c r="C766" s="7">
        <v>657.89589999999998</v>
      </c>
      <c r="D766">
        <v>2616018</v>
      </c>
      <c r="E766">
        <v>3612646.25</v>
      </c>
    </row>
    <row r="767" spans="1:5">
      <c r="A767">
        <v>762</v>
      </c>
      <c r="B767" s="11">
        <v>45915.520833333336</v>
      </c>
      <c r="C767" s="7">
        <v>658.2998</v>
      </c>
      <c r="D767">
        <v>1950928</v>
      </c>
      <c r="E767">
        <v>3577736</v>
      </c>
    </row>
    <row r="768" spans="1:5">
      <c r="A768">
        <v>763</v>
      </c>
      <c r="B768" s="11">
        <v>45915.5</v>
      </c>
      <c r="C768" s="7">
        <v>658.79349999999999</v>
      </c>
      <c r="D768">
        <v>2012186</v>
      </c>
      <c r="E768">
        <v>3574280.75</v>
      </c>
    </row>
    <row r="769" spans="1:5">
      <c r="A769">
        <v>764</v>
      </c>
      <c r="B769" s="11">
        <v>45915.479166666664</v>
      </c>
      <c r="C769" s="7">
        <v>658.77850000000001</v>
      </c>
      <c r="D769">
        <v>2177889</v>
      </c>
      <c r="E769">
        <v>3586517.5</v>
      </c>
    </row>
    <row r="770" spans="1:5">
      <c r="A770">
        <v>765</v>
      </c>
      <c r="B770" s="11">
        <v>45915.458333333336</v>
      </c>
      <c r="C770" s="7">
        <v>658.53920000000005</v>
      </c>
      <c r="D770">
        <v>2913610</v>
      </c>
      <c r="E770">
        <v>3596596</v>
      </c>
    </row>
    <row r="771" spans="1:5">
      <c r="A771">
        <v>766</v>
      </c>
      <c r="B771" s="11">
        <v>45915.4375</v>
      </c>
      <c r="C771" s="7">
        <v>659.20230000000004</v>
      </c>
      <c r="D771">
        <v>3491136</v>
      </c>
      <c r="E771">
        <v>3576876.5</v>
      </c>
    </row>
    <row r="772" spans="1:5">
      <c r="A772">
        <v>767</v>
      </c>
      <c r="B772" s="11">
        <v>45915.416666666664</v>
      </c>
      <c r="C772" s="7">
        <v>658.86329999999998</v>
      </c>
      <c r="D772">
        <v>3618180</v>
      </c>
      <c r="E772">
        <v>3583121.5</v>
      </c>
    </row>
    <row r="773" spans="1:5">
      <c r="A773">
        <v>768</v>
      </c>
      <c r="B773" s="11">
        <v>45915.395833333336</v>
      </c>
      <c r="C773" s="7">
        <v>658.89319999999998</v>
      </c>
      <c r="D773">
        <v>6983647</v>
      </c>
      <c r="E773">
        <v>3733045.75</v>
      </c>
    </row>
    <row r="774" spans="1:5">
      <c r="A774">
        <v>769</v>
      </c>
      <c r="B774" s="11">
        <v>45912.666666666664</v>
      </c>
      <c r="C774" s="7">
        <v>655.59230000000002</v>
      </c>
      <c r="D774">
        <v>0</v>
      </c>
      <c r="E774">
        <v>3267469.5</v>
      </c>
    </row>
    <row r="775" spans="1:5">
      <c r="A775">
        <v>770</v>
      </c>
      <c r="B775" s="11">
        <v>45912.645833333336</v>
      </c>
      <c r="C775" s="7">
        <v>655.59230000000002</v>
      </c>
      <c r="D775">
        <v>13924448</v>
      </c>
      <c r="E775">
        <v>3981077.75</v>
      </c>
    </row>
    <row r="776" spans="1:5">
      <c r="A776">
        <v>771</v>
      </c>
      <c r="B776" s="11">
        <v>45912.625</v>
      </c>
      <c r="C776" s="7">
        <v>656.32039999999995</v>
      </c>
      <c r="D776">
        <v>4608264</v>
      </c>
      <c r="E776">
        <v>3254227.75</v>
      </c>
    </row>
    <row r="777" spans="1:5">
      <c r="A777">
        <v>772</v>
      </c>
      <c r="B777" s="11">
        <v>45912.604166666664</v>
      </c>
      <c r="C777" s="7">
        <v>656.97349999999994</v>
      </c>
      <c r="D777">
        <v>3658342</v>
      </c>
      <c r="E777">
        <v>3093211.25</v>
      </c>
    </row>
    <row r="778" spans="1:5">
      <c r="A778">
        <v>773</v>
      </c>
      <c r="B778" s="11">
        <v>45912.583333333336</v>
      </c>
      <c r="C778" s="7">
        <v>656.6893</v>
      </c>
      <c r="D778">
        <v>2442729</v>
      </c>
      <c r="E778">
        <v>3038016.25</v>
      </c>
    </row>
    <row r="779" spans="1:5">
      <c r="A779">
        <v>774</v>
      </c>
      <c r="B779" s="11">
        <v>45912.5625</v>
      </c>
      <c r="C779" s="7">
        <v>656.56460000000004</v>
      </c>
      <c r="D779">
        <v>1935124</v>
      </c>
      <c r="E779">
        <v>2984576</v>
      </c>
    </row>
    <row r="780" spans="1:5">
      <c r="A780">
        <v>775</v>
      </c>
      <c r="B780" s="11">
        <v>45912.541666666664</v>
      </c>
      <c r="C780" s="7">
        <v>656.28039999999999</v>
      </c>
      <c r="D780">
        <v>1857194</v>
      </c>
      <c r="E780">
        <v>2975382.75</v>
      </c>
    </row>
    <row r="781" spans="1:5">
      <c r="A781">
        <v>776</v>
      </c>
      <c r="B781" s="11">
        <v>45912.520833333336</v>
      </c>
      <c r="C781" s="7">
        <v>656.26049999999998</v>
      </c>
      <c r="D781">
        <v>2092363</v>
      </c>
      <c r="E781">
        <v>2955753.25</v>
      </c>
    </row>
    <row r="782" spans="1:5">
      <c r="A782">
        <v>777</v>
      </c>
      <c r="B782" s="11">
        <v>45912.5</v>
      </c>
      <c r="C782" s="7">
        <v>656.2405</v>
      </c>
      <c r="D782">
        <v>1899098</v>
      </c>
      <c r="E782">
        <v>2953780</v>
      </c>
    </row>
    <row r="783" spans="1:5">
      <c r="A783">
        <v>778</v>
      </c>
      <c r="B783" s="11">
        <v>45912.479166666664</v>
      </c>
      <c r="C783" s="7">
        <v>655.78179999999998</v>
      </c>
      <c r="D783">
        <v>2195737</v>
      </c>
      <c r="E783">
        <v>3008284.5</v>
      </c>
    </row>
    <row r="784" spans="1:5">
      <c r="A784">
        <v>779</v>
      </c>
      <c r="B784" s="11">
        <v>45912.458333333336</v>
      </c>
      <c r="C784" s="7">
        <v>655.82169999999996</v>
      </c>
      <c r="D784">
        <v>2329069</v>
      </c>
      <c r="E784">
        <v>3069653.5</v>
      </c>
    </row>
    <row r="785" spans="1:5">
      <c r="A785">
        <v>780</v>
      </c>
      <c r="B785" s="11">
        <v>45912.4375</v>
      </c>
      <c r="C785" s="7">
        <v>656.56460000000004</v>
      </c>
      <c r="D785">
        <v>2617818</v>
      </c>
      <c r="E785">
        <v>3174455</v>
      </c>
    </row>
    <row r="786" spans="1:5">
      <c r="A786">
        <v>781</v>
      </c>
      <c r="B786" s="11">
        <v>45912.416666666664</v>
      </c>
      <c r="C786" s="7">
        <v>656.14089999999999</v>
      </c>
      <c r="D786">
        <v>3584808</v>
      </c>
      <c r="E786">
        <v>3271673.5</v>
      </c>
    </row>
    <row r="787" spans="1:5">
      <c r="A787">
        <v>782</v>
      </c>
      <c r="B787" s="11">
        <v>45912.395833333336</v>
      </c>
      <c r="C787" s="7">
        <v>655.82169999999996</v>
      </c>
      <c r="D787">
        <v>5867047</v>
      </c>
      <c r="E787">
        <v>3509190.75</v>
      </c>
    </row>
    <row r="788" spans="1:5">
      <c r="A788">
        <v>783</v>
      </c>
      <c r="B788" s="11">
        <v>45911.666666666664</v>
      </c>
      <c r="C788" s="7">
        <v>655.81169999999997</v>
      </c>
      <c r="D788">
        <v>0</v>
      </c>
      <c r="E788">
        <v>3118054.25</v>
      </c>
    </row>
    <row r="789" spans="1:5">
      <c r="A789">
        <v>784</v>
      </c>
      <c r="B789" s="11">
        <v>45911.645833333336</v>
      </c>
      <c r="C789" s="7">
        <v>655.81169999999997</v>
      </c>
      <c r="D789">
        <v>10704125</v>
      </c>
      <c r="E789">
        <v>3770076.5</v>
      </c>
    </row>
    <row r="790" spans="1:5">
      <c r="A790">
        <v>785</v>
      </c>
      <c r="B790" s="11">
        <v>45911.625</v>
      </c>
      <c r="C790" s="7">
        <v>655.92139999999995</v>
      </c>
      <c r="D790">
        <v>3021699</v>
      </c>
      <c r="E790">
        <v>3340762.25</v>
      </c>
    </row>
    <row r="791" spans="1:5">
      <c r="A791">
        <v>786</v>
      </c>
      <c r="B791" s="11">
        <v>45911.604166666664</v>
      </c>
      <c r="C791" s="7">
        <v>655.68709999999999</v>
      </c>
      <c r="D791">
        <v>2193014</v>
      </c>
      <c r="E791">
        <v>3345509</v>
      </c>
    </row>
    <row r="792" spans="1:5">
      <c r="A792">
        <v>787</v>
      </c>
      <c r="B792" s="11">
        <v>45911.583333333336</v>
      </c>
      <c r="C792" s="7">
        <v>655.51260000000002</v>
      </c>
      <c r="D792">
        <v>2830419</v>
      </c>
      <c r="E792">
        <v>3391178.25</v>
      </c>
    </row>
    <row r="793" spans="1:5">
      <c r="A793">
        <v>788</v>
      </c>
      <c r="B793" s="11">
        <v>45911.5625</v>
      </c>
      <c r="C793" s="7">
        <v>655.76189999999997</v>
      </c>
      <c r="D793">
        <v>1641125</v>
      </c>
      <c r="E793">
        <v>3345405.25</v>
      </c>
    </row>
    <row r="794" spans="1:5">
      <c r="A794">
        <v>789</v>
      </c>
      <c r="B794" s="11">
        <v>45911.541666666664</v>
      </c>
      <c r="C794" s="7">
        <v>655.29819999999995</v>
      </c>
      <c r="D794">
        <v>1797225</v>
      </c>
      <c r="E794">
        <v>3375722</v>
      </c>
    </row>
    <row r="795" spans="1:5">
      <c r="A795">
        <v>790</v>
      </c>
      <c r="B795" s="11">
        <v>45911.520833333336</v>
      </c>
      <c r="C795" s="7">
        <v>655.30319999999995</v>
      </c>
      <c r="D795">
        <v>1562753</v>
      </c>
      <c r="E795">
        <v>3372971</v>
      </c>
    </row>
    <row r="796" spans="1:5">
      <c r="A796">
        <v>791</v>
      </c>
      <c r="B796" s="11">
        <v>45911.5</v>
      </c>
      <c r="C796" s="7">
        <v>655.56240000000003</v>
      </c>
      <c r="D796">
        <v>2062764</v>
      </c>
      <c r="E796">
        <v>3382306.5</v>
      </c>
    </row>
    <row r="797" spans="1:5">
      <c r="A797">
        <v>792</v>
      </c>
      <c r="B797" s="11">
        <v>45911.479166666664</v>
      </c>
      <c r="C797" s="7">
        <v>655.39290000000005</v>
      </c>
      <c r="D797">
        <v>2716666</v>
      </c>
      <c r="E797">
        <v>3419845.75</v>
      </c>
    </row>
    <row r="798" spans="1:5">
      <c r="A798">
        <v>793</v>
      </c>
      <c r="B798" s="11">
        <v>45911.458333333336</v>
      </c>
      <c r="C798" s="7">
        <v>655.63229999999999</v>
      </c>
      <c r="D798">
        <v>3116269</v>
      </c>
      <c r="E798">
        <v>3514939.25</v>
      </c>
    </row>
    <row r="799" spans="1:5">
      <c r="A799">
        <v>794</v>
      </c>
      <c r="B799" s="11">
        <v>45911.4375</v>
      </c>
      <c r="C799" s="7">
        <v>654.81449999999995</v>
      </c>
      <c r="D799">
        <v>3901094</v>
      </c>
      <c r="E799">
        <v>3545922.5</v>
      </c>
    </row>
    <row r="800" spans="1:5">
      <c r="A800">
        <v>795</v>
      </c>
      <c r="B800" s="11">
        <v>45911.416666666664</v>
      </c>
      <c r="C800" s="7">
        <v>654.13639999999998</v>
      </c>
      <c r="D800">
        <v>4076095</v>
      </c>
      <c r="E800">
        <v>3595567.75</v>
      </c>
    </row>
    <row r="801" spans="1:5">
      <c r="A801">
        <v>796</v>
      </c>
      <c r="B801" s="11">
        <v>45911.395833333336</v>
      </c>
      <c r="C801" s="7">
        <v>653.80229999999995</v>
      </c>
      <c r="D801">
        <v>7147567</v>
      </c>
      <c r="E801">
        <v>3850113.75</v>
      </c>
    </row>
    <row r="802" spans="1:5">
      <c r="A802">
        <v>797</v>
      </c>
      <c r="B802" s="11">
        <v>45910.666666666664</v>
      </c>
      <c r="C802" s="7">
        <v>650.4067</v>
      </c>
      <c r="D802">
        <v>0</v>
      </c>
      <c r="E802">
        <v>3373609.25</v>
      </c>
    </row>
    <row r="803" spans="1:5">
      <c r="A803">
        <v>798</v>
      </c>
      <c r="B803" s="11">
        <v>45910.645833333336</v>
      </c>
      <c r="C803" s="7">
        <v>650.4067</v>
      </c>
      <c r="D803">
        <v>9780332</v>
      </c>
      <c r="E803">
        <v>3869984.5</v>
      </c>
    </row>
    <row r="804" spans="1:5">
      <c r="A804">
        <v>799</v>
      </c>
      <c r="B804" s="11">
        <v>45910.625</v>
      </c>
      <c r="C804" s="7">
        <v>649.06039999999996</v>
      </c>
      <c r="D804">
        <v>4264411</v>
      </c>
      <c r="E804">
        <v>3376710.5</v>
      </c>
    </row>
    <row r="805" spans="1:5">
      <c r="A805">
        <v>800</v>
      </c>
      <c r="B805" s="11">
        <v>45910.604166666664</v>
      </c>
      <c r="C805" s="7">
        <v>650.18730000000005</v>
      </c>
      <c r="D805">
        <v>3092900</v>
      </c>
      <c r="E805">
        <v>3229745.5</v>
      </c>
    </row>
    <row r="806" spans="1:5">
      <c r="A806">
        <v>801</v>
      </c>
      <c r="B806" s="11">
        <v>45910.583333333336</v>
      </c>
      <c r="C806" s="7">
        <v>649.85820000000001</v>
      </c>
      <c r="D806">
        <v>2878052</v>
      </c>
      <c r="E806">
        <v>3147178</v>
      </c>
    </row>
    <row r="807" spans="1:5">
      <c r="A807">
        <v>802</v>
      </c>
      <c r="B807" s="11">
        <v>45910.5625</v>
      </c>
      <c r="C807" s="7">
        <v>650.50639999999999</v>
      </c>
      <c r="D807">
        <v>2143827</v>
      </c>
      <c r="E807">
        <v>3074615.5</v>
      </c>
    </row>
    <row r="808" spans="1:5">
      <c r="A808">
        <v>803</v>
      </c>
      <c r="B808" s="11">
        <v>45910.541666666664</v>
      </c>
      <c r="C808" s="7">
        <v>650.47159999999997</v>
      </c>
      <c r="D808">
        <v>2095874</v>
      </c>
      <c r="E808">
        <v>3097192.75</v>
      </c>
    </row>
    <row r="809" spans="1:5">
      <c r="A809">
        <v>804</v>
      </c>
      <c r="B809" s="11">
        <v>45910.520833333336</v>
      </c>
      <c r="C809" s="7">
        <v>651.10469999999998</v>
      </c>
      <c r="D809">
        <v>1755961</v>
      </c>
      <c r="E809">
        <v>3074025.5</v>
      </c>
    </row>
    <row r="810" spans="1:5">
      <c r="A810">
        <v>805</v>
      </c>
      <c r="B810" s="11">
        <v>45910.5</v>
      </c>
      <c r="C810" s="7">
        <v>650.84550000000002</v>
      </c>
      <c r="D810">
        <v>1702786</v>
      </c>
      <c r="E810">
        <v>3103717.5</v>
      </c>
    </row>
    <row r="811" spans="1:5">
      <c r="A811">
        <v>806</v>
      </c>
      <c r="B811" s="11">
        <v>45910.479166666664</v>
      </c>
      <c r="C811" s="7">
        <v>651.51869999999997</v>
      </c>
      <c r="D811">
        <v>2625853</v>
      </c>
      <c r="E811">
        <v>3133263.25</v>
      </c>
    </row>
    <row r="812" spans="1:5">
      <c r="A812">
        <v>807</v>
      </c>
      <c r="B812" s="11">
        <v>45910.458333333336</v>
      </c>
      <c r="C812" s="7">
        <v>651.04489999999998</v>
      </c>
      <c r="D812">
        <v>4143067</v>
      </c>
      <c r="E812">
        <v>3129080.5</v>
      </c>
    </row>
    <row r="813" spans="1:5">
      <c r="A813">
        <v>808</v>
      </c>
      <c r="B813" s="11">
        <v>45910.4375</v>
      </c>
      <c r="C813" s="7">
        <v>651.61329999999998</v>
      </c>
      <c r="D813">
        <v>3581019</v>
      </c>
      <c r="E813">
        <v>3164726.5</v>
      </c>
    </row>
    <row r="814" spans="1:5">
      <c r="A814">
        <v>809</v>
      </c>
      <c r="B814" s="11">
        <v>45910.416666666664</v>
      </c>
      <c r="C814" s="7">
        <v>652.08709999999996</v>
      </c>
      <c r="D814">
        <v>4645773</v>
      </c>
      <c r="E814">
        <v>3230328.25</v>
      </c>
    </row>
    <row r="815" spans="1:5">
      <c r="A815">
        <v>810</v>
      </c>
      <c r="B815" s="11">
        <v>45910.395833333336</v>
      </c>
      <c r="C815" s="7">
        <v>651.75459999999998</v>
      </c>
      <c r="D815">
        <v>7894285</v>
      </c>
      <c r="E815">
        <v>3207966</v>
      </c>
    </row>
    <row r="816" spans="1:5">
      <c r="A816">
        <v>811</v>
      </c>
      <c r="B816" s="11">
        <v>45909.666666666664</v>
      </c>
      <c r="C816" s="7">
        <v>648.53189999999995</v>
      </c>
      <c r="D816">
        <v>0</v>
      </c>
      <c r="E816">
        <v>2681680.25</v>
      </c>
    </row>
    <row r="817" spans="1:5">
      <c r="A817">
        <v>812</v>
      </c>
      <c r="B817" s="11">
        <v>45909.645833333336</v>
      </c>
      <c r="C817" s="7">
        <v>648.57180000000005</v>
      </c>
      <c r="D817">
        <v>7445627</v>
      </c>
      <c r="E817">
        <v>3379823.75</v>
      </c>
    </row>
    <row r="818" spans="1:5">
      <c r="A818">
        <v>813</v>
      </c>
      <c r="B818" s="11">
        <v>45909.625</v>
      </c>
      <c r="C818" s="7">
        <v>648.26760000000002</v>
      </c>
      <c r="D818">
        <v>2381221</v>
      </c>
      <c r="E818">
        <v>3098699.75</v>
      </c>
    </row>
    <row r="819" spans="1:5">
      <c r="A819">
        <v>814</v>
      </c>
      <c r="B819" s="11">
        <v>45909.604166666664</v>
      </c>
      <c r="C819" s="7">
        <v>648.05319999999995</v>
      </c>
      <c r="D819">
        <v>2059936</v>
      </c>
      <c r="E819">
        <v>3068505.5</v>
      </c>
    </row>
    <row r="820" spans="1:5">
      <c r="A820">
        <v>815</v>
      </c>
      <c r="B820" s="11">
        <v>45909.583333333336</v>
      </c>
      <c r="C820" s="7">
        <v>648.04330000000004</v>
      </c>
      <c r="D820">
        <v>1854390</v>
      </c>
      <c r="E820">
        <v>3082076.75</v>
      </c>
    </row>
    <row r="821" spans="1:5">
      <c r="A821">
        <v>816</v>
      </c>
      <c r="B821" s="11">
        <v>45909.5625</v>
      </c>
      <c r="C821" s="7">
        <v>647.98350000000005</v>
      </c>
      <c r="D821">
        <v>1789615</v>
      </c>
      <c r="E821">
        <v>3059194.75</v>
      </c>
    </row>
    <row r="822" spans="1:5">
      <c r="A822">
        <v>817</v>
      </c>
      <c r="B822" s="11">
        <v>45909.541666666664</v>
      </c>
      <c r="C822" s="7">
        <v>647.76900000000001</v>
      </c>
      <c r="D822">
        <v>2482484</v>
      </c>
      <c r="E822">
        <v>3041022.25</v>
      </c>
    </row>
    <row r="823" spans="1:5">
      <c r="A823">
        <v>818</v>
      </c>
      <c r="B823" s="11">
        <v>45909.520833333336</v>
      </c>
      <c r="C823" s="7">
        <v>647.2355</v>
      </c>
      <c r="D823">
        <v>1748365</v>
      </c>
      <c r="E823">
        <v>3009047</v>
      </c>
    </row>
    <row r="824" spans="1:5">
      <c r="A824">
        <v>819</v>
      </c>
      <c r="B824" s="11">
        <v>45909.5</v>
      </c>
      <c r="C824" s="7">
        <v>647.06060000000002</v>
      </c>
      <c r="D824">
        <v>2201340</v>
      </c>
      <c r="E824">
        <v>3017567.5</v>
      </c>
    </row>
    <row r="825" spans="1:5">
      <c r="A825">
        <v>820</v>
      </c>
      <c r="B825" s="11">
        <v>45909.479166666664</v>
      </c>
      <c r="C825" s="7">
        <v>646.48760000000004</v>
      </c>
      <c r="D825">
        <v>2145975</v>
      </c>
      <c r="E825">
        <v>3026966.75</v>
      </c>
    </row>
    <row r="826" spans="1:5">
      <c r="A826">
        <v>821</v>
      </c>
      <c r="B826" s="11">
        <v>45909.458333333336</v>
      </c>
      <c r="C826" s="7">
        <v>646.95630000000006</v>
      </c>
      <c r="D826">
        <v>2563110</v>
      </c>
      <c r="E826">
        <v>3038920.75</v>
      </c>
    </row>
    <row r="827" spans="1:5">
      <c r="A827">
        <v>822</v>
      </c>
      <c r="B827" s="11">
        <v>45909.4375</v>
      </c>
      <c r="C827" s="7">
        <v>646.55740000000003</v>
      </c>
      <c r="D827">
        <v>4677759</v>
      </c>
      <c r="E827">
        <v>3056672.25</v>
      </c>
    </row>
    <row r="828" spans="1:5">
      <c r="A828">
        <v>823</v>
      </c>
      <c r="B828" s="11">
        <v>45909.416666666664</v>
      </c>
      <c r="C828" s="7">
        <v>646.94629999999995</v>
      </c>
      <c r="D828">
        <v>4565043</v>
      </c>
      <c r="E828">
        <v>2974303.75</v>
      </c>
    </row>
    <row r="829" spans="1:5">
      <c r="A829">
        <v>824</v>
      </c>
      <c r="B829" s="11">
        <v>45909.395833333336</v>
      </c>
      <c r="C829" s="7">
        <v>647.24549999999999</v>
      </c>
      <c r="D829">
        <v>4310339</v>
      </c>
      <c r="E829">
        <v>3067247</v>
      </c>
    </row>
    <row r="830" spans="1:5">
      <c r="A830">
        <v>825</v>
      </c>
      <c r="B830" s="11">
        <v>45908.666666666664</v>
      </c>
      <c r="C830" s="7">
        <v>647.03610000000003</v>
      </c>
      <c r="D830">
        <v>0</v>
      </c>
      <c r="E830">
        <v>2779891</v>
      </c>
    </row>
    <row r="831" spans="1:5">
      <c r="A831">
        <v>826</v>
      </c>
      <c r="B831" s="11">
        <v>45908.645833333336</v>
      </c>
      <c r="C831" s="7">
        <v>647.03610000000003</v>
      </c>
      <c r="D831">
        <v>10472152</v>
      </c>
      <c r="E831">
        <v>3352260.5</v>
      </c>
    </row>
    <row r="832" spans="1:5">
      <c r="A832">
        <v>827</v>
      </c>
      <c r="B832" s="11">
        <v>45908.625</v>
      </c>
      <c r="C832" s="7">
        <v>645.81939999999997</v>
      </c>
      <c r="D832">
        <v>3228769</v>
      </c>
      <c r="E832">
        <v>2900477.25</v>
      </c>
    </row>
    <row r="833" spans="1:5">
      <c r="A833">
        <v>828</v>
      </c>
      <c r="B833" s="11">
        <v>45908.604166666664</v>
      </c>
      <c r="C833" s="7">
        <v>646.39779999999996</v>
      </c>
      <c r="D833">
        <v>1928307</v>
      </c>
      <c r="E833">
        <v>2840020.75</v>
      </c>
    </row>
    <row r="834" spans="1:5">
      <c r="A834">
        <v>829</v>
      </c>
      <c r="B834" s="11">
        <v>45908.583333333336</v>
      </c>
      <c r="C834" s="7">
        <v>646.61220000000003</v>
      </c>
      <c r="D834">
        <v>2263502</v>
      </c>
      <c r="E834">
        <v>2887917.75</v>
      </c>
    </row>
    <row r="835" spans="1:5">
      <c r="A835">
        <v>830</v>
      </c>
      <c r="B835" s="11">
        <v>45908.5625</v>
      </c>
      <c r="C835" s="7">
        <v>645.78530000000001</v>
      </c>
      <c r="D835">
        <v>1511160</v>
      </c>
      <c r="E835">
        <v>2904423</v>
      </c>
    </row>
    <row r="836" spans="1:5">
      <c r="A836">
        <v>831</v>
      </c>
      <c r="B836" s="11">
        <v>45908.541666666664</v>
      </c>
      <c r="C836" s="7">
        <v>646.71699999999998</v>
      </c>
      <c r="D836">
        <v>1517027</v>
      </c>
      <c r="E836">
        <v>2961050.5</v>
      </c>
    </row>
    <row r="837" spans="1:5">
      <c r="A837">
        <v>832</v>
      </c>
      <c r="B837" s="11">
        <v>45908.520833333336</v>
      </c>
      <c r="C837" s="7">
        <v>646.7568</v>
      </c>
      <c r="D837">
        <v>2002856</v>
      </c>
      <c r="E837">
        <v>3014947.5</v>
      </c>
    </row>
    <row r="838" spans="1:5">
      <c r="A838">
        <v>833</v>
      </c>
      <c r="B838" s="11">
        <v>45908.5</v>
      </c>
      <c r="C838" s="7">
        <v>646.82669999999996</v>
      </c>
      <c r="D838">
        <v>1876172</v>
      </c>
      <c r="E838">
        <v>3059518</v>
      </c>
    </row>
    <row r="839" spans="1:5">
      <c r="A839">
        <v>834</v>
      </c>
      <c r="B839" s="11">
        <v>45908.479166666664</v>
      </c>
      <c r="C839" s="7">
        <v>647.56460000000004</v>
      </c>
      <c r="D839">
        <v>2342330</v>
      </c>
      <c r="E839">
        <v>3178323.5</v>
      </c>
    </row>
    <row r="840" spans="1:5">
      <c r="A840">
        <v>835</v>
      </c>
      <c r="B840" s="11">
        <v>45908.458333333336</v>
      </c>
      <c r="C840" s="7">
        <v>647.96849999999995</v>
      </c>
      <c r="D840">
        <v>2325284</v>
      </c>
      <c r="E840">
        <v>3348528.5</v>
      </c>
    </row>
    <row r="841" spans="1:5">
      <c r="A841">
        <v>836</v>
      </c>
      <c r="B841" s="11">
        <v>45908.4375</v>
      </c>
      <c r="C841" s="7">
        <v>647.55460000000005</v>
      </c>
      <c r="D841">
        <v>2829384</v>
      </c>
      <c r="E841">
        <v>3668510.75</v>
      </c>
    </row>
    <row r="842" spans="1:5">
      <c r="A842">
        <v>837</v>
      </c>
      <c r="B842" s="11">
        <v>45908.416666666664</v>
      </c>
      <c r="C842" s="7">
        <v>646.97969999999998</v>
      </c>
      <c r="D842">
        <v>3442232</v>
      </c>
      <c r="E842">
        <v>4002351.25</v>
      </c>
    </row>
    <row r="843" spans="1:5">
      <c r="A843">
        <v>838</v>
      </c>
      <c r="B843" s="11">
        <v>45908.395833333336</v>
      </c>
      <c r="C843" s="7">
        <v>646.56240000000003</v>
      </c>
      <c r="D843">
        <v>5959190</v>
      </c>
      <c r="E843">
        <v>4287031.5</v>
      </c>
    </row>
    <row r="844" spans="1:5">
      <c r="A844">
        <v>839</v>
      </c>
      <c r="B844" s="11">
        <v>45905.666666666664</v>
      </c>
      <c r="C844" s="7">
        <v>645.45039999999995</v>
      </c>
      <c r="D844">
        <v>0</v>
      </c>
      <c r="E844">
        <v>3889752.5</v>
      </c>
    </row>
    <row r="845" spans="1:5">
      <c r="A845">
        <v>840</v>
      </c>
      <c r="B845" s="11">
        <v>45905.645833333336</v>
      </c>
      <c r="C845" s="7">
        <v>645.42060000000004</v>
      </c>
      <c r="D845">
        <v>8585542</v>
      </c>
      <c r="E845">
        <v>4645756.5</v>
      </c>
    </row>
    <row r="846" spans="1:5">
      <c r="A846">
        <v>841</v>
      </c>
      <c r="B846" s="11">
        <v>45905.625</v>
      </c>
      <c r="C846" s="7">
        <v>645.37869999999998</v>
      </c>
      <c r="D846">
        <v>3695402</v>
      </c>
      <c r="E846">
        <v>4278425.5</v>
      </c>
    </row>
    <row r="847" spans="1:5">
      <c r="A847">
        <v>842</v>
      </c>
      <c r="B847" s="11">
        <v>45905.604166666664</v>
      </c>
      <c r="C847" s="7">
        <v>644.48320000000001</v>
      </c>
      <c r="D847">
        <v>2321924</v>
      </c>
      <c r="E847">
        <v>4158312.5</v>
      </c>
    </row>
    <row r="848" spans="1:5">
      <c r="A848">
        <v>843</v>
      </c>
      <c r="B848" s="11">
        <v>45905.583333333336</v>
      </c>
      <c r="C848" s="7">
        <v>643.92219999999998</v>
      </c>
      <c r="D848">
        <v>2646760</v>
      </c>
      <c r="E848">
        <v>4130309.25</v>
      </c>
    </row>
    <row r="849" spans="1:5">
      <c r="A849">
        <v>844</v>
      </c>
      <c r="B849" s="11">
        <v>45905.5625</v>
      </c>
      <c r="C849" s="7">
        <v>643.35739999999998</v>
      </c>
      <c r="D849">
        <v>2511081</v>
      </c>
      <c r="E849">
        <v>4097706.5</v>
      </c>
    </row>
    <row r="850" spans="1:5">
      <c r="A850">
        <v>845</v>
      </c>
      <c r="B850" s="11">
        <v>45905.541666666664</v>
      </c>
      <c r="C850" s="7">
        <v>643.87980000000005</v>
      </c>
      <c r="D850">
        <v>2360574</v>
      </c>
      <c r="E850">
        <v>4052272</v>
      </c>
    </row>
    <row r="851" spans="1:5">
      <c r="A851">
        <v>846</v>
      </c>
      <c r="B851" s="11">
        <v>45905.520833333336</v>
      </c>
      <c r="C851" s="7">
        <v>644.65260000000001</v>
      </c>
      <c r="D851">
        <v>2325481</v>
      </c>
      <c r="E851">
        <v>4000249.75</v>
      </c>
    </row>
    <row r="852" spans="1:5">
      <c r="A852">
        <v>847</v>
      </c>
      <c r="B852" s="11">
        <v>45905.5</v>
      </c>
      <c r="C852" s="7">
        <v>643.96460000000002</v>
      </c>
      <c r="D852">
        <v>2671413</v>
      </c>
      <c r="E852">
        <v>3954641</v>
      </c>
    </row>
    <row r="853" spans="1:5">
      <c r="A853">
        <v>848</v>
      </c>
      <c r="B853" s="11">
        <v>45905.479166666664</v>
      </c>
      <c r="C853" s="7">
        <v>643.91970000000003</v>
      </c>
      <c r="D853">
        <v>3658254</v>
      </c>
      <c r="E853">
        <v>3914547.5</v>
      </c>
    </row>
    <row r="854" spans="1:5">
      <c r="A854">
        <v>849</v>
      </c>
      <c r="B854" s="11">
        <v>45905.458333333336</v>
      </c>
      <c r="C854" s="7">
        <v>644.43399999999997</v>
      </c>
      <c r="D854">
        <v>4895405</v>
      </c>
      <c r="E854">
        <v>3866197.25</v>
      </c>
    </row>
    <row r="855" spans="1:5">
      <c r="A855">
        <v>850</v>
      </c>
      <c r="B855" s="11">
        <v>45905.4375</v>
      </c>
      <c r="C855" s="7">
        <v>642.42880000000002</v>
      </c>
      <c r="D855">
        <v>7125021</v>
      </c>
      <c r="E855">
        <v>3766863.25</v>
      </c>
    </row>
    <row r="856" spans="1:5">
      <c r="A856">
        <v>851</v>
      </c>
      <c r="B856" s="11">
        <v>45905.416666666664</v>
      </c>
      <c r="C856" s="7">
        <v>644.71749999999997</v>
      </c>
      <c r="D856">
        <v>7836989</v>
      </c>
      <c r="E856">
        <v>3603654.5</v>
      </c>
    </row>
    <row r="857" spans="1:5">
      <c r="A857">
        <v>852</v>
      </c>
      <c r="B857" s="11">
        <v>45905.395833333336</v>
      </c>
      <c r="C857" s="7">
        <v>649.25990000000002</v>
      </c>
      <c r="D857">
        <v>7712440</v>
      </c>
      <c r="E857">
        <v>3424339.5</v>
      </c>
    </row>
    <row r="858" spans="1:5">
      <c r="A858">
        <v>853</v>
      </c>
      <c r="B858" s="11">
        <v>45904.666666666664</v>
      </c>
      <c r="C858" s="7">
        <v>647.32529999999997</v>
      </c>
      <c r="D858">
        <v>0</v>
      </c>
      <c r="E858">
        <v>2910176.75</v>
      </c>
    </row>
    <row r="859" spans="1:5">
      <c r="A859">
        <v>854</v>
      </c>
      <c r="B859" s="11">
        <v>45904.645833333336</v>
      </c>
      <c r="C859" s="7">
        <v>647.25540000000001</v>
      </c>
      <c r="D859">
        <v>11340058</v>
      </c>
      <c r="E859">
        <v>3709343.5</v>
      </c>
    </row>
    <row r="860" spans="1:5">
      <c r="A860">
        <v>855</v>
      </c>
      <c r="B860" s="11">
        <v>45904.625</v>
      </c>
      <c r="C860" s="7">
        <v>646.09939999999995</v>
      </c>
      <c r="D860">
        <v>3075583</v>
      </c>
      <c r="E860">
        <v>3113685</v>
      </c>
    </row>
    <row r="861" spans="1:5">
      <c r="A861">
        <v>856</v>
      </c>
      <c r="B861" s="11">
        <v>45904.604166666664</v>
      </c>
      <c r="C861" s="7">
        <v>645.83939999999996</v>
      </c>
      <c r="D861">
        <v>1893705</v>
      </c>
      <c r="E861">
        <v>3074447.5</v>
      </c>
    </row>
    <row r="862" spans="1:5">
      <c r="A862">
        <v>857</v>
      </c>
      <c r="B862" s="11">
        <v>45904.583333333336</v>
      </c>
      <c r="C862" s="7">
        <v>645.44050000000004</v>
      </c>
      <c r="D862">
        <v>1901876</v>
      </c>
      <c r="E862">
        <v>3106018.25</v>
      </c>
    </row>
    <row r="863" spans="1:5">
      <c r="A863">
        <v>858</v>
      </c>
      <c r="B863" s="11">
        <v>45904.5625</v>
      </c>
      <c r="C863" s="7">
        <v>645.3528</v>
      </c>
      <c r="D863">
        <v>2157719</v>
      </c>
      <c r="E863">
        <v>3163271.5</v>
      </c>
    </row>
    <row r="864" spans="1:5">
      <c r="A864">
        <v>859</v>
      </c>
      <c r="B864" s="11">
        <v>45904.541666666664</v>
      </c>
      <c r="C864" s="7">
        <v>645.09019999999998</v>
      </c>
      <c r="D864">
        <v>1829562</v>
      </c>
      <c r="E864">
        <v>3141619.25</v>
      </c>
    </row>
    <row r="865" spans="1:5">
      <c r="A865">
        <v>860</v>
      </c>
      <c r="B865" s="11">
        <v>45904.520833333336</v>
      </c>
      <c r="C865" s="7">
        <v>644.15419999999995</v>
      </c>
      <c r="D865">
        <v>1580240</v>
      </c>
      <c r="E865">
        <v>3176258</v>
      </c>
    </row>
    <row r="866" spans="1:5">
      <c r="A866">
        <v>861</v>
      </c>
      <c r="B866" s="11">
        <v>45904.5</v>
      </c>
      <c r="C866" s="7">
        <v>644.15470000000005</v>
      </c>
      <c r="D866">
        <v>1641350</v>
      </c>
      <c r="E866">
        <v>3201890</v>
      </c>
    </row>
    <row r="867" spans="1:5">
      <c r="A867">
        <v>862</v>
      </c>
      <c r="B867" s="11">
        <v>45904.479166666664</v>
      </c>
      <c r="C867" s="7">
        <v>644.41330000000005</v>
      </c>
      <c r="D867">
        <v>2070009</v>
      </c>
      <c r="E867">
        <v>3266649.25</v>
      </c>
    </row>
    <row r="868" spans="1:5">
      <c r="A868">
        <v>863</v>
      </c>
      <c r="B868" s="11">
        <v>45904.458333333336</v>
      </c>
      <c r="C868" s="7">
        <v>644.46820000000002</v>
      </c>
      <c r="D868">
        <v>2933002</v>
      </c>
      <c r="E868">
        <v>3338265.75</v>
      </c>
    </row>
    <row r="869" spans="1:5">
      <c r="A869">
        <v>864</v>
      </c>
      <c r="B869" s="11">
        <v>45904.4375</v>
      </c>
      <c r="C869" s="7">
        <v>643.86490000000003</v>
      </c>
      <c r="D869">
        <v>3405393</v>
      </c>
      <c r="E869">
        <v>3371478</v>
      </c>
    </row>
    <row r="870" spans="1:5">
      <c r="A870">
        <v>865</v>
      </c>
      <c r="B870" s="11">
        <v>45904.416666666664</v>
      </c>
      <c r="C870" s="7">
        <v>643.077</v>
      </c>
      <c r="D870">
        <v>4676892</v>
      </c>
      <c r="E870">
        <v>3435859.75</v>
      </c>
    </row>
    <row r="871" spans="1:5">
      <c r="A871">
        <v>866</v>
      </c>
      <c r="B871" s="11">
        <v>45904.395833333336</v>
      </c>
      <c r="C871" s="7">
        <v>643.23509999999999</v>
      </c>
      <c r="D871">
        <v>5147264</v>
      </c>
      <c r="E871">
        <v>3583227.25</v>
      </c>
    </row>
    <row r="872" spans="1:5">
      <c r="A872">
        <v>867</v>
      </c>
      <c r="B872" s="11">
        <v>45903.666666666664</v>
      </c>
      <c r="C872" s="7">
        <v>641.96010000000001</v>
      </c>
      <c r="D872">
        <v>0</v>
      </c>
      <c r="E872">
        <v>3240076.25</v>
      </c>
    </row>
    <row r="873" spans="1:5">
      <c r="A873">
        <v>868</v>
      </c>
      <c r="B873" s="11">
        <v>45903.645833333336</v>
      </c>
      <c r="C873" s="7">
        <v>641.82050000000004</v>
      </c>
      <c r="D873">
        <v>11987499</v>
      </c>
      <c r="E873">
        <v>4022568</v>
      </c>
    </row>
    <row r="874" spans="1:5">
      <c r="A874">
        <v>869</v>
      </c>
      <c r="B874" s="11">
        <v>45903.625</v>
      </c>
      <c r="C874" s="7">
        <v>639.26260000000002</v>
      </c>
      <c r="D874">
        <v>2405180</v>
      </c>
      <c r="E874">
        <v>3399175.5</v>
      </c>
    </row>
    <row r="875" spans="1:5">
      <c r="A875">
        <v>870</v>
      </c>
      <c r="B875" s="11">
        <v>45903.604166666664</v>
      </c>
      <c r="C875" s="7">
        <v>639.08810000000005</v>
      </c>
      <c r="D875">
        <v>2487021</v>
      </c>
      <c r="E875">
        <v>3413423.25</v>
      </c>
    </row>
    <row r="876" spans="1:5">
      <c r="A876">
        <v>871</v>
      </c>
      <c r="B876" s="11">
        <v>45903.583333333336</v>
      </c>
      <c r="C876" s="7">
        <v>639.31899999999996</v>
      </c>
      <c r="D876">
        <v>2367265</v>
      </c>
      <c r="E876">
        <v>3364785.5</v>
      </c>
    </row>
    <row r="877" spans="1:5">
      <c r="A877">
        <v>872</v>
      </c>
      <c r="B877" s="11">
        <v>45903.5625</v>
      </c>
      <c r="C877" s="7">
        <v>639.19849999999997</v>
      </c>
      <c r="D877">
        <v>2760677</v>
      </c>
      <c r="E877">
        <v>3407870</v>
      </c>
    </row>
    <row r="878" spans="1:5">
      <c r="A878">
        <v>873</v>
      </c>
      <c r="B878" s="11">
        <v>45903.541666666664</v>
      </c>
      <c r="C878" s="7">
        <v>640.47919999999999</v>
      </c>
      <c r="D878">
        <v>1832935</v>
      </c>
      <c r="E878">
        <v>3375671.5</v>
      </c>
    </row>
    <row r="879" spans="1:5">
      <c r="A879">
        <v>874</v>
      </c>
      <c r="B879" s="11">
        <v>45903.520833333336</v>
      </c>
      <c r="C879" s="7">
        <v>640.05039999999997</v>
      </c>
      <c r="D879">
        <v>2349142</v>
      </c>
      <c r="E879">
        <v>3402846</v>
      </c>
    </row>
    <row r="880" spans="1:5">
      <c r="A880">
        <v>875</v>
      </c>
      <c r="B880" s="11">
        <v>45903.5</v>
      </c>
      <c r="C880" s="7">
        <v>640.66380000000004</v>
      </c>
      <c r="D880">
        <v>1964722</v>
      </c>
      <c r="E880">
        <v>3399518.75</v>
      </c>
    </row>
    <row r="881" spans="1:5">
      <c r="A881">
        <v>876</v>
      </c>
      <c r="B881" s="11">
        <v>45903.479166666664</v>
      </c>
      <c r="C881" s="7">
        <v>640.54409999999996</v>
      </c>
      <c r="D881">
        <v>2612737</v>
      </c>
      <c r="E881">
        <v>3477278.5</v>
      </c>
    </row>
    <row r="882" spans="1:5">
      <c r="A882">
        <v>877</v>
      </c>
      <c r="B882" s="11">
        <v>45903.458333333336</v>
      </c>
      <c r="C882" s="7">
        <v>640.67370000000005</v>
      </c>
      <c r="D882">
        <v>3144258</v>
      </c>
      <c r="E882">
        <v>3484556</v>
      </c>
    </row>
    <row r="883" spans="1:5">
      <c r="A883">
        <v>878</v>
      </c>
      <c r="B883" s="11">
        <v>45903.4375</v>
      </c>
      <c r="C883" s="7">
        <v>642.20939999999996</v>
      </c>
      <c r="D883">
        <v>3431185</v>
      </c>
      <c r="E883">
        <v>3494788.25</v>
      </c>
    </row>
    <row r="884" spans="1:5">
      <c r="A884">
        <v>879</v>
      </c>
      <c r="B884" s="11">
        <v>45903.416666666664</v>
      </c>
      <c r="C884" s="7">
        <v>640.63879999999995</v>
      </c>
      <c r="D884">
        <v>4371120</v>
      </c>
      <c r="E884">
        <v>3545529.25</v>
      </c>
    </row>
    <row r="885" spans="1:5">
      <c r="A885">
        <v>880</v>
      </c>
      <c r="B885" s="11">
        <v>45903.395833333336</v>
      </c>
      <c r="C885" s="7">
        <v>640.27980000000002</v>
      </c>
      <c r="D885">
        <v>6887402</v>
      </c>
      <c r="E885">
        <v>3911939.75</v>
      </c>
    </row>
    <row r="886" spans="1:5">
      <c r="A886">
        <v>881</v>
      </c>
      <c r="B886" s="11">
        <v>45902.666666666664</v>
      </c>
      <c r="C886" s="7">
        <v>638.49980000000005</v>
      </c>
      <c r="D886">
        <v>0</v>
      </c>
      <c r="E886">
        <v>3452779.75</v>
      </c>
    </row>
    <row r="887" spans="1:5">
      <c r="A887">
        <v>882</v>
      </c>
      <c r="B887" s="11">
        <v>45902.645833333336</v>
      </c>
      <c r="C887" s="7">
        <v>638.59450000000004</v>
      </c>
      <c r="D887">
        <v>11737377</v>
      </c>
      <c r="E887">
        <v>4365588.5</v>
      </c>
    </row>
    <row r="888" spans="1:5">
      <c r="A888">
        <v>883</v>
      </c>
      <c r="B888" s="11">
        <v>45902.625</v>
      </c>
      <c r="C888" s="7">
        <v>637.35789999999997</v>
      </c>
      <c r="D888">
        <v>2636613</v>
      </c>
      <c r="E888">
        <v>3787489</v>
      </c>
    </row>
    <row r="889" spans="1:5">
      <c r="A889">
        <v>884</v>
      </c>
      <c r="B889" s="11">
        <v>45902.604166666664</v>
      </c>
      <c r="C889" s="7">
        <v>636.33569999999997</v>
      </c>
      <c r="D889">
        <v>2618896</v>
      </c>
      <c r="E889">
        <v>3716171.25</v>
      </c>
    </row>
    <row r="890" spans="1:5">
      <c r="A890">
        <v>885</v>
      </c>
      <c r="B890" s="11">
        <v>45902.583333333336</v>
      </c>
      <c r="C890" s="7">
        <v>635.94680000000005</v>
      </c>
      <c r="D890">
        <v>1757453</v>
      </c>
      <c r="E890">
        <v>3662909.25</v>
      </c>
    </row>
    <row r="891" spans="1:5">
      <c r="A891">
        <v>886</v>
      </c>
      <c r="B891" s="11">
        <v>45902.5625</v>
      </c>
      <c r="C891" s="7">
        <v>636.53520000000003</v>
      </c>
      <c r="D891">
        <v>3013532</v>
      </c>
      <c r="E891">
        <v>3675344.5</v>
      </c>
    </row>
    <row r="892" spans="1:5">
      <c r="A892">
        <v>887</v>
      </c>
      <c r="B892" s="11">
        <v>45902.541666666664</v>
      </c>
      <c r="C892" s="7">
        <v>635.86739999999998</v>
      </c>
      <c r="D892">
        <v>2277702</v>
      </c>
      <c r="E892">
        <v>3632735.25</v>
      </c>
    </row>
    <row r="893" spans="1:5">
      <c r="A893">
        <v>888</v>
      </c>
      <c r="B893" s="11">
        <v>45902.520833333336</v>
      </c>
      <c r="C893" s="7">
        <v>635.149</v>
      </c>
      <c r="D893">
        <v>2240552</v>
      </c>
      <c r="E893">
        <v>3588860.75</v>
      </c>
    </row>
    <row r="894" spans="1:5">
      <c r="A894">
        <v>889</v>
      </c>
      <c r="B894" s="11">
        <v>45902.5</v>
      </c>
      <c r="C894" s="7">
        <v>633.86260000000004</v>
      </c>
      <c r="D894">
        <v>2299231</v>
      </c>
      <c r="E894">
        <v>3563574.5</v>
      </c>
    </row>
    <row r="895" spans="1:5">
      <c r="A895">
        <v>890</v>
      </c>
      <c r="B895" s="11">
        <v>45902.479166666664</v>
      </c>
      <c r="C895" s="7">
        <v>633.43380000000002</v>
      </c>
      <c r="D895">
        <v>3131119</v>
      </c>
      <c r="E895">
        <v>3548076</v>
      </c>
    </row>
    <row r="896" spans="1:5">
      <c r="A896">
        <v>891</v>
      </c>
      <c r="B896" s="11">
        <v>45902.458333333336</v>
      </c>
      <c r="C896" s="7">
        <v>634.74019999999996</v>
      </c>
      <c r="D896">
        <v>2721900</v>
      </c>
      <c r="E896">
        <v>3490518.25</v>
      </c>
    </row>
    <row r="897" spans="1:5">
      <c r="A897">
        <v>892</v>
      </c>
      <c r="B897" s="11">
        <v>45902.4375</v>
      </c>
      <c r="C897" s="7">
        <v>635.88699999999994</v>
      </c>
      <c r="D897">
        <v>3297740</v>
      </c>
      <c r="E897">
        <v>3567505.5</v>
      </c>
    </row>
    <row r="898" spans="1:5">
      <c r="A898">
        <v>893</v>
      </c>
      <c r="B898" s="11">
        <v>45902.416666666664</v>
      </c>
      <c r="C898" s="7">
        <v>637.58230000000003</v>
      </c>
      <c r="D898">
        <v>4192303</v>
      </c>
      <c r="E898">
        <v>3816468.5</v>
      </c>
    </row>
    <row r="899" spans="1:5">
      <c r="A899">
        <v>894</v>
      </c>
      <c r="B899" s="11">
        <v>45902.395833333336</v>
      </c>
      <c r="C899" s="7">
        <v>637.56230000000005</v>
      </c>
      <c r="D899">
        <v>9867278</v>
      </c>
      <c r="E899">
        <v>3990645.25</v>
      </c>
    </row>
    <row r="900" spans="1:5">
      <c r="A900">
        <v>895</v>
      </c>
      <c r="B900" s="11">
        <v>45898.666666666664</v>
      </c>
      <c r="C900" s="7">
        <v>643.26649999999995</v>
      </c>
      <c r="D900">
        <v>0</v>
      </c>
      <c r="E900">
        <v>3332826.75</v>
      </c>
    </row>
    <row r="901" spans="1:5">
      <c r="A901">
        <v>896</v>
      </c>
      <c r="B901" s="11">
        <v>45898.645833333336</v>
      </c>
      <c r="C901" s="7">
        <v>643.36630000000002</v>
      </c>
      <c r="D901">
        <v>13692131</v>
      </c>
      <c r="E901">
        <v>3935130.5</v>
      </c>
    </row>
    <row r="902" spans="1:5">
      <c r="A902">
        <v>897</v>
      </c>
      <c r="B902" s="11">
        <v>45898.625</v>
      </c>
      <c r="C902" s="7">
        <v>642.84770000000003</v>
      </c>
      <c r="D902">
        <v>3065886</v>
      </c>
      <c r="E902">
        <v>3181619</v>
      </c>
    </row>
    <row r="903" spans="1:5">
      <c r="A903">
        <v>898</v>
      </c>
      <c r="B903" s="11">
        <v>45898.604166666664</v>
      </c>
      <c r="C903" s="7">
        <v>642.69809999999995</v>
      </c>
      <c r="D903">
        <v>1566847</v>
      </c>
      <c r="E903">
        <v>3166162.5</v>
      </c>
    </row>
    <row r="904" spans="1:5">
      <c r="A904">
        <v>899</v>
      </c>
      <c r="B904" s="11">
        <v>45898.583333333336</v>
      </c>
      <c r="C904" s="7">
        <v>642.5086</v>
      </c>
      <c r="D904">
        <v>1819965</v>
      </c>
      <c r="E904">
        <v>3200134.75</v>
      </c>
    </row>
    <row r="905" spans="1:5">
      <c r="A905">
        <v>900</v>
      </c>
      <c r="B905" s="11">
        <v>45898.5625</v>
      </c>
      <c r="C905" s="7">
        <v>642.85770000000002</v>
      </c>
      <c r="D905">
        <v>1943982</v>
      </c>
      <c r="E905">
        <v>3199720.75</v>
      </c>
    </row>
    <row r="906" spans="1:5">
      <c r="A906">
        <v>901</v>
      </c>
      <c r="B906" s="11">
        <v>45898.541666666664</v>
      </c>
      <c r="C906" s="7">
        <v>642.20939999999996</v>
      </c>
      <c r="D906">
        <v>2374393</v>
      </c>
      <c r="E906">
        <v>3167305.5</v>
      </c>
    </row>
    <row r="907" spans="1:5">
      <c r="A907">
        <v>902</v>
      </c>
      <c r="B907" s="11">
        <v>45898.520833333336</v>
      </c>
      <c r="C907" s="7">
        <v>642.91750000000002</v>
      </c>
      <c r="D907">
        <v>1619586</v>
      </c>
      <c r="E907">
        <v>3123397.75</v>
      </c>
    </row>
    <row r="908" spans="1:5">
      <c r="A908">
        <v>903</v>
      </c>
      <c r="B908" s="11">
        <v>45898.5</v>
      </c>
      <c r="C908" s="7">
        <v>642.42880000000002</v>
      </c>
      <c r="D908">
        <v>1861256</v>
      </c>
      <c r="E908">
        <v>3156944.5</v>
      </c>
    </row>
    <row r="909" spans="1:5">
      <c r="A909">
        <v>904</v>
      </c>
      <c r="B909" s="11">
        <v>45898.479166666664</v>
      </c>
      <c r="C909" s="7">
        <v>641.98009999999999</v>
      </c>
      <c r="D909">
        <v>2066755</v>
      </c>
      <c r="E909">
        <v>3156623.25</v>
      </c>
    </row>
    <row r="910" spans="1:5">
      <c r="A910">
        <v>905</v>
      </c>
      <c r="B910" s="11">
        <v>45898.458333333336</v>
      </c>
      <c r="C910" s="7">
        <v>642.65729999999996</v>
      </c>
      <c r="D910">
        <v>2267753</v>
      </c>
      <c r="E910">
        <v>3192949.5</v>
      </c>
    </row>
    <row r="911" spans="1:5">
      <c r="A911">
        <v>906</v>
      </c>
      <c r="B911" s="11">
        <v>45898.4375</v>
      </c>
      <c r="C911" s="7">
        <v>641.95510000000002</v>
      </c>
      <c r="D911">
        <v>3876706</v>
      </c>
      <c r="E911">
        <v>3215448</v>
      </c>
    </row>
    <row r="912" spans="1:5">
      <c r="A912">
        <v>907</v>
      </c>
      <c r="B912" s="11">
        <v>45898.416666666664</v>
      </c>
      <c r="C912" s="7">
        <v>642.84270000000004</v>
      </c>
      <c r="D912">
        <v>7032185</v>
      </c>
      <c r="E912">
        <v>3163055.75</v>
      </c>
    </row>
    <row r="913" spans="1:5">
      <c r="A913">
        <v>908</v>
      </c>
      <c r="B913" s="11">
        <v>45898.395833333336</v>
      </c>
      <c r="C913" s="7">
        <v>643.71280000000002</v>
      </c>
      <c r="D913">
        <v>6804956</v>
      </c>
      <c r="E913">
        <v>3126511</v>
      </c>
    </row>
    <row r="914" spans="1:5">
      <c r="A914">
        <v>909</v>
      </c>
      <c r="B914" s="11">
        <v>45897.666666666664</v>
      </c>
      <c r="C914" s="7">
        <v>647.12580000000003</v>
      </c>
      <c r="D914">
        <v>0</v>
      </c>
      <c r="E914">
        <v>2672847.25</v>
      </c>
    </row>
    <row r="915" spans="1:5">
      <c r="A915">
        <v>910</v>
      </c>
      <c r="B915" s="11">
        <v>45897.645833333336</v>
      </c>
      <c r="C915" s="7">
        <v>647.13959999999997</v>
      </c>
      <c r="D915">
        <v>9034557</v>
      </c>
      <c r="E915">
        <v>3066576.25</v>
      </c>
    </row>
    <row r="916" spans="1:5">
      <c r="A916">
        <v>911</v>
      </c>
      <c r="B916" s="11">
        <v>45897.625</v>
      </c>
      <c r="C916" s="7">
        <v>647.14070000000004</v>
      </c>
      <c r="D916">
        <v>2389459</v>
      </c>
      <c r="E916">
        <v>2682323.75</v>
      </c>
    </row>
    <row r="917" spans="1:5">
      <c r="A917">
        <v>912</v>
      </c>
      <c r="B917" s="11">
        <v>45897.604166666664</v>
      </c>
      <c r="C917" s="7">
        <v>647.18550000000005</v>
      </c>
      <c r="D917">
        <v>2834036</v>
      </c>
      <c r="E917">
        <v>2624534</v>
      </c>
    </row>
    <row r="918" spans="1:5">
      <c r="A918">
        <v>913</v>
      </c>
      <c r="B918" s="11">
        <v>45897.583333333336</v>
      </c>
      <c r="C918" s="7">
        <v>646.85659999999996</v>
      </c>
      <c r="D918">
        <v>2076434</v>
      </c>
      <c r="E918">
        <v>2578295.5</v>
      </c>
    </row>
    <row r="919" spans="1:5">
      <c r="A919">
        <v>914</v>
      </c>
      <c r="B919" s="11">
        <v>45897.5625</v>
      </c>
      <c r="C919" s="7">
        <v>646.58360000000005</v>
      </c>
      <c r="D919">
        <v>1813752</v>
      </c>
      <c r="E919">
        <v>2518156</v>
      </c>
    </row>
    <row r="920" spans="1:5">
      <c r="A920">
        <v>915</v>
      </c>
      <c r="B920" s="11">
        <v>45897.541666666664</v>
      </c>
      <c r="C920" s="7">
        <v>646.33799999999997</v>
      </c>
      <c r="D920">
        <v>1457753</v>
      </c>
      <c r="E920">
        <v>2498440.75</v>
      </c>
    </row>
    <row r="921" spans="1:5">
      <c r="A921">
        <v>916</v>
      </c>
      <c r="B921" s="11">
        <v>45897.520833333336</v>
      </c>
      <c r="C921" s="7">
        <v>645.88919999999996</v>
      </c>
      <c r="D921">
        <v>1715779</v>
      </c>
      <c r="E921">
        <v>2529052</v>
      </c>
    </row>
    <row r="922" spans="1:5">
      <c r="A922">
        <v>917</v>
      </c>
      <c r="B922" s="11">
        <v>45897.5</v>
      </c>
      <c r="C922" s="7">
        <v>646.36789999999996</v>
      </c>
      <c r="D922">
        <v>2122788</v>
      </c>
      <c r="E922">
        <v>2526491</v>
      </c>
    </row>
    <row r="923" spans="1:5">
      <c r="A923">
        <v>918</v>
      </c>
      <c r="B923" s="11">
        <v>45897.479166666664</v>
      </c>
      <c r="C923" s="7">
        <v>645.27800000000002</v>
      </c>
      <c r="D923">
        <v>1856436</v>
      </c>
      <c r="E923">
        <v>2497523.5</v>
      </c>
    </row>
    <row r="924" spans="1:5">
      <c r="A924">
        <v>919</v>
      </c>
      <c r="B924" s="11">
        <v>45897.458333333336</v>
      </c>
      <c r="C924" s="7">
        <v>644.48320000000001</v>
      </c>
      <c r="D924">
        <v>2611648</v>
      </c>
      <c r="E924">
        <v>2477291.75</v>
      </c>
    </row>
    <row r="925" spans="1:5">
      <c r="A925">
        <v>920</v>
      </c>
      <c r="B925" s="11">
        <v>45897.4375</v>
      </c>
      <c r="C925" s="7">
        <v>645.0865</v>
      </c>
      <c r="D925">
        <v>2605231</v>
      </c>
      <c r="E925">
        <v>2440282.25</v>
      </c>
    </row>
    <row r="926" spans="1:5">
      <c r="A926">
        <v>921</v>
      </c>
      <c r="B926" s="11">
        <v>45897.416666666664</v>
      </c>
      <c r="C926" s="7">
        <v>644.24379999999996</v>
      </c>
      <c r="D926">
        <v>3090824</v>
      </c>
      <c r="E926">
        <v>2465730.5</v>
      </c>
    </row>
    <row r="927" spans="1:5">
      <c r="A927">
        <v>922</v>
      </c>
      <c r="B927" s="11">
        <v>45897.395833333336</v>
      </c>
      <c r="C927" s="7">
        <v>644.27369999999996</v>
      </c>
      <c r="D927">
        <v>6484013</v>
      </c>
      <c r="E927">
        <v>2537234.75</v>
      </c>
    </row>
    <row r="928" spans="1:5">
      <c r="A928">
        <v>923</v>
      </c>
      <c r="B928" s="11">
        <v>45896.666666666664</v>
      </c>
      <c r="C928" s="7">
        <v>644.84220000000005</v>
      </c>
      <c r="D928">
        <v>0</v>
      </c>
      <c r="E928">
        <v>2104967.25</v>
      </c>
    </row>
    <row r="929" spans="1:5">
      <c r="A929">
        <v>924</v>
      </c>
      <c r="B929" s="11">
        <v>45896.645833333336</v>
      </c>
      <c r="C929" s="7">
        <v>644.78229999999996</v>
      </c>
      <c r="D929">
        <v>5905935</v>
      </c>
      <c r="E929">
        <v>2731514.75</v>
      </c>
    </row>
    <row r="930" spans="1:5">
      <c r="A930">
        <v>925</v>
      </c>
      <c r="B930" s="11">
        <v>45896.625</v>
      </c>
      <c r="C930" s="7">
        <v>644.90200000000004</v>
      </c>
      <c r="D930">
        <v>3270770</v>
      </c>
      <c r="E930">
        <v>2516011</v>
      </c>
    </row>
    <row r="931" spans="1:5">
      <c r="A931">
        <v>926</v>
      </c>
      <c r="B931" s="11">
        <v>45896.604166666664</v>
      </c>
      <c r="C931" s="7">
        <v>645.23109999999997</v>
      </c>
      <c r="D931">
        <v>1522612</v>
      </c>
      <c r="E931">
        <v>2421303</v>
      </c>
    </row>
    <row r="932" spans="1:5">
      <c r="A932">
        <v>927</v>
      </c>
      <c r="B932" s="11">
        <v>45896.583333333336</v>
      </c>
      <c r="C932" s="7">
        <v>645.44050000000004</v>
      </c>
      <c r="D932">
        <v>2140459</v>
      </c>
      <c r="E932">
        <v>2419632.75</v>
      </c>
    </row>
    <row r="933" spans="1:5">
      <c r="A933">
        <v>928</v>
      </c>
      <c r="B933" s="11">
        <v>45896.5625</v>
      </c>
      <c r="C933" s="7">
        <v>644.96180000000004</v>
      </c>
      <c r="D933">
        <v>1174339</v>
      </c>
      <c r="E933">
        <v>2376544.25</v>
      </c>
    </row>
    <row r="934" spans="1:5">
      <c r="A934">
        <v>929</v>
      </c>
      <c r="B934" s="11">
        <v>45896.541666666664</v>
      </c>
      <c r="C934" s="7">
        <v>644.66269999999997</v>
      </c>
      <c r="D934">
        <v>1518023</v>
      </c>
      <c r="E934">
        <v>2374245.25</v>
      </c>
    </row>
    <row r="935" spans="1:5">
      <c r="A935">
        <v>930</v>
      </c>
      <c r="B935" s="11">
        <v>45896.520833333336</v>
      </c>
      <c r="C935" s="7">
        <v>644.4932</v>
      </c>
      <c r="D935">
        <v>1916922</v>
      </c>
      <c r="E935">
        <v>2342671.75</v>
      </c>
    </row>
    <row r="936" spans="1:5">
      <c r="A936">
        <v>931</v>
      </c>
      <c r="B936" s="11">
        <v>45896.5</v>
      </c>
      <c r="C936" s="7">
        <v>644.15409999999997</v>
      </c>
      <c r="D936">
        <v>1677365</v>
      </c>
      <c r="E936">
        <v>2324700.5</v>
      </c>
    </row>
    <row r="937" spans="1:5">
      <c r="A937">
        <v>932</v>
      </c>
      <c r="B937" s="11">
        <v>45896.479166666664</v>
      </c>
      <c r="C937" s="7">
        <v>644.75239999999997</v>
      </c>
      <c r="D937">
        <v>1688277</v>
      </c>
      <c r="E937">
        <v>2282300.25</v>
      </c>
    </row>
    <row r="938" spans="1:5">
      <c r="A938">
        <v>933</v>
      </c>
      <c r="B938" s="11">
        <v>45896.458333333336</v>
      </c>
      <c r="C938" s="7">
        <v>644.5181</v>
      </c>
      <c r="D938">
        <v>1552957</v>
      </c>
      <c r="E938">
        <v>2279601.25</v>
      </c>
    </row>
    <row r="939" spans="1:5">
      <c r="A939">
        <v>934</v>
      </c>
      <c r="B939" s="11">
        <v>45896.4375</v>
      </c>
      <c r="C939" s="7">
        <v>644.45820000000003</v>
      </c>
      <c r="D939">
        <v>2056507</v>
      </c>
      <c r="E939">
        <v>2304242.75</v>
      </c>
    </row>
    <row r="940" spans="1:5">
      <c r="A940">
        <v>935</v>
      </c>
      <c r="B940" s="11">
        <v>45896.416666666664</v>
      </c>
      <c r="C940" s="7">
        <v>644.33360000000005</v>
      </c>
      <c r="D940">
        <v>2986956</v>
      </c>
      <c r="E940">
        <v>2364932</v>
      </c>
    </row>
    <row r="941" spans="1:5">
      <c r="A941">
        <v>936</v>
      </c>
      <c r="B941" s="11">
        <v>45896.395833333336</v>
      </c>
      <c r="C941" s="7">
        <v>643.54330000000004</v>
      </c>
      <c r="D941">
        <v>4163387</v>
      </c>
      <c r="E941">
        <v>2457085.5</v>
      </c>
    </row>
    <row r="942" spans="1:5">
      <c r="A942">
        <v>937</v>
      </c>
      <c r="B942" s="11">
        <v>45895.666666666664</v>
      </c>
      <c r="C942" s="7">
        <v>643.37620000000004</v>
      </c>
      <c r="D942">
        <v>0</v>
      </c>
      <c r="E942">
        <v>2179526.25</v>
      </c>
    </row>
    <row r="943" spans="1:5">
      <c r="A943">
        <v>938</v>
      </c>
      <c r="B943" s="11">
        <v>45895.645833333336</v>
      </c>
      <c r="C943" s="7">
        <v>643.23659999999995</v>
      </c>
      <c r="D943">
        <v>9398213</v>
      </c>
      <c r="E943">
        <v>2694426.5</v>
      </c>
    </row>
    <row r="944" spans="1:5">
      <c r="A944">
        <v>939</v>
      </c>
      <c r="B944" s="11">
        <v>45895.625</v>
      </c>
      <c r="C944" s="7">
        <v>642.75789999999995</v>
      </c>
      <c r="D944">
        <v>2673379</v>
      </c>
      <c r="E944">
        <v>2229814.25</v>
      </c>
    </row>
    <row r="945" spans="1:5">
      <c r="A945">
        <v>940</v>
      </c>
      <c r="B945" s="11">
        <v>45895.604166666664</v>
      </c>
      <c r="C945" s="7">
        <v>642.08979999999997</v>
      </c>
      <c r="D945">
        <v>1850150</v>
      </c>
      <c r="E945">
        <v>2156099.25</v>
      </c>
    </row>
    <row r="946" spans="1:5">
      <c r="A946">
        <v>941</v>
      </c>
      <c r="B946" s="11">
        <v>45895.583333333336</v>
      </c>
      <c r="C946" s="7">
        <v>641.74080000000004</v>
      </c>
      <c r="D946">
        <v>1497557</v>
      </c>
      <c r="E946">
        <v>2155446</v>
      </c>
    </row>
    <row r="947" spans="1:5">
      <c r="A947">
        <v>942</v>
      </c>
      <c r="B947" s="11">
        <v>45895.5625</v>
      </c>
      <c r="C947" s="7">
        <v>641.08749999999998</v>
      </c>
      <c r="D947">
        <v>1494131</v>
      </c>
      <c r="E947">
        <v>2168752.75</v>
      </c>
    </row>
    <row r="948" spans="1:5">
      <c r="A948">
        <v>943</v>
      </c>
      <c r="B948" s="11">
        <v>45895.541666666664</v>
      </c>
      <c r="C948" s="7">
        <v>641.75070000000005</v>
      </c>
      <c r="D948">
        <v>1139855</v>
      </c>
      <c r="E948">
        <v>2167747.5</v>
      </c>
    </row>
    <row r="949" spans="1:5">
      <c r="A949">
        <v>944</v>
      </c>
      <c r="B949" s="11">
        <v>45895.520833333336</v>
      </c>
      <c r="C949" s="7">
        <v>641.50239999999997</v>
      </c>
      <c r="D949">
        <v>1044420</v>
      </c>
      <c r="E949">
        <v>2178619.25</v>
      </c>
    </row>
    <row r="950" spans="1:5">
      <c r="A950">
        <v>945</v>
      </c>
      <c r="B950" s="11">
        <v>45895.5</v>
      </c>
      <c r="C950" s="7">
        <v>641.55129999999997</v>
      </c>
      <c r="D950">
        <v>1647352</v>
      </c>
      <c r="E950">
        <v>2205903.5</v>
      </c>
    </row>
    <row r="951" spans="1:5">
      <c r="A951">
        <v>946</v>
      </c>
      <c r="B951" s="11">
        <v>45895.479166666664</v>
      </c>
      <c r="C951" s="7">
        <v>641.00279999999998</v>
      </c>
      <c r="D951">
        <v>1041363</v>
      </c>
      <c r="E951">
        <v>2208929.5</v>
      </c>
    </row>
    <row r="952" spans="1:5">
      <c r="A952">
        <v>947</v>
      </c>
      <c r="B952" s="11">
        <v>45895.458333333336</v>
      </c>
      <c r="C952" s="7">
        <v>640.65369999999996</v>
      </c>
      <c r="D952">
        <v>1647790</v>
      </c>
      <c r="E952">
        <v>2274470.75</v>
      </c>
    </row>
    <row r="953" spans="1:5">
      <c r="A953">
        <v>948</v>
      </c>
      <c r="B953" s="11">
        <v>45895.4375</v>
      </c>
      <c r="C953" s="7">
        <v>640.90309999999999</v>
      </c>
      <c r="D953">
        <v>1922580</v>
      </c>
      <c r="E953">
        <v>2305906.25</v>
      </c>
    </row>
    <row r="954" spans="1:5">
      <c r="A954">
        <v>949</v>
      </c>
      <c r="B954" s="11">
        <v>45895.416666666664</v>
      </c>
      <c r="C954" s="7">
        <v>641.29129999999998</v>
      </c>
      <c r="D954">
        <v>2966848</v>
      </c>
      <c r="E954">
        <v>2405434</v>
      </c>
    </row>
    <row r="955" spans="1:5">
      <c r="A955">
        <v>950</v>
      </c>
      <c r="B955" s="11">
        <v>45895.395833333336</v>
      </c>
      <c r="C955" s="7">
        <v>640.71360000000004</v>
      </c>
      <c r="D955">
        <v>4369256</v>
      </c>
      <c r="E955">
        <v>2572305.5</v>
      </c>
    </row>
    <row r="956" spans="1:5">
      <c r="A956">
        <v>951</v>
      </c>
      <c r="B956" s="11">
        <v>45894.666666666664</v>
      </c>
      <c r="C956" s="7">
        <v>640.69359999999995</v>
      </c>
      <c r="D956">
        <v>0</v>
      </c>
      <c r="E956">
        <v>2281021.75</v>
      </c>
    </row>
    <row r="957" spans="1:5">
      <c r="A957">
        <v>952</v>
      </c>
      <c r="B957" s="11">
        <v>45894.645833333336</v>
      </c>
      <c r="C957" s="7">
        <v>640.69359999999995</v>
      </c>
      <c r="D957">
        <v>7723502</v>
      </c>
      <c r="E957">
        <v>3136131.75</v>
      </c>
    </row>
    <row r="958" spans="1:5">
      <c r="A958">
        <v>953</v>
      </c>
      <c r="B958" s="11">
        <v>45894.625</v>
      </c>
      <c r="C958" s="7">
        <v>641.91030000000001</v>
      </c>
      <c r="D958">
        <v>2429032</v>
      </c>
      <c r="E958">
        <v>2833156.75</v>
      </c>
    </row>
    <row r="959" spans="1:5">
      <c r="A959">
        <v>954</v>
      </c>
      <c r="B959" s="11">
        <v>45894.604166666664</v>
      </c>
      <c r="C959" s="7">
        <v>642.17960000000005</v>
      </c>
      <c r="D959">
        <v>1567654</v>
      </c>
      <c r="E959">
        <v>2844890.25</v>
      </c>
    </row>
    <row r="960" spans="1:5">
      <c r="A960">
        <v>955</v>
      </c>
      <c r="B960" s="11">
        <v>45894.583333333336</v>
      </c>
      <c r="C960" s="7">
        <v>642.41890000000001</v>
      </c>
      <c r="D960">
        <v>1840350</v>
      </c>
      <c r="E960">
        <v>2899018.5</v>
      </c>
    </row>
    <row r="961" spans="1:5">
      <c r="A961">
        <v>956</v>
      </c>
      <c r="B961" s="11">
        <v>45894.5625</v>
      </c>
      <c r="C961" s="7">
        <v>642.71310000000005</v>
      </c>
      <c r="D961">
        <v>1697157</v>
      </c>
      <c r="E961">
        <v>2895180</v>
      </c>
    </row>
    <row r="962" spans="1:5">
      <c r="A962">
        <v>957</v>
      </c>
      <c r="B962" s="11">
        <v>45894.541666666664</v>
      </c>
      <c r="C962" s="7">
        <v>642.86760000000004</v>
      </c>
      <c r="D962">
        <v>1479055</v>
      </c>
      <c r="E962">
        <v>2947060.75</v>
      </c>
    </row>
    <row r="963" spans="1:5">
      <c r="A963">
        <v>958</v>
      </c>
      <c r="B963" s="11">
        <v>45894.520833333336</v>
      </c>
      <c r="C963" s="7">
        <v>643.20169999999996</v>
      </c>
      <c r="D963">
        <v>1302930</v>
      </c>
      <c r="E963">
        <v>2957236.75</v>
      </c>
    </row>
    <row r="964" spans="1:5">
      <c r="A964">
        <v>959</v>
      </c>
      <c r="B964" s="11">
        <v>45894.5</v>
      </c>
      <c r="C964" s="7">
        <v>643.12689999999998</v>
      </c>
      <c r="D964">
        <v>1453685</v>
      </c>
      <c r="E964">
        <v>3051703.25</v>
      </c>
    </row>
    <row r="965" spans="1:5">
      <c r="A965">
        <v>960</v>
      </c>
      <c r="B965" s="11">
        <v>45894.479166666664</v>
      </c>
      <c r="C965" s="7">
        <v>643.17679999999996</v>
      </c>
      <c r="D965">
        <v>1692739</v>
      </c>
      <c r="E965">
        <v>3165528.5</v>
      </c>
    </row>
    <row r="966" spans="1:5">
      <c r="A966">
        <v>961</v>
      </c>
      <c r="B966" s="11">
        <v>45894.458333333336</v>
      </c>
      <c r="C966" s="7">
        <v>643.12689999999998</v>
      </c>
      <c r="D966">
        <v>2024484</v>
      </c>
      <c r="E966">
        <v>3349220.25</v>
      </c>
    </row>
    <row r="967" spans="1:5">
      <c r="A967">
        <v>962</v>
      </c>
      <c r="B967" s="11">
        <v>45894.4375</v>
      </c>
      <c r="C967" s="7">
        <v>642.59839999999997</v>
      </c>
      <c r="D967">
        <v>2119322</v>
      </c>
      <c r="E967">
        <v>3547083.25</v>
      </c>
    </row>
    <row r="968" spans="1:5">
      <c r="A968">
        <v>963</v>
      </c>
      <c r="B968" s="11">
        <v>45894.416666666664</v>
      </c>
      <c r="C968" s="7">
        <v>642.34910000000002</v>
      </c>
      <c r="D968">
        <v>3415496</v>
      </c>
      <c r="E968">
        <v>4351668.5</v>
      </c>
    </row>
    <row r="969" spans="1:5">
      <c r="A969">
        <v>964</v>
      </c>
      <c r="B969" s="11">
        <v>45894.395833333336</v>
      </c>
      <c r="C969" s="7">
        <v>642.55849999999998</v>
      </c>
      <c r="D969">
        <v>5469920</v>
      </c>
      <c r="E969">
        <v>4488708.5</v>
      </c>
    </row>
    <row r="970" spans="1:5">
      <c r="A970">
        <v>965</v>
      </c>
      <c r="B970" s="11">
        <v>45891.666666666664</v>
      </c>
      <c r="C970" s="7">
        <v>643.5258</v>
      </c>
      <c r="D970">
        <v>0</v>
      </c>
      <c r="E970">
        <v>4124047</v>
      </c>
    </row>
    <row r="971" spans="1:5">
      <c r="A971">
        <v>966</v>
      </c>
      <c r="B971" s="11">
        <v>45891.645833333336</v>
      </c>
      <c r="C971" s="7">
        <v>643.51580000000001</v>
      </c>
      <c r="D971">
        <v>12826651</v>
      </c>
      <c r="E971">
        <v>4600122</v>
      </c>
    </row>
    <row r="972" spans="1:5">
      <c r="A972">
        <v>967</v>
      </c>
      <c r="B972" s="11">
        <v>45891.625</v>
      </c>
      <c r="C972" s="7">
        <v>643.29639999999995</v>
      </c>
      <c r="D972">
        <v>3178877</v>
      </c>
      <c r="E972">
        <v>3874449.5</v>
      </c>
    </row>
    <row r="973" spans="1:5">
      <c r="A973">
        <v>968</v>
      </c>
      <c r="B973" s="11">
        <v>45891.604166666664</v>
      </c>
      <c r="C973" s="7">
        <v>643.68529999999998</v>
      </c>
      <c r="D973">
        <v>2605034</v>
      </c>
      <c r="E973">
        <v>3794592</v>
      </c>
    </row>
    <row r="974" spans="1:5">
      <c r="A974">
        <v>969</v>
      </c>
      <c r="B974" s="11">
        <v>45891.583333333336</v>
      </c>
      <c r="C974" s="7">
        <v>643.6454</v>
      </c>
      <c r="D974">
        <v>2379579</v>
      </c>
      <c r="E974">
        <v>3720820.75</v>
      </c>
    </row>
    <row r="975" spans="1:5">
      <c r="A975">
        <v>970</v>
      </c>
      <c r="B975" s="11">
        <v>45891.5625</v>
      </c>
      <c r="C975" s="7">
        <v>644.01440000000002</v>
      </c>
      <c r="D975">
        <v>1782770</v>
      </c>
      <c r="E975">
        <v>3703435.25</v>
      </c>
    </row>
    <row r="976" spans="1:5">
      <c r="A976">
        <v>971</v>
      </c>
      <c r="B976" s="11">
        <v>45891.541666666664</v>
      </c>
      <c r="C976" s="7">
        <v>644.37339999999995</v>
      </c>
      <c r="D976">
        <v>2475370</v>
      </c>
      <c r="E976">
        <v>3719233.75</v>
      </c>
    </row>
    <row r="977" spans="1:5">
      <c r="A977">
        <v>972</v>
      </c>
      <c r="B977" s="11">
        <v>45891.520833333336</v>
      </c>
      <c r="C977" s="7">
        <v>642.9973</v>
      </c>
      <c r="D977">
        <v>1631693</v>
      </c>
      <c r="E977">
        <v>3657828.25</v>
      </c>
    </row>
    <row r="978" spans="1:5">
      <c r="A978">
        <v>973</v>
      </c>
      <c r="B978" s="11">
        <v>45891.5</v>
      </c>
      <c r="C978" s="7">
        <v>643.0172</v>
      </c>
      <c r="D978">
        <v>2719927</v>
      </c>
      <c r="E978">
        <v>3693587.25</v>
      </c>
    </row>
    <row r="979" spans="1:5">
      <c r="A979">
        <v>974</v>
      </c>
      <c r="B979" s="11">
        <v>45891.479166666664</v>
      </c>
      <c r="C979" s="7">
        <v>643.65440000000001</v>
      </c>
      <c r="D979">
        <v>3161064</v>
      </c>
      <c r="E979">
        <v>3637074.25</v>
      </c>
    </row>
    <row r="980" spans="1:5">
      <c r="A980">
        <v>975</v>
      </c>
      <c r="B980" s="11">
        <v>45891.458333333336</v>
      </c>
      <c r="C980" s="7">
        <v>644.19389999999999</v>
      </c>
      <c r="D980">
        <v>4448115</v>
      </c>
      <c r="E980">
        <v>3583476.75</v>
      </c>
    </row>
    <row r="981" spans="1:5">
      <c r="A981">
        <v>976</v>
      </c>
      <c r="B981" s="11">
        <v>45891.4375</v>
      </c>
      <c r="C981" s="7">
        <v>643.90470000000005</v>
      </c>
      <c r="D981">
        <v>4992432</v>
      </c>
      <c r="E981">
        <v>3409927.5</v>
      </c>
    </row>
    <row r="982" spans="1:5">
      <c r="A982">
        <v>977</v>
      </c>
      <c r="B982" s="11">
        <v>45891.416666666664</v>
      </c>
      <c r="C982" s="7">
        <v>642.4683</v>
      </c>
      <c r="D982">
        <v>14188096</v>
      </c>
      <c r="E982">
        <v>3282517.75</v>
      </c>
    </row>
    <row r="983" spans="1:5">
      <c r="A983">
        <v>978</v>
      </c>
      <c r="B983" s="11">
        <v>45891.395833333336</v>
      </c>
      <c r="C983" s="7">
        <v>637.14350000000002</v>
      </c>
      <c r="D983">
        <v>5471096</v>
      </c>
      <c r="E983">
        <v>2722429.75</v>
      </c>
    </row>
    <row r="984" spans="1:5">
      <c r="A984">
        <v>979</v>
      </c>
      <c r="B984" s="11">
        <v>45890.666666666664</v>
      </c>
      <c r="C984" s="7">
        <v>633.79280000000006</v>
      </c>
      <c r="D984">
        <v>0</v>
      </c>
      <c r="E984">
        <v>2357690</v>
      </c>
    </row>
    <row r="985" spans="1:5">
      <c r="A985">
        <v>980</v>
      </c>
      <c r="B985" s="11">
        <v>45890.645833333336</v>
      </c>
      <c r="C985" s="7">
        <v>633.79280000000006</v>
      </c>
      <c r="D985">
        <v>7141123</v>
      </c>
      <c r="E985">
        <v>2926279.5</v>
      </c>
    </row>
    <row r="986" spans="1:5">
      <c r="A986">
        <v>981</v>
      </c>
      <c r="B986" s="11">
        <v>45890.625</v>
      </c>
      <c r="C986" s="7">
        <v>634.1617</v>
      </c>
      <c r="D986">
        <v>1941567</v>
      </c>
      <c r="E986">
        <v>2708131.25</v>
      </c>
    </row>
    <row r="987" spans="1:5">
      <c r="A987">
        <v>982</v>
      </c>
      <c r="B987" s="11">
        <v>45890.604166666664</v>
      </c>
      <c r="C987" s="7">
        <v>634.28639999999996</v>
      </c>
      <c r="D987">
        <v>1981015</v>
      </c>
      <c r="E987">
        <v>2766988.75</v>
      </c>
    </row>
    <row r="988" spans="1:5">
      <c r="A988">
        <v>983</v>
      </c>
      <c r="B988" s="11">
        <v>45890.583333333336</v>
      </c>
      <c r="C988" s="7">
        <v>633.76480000000004</v>
      </c>
      <c r="D988">
        <v>1498465</v>
      </c>
      <c r="E988">
        <v>2883518.5</v>
      </c>
    </row>
    <row r="989" spans="1:5">
      <c r="A989">
        <v>984</v>
      </c>
      <c r="B989" s="11">
        <v>45890.5625</v>
      </c>
      <c r="C989" s="7">
        <v>634.11189999999999</v>
      </c>
      <c r="D989">
        <v>2118794</v>
      </c>
      <c r="E989">
        <v>2902077</v>
      </c>
    </row>
    <row r="990" spans="1:5">
      <c r="A990">
        <v>985</v>
      </c>
      <c r="B990" s="11">
        <v>45890.541666666664</v>
      </c>
      <c r="C990" s="7">
        <v>632.64099999999996</v>
      </c>
      <c r="D990">
        <v>2019751</v>
      </c>
      <c r="E990">
        <v>2873785.25</v>
      </c>
    </row>
    <row r="991" spans="1:5">
      <c r="A991">
        <v>986</v>
      </c>
      <c r="B991" s="11">
        <v>45890.520833333336</v>
      </c>
      <c r="C991" s="7">
        <v>633.12459999999999</v>
      </c>
      <c r="D991">
        <v>1554284</v>
      </c>
      <c r="E991">
        <v>2893660.75</v>
      </c>
    </row>
    <row r="992" spans="1:5">
      <c r="A992">
        <v>987</v>
      </c>
      <c r="B992" s="11">
        <v>45890.5</v>
      </c>
      <c r="C992" s="7">
        <v>633.46370000000002</v>
      </c>
      <c r="D992">
        <v>2168078</v>
      </c>
      <c r="E992">
        <v>3003961.5</v>
      </c>
    </row>
    <row r="993" spans="1:5">
      <c r="A993">
        <v>988</v>
      </c>
      <c r="B993" s="11">
        <v>45890.479166666664</v>
      </c>
      <c r="C993" s="7">
        <v>633.86260000000004</v>
      </c>
      <c r="D993">
        <v>1872232</v>
      </c>
      <c r="E993">
        <v>3080995</v>
      </c>
    </row>
    <row r="994" spans="1:5">
      <c r="A994">
        <v>989</v>
      </c>
      <c r="B994" s="11">
        <v>45890.458333333336</v>
      </c>
      <c r="C994" s="7">
        <v>634.92960000000005</v>
      </c>
      <c r="D994">
        <v>2357104</v>
      </c>
      <c r="E994">
        <v>3262916.75</v>
      </c>
    </row>
    <row r="995" spans="1:5">
      <c r="A995">
        <v>990</v>
      </c>
      <c r="B995" s="11">
        <v>45890.4375</v>
      </c>
      <c r="C995" s="7">
        <v>635.44820000000004</v>
      </c>
      <c r="D995">
        <v>1844874</v>
      </c>
      <c r="E995">
        <v>3388691.75</v>
      </c>
    </row>
    <row r="996" spans="1:5">
      <c r="A996">
        <v>991</v>
      </c>
      <c r="B996" s="11">
        <v>45890.416666666664</v>
      </c>
      <c r="C996" s="7">
        <v>636.06650000000002</v>
      </c>
      <c r="D996">
        <v>3081287</v>
      </c>
      <c r="E996">
        <v>3774302.75</v>
      </c>
    </row>
    <row r="997" spans="1:5">
      <c r="A997">
        <v>992</v>
      </c>
      <c r="B997" s="11">
        <v>45890.395833333336</v>
      </c>
      <c r="C997" s="7">
        <v>633.30409999999995</v>
      </c>
      <c r="D997">
        <v>5786775</v>
      </c>
      <c r="E997">
        <v>4289321.5</v>
      </c>
    </row>
    <row r="998" spans="1:5">
      <c r="A998">
        <v>993</v>
      </c>
      <c r="B998" s="11">
        <v>45889.666666666664</v>
      </c>
      <c r="C998" s="7">
        <v>636.34569999999997</v>
      </c>
      <c r="D998">
        <v>0</v>
      </c>
      <c r="E998">
        <v>3903536.75</v>
      </c>
    </row>
    <row r="999" spans="1:5">
      <c r="A999">
        <v>994</v>
      </c>
      <c r="B999" s="11">
        <v>45889.645833333336</v>
      </c>
      <c r="C999" s="7">
        <v>636.34569999999997</v>
      </c>
      <c r="D999">
        <v>8528843</v>
      </c>
      <c r="E999">
        <v>4531054</v>
      </c>
    </row>
    <row r="1000" spans="1:5">
      <c r="A1000">
        <v>995</v>
      </c>
      <c r="B1000" s="11">
        <v>45889.625</v>
      </c>
      <c r="C1000" s="7">
        <v>636.50519999999995</v>
      </c>
      <c r="D1000">
        <v>3868900</v>
      </c>
      <c r="E1000">
        <v>4210004.5</v>
      </c>
    </row>
    <row r="1001" spans="1:5">
      <c r="A1001">
        <v>996</v>
      </c>
      <c r="B1001" s="11">
        <v>45889.604166666664</v>
      </c>
      <c r="C1001" s="7">
        <v>634.96950000000004</v>
      </c>
      <c r="D1001">
        <v>2824430</v>
      </c>
      <c r="E1001">
        <v>4101215.5</v>
      </c>
    </row>
    <row r="1002" spans="1:5">
      <c r="A1002">
        <v>997</v>
      </c>
      <c r="B1002" s="11">
        <v>45889.583333333336</v>
      </c>
      <c r="C1002" s="7">
        <v>634.06200000000001</v>
      </c>
      <c r="D1002">
        <v>3728960</v>
      </c>
      <c r="E1002">
        <v>4067329.75</v>
      </c>
    </row>
    <row r="1003" spans="1:5">
      <c r="A1003">
        <v>998</v>
      </c>
      <c r="B1003" s="11">
        <v>45889.5625</v>
      </c>
      <c r="C1003" s="7">
        <v>635.41830000000004</v>
      </c>
      <c r="D1003">
        <v>1776844</v>
      </c>
      <c r="E1003">
        <v>3943545.75</v>
      </c>
    </row>
    <row r="1004" spans="1:5">
      <c r="A1004">
        <v>999</v>
      </c>
      <c r="B1004" s="11">
        <v>45889.541666666664</v>
      </c>
      <c r="C1004" s="7">
        <v>634.80999999999995</v>
      </c>
      <c r="D1004">
        <v>1694415</v>
      </c>
      <c r="E1004">
        <v>4018068</v>
      </c>
    </row>
    <row r="1005" spans="1:5">
      <c r="A1005">
        <v>1000</v>
      </c>
      <c r="B1005" s="11">
        <v>45889.520833333336</v>
      </c>
      <c r="C1005" s="7">
        <v>634.46090000000004</v>
      </c>
      <c r="D1005">
        <v>2317887</v>
      </c>
      <c r="E1005">
        <v>4104801.5</v>
      </c>
    </row>
    <row r="1006" spans="1:5">
      <c r="A1006">
        <v>1001</v>
      </c>
      <c r="B1006" s="11">
        <v>45889.5</v>
      </c>
      <c r="C1006" s="7">
        <v>635.66759999999999</v>
      </c>
      <c r="D1006">
        <v>3208795</v>
      </c>
      <c r="E1006">
        <v>4102298.5</v>
      </c>
    </row>
    <row r="1007" spans="1:5">
      <c r="A1007">
        <v>1002</v>
      </c>
      <c r="B1007" s="11">
        <v>45889.479166666664</v>
      </c>
      <c r="C1007" s="7">
        <v>633.42380000000003</v>
      </c>
      <c r="D1007">
        <v>3323580</v>
      </c>
      <c r="E1007">
        <v>4048348.75</v>
      </c>
    </row>
    <row r="1008" spans="1:5">
      <c r="A1008">
        <v>1003</v>
      </c>
      <c r="B1008" s="11">
        <v>45889.458333333336</v>
      </c>
      <c r="C1008" s="7">
        <v>634.5806</v>
      </c>
      <c r="D1008">
        <v>4601057</v>
      </c>
      <c r="E1008">
        <v>4057009.25</v>
      </c>
    </row>
    <row r="1009" spans="1:5">
      <c r="A1009">
        <v>1004</v>
      </c>
      <c r="B1009" s="11">
        <v>45889.4375</v>
      </c>
      <c r="C1009" s="7">
        <v>631.42930000000001</v>
      </c>
      <c r="D1009">
        <v>4243728</v>
      </c>
      <c r="E1009">
        <v>4084242.25</v>
      </c>
    </row>
    <row r="1010" spans="1:5">
      <c r="A1010">
        <v>1005</v>
      </c>
      <c r="B1010" s="11">
        <v>45889.416666666664</v>
      </c>
      <c r="C1010" s="7">
        <v>632.18730000000005</v>
      </c>
      <c r="D1010">
        <v>7629039</v>
      </c>
      <c r="E1010">
        <v>4051784.75</v>
      </c>
    </row>
    <row r="1011" spans="1:5">
      <c r="A1011">
        <v>1006</v>
      </c>
      <c r="B1011" s="11">
        <v>45889.395833333336</v>
      </c>
      <c r="C1011" s="7">
        <v>633.55349999999999</v>
      </c>
      <c r="D1011">
        <v>10806572</v>
      </c>
      <c r="E1011">
        <v>3925706.25</v>
      </c>
    </row>
    <row r="1012" spans="1:5">
      <c r="A1012">
        <v>1007</v>
      </c>
      <c r="B1012" s="11">
        <v>45888.666666666664</v>
      </c>
      <c r="C1012" s="7">
        <v>638.04100000000005</v>
      </c>
      <c r="D1012">
        <v>0</v>
      </c>
      <c r="E1012">
        <v>3205268</v>
      </c>
    </row>
    <row r="1013" spans="1:5">
      <c r="A1013">
        <v>1008</v>
      </c>
      <c r="B1013" s="11">
        <v>45888.645833333336</v>
      </c>
      <c r="C1013" s="7">
        <v>638.04100000000005</v>
      </c>
      <c r="D1013">
        <v>9412757</v>
      </c>
      <c r="E1013">
        <v>3584794.5</v>
      </c>
    </row>
    <row r="1014" spans="1:5">
      <c r="A1014">
        <v>1009</v>
      </c>
      <c r="B1014" s="11">
        <v>45888.625</v>
      </c>
      <c r="C1014" s="7">
        <v>637.44269999999995</v>
      </c>
      <c r="D1014">
        <v>3713105</v>
      </c>
      <c r="E1014">
        <v>3083520.5</v>
      </c>
    </row>
    <row r="1015" spans="1:5">
      <c r="A1015">
        <v>1010</v>
      </c>
      <c r="B1015" s="11">
        <v>45888.604166666664</v>
      </c>
      <c r="C1015" s="7">
        <v>637.26319999999998</v>
      </c>
      <c r="D1015">
        <v>2237062</v>
      </c>
      <c r="E1015">
        <v>2971957</v>
      </c>
    </row>
    <row r="1016" spans="1:5">
      <c r="A1016">
        <v>1011</v>
      </c>
      <c r="B1016" s="11">
        <v>45888.583333333336</v>
      </c>
      <c r="C1016" s="7">
        <v>637.303</v>
      </c>
      <c r="D1016">
        <v>2316145</v>
      </c>
      <c r="E1016">
        <v>2919671</v>
      </c>
    </row>
    <row r="1017" spans="1:5">
      <c r="A1017">
        <v>1012</v>
      </c>
      <c r="B1017" s="11">
        <v>45888.5625</v>
      </c>
      <c r="C1017" s="7">
        <v>638.07090000000005</v>
      </c>
      <c r="D1017">
        <v>1872200</v>
      </c>
      <c r="E1017">
        <v>2888366</v>
      </c>
    </row>
    <row r="1018" spans="1:5">
      <c r="A1018">
        <v>1013</v>
      </c>
      <c r="B1018" s="11">
        <v>45888.541666666664</v>
      </c>
      <c r="C1018" s="7">
        <v>637.91139999999996</v>
      </c>
      <c r="D1018">
        <v>2894677</v>
      </c>
      <c r="E1018">
        <v>2841327.25</v>
      </c>
    </row>
    <row r="1019" spans="1:5">
      <c r="A1019">
        <v>1014</v>
      </c>
      <c r="B1019" s="11">
        <v>45888.520833333336</v>
      </c>
      <c r="C1019" s="7">
        <v>637.94129999999996</v>
      </c>
      <c r="D1019">
        <v>2995417</v>
      </c>
      <c r="E1019">
        <v>2740582.5</v>
      </c>
    </row>
    <row r="1020" spans="1:5">
      <c r="A1020">
        <v>1015</v>
      </c>
      <c r="B1020" s="11">
        <v>45888.5</v>
      </c>
      <c r="C1020" s="7">
        <v>638.55460000000005</v>
      </c>
      <c r="D1020">
        <v>2280344</v>
      </c>
      <c r="E1020">
        <v>2620370</v>
      </c>
    </row>
    <row r="1021" spans="1:5">
      <c r="A1021">
        <v>1016</v>
      </c>
      <c r="B1021" s="11">
        <v>45888.479166666664</v>
      </c>
      <c r="C1021" s="7">
        <v>638.95839999999998</v>
      </c>
      <c r="D1021">
        <v>2399548</v>
      </c>
      <c r="E1021">
        <v>2549456.75</v>
      </c>
    </row>
    <row r="1022" spans="1:5">
      <c r="A1022">
        <v>1017</v>
      </c>
      <c r="B1022" s="11">
        <v>45888.458333333336</v>
      </c>
      <c r="C1022" s="7">
        <v>639.79610000000002</v>
      </c>
      <c r="D1022">
        <v>3453486</v>
      </c>
      <c r="E1022">
        <v>2501796.25</v>
      </c>
    </row>
    <row r="1023" spans="1:5">
      <c r="A1023">
        <v>1018</v>
      </c>
      <c r="B1023" s="11">
        <v>45888.4375</v>
      </c>
      <c r="C1023" s="7">
        <v>639.48199999999997</v>
      </c>
      <c r="D1023">
        <v>5009553</v>
      </c>
      <c r="E1023">
        <v>2427144.5</v>
      </c>
    </row>
    <row r="1024" spans="1:5">
      <c r="A1024">
        <v>1019</v>
      </c>
      <c r="B1024" s="11">
        <v>45888.416666666664</v>
      </c>
      <c r="C1024" s="7">
        <v>641.27200000000005</v>
      </c>
      <c r="D1024">
        <v>3756868</v>
      </c>
      <c r="E1024">
        <v>2274825.75</v>
      </c>
    </row>
    <row r="1025" spans="1:5">
      <c r="A1025">
        <v>1020</v>
      </c>
      <c r="B1025" s="11">
        <v>45888.395833333336</v>
      </c>
      <c r="C1025" s="7">
        <v>641.10249999999996</v>
      </c>
      <c r="D1025">
        <v>5737858</v>
      </c>
      <c r="E1025">
        <v>2323409.75</v>
      </c>
    </row>
    <row r="1026" spans="1:5">
      <c r="A1026">
        <v>1021</v>
      </c>
      <c r="B1026" s="11">
        <v>45887.666666666664</v>
      </c>
      <c r="C1026" s="7">
        <v>641.52139999999997</v>
      </c>
      <c r="D1026">
        <v>0</v>
      </c>
      <c r="E1026">
        <v>1940885.88</v>
      </c>
    </row>
    <row r="1027" spans="1:5">
      <c r="A1027">
        <v>1022</v>
      </c>
      <c r="B1027" s="11">
        <v>45887.645833333336</v>
      </c>
      <c r="C1027" s="7">
        <v>641.52139999999997</v>
      </c>
      <c r="D1027">
        <v>5692897</v>
      </c>
      <c r="E1027">
        <v>2427651.75</v>
      </c>
    </row>
    <row r="1028" spans="1:5">
      <c r="A1028">
        <v>1023</v>
      </c>
      <c r="B1028" s="11">
        <v>45887.625</v>
      </c>
      <c r="C1028" s="7">
        <v>641.4615</v>
      </c>
      <c r="D1028">
        <v>1893647</v>
      </c>
      <c r="E1028">
        <v>2261055.25</v>
      </c>
    </row>
    <row r="1029" spans="1:5">
      <c r="A1029">
        <v>1024</v>
      </c>
      <c r="B1029" s="11">
        <v>45887.604166666664</v>
      </c>
      <c r="C1029" s="7">
        <v>641.62609999999995</v>
      </c>
      <c r="D1029">
        <v>2039652</v>
      </c>
      <c r="E1029">
        <v>2277217.75</v>
      </c>
    </row>
    <row r="1030" spans="1:5">
      <c r="A1030">
        <v>1025</v>
      </c>
      <c r="B1030" s="11">
        <v>45887.583333333336</v>
      </c>
      <c r="C1030" s="7">
        <v>640.97289999999998</v>
      </c>
      <c r="D1030">
        <v>1452772</v>
      </c>
      <c r="E1030">
        <v>2321067</v>
      </c>
    </row>
    <row r="1031" spans="1:5">
      <c r="A1031">
        <v>1026</v>
      </c>
      <c r="B1031" s="11">
        <v>45887.5625</v>
      </c>
      <c r="C1031" s="7">
        <v>641.01279999999997</v>
      </c>
      <c r="D1031">
        <v>1846572</v>
      </c>
      <c r="E1031">
        <v>2357996.75</v>
      </c>
    </row>
    <row r="1032" spans="1:5">
      <c r="A1032">
        <v>1027</v>
      </c>
      <c r="B1032" s="11">
        <v>45887.541666666664</v>
      </c>
      <c r="C1032" s="7">
        <v>641.38670000000002</v>
      </c>
      <c r="D1032">
        <v>1166616</v>
      </c>
      <c r="E1032">
        <v>2358738.75</v>
      </c>
    </row>
    <row r="1033" spans="1:5">
      <c r="A1033">
        <v>1028</v>
      </c>
      <c r="B1033" s="11">
        <v>45887.520833333336</v>
      </c>
      <c r="C1033" s="7">
        <v>640.71360000000004</v>
      </c>
      <c r="D1033">
        <v>1383506</v>
      </c>
      <c r="E1033">
        <v>2402211.5</v>
      </c>
    </row>
    <row r="1034" spans="1:5">
      <c r="A1034">
        <v>1029</v>
      </c>
      <c r="B1034" s="11">
        <v>45887.5</v>
      </c>
      <c r="C1034" s="7">
        <v>641.34529999999995</v>
      </c>
      <c r="D1034">
        <v>1192231</v>
      </c>
      <c r="E1034">
        <v>2453182.5</v>
      </c>
    </row>
    <row r="1035" spans="1:5">
      <c r="A1035">
        <v>1030</v>
      </c>
      <c r="B1035" s="11">
        <v>45887.479166666664</v>
      </c>
      <c r="C1035" s="7">
        <v>640.9479</v>
      </c>
      <c r="D1035">
        <v>1216647</v>
      </c>
      <c r="E1035">
        <v>2577610.25</v>
      </c>
    </row>
    <row r="1036" spans="1:5">
      <c r="A1036">
        <v>1031</v>
      </c>
      <c r="B1036" s="11">
        <v>45887.458333333336</v>
      </c>
      <c r="C1036" s="7">
        <v>640.97289999999998</v>
      </c>
      <c r="D1036">
        <v>1684640</v>
      </c>
      <c r="E1036">
        <v>2639567.5</v>
      </c>
    </row>
    <row r="1037" spans="1:5">
      <c r="A1037">
        <v>1032</v>
      </c>
      <c r="B1037" s="11">
        <v>45887.4375</v>
      </c>
      <c r="C1037" s="7">
        <v>641.44150000000002</v>
      </c>
      <c r="D1037">
        <v>2333708</v>
      </c>
      <c r="E1037">
        <v>2676376.25</v>
      </c>
    </row>
    <row r="1038" spans="1:5">
      <c r="A1038">
        <v>1033</v>
      </c>
      <c r="B1038" s="11">
        <v>45887.416666666664</v>
      </c>
      <c r="C1038" s="7">
        <v>641.14239999999995</v>
      </c>
      <c r="D1038">
        <v>2724771</v>
      </c>
      <c r="E1038">
        <v>2744346</v>
      </c>
    </row>
    <row r="1039" spans="1:5">
      <c r="A1039">
        <v>1034</v>
      </c>
      <c r="B1039" s="11">
        <v>45887.395833333336</v>
      </c>
      <c r="C1039" s="7">
        <v>640.96289999999999</v>
      </c>
      <c r="D1039">
        <v>4485629</v>
      </c>
      <c r="E1039">
        <v>2907328</v>
      </c>
    </row>
    <row r="1040" spans="1:5">
      <c r="A1040">
        <v>1035</v>
      </c>
      <c r="B1040" s="11">
        <v>45884.666666666664</v>
      </c>
      <c r="C1040" s="7">
        <v>641.66089999999997</v>
      </c>
      <c r="D1040">
        <v>0</v>
      </c>
      <c r="E1040">
        <v>2608286</v>
      </c>
    </row>
    <row r="1041" spans="1:5">
      <c r="A1041">
        <v>1036</v>
      </c>
      <c r="B1041" s="11">
        <v>45884.645833333336</v>
      </c>
      <c r="C1041" s="7">
        <v>641.66089999999997</v>
      </c>
      <c r="D1041">
        <v>7301487</v>
      </c>
      <c r="E1041">
        <v>3082052.5</v>
      </c>
    </row>
    <row r="1042" spans="1:5">
      <c r="A1042">
        <v>1037</v>
      </c>
      <c r="B1042" s="11">
        <v>45884.625</v>
      </c>
      <c r="C1042" s="7">
        <v>642.02</v>
      </c>
      <c r="D1042">
        <v>3193951</v>
      </c>
      <c r="E1042">
        <v>2800578</v>
      </c>
    </row>
    <row r="1043" spans="1:5">
      <c r="A1043">
        <v>1038</v>
      </c>
      <c r="B1043" s="11">
        <v>45884.604166666664</v>
      </c>
      <c r="C1043" s="7">
        <v>642.47370000000001</v>
      </c>
      <c r="D1043">
        <v>2136084</v>
      </c>
      <c r="E1043">
        <v>2741847.5</v>
      </c>
    </row>
    <row r="1044" spans="1:5">
      <c r="A1044">
        <v>1039</v>
      </c>
      <c r="B1044" s="11">
        <v>45884.583333333336</v>
      </c>
      <c r="C1044" s="7">
        <v>642.73800000000006</v>
      </c>
      <c r="D1044">
        <v>2697391</v>
      </c>
      <c r="E1044">
        <v>2758852.5</v>
      </c>
    </row>
    <row r="1045" spans="1:5">
      <c r="A1045">
        <v>1040</v>
      </c>
      <c r="B1045" s="11">
        <v>45884.5625</v>
      </c>
      <c r="C1045" s="7">
        <v>642.93740000000003</v>
      </c>
      <c r="D1045">
        <v>2006720</v>
      </c>
      <c r="E1045">
        <v>2685874.25</v>
      </c>
    </row>
    <row r="1046" spans="1:5">
      <c r="A1046">
        <v>1041</v>
      </c>
      <c r="B1046" s="11">
        <v>45884.541666666664</v>
      </c>
      <c r="C1046" s="7">
        <v>642.38390000000004</v>
      </c>
      <c r="D1046">
        <v>1857701</v>
      </c>
      <c r="E1046">
        <v>2664143.5</v>
      </c>
    </row>
    <row r="1047" spans="1:5">
      <c r="A1047">
        <v>1042</v>
      </c>
      <c r="B1047" s="11">
        <v>45884.520833333336</v>
      </c>
      <c r="C1047" s="7">
        <v>642.27919999999995</v>
      </c>
      <c r="D1047">
        <v>1818708</v>
      </c>
      <c r="E1047">
        <v>2641251.75</v>
      </c>
    </row>
    <row r="1048" spans="1:5">
      <c r="A1048">
        <v>1043</v>
      </c>
      <c r="B1048" s="11">
        <v>45884.5</v>
      </c>
      <c r="C1048" s="7">
        <v>641.55129999999997</v>
      </c>
      <c r="D1048">
        <v>2148069</v>
      </c>
      <c r="E1048">
        <v>2656167.5</v>
      </c>
    </row>
    <row r="1049" spans="1:5">
      <c r="A1049">
        <v>1044</v>
      </c>
      <c r="B1049" s="11">
        <v>45884.479166666664</v>
      </c>
      <c r="C1049" s="7">
        <v>641.59109999999998</v>
      </c>
      <c r="D1049">
        <v>3058646</v>
      </c>
      <c r="E1049">
        <v>2682464.5</v>
      </c>
    </row>
    <row r="1050" spans="1:5">
      <c r="A1050">
        <v>1045</v>
      </c>
      <c r="B1050" s="11">
        <v>45884.458333333336</v>
      </c>
      <c r="C1050" s="7">
        <v>641.71079999999995</v>
      </c>
      <c r="D1050">
        <v>2146008</v>
      </c>
      <c r="E1050">
        <v>2668974</v>
      </c>
    </row>
    <row r="1051" spans="1:5">
      <c r="A1051">
        <v>1046</v>
      </c>
      <c r="B1051" s="11">
        <v>45884.4375</v>
      </c>
      <c r="C1051" s="7">
        <v>641.75070000000005</v>
      </c>
      <c r="D1051">
        <v>2236771</v>
      </c>
      <c r="E1051">
        <v>2724390.5</v>
      </c>
    </row>
    <row r="1052" spans="1:5">
      <c r="A1052">
        <v>1047</v>
      </c>
      <c r="B1052" s="11">
        <v>45884.416666666664</v>
      </c>
      <c r="C1052" s="7">
        <v>642.38890000000004</v>
      </c>
      <c r="D1052">
        <v>3353255</v>
      </c>
      <c r="E1052">
        <v>2755368.75</v>
      </c>
    </row>
    <row r="1053" spans="1:5">
      <c r="A1053">
        <v>1048</v>
      </c>
      <c r="B1053" s="11">
        <v>45884.395833333336</v>
      </c>
      <c r="C1053" s="7">
        <v>641.63620000000003</v>
      </c>
      <c r="D1053">
        <v>5169500</v>
      </c>
      <c r="E1053">
        <v>2918376</v>
      </c>
    </row>
    <row r="1054" spans="1:5">
      <c r="A1054">
        <v>1049</v>
      </c>
      <c r="B1054" s="11">
        <v>45883.666666666664</v>
      </c>
      <c r="C1054" s="7">
        <v>643.16679999999997</v>
      </c>
      <c r="D1054">
        <v>0</v>
      </c>
      <c r="E1054">
        <v>2573742.75</v>
      </c>
    </row>
    <row r="1055" spans="1:5">
      <c r="A1055">
        <v>1050</v>
      </c>
      <c r="B1055" s="11">
        <v>45883.645833333336</v>
      </c>
      <c r="C1055" s="7">
        <v>643.15679999999998</v>
      </c>
      <c r="D1055">
        <v>7106497</v>
      </c>
      <c r="E1055">
        <v>3074142</v>
      </c>
    </row>
    <row r="1056" spans="1:5">
      <c r="A1056">
        <v>1051</v>
      </c>
      <c r="B1056" s="11">
        <v>45883.625</v>
      </c>
      <c r="C1056" s="7">
        <v>643.22659999999996</v>
      </c>
      <c r="D1056">
        <v>3079370</v>
      </c>
      <c r="E1056">
        <v>2775031.5</v>
      </c>
    </row>
    <row r="1057" spans="1:5">
      <c r="A1057">
        <v>1052</v>
      </c>
      <c r="B1057" s="11">
        <v>45883.604166666664</v>
      </c>
      <c r="C1057" s="7">
        <v>642.79790000000003</v>
      </c>
      <c r="D1057">
        <v>2312992</v>
      </c>
      <c r="E1057">
        <v>2720316.75</v>
      </c>
    </row>
    <row r="1058" spans="1:5">
      <c r="A1058">
        <v>1053</v>
      </c>
      <c r="B1058" s="11">
        <v>45883.583333333336</v>
      </c>
      <c r="C1058" s="7">
        <v>642.26930000000004</v>
      </c>
      <c r="D1058">
        <v>2391158</v>
      </c>
      <c r="E1058">
        <v>2690383.25</v>
      </c>
    </row>
    <row r="1059" spans="1:5">
      <c r="A1059">
        <v>1054</v>
      </c>
      <c r="B1059" s="11">
        <v>45883.5625</v>
      </c>
      <c r="C1059" s="7">
        <v>642.89750000000004</v>
      </c>
      <c r="D1059">
        <v>1602717</v>
      </c>
      <c r="E1059">
        <v>2643971.75</v>
      </c>
    </row>
    <row r="1060" spans="1:5">
      <c r="A1060">
        <v>1055</v>
      </c>
      <c r="B1060" s="11">
        <v>45883.541666666664</v>
      </c>
      <c r="C1060" s="7">
        <v>643.22659999999996</v>
      </c>
      <c r="D1060">
        <v>1680762</v>
      </c>
      <c r="E1060">
        <v>2668507.5</v>
      </c>
    </row>
    <row r="1061" spans="1:5">
      <c r="A1061">
        <v>1056</v>
      </c>
      <c r="B1061" s="11">
        <v>45883.520833333336</v>
      </c>
      <c r="C1061" s="7">
        <v>642.39890000000003</v>
      </c>
      <c r="D1061">
        <v>1514323</v>
      </c>
      <c r="E1061">
        <v>2673161.25</v>
      </c>
    </row>
    <row r="1062" spans="1:5">
      <c r="A1062">
        <v>1057</v>
      </c>
      <c r="B1062" s="11">
        <v>45883.5</v>
      </c>
      <c r="C1062" s="7">
        <v>641.33180000000004</v>
      </c>
      <c r="D1062">
        <v>2042446</v>
      </c>
      <c r="E1062">
        <v>2667584.25</v>
      </c>
    </row>
    <row r="1063" spans="1:5">
      <c r="A1063">
        <v>1058</v>
      </c>
      <c r="B1063" s="11">
        <v>45883.479166666664</v>
      </c>
      <c r="C1063" s="7">
        <v>642.26930000000004</v>
      </c>
      <c r="D1063">
        <v>2542524</v>
      </c>
      <c r="E1063">
        <v>2680906.25</v>
      </c>
    </row>
    <row r="1064" spans="1:5">
      <c r="A1064">
        <v>1059</v>
      </c>
      <c r="B1064" s="11">
        <v>45883.458333333336</v>
      </c>
      <c r="C1064" s="7">
        <v>641.53129999999999</v>
      </c>
      <c r="D1064">
        <v>2856286</v>
      </c>
      <c r="E1064">
        <v>2739656.25</v>
      </c>
    </row>
    <row r="1065" spans="1:5">
      <c r="A1065">
        <v>1060</v>
      </c>
      <c r="B1065" s="11">
        <v>45883.4375</v>
      </c>
      <c r="C1065" s="7">
        <v>642.95730000000003</v>
      </c>
      <c r="D1065">
        <v>2977255</v>
      </c>
      <c r="E1065">
        <v>2775013.25</v>
      </c>
    </row>
    <row r="1066" spans="1:5">
      <c r="A1066">
        <v>1061</v>
      </c>
      <c r="B1066" s="11">
        <v>45883.416666666664</v>
      </c>
      <c r="C1066" s="7">
        <v>642.45870000000002</v>
      </c>
      <c r="D1066">
        <v>2701448</v>
      </c>
      <c r="E1066">
        <v>2865046.25</v>
      </c>
    </row>
    <row r="1067" spans="1:5">
      <c r="A1067">
        <v>1062</v>
      </c>
      <c r="B1067" s="11">
        <v>45883.395833333336</v>
      </c>
      <c r="C1067" s="7">
        <v>642.28719999999998</v>
      </c>
      <c r="D1067">
        <v>5798363</v>
      </c>
      <c r="E1067">
        <v>3074155.75</v>
      </c>
    </row>
    <row r="1068" spans="1:5">
      <c r="A1068">
        <v>1063</v>
      </c>
      <c r="B1068" s="11">
        <v>45882.666666666664</v>
      </c>
      <c r="C1068" s="7">
        <v>643.10699999999997</v>
      </c>
      <c r="D1068">
        <v>0</v>
      </c>
      <c r="E1068">
        <v>2687598.25</v>
      </c>
    </row>
    <row r="1069" spans="1:5">
      <c r="A1069">
        <v>1064</v>
      </c>
      <c r="B1069" s="11">
        <v>45882.645833333336</v>
      </c>
      <c r="C1069" s="7">
        <v>643.10699999999997</v>
      </c>
      <c r="D1069">
        <v>7505989</v>
      </c>
      <c r="E1069">
        <v>3304445.25</v>
      </c>
    </row>
    <row r="1070" spans="1:5">
      <c r="A1070">
        <v>1065</v>
      </c>
      <c r="B1070" s="11">
        <v>45882.625</v>
      </c>
      <c r="C1070" s="7">
        <v>642.5385</v>
      </c>
      <c r="D1070">
        <v>2619840</v>
      </c>
      <c r="E1070">
        <v>2958350.5</v>
      </c>
    </row>
    <row r="1071" spans="1:5">
      <c r="A1071">
        <v>1066</v>
      </c>
      <c r="B1071" s="11">
        <v>45882.604166666664</v>
      </c>
      <c r="C1071" s="7">
        <v>642.21140000000003</v>
      </c>
      <c r="D1071">
        <v>2258650</v>
      </c>
      <c r="E1071">
        <v>2916496.5</v>
      </c>
    </row>
    <row r="1072" spans="1:5">
      <c r="A1072">
        <v>1067</v>
      </c>
      <c r="B1072" s="11">
        <v>45882.583333333336</v>
      </c>
      <c r="C1072" s="7">
        <v>642.12469999999996</v>
      </c>
      <c r="D1072">
        <v>1863986</v>
      </c>
      <c r="E1072">
        <v>2909547.25</v>
      </c>
    </row>
    <row r="1073" spans="1:5">
      <c r="A1073">
        <v>1068</v>
      </c>
      <c r="B1073" s="11">
        <v>45882.5625</v>
      </c>
      <c r="C1073" s="7">
        <v>641.74570000000006</v>
      </c>
      <c r="D1073">
        <v>1694987</v>
      </c>
      <c r="E1073">
        <v>2893124.75</v>
      </c>
    </row>
    <row r="1074" spans="1:5">
      <c r="A1074">
        <v>1069</v>
      </c>
      <c r="B1074" s="11">
        <v>45882.541666666664</v>
      </c>
      <c r="C1074" s="7">
        <v>641.87900000000002</v>
      </c>
      <c r="D1074">
        <v>1970752</v>
      </c>
      <c r="E1074">
        <v>2883836.5</v>
      </c>
    </row>
    <row r="1075" spans="1:5">
      <c r="A1075">
        <v>1070</v>
      </c>
      <c r="B1075" s="11">
        <v>45882.520833333336</v>
      </c>
      <c r="C1075" s="7">
        <v>641.2296</v>
      </c>
      <c r="D1075">
        <v>1750568</v>
      </c>
      <c r="E1075">
        <v>2882931.25</v>
      </c>
    </row>
    <row r="1076" spans="1:5">
      <c r="A1076">
        <v>1071</v>
      </c>
      <c r="B1076" s="11">
        <v>45882.5</v>
      </c>
      <c r="C1076" s="7">
        <v>641.48140000000001</v>
      </c>
      <c r="D1076">
        <v>1430669</v>
      </c>
      <c r="E1076">
        <v>2884563.5</v>
      </c>
    </row>
    <row r="1077" spans="1:5">
      <c r="A1077">
        <v>1072</v>
      </c>
      <c r="B1077" s="11">
        <v>45882.479166666664</v>
      </c>
      <c r="C1077" s="7">
        <v>641.67100000000005</v>
      </c>
      <c r="D1077">
        <v>2242277</v>
      </c>
      <c r="E1077">
        <v>2962741</v>
      </c>
    </row>
    <row r="1078" spans="1:5">
      <c r="A1078">
        <v>1073</v>
      </c>
      <c r="B1078" s="11">
        <v>45882.458333333336</v>
      </c>
      <c r="C1078" s="7">
        <v>641.91030000000001</v>
      </c>
      <c r="D1078">
        <v>3423774</v>
      </c>
      <c r="E1078">
        <v>3061192.75</v>
      </c>
    </row>
    <row r="1079" spans="1:5">
      <c r="A1079">
        <v>1074</v>
      </c>
      <c r="B1079" s="11">
        <v>45882.4375</v>
      </c>
      <c r="C1079" s="7">
        <v>642.03</v>
      </c>
      <c r="D1079">
        <v>3386641</v>
      </c>
      <c r="E1079">
        <v>3045899.25</v>
      </c>
    </row>
    <row r="1080" spans="1:5">
      <c r="A1080">
        <v>1075</v>
      </c>
      <c r="B1080" s="11">
        <v>45882.416666666664</v>
      </c>
      <c r="C1080" s="7">
        <v>642.46310000000005</v>
      </c>
      <c r="D1080">
        <v>4327748</v>
      </c>
      <c r="E1080">
        <v>3102790.5</v>
      </c>
    </row>
    <row r="1081" spans="1:5">
      <c r="A1081">
        <v>1076</v>
      </c>
      <c r="B1081" s="11">
        <v>45882.395833333336</v>
      </c>
      <c r="C1081" s="7">
        <v>643.80510000000004</v>
      </c>
      <c r="D1081">
        <v>5838094</v>
      </c>
      <c r="E1081">
        <v>3373913</v>
      </c>
    </row>
    <row r="1082" spans="1:5">
      <c r="A1082">
        <v>1077</v>
      </c>
      <c r="B1082" s="11">
        <v>45881.666666666664</v>
      </c>
      <c r="C1082" s="7">
        <v>640.91300000000001</v>
      </c>
      <c r="D1082">
        <v>0</v>
      </c>
      <c r="E1082">
        <v>2984706.75</v>
      </c>
    </row>
    <row r="1083" spans="1:5">
      <c r="A1083">
        <v>1078</v>
      </c>
      <c r="B1083" s="11">
        <v>45881.645833333336</v>
      </c>
      <c r="C1083" s="7">
        <v>640.91300000000001</v>
      </c>
      <c r="D1083">
        <v>9252704</v>
      </c>
      <c r="E1083">
        <v>3721533.75</v>
      </c>
    </row>
    <row r="1084" spans="1:5">
      <c r="A1084">
        <v>1079</v>
      </c>
      <c r="B1084" s="11">
        <v>45881.625</v>
      </c>
      <c r="C1084" s="7">
        <v>640.54909999999995</v>
      </c>
      <c r="D1084">
        <v>2314568</v>
      </c>
      <c r="E1084">
        <v>3213470.75</v>
      </c>
    </row>
    <row r="1085" spans="1:5">
      <c r="A1085">
        <v>1080</v>
      </c>
      <c r="B1085" s="11">
        <v>45881.604166666664</v>
      </c>
      <c r="C1085" s="7">
        <v>640.23490000000004</v>
      </c>
      <c r="D1085">
        <v>1992029</v>
      </c>
      <c r="E1085">
        <v>3225484.5</v>
      </c>
    </row>
    <row r="1086" spans="1:5">
      <c r="A1086">
        <v>1081</v>
      </c>
      <c r="B1086" s="11">
        <v>45881.583333333336</v>
      </c>
      <c r="C1086" s="7">
        <v>640.47220000000004</v>
      </c>
      <c r="D1086">
        <v>2154413</v>
      </c>
      <c r="E1086">
        <v>3305454.75</v>
      </c>
    </row>
    <row r="1087" spans="1:5">
      <c r="A1087">
        <v>1082</v>
      </c>
      <c r="B1087" s="11">
        <v>45881.5625</v>
      </c>
      <c r="C1087" s="7">
        <v>640.3098</v>
      </c>
      <c r="D1087">
        <v>1617648</v>
      </c>
      <c r="E1087">
        <v>3306433</v>
      </c>
    </row>
    <row r="1088" spans="1:5">
      <c r="A1088">
        <v>1083</v>
      </c>
      <c r="B1088" s="11">
        <v>45881.541666666664</v>
      </c>
      <c r="C1088" s="7">
        <v>639.76620000000003</v>
      </c>
      <c r="D1088">
        <v>1555664</v>
      </c>
      <c r="E1088">
        <v>3308564.25</v>
      </c>
    </row>
    <row r="1089" spans="1:5">
      <c r="A1089">
        <v>1084</v>
      </c>
      <c r="B1089" s="11">
        <v>45881.520833333336</v>
      </c>
      <c r="C1089" s="7">
        <v>639.93079999999998</v>
      </c>
      <c r="D1089">
        <v>1957173</v>
      </c>
      <c r="E1089">
        <v>3351259.25</v>
      </c>
    </row>
    <row r="1090" spans="1:5">
      <c r="A1090">
        <v>1085</v>
      </c>
      <c r="B1090" s="11">
        <v>45881.5</v>
      </c>
      <c r="C1090" s="7">
        <v>639.60670000000005</v>
      </c>
      <c r="D1090">
        <v>1775052</v>
      </c>
      <c r="E1090">
        <v>3409503.5</v>
      </c>
    </row>
    <row r="1091" spans="1:5">
      <c r="A1091">
        <v>1086</v>
      </c>
      <c r="B1091" s="11">
        <v>45881.479166666664</v>
      </c>
      <c r="C1091" s="7">
        <v>639.41719999999998</v>
      </c>
      <c r="D1091">
        <v>2603331</v>
      </c>
      <c r="E1091">
        <v>3427087.75</v>
      </c>
    </row>
    <row r="1092" spans="1:5">
      <c r="A1092">
        <v>1087</v>
      </c>
      <c r="B1092" s="11">
        <v>45881.458333333336</v>
      </c>
      <c r="C1092" s="7">
        <v>638.75900000000001</v>
      </c>
      <c r="D1092">
        <v>3719051</v>
      </c>
      <c r="E1092">
        <v>3385858.5</v>
      </c>
    </row>
    <row r="1093" spans="1:5">
      <c r="A1093">
        <v>1088</v>
      </c>
      <c r="B1093" s="11">
        <v>45881.4375</v>
      </c>
      <c r="C1093" s="7">
        <v>638.11009999999999</v>
      </c>
      <c r="D1093">
        <v>3194372</v>
      </c>
      <c r="E1093">
        <v>3302058.75</v>
      </c>
    </row>
    <row r="1094" spans="1:5">
      <c r="A1094">
        <v>1089</v>
      </c>
      <c r="B1094" s="11">
        <v>45881.416666666664</v>
      </c>
      <c r="C1094" s="7">
        <v>637.56230000000005</v>
      </c>
      <c r="D1094">
        <v>4240010</v>
      </c>
      <c r="E1094">
        <v>3279879</v>
      </c>
    </row>
    <row r="1095" spans="1:5">
      <c r="A1095">
        <v>1090</v>
      </c>
      <c r="B1095" s="11">
        <v>45881.395833333336</v>
      </c>
      <c r="C1095" s="7">
        <v>635.40830000000005</v>
      </c>
      <c r="D1095">
        <v>8394587</v>
      </c>
      <c r="E1095">
        <v>3285040</v>
      </c>
    </row>
    <row r="1096" spans="1:5">
      <c r="A1096">
        <v>1091</v>
      </c>
      <c r="B1096" s="11">
        <v>45880.666666666664</v>
      </c>
      <c r="C1096" s="7">
        <v>634.1617</v>
      </c>
      <c r="D1096">
        <v>0</v>
      </c>
      <c r="E1096">
        <v>2725400.75</v>
      </c>
    </row>
    <row r="1097" spans="1:5">
      <c r="A1097">
        <v>1092</v>
      </c>
      <c r="B1097" s="11">
        <v>45880.645833333336</v>
      </c>
      <c r="C1097" s="7">
        <v>634.1617</v>
      </c>
      <c r="D1097">
        <v>11052405</v>
      </c>
      <c r="E1097">
        <v>3320930.5</v>
      </c>
    </row>
    <row r="1098" spans="1:5">
      <c r="A1098">
        <v>1093</v>
      </c>
      <c r="B1098" s="11">
        <v>45880.625</v>
      </c>
      <c r="C1098" s="7">
        <v>634.52080000000001</v>
      </c>
      <c r="D1098">
        <v>1631757</v>
      </c>
      <c r="E1098">
        <v>2774670.75</v>
      </c>
    </row>
    <row r="1099" spans="1:5">
      <c r="A1099">
        <v>1094</v>
      </c>
      <c r="B1099" s="11">
        <v>45880.604166666664</v>
      </c>
      <c r="C1099" s="7">
        <v>634.72019999999998</v>
      </c>
      <c r="D1099">
        <v>2494777</v>
      </c>
      <c r="E1099">
        <v>2815099.5</v>
      </c>
    </row>
    <row r="1100" spans="1:5">
      <c r="A1100">
        <v>1095</v>
      </c>
      <c r="B1100" s="11">
        <v>45880.583333333336</v>
      </c>
      <c r="C1100" s="7">
        <v>634.74509999999998</v>
      </c>
      <c r="D1100">
        <v>3191582</v>
      </c>
      <c r="E1100">
        <v>2784532</v>
      </c>
    </row>
    <row r="1101" spans="1:5">
      <c r="A1101">
        <v>1096</v>
      </c>
      <c r="B1101" s="11">
        <v>45880.5625</v>
      </c>
      <c r="C1101" s="7">
        <v>635.08920000000001</v>
      </c>
      <c r="D1101">
        <v>2169086</v>
      </c>
      <c r="E1101">
        <v>2674266.5</v>
      </c>
    </row>
    <row r="1102" spans="1:5">
      <c r="A1102">
        <v>1097</v>
      </c>
      <c r="B1102" s="11">
        <v>45880.541666666664</v>
      </c>
      <c r="C1102" s="7">
        <v>635.41830000000004</v>
      </c>
      <c r="D1102">
        <v>1649618</v>
      </c>
      <c r="E1102">
        <v>2649550.75</v>
      </c>
    </row>
    <row r="1103" spans="1:5">
      <c r="A1103">
        <v>1098</v>
      </c>
      <c r="B1103" s="11">
        <v>45880.520833333336</v>
      </c>
      <c r="C1103" s="7">
        <v>635.55790000000002</v>
      </c>
      <c r="D1103">
        <v>2196088</v>
      </c>
      <c r="E1103">
        <v>2658129.5</v>
      </c>
    </row>
    <row r="1104" spans="1:5">
      <c r="A1104">
        <v>1099</v>
      </c>
      <c r="B1104" s="11">
        <v>45880.5</v>
      </c>
      <c r="C1104" s="7">
        <v>636.78449999999998</v>
      </c>
      <c r="D1104">
        <v>2830835</v>
      </c>
      <c r="E1104">
        <v>2667462.5</v>
      </c>
    </row>
    <row r="1105" spans="1:5">
      <c r="A1105">
        <v>1100</v>
      </c>
      <c r="B1105" s="11">
        <v>45880.479166666664</v>
      </c>
      <c r="C1105" s="7">
        <v>636.09640000000002</v>
      </c>
      <c r="D1105">
        <v>2038819</v>
      </c>
      <c r="E1105">
        <v>2671351.25</v>
      </c>
    </row>
    <row r="1106" spans="1:5">
      <c r="A1106">
        <v>1101</v>
      </c>
      <c r="B1106" s="11">
        <v>45880.458333333336</v>
      </c>
      <c r="C1106" s="7">
        <v>635.30870000000004</v>
      </c>
      <c r="D1106">
        <v>1984889</v>
      </c>
      <c r="E1106">
        <v>2704284.75</v>
      </c>
    </row>
    <row r="1107" spans="1:5">
      <c r="A1107">
        <v>1102</v>
      </c>
      <c r="B1107" s="11">
        <v>45880.4375</v>
      </c>
      <c r="C1107" s="7">
        <v>634.99950000000001</v>
      </c>
      <c r="D1107">
        <v>2462056</v>
      </c>
      <c r="E1107">
        <v>2785316.75</v>
      </c>
    </row>
    <row r="1108" spans="1:5">
      <c r="A1108">
        <v>1103</v>
      </c>
      <c r="B1108" s="11">
        <v>45880.416666666664</v>
      </c>
      <c r="C1108" s="7">
        <v>635.48810000000003</v>
      </c>
      <c r="D1108">
        <v>2861676</v>
      </c>
      <c r="E1108">
        <v>2907026.25</v>
      </c>
    </row>
    <row r="1109" spans="1:5">
      <c r="A1109">
        <v>1104</v>
      </c>
      <c r="B1109" s="11">
        <v>45880.395833333336</v>
      </c>
      <c r="C1109" s="7">
        <v>635.93679999999995</v>
      </c>
      <c r="D1109">
        <v>4317425</v>
      </c>
      <c r="E1109">
        <v>3086874.25</v>
      </c>
    </row>
    <row r="1110" spans="1:5">
      <c r="A1110">
        <v>1105</v>
      </c>
      <c r="B1110" s="11">
        <v>45877.666666666664</v>
      </c>
      <c r="C1110" s="7">
        <v>635.41830000000004</v>
      </c>
      <c r="D1110">
        <v>0</v>
      </c>
      <c r="E1110">
        <v>2799046</v>
      </c>
    </row>
    <row r="1111" spans="1:5">
      <c r="A1111">
        <v>1106</v>
      </c>
      <c r="B1111" s="11">
        <v>45877.645833333336</v>
      </c>
      <c r="C1111" s="7">
        <v>635.38840000000005</v>
      </c>
      <c r="D1111">
        <v>8932944</v>
      </c>
      <c r="E1111">
        <v>3313195.75</v>
      </c>
    </row>
    <row r="1112" spans="1:5">
      <c r="A1112">
        <v>1107</v>
      </c>
      <c r="B1112" s="11">
        <v>45877.625</v>
      </c>
      <c r="C1112" s="7">
        <v>635.47310000000004</v>
      </c>
      <c r="D1112">
        <v>2858508</v>
      </c>
      <c r="E1112">
        <v>2897399.25</v>
      </c>
    </row>
    <row r="1113" spans="1:5">
      <c r="A1113">
        <v>1108</v>
      </c>
      <c r="B1113" s="11">
        <v>45877.604166666664</v>
      </c>
      <c r="C1113" s="7">
        <v>635.46310000000005</v>
      </c>
      <c r="D1113">
        <v>2238190</v>
      </c>
      <c r="E1113">
        <v>2871926.75</v>
      </c>
    </row>
    <row r="1114" spans="1:5">
      <c r="A1114">
        <v>1109</v>
      </c>
      <c r="B1114" s="11">
        <v>45877.583333333336</v>
      </c>
      <c r="C1114" s="7">
        <v>635.45809999999994</v>
      </c>
      <c r="D1114">
        <v>2036265</v>
      </c>
      <c r="E1114">
        <v>2941536.5</v>
      </c>
    </row>
    <row r="1115" spans="1:5">
      <c r="A1115">
        <v>1110</v>
      </c>
      <c r="B1115" s="11">
        <v>45877.5625</v>
      </c>
      <c r="C1115" s="7">
        <v>635.46690000000001</v>
      </c>
      <c r="D1115">
        <v>1537600</v>
      </c>
      <c r="E1115">
        <v>3017876.5</v>
      </c>
    </row>
    <row r="1116" spans="1:5">
      <c r="A1116">
        <v>1111</v>
      </c>
      <c r="B1116" s="11">
        <v>45877.541666666664</v>
      </c>
      <c r="C1116" s="7">
        <v>634.63099999999997</v>
      </c>
      <c r="D1116">
        <v>1798347</v>
      </c>
      <c r="E1116">
        <v>3125108.75</v>
      </c>
    </row>
    <row r="1117" spans="1:5">
      <c r="A1117">
        <v>1112</v>
      </c>
      <c r="B1117" s="11">
        <v>45877.520833333336</v>
      </c>
      <c r="C1117" s="7">
        <v>634.79</v>
      </c>
      <c r="D1117">
        <v>1778302</v>
      </c>
      <c r="E1117">
        <v>3262760</v>
      </c>
    </row>
    <row r="1118" spans="1:5">
      <c r="A1118">
        <v>1113</v>
      </c>
      <c r="B1118" s="11">
        <v>45877.5</v>
      </c>
      <c r="C1118" s="7">
        <v>635.13409999999999</v>
      </c>
      <c r="D1118">
        <v>2336081</v>
      </c>
      <c r="E1118">
        <v>3317097.25</v>
      </c>
    </row>
    <row r="1119" spans="1:5">
      <c r="A1119">
        <v>1114</v>
      </c>
      <c r="B1119" s="11">
        <v>45877.479166666664</v>
      </c>
      <c r="C1119" s="7">
        <v>634.57560000000001</v>
      </c>
      <c r="D1119">
        <v>2889168</v>
      </c>
      <c r="E1119">
        <v>3361939</v>
      </c>
    </row>
    <row r="1120" spans="1:5">
      <c r="A1120">
        <v>1115</v>
      </c>
      <c r="B1120" s="11">
        <v>45877.458333333336</v>
      </c>
      <c r="C1120" s="7">
        <v>634.23659999999995</v>
      </c>
      <c r="D1120">
        <v>2532821</v>
      </c>
      <c r="E1120">
        <v>3409091.75</v>
      </c>
    </row>
    <row r="1121" spans="1:5">
      <c r="A1121">
        <v>1116</v>
      </c>
      <c r="B1121" s="11">
        <v>45877.4375</v>
      </c>
      <c r="C1121" s="7">
        <v>634.072</v>
      </c>
      <c r="D1121">
        <v>3200368</v>
      </c>
      <c r="E1121">
        <v>3530608</v>
      </c>
    </row>
    <row r="1122" spans="1:5">
      <c r="A1122">
        <v>1117</v>
      </c>
      <c r="B1122" s="11">
        <v>45877.416666666664</v>
      </c>
      <c r="C1122" s="7">
        <v>634.68029999999999</v>
      </c>
      <c r="D1122">
        <v>4287697</v>
      </c>
      <c r="E1122">
        <v>3702876.5</v>
      </c>
    </row>
    <row r="1123" spans="1:5">
      <c r="A1123">
        <v>1118</v>
      </c>
      <c r="B1123" s="11">
        <v>45877.395833333336</v>
      </c>
      <c r="C1123" s="7">
        <v>634.19169999999997</v>
      </c>
      <c r="D1123">
        <v>5559398</v>
      </c>
      <c r="E1123">
        <v>3832315</v>
      </c>
    </row>
    <row r="1124" spans="1:5">
      <c r="A1124">
        <v>1119</v>
      </c>
      <c r="B1124" s="11">
        <v>45876.666666666664</v>
      </c>
      <c r="C1124" s="7">
        <v>630.50189999999998</v>
      </c>
      <c r="D1124">
        <v>0</v>
      </c>
      <c r="E1124">
        <v>3461688.5</v>
      </c>
    </row>
    <row r="1125" spans="1:5">
      <c r="A1125">
        <v>1120</v>
      </c>
      <c r="B1125" s="11">
        <v>45876.645833333336</v>
      </c>
      <c r="C1125" s="7">
        <v>630.50189999999998</v>
      </c>
      <c r="D1125">
        <v>7712249</v>
      </c>
      <c r="E1125">
        <v>4138772.5</v>
      </c>
    </row>
    <row r="1126" spans="1:5">
      <c r="A1126">
        <v>1121</v>
      </c>
      <c r="B1126" s="11">
        <v>45876.625</v>
      </c>
      <c r="C1126" s="7">
        <v>628.62710000000004</v>
      </c>
      <c r="D1126">
        <v>2695996</v>
      </c>
      <c r="E1126">
        <v>3781058.25</v>
      </c>
    </row>
    <row r="1127" spans="1:5">
      <c r="A1127">
        <v>1122</v>
      </c>
      <c r="B1127" s="11">
        <v>45876.604166666664</v>
      </c>
      <c r="C1127" s="7">
        <v>628.78740000000005</v>
      </c>
      <c r="D1127">
        <v>2476419</v>
      </c>
      <c r="E1127">
        <v>3732485.75</v>
      </c>
    </row>
    <row r="1128" spans="1:5">
      <c r="A1128">
        <v>1123</v>
      </c>
      <c r="B1128" s="11">
        <v>45876.583333333336</v>
      </c>
      <c r="C1128" s="7">
        <v>628.02880000000005</v>
      </c>
      <c r="D1128">
        <v>3282337</v>
      </c>
      <c r="E1128">
        <v>3693312.25</v>
      </c>
    </row>
    <row r="1129" spans="1:5">
      <c r="A1129">
        <v>1124</v>
      </c>
      <c r="B1129" s="11">
        <v>45876.5625</v>
      </c>
      <c r="C1129" s="7">
        <v>629.01340000000005</v>
      </c>
      <c r="D1129">
        <v>3181366</v>
      </c>
      <c r="E1129">
        <v>3584192.25</v>
      </c>
    </row>
    <row r="1130" spans="1:5">
      <c r="A1130">
        <v>1125</v>
      </c>
      <c r="B1130" s="11">
        <v>45876.541666666664</v>
      </c>
      <c r="C1130" s="7">
        <v>628.30799999999999</v>
      </c>
      <c r="D1130">
        <v>3146081</v>
      </c>
      <c r="E1130">
        <v>3470698.25</v>
      </c>
    </row>
    <row r="1131" spans="1:5">
      <c r="A1131">
        <v>1126</v>
      </c>
      <c r="B1131" s="11">
        <v>45876.520833333336</v>
      </c>
      <c r="C1131" s="7">
        <v>629.49469999999997</v>
      </c>
      <c r="D1131">
        <v>3863117</v>
      </c>
      <c r="E1131">
        <v>3391875.75</v>
      </c>
    </row>
    <row r="1132" spans="1:5">
      <c r="A1132">
        <v>1127</v>
      </c>
      <c r="B1132" s="11">
        <v>45876.5</v>
      </c>
      <c r="C1132" s="7">
        <v>630.46199999999999</v>
      </c>
      <c r="D1132">
        <v>2593360</v>
      </c>
      <c r="E1132">
        <v>3260409.75</v>
      </c>
    </row>
    <row r="1133" spans="1:5">
      <c r="A1133">
        <v>1128</v>
      </c>
      <c r="B1133" s="11">
        <v>45876.479166666664</v>
      </c>
      <c r="C1133" s="7">
        <v>630.09310000000005</v>
      </c>
      <c r="D1133">
        <v>3008707</v>
      </c>
      <c r="E1133">
        <v>3325072</v>
      </c>
    </row>
    <row r="1134" spans="1:5">
      <c r="A1134">
        <v>1129</v>
      </c>
      <c r="B1134" s="11">
        <v>45876.458333333336</v>
      </c>
      <c r="C1134" s="7">
        <v>630.18280000000004</v>
      </c>
      <c r="D1134">
        <v>3596460</v>
      </c>
      <c r="E1134">
        <v>3334363.75</v>
      </c>
    </row>
    <row r="1135" spans="1:5">
      <c r="A1135">
        <v>1130</v>
      </c>
      <c r="B1135" s="11">
        <v>45876.4375</v>
      </c>
      <c r="C1135" s="7">
        <v>631.00049999999999</v>
      </c>
      <c r="D1135">
        <v>4355565</v>
      </c>
      <c r="E1135">
        <v>3317167.25</v>
      </c>
    </row>
    <row r="1136" spans="1:5">
      <c r="A1136">
        <v>1131</v>
      </c>
      <c r="B1136" s="11">
        <v>45876.416666666664</v>
      </c>
      <c r="C1136" s="7">
        <v>632.01769999999999</v>
      </c>
      <c r="D1136">
        <v>5784395</v>
      </c>
      <c r="E1136">
        <v>3291830</v>
      </c>
    </row>
    <row r="1137" spans="1:5">
      <c r="A1137">
        <v>1132</v>
      </c>
      <c r="B1137" s="11">
        <v>45876.395833333336</v>
      </c>
      <c r="C1137" s="7">
        <v>634.79999999999995</v>
      </c>
      <c r="D1137">
        <v>6229275</v>
      </c>
      <c r="E1137">
        <v>3265675.25</v>
      </c>
    </row>
    <row r="1138" spans="1:5">
      <c r="A1138">
        <v>1133</v>
      </c>
      <c r="B1138" s="11">
        <v>45875.666666666664</v>
      </c>
      <c r="C1138" s="7">
        <v>631.03049999999996</v>
      </c>
      <c r="D1138">
        <v>0</v>
      </c>
      <c r="E1138">
        <v>2850390.25</v>
      </c>
    </row>
    <row r="1139" spans="1:5">
      <c r="A1139">
        <v>1134</v>
      </c>
      <c r="B1139" s="11">
        <v>45875.645833333336</v>
      </c>
      <c r="C1139" s="7">
        <v>631.03049999999996</v>
      </c>
      <c r="D1139">
        <v>10156262</v>
      </c>
      <c r="E1139">
        <v>3329087.5</v>
      </c>
    </row>
    <row r="1140" spans="1:5">
      <c r="A1140">
        <v>1135</v>
      </c>
      <c r="B1140" s="11">
        <v>45875.625</v>
      </c>
      <c r="C1140" s="7">
        <v>631.26980000000003</v>
      </c>
      <c r="D1140">
        <v>2346532</v>
      </c>
      <c r="E1140">
        <v>2829370.25</v>
      </c>
    </row>
    <row r="1141" spans="1:5">
      <c r="A1141">
        <v>1136</v>
      </c>
      <c r="B1141" s="11">
        <v>45875.604166666664</v>
      </c>
      <c r="C1141" s="7">
        <v>630.84100000000001</v>
      </c>
      <c r="D1141">
        <v>1967411</v>
      </c>
      <c r="E1141">
        <v>2860413</v>
      </c>
    </row>
    <row r="1142" spans="1:5">
      <c r="A1142">
        <v>1137</v>
      </c>
      <c r="B1142" s="11">
        <v>45875.583333333336</v>
      </c>
      <c r="C1142" s="7">
        <v>631.16499999999996</v>
      </c>
      <c r="D1142">
        <v>1888815</v>
      </c>
      <c r="E1142">
        <v>2951465.25</v>
      </c>
    </row>
    <row r="1143" spans="1:5">
      <c r="A1143">
        <v>1138</v>
      </c>
      <c r="B1143" s="11">
        <v>45875.5625</v>
      </c>
      <c r="C1143" s="7">
        <v>630.48689999999999</v>
      </c>
      <c r="D1143">
        <v>1645536</v>
      </c>
      <c r="E1143">
        <v>2951277.5</v>
      </c>
    </row>
    <row r="1144" spans="1:5">
      <c r="A1144">
        <v>1139</v>
      </c>
      <c r="B1144" s="11">
        <v>45875.541666666664</v>
      </c>
      <c r="C1144" s="7">
        <v>630.54909999999995</v>
      </c>
      <c r="D1144">
        <v>1478956</v>
      </c>
      <c r="E1144">
        <v>2939551.25</v>
      </c>
    </row>
    <row r="1145" spans="1:5">
      <c r="A1145">
        <v>1140</v>
      </c>
      <c r="B1145" s="11">
        <v>45875.520833333336</v>
      </c>
      <c r="C1145" s="7">
        <v>630.49189999999999</v>
      </c>
      <c r="D1145">
        <v>1963747</v>
      </c>
      <c r="E1145">
        <v>3046463.75</v>
      </c>
    </row>
    <row r="1146" spans="1:5">
      <c r="A1146">
        <v>1141</v>
      </c>
      <c r="B1146" s="11">
        <v>45875.5</v>
      </c>
      <c r="C1146" s="7">
        <v>630.64149999999995</v>
      </c>
      <c r="D1146">
        <v>1891124</v>
      </c>
      <c r="E1146">
        <v>3066098.5</v>
      </c>
    </row>
    <row r="1147" spans="1:5">
      <c r="A1147">
        <v>1142</v>
      </c>
      <c r="B1147" s="11">
        <v>45875.479166666664</v>
      </c>
      <c r="C1147" s="7">
        <v>630.9307</v>
      </c>
      <c r="D1147">
        <v>3563295</v>
      </c>
      <c r="E1147">
        <v>3125288.25</v>
      </c>
    </row>
    <row r="1148" spans="1:5">
      <c r="A1148">
        <v>1143</v>
      </c>
      <c r="B1148" s="11">
        <v>45875.458333333336</v>
      </c>
      <c r="C1148" s="7">
        <v>630.16780000000006</v>
      </c>
      <c r="D1148">
        <v>3148082</v>
      </c>
      <c r="E1148">
        <v>3135326</v>
      </c>
    </row>
    <row r="1149" spans="1:5">
      <c r="A1149">
        <v>1144</v>
      </c>
      <c r="B1149" s="11">
        <v>45875.4375</v>
      </c>
      <c r="C1149" s="7">
        <v>629.23540000000003</v>
      </c>
      <c r="D1149">
        <v>3338513</v>
      </c>
      <c r="E1149">
        <v>3372483.5</v>
      </c>
    </row>
    <row r="1150" spans="1:5">
      <c r="A1150">
        <v>1145</v>
      </c>
      <c r="B1150" s="11">
        <v>45875.416666666664</v>
      </c>
      <c r="C1150" s="7">
        <v>627.01660000000004</v>
      </c>
      <c r="D1150">
        <v>3975508</v>
      </c>
      <c r="E1150">
        <v>3473718.5</v>
      </c>
    </row>
    <row r="1151" spans="1:5">
      <c r="A1151">
        <v>1146</v>
      </c>
      <c r="B1151" s="11">
        <v>45875.395833333336</v>
      </c>
      <c r="C1151" s="7">
        <v>627.21109999999999</v>
      </c>
      <c r="D1151">
        <v>5392073</v>
      </c>
      <c r="E1151">
        <v>3527963.75</v>
      </c>
    </row>
    <row r="1152" spans="1:5">
      <c r="A1152">
        <v>1147</v>
      </c>
      <c r="B1152" s="11">
        <v>45874.666666666664</v>
      </c>
      <c r="C1152" s="7">
        <v>626.2337</v>
      </c>
      <c r="D1152">
        <v>0</v>
      </c>
      <c r="E1152">
        <v>3168492.25</v>
      </c>
    </row>
    <row r="1153" spans="1:5">
      <c r="A1153">
        <v>1148</v>
      </c>
      <c r="B1153" s="11">
        <v>45874.645833333336</v>
      </c>
      <c r="C1153" s="7">
        <v>626.2337</v>
      </c>
      <c r="D1153">
        <v>7180459</v>
      </c>
      <c r="E1153">
        <v>3829782.5</v>
      </c>
    </row>
    <row r="1154" spans="1:5">
      <c r="A1154">
        <v>1149</v>
      </c>
      <c r="B1154" s="11">
        <v>45874.625</v>
      </c>
      <c r="C1154" s="7">
        <v>627.24090000000001</v>
      </c>
      <c r="D1154">
        <v>2660503</v>
      </c>
      <c r="E1154">
        <v>3620870.5</v>
      </c>
    </row>
    <row r="1155" spans="1:5">
      <c r="A1155">
        <v>1150</v>
      </c>
      <c r="B1155" s="11">
        <v>45874.604166666664</v>
      </c>
      <c r="C1155" s="7">
        <v>626.70249999999999</v>
      </c>
      <c r="D1155">
        <v>2812173</v>
      </c>
      <c r="E1155">
        <v>3585869</v>
      </c>
    </row>
    <row r="1156" spans="1:5">
      <c r="A1156">
        <v>1151</v>
      </c>
      <c r="B1156" s="11">
        <v>45874.583333333336</v>
      </c>
      <c r="C1156" s="7">
        <v>626.8021</v>
      </c>
      <c r="D1156">
        <v>3333195</v>
      </c>
      <c r="E1156">
        <v>3588247.25</v>
      </c>
    </row>
    <row r="1157" spans="1:5">
      <c r="A1157">
        <v>1152</v>
      </c>
      <c r="B1157" s="11">
        <v>45874.5625</v>
      </c>
      <c r="C1157" s="7">
        <v>628.38779999999997</v>
      </c>
      <c r="D1157">
        <v>1885997</v>
      </c>
      <c r="E1157">
        <v>3524156.75</v>
      </c>
    </row>
    <row r="1158" spans="1:5">
      <c r="A1158">
        <v>1153</v>
      </c>
      <c r="B1158" s="11">
        <v>45874.541666666664</v>
      </c>
      <c r="C1158" s="7">
        <v>627.96690000000001</v>
      </c>
      <c r="D1158">
        <v>1469645</v>
      </c>
      <c r="E1158">
        <v>3529359</v>
      </c>
    </row>
    <row r="1159" spans="1:5">
      <c r="A1159">
        <v>1154</v>
      </c>
      <c r="B1159" s="11">
        <v>45874.520833333336</v>
      </c>
      <c r="C1159" s="7">
        <v>627.14120000000003</v>
      </c>
      <c r="D1159">
        <v>3082644</v>
      </c>
      <c r="E1159">
        <v>3564408.75</v>
      </c>
    </row>
    <row r="1160" spans="1:5">
      <c r="A1160">
        <v>1155</v>
      </c>
      <c r="B1160" s="11">
        <v>45874.5</v>
      </c>
      <c r="C1160" s="7">
        <v>627.28020000000004</v>
      </c>
      <c r="D1160">
        <v>2258266</v>
      </c>
      <c r="E1160">
        <v>3519661</v>
      </c>
    </row>
    <row r="1161" spans="1:5">
      <c r="A1161">
        <v>1156</v>
      </c>
      <c r="B1161" s="11">
        <v>45874.479166666664</v>
      </c>
      <c r="C1161" s="7">
        <v>626.31849999999997</v>
      </c>
      <c r="D1161">
        <v>2778972</v>
      </c>
      <c r="E1161">
        <v>3575726.5</v>
      </c>
    </row>
    <row r="1162" spans="1:5">
      <c r="A1162">
        <v>1157</v>
      </c>
      <c r="B1162" s="11">
        <v>45874.458333333336</v>
      </c>
      <c r="C1162" s="7">
        <v>626.18880000000001</v>
      </c>
      <c r="D1162">
        <v>3713861</v>
      </c>
      <c r="E1162">
        <v>3595305.75</v>
      </c>
    </row>
    <row r="1163" spans="1:5">
      <c r="A1163">
        <v>1158</v>
      </c>
      <c r="B1163" s="11">
        <v>45874.4375</v>
      </c>
      <c r="C1163" s="7">
        <v>626.14400000000001</v>
      </c>
      <c r="D1163">
        <v>6705442</v>
      </c>
      <c r="E1163">
        <v>3645160.5</v>
      </c>
    </row>
    <row r="1164" spans="1:5">
      <c r="A1164">
        <v>1159</v>
      </c>
      <c r="B1164" s="11">
        <v>45874.416666666664</v>
      </c>
      <c r="C1164" s="7">
        <v>628.10850000000005</v>
      </c>
      <c r="D1164">
        <v>4857039</v>
      </c>
      <c r="E1164">
        <v>3475984.75</v>
      </c>
    </row>
    <row r="1165" spans="1:5">
      <c r="A1165">
        <v>1160</v>
      </c>
      <c r="B1165" s="11">
        <v>45874.395833333336</v>
      </c>
      <c r="C1165" s="7">
        <v>629.49469999999997</v>
      </c>
      <c r="D1165">
        <v>4789187</v>
      </c>
      <c r="E1165">
        <v>3695723.5</v>
      </c>
    </row>
    <row r="1166" spans="1:5">
      <c r="A1166">
        <v>1161</v>
      </c>
      <c r="B1166" s="11">
        <v>45873.666666666664</v>
      </c>
      <c r="C1166" s="7">
        <v>629.42489999999998</v>
      </c>
      <c r="D1166">
        <v>0</v>
      </c>
      <c r="E1166">
        <v>3376444.25</v>
      </c>
    </row>
    <row r="1167" spans="1:5">
      <c r="A1167">
        <v>1162</v>
      </c>
      <c r="B1167" s="11">
        <v>45873.645833333336</v>
      </c>
      <c r="C1167" s="7">
        <v>629.36509999999998</v>
      </c>
      <c r="D1167">
        <v>9919356</v>
      </c>
      <c r="E1167">
        <v>4446313.5</v>
      </c>
    </row>
    <row r="1168" spans="1:5">
      <c r="A1168">
        <v>1163</v>
      </c>
      <c r="B1168" s="11">
        <v>45873.625</v>
      </c>
      <c r="C1168" s="7">
        <v>628.56730000000005</v>
      </c>
      <c r="D1168">
        <v>4046777</v>
      </c>
      <c r="E1168">
        <v>4283716.5</v>
      </c>
    </row>
    <row r="1169" spans="1:5">
      <c r="A1169">
        <v>1164</v>
      </c>
      <c r="B1169" s="11">
        <v>45873.604166666664</v>
      </c>
      <c r="C1169" s="7">
        <v>628.15340000000003</v>
      </c>
      <c r="D1169">
        <v>2135481</v>
      </c>
      <c r="E1169">
        <v>4467985.5</v>
      </c>
    </row>
    <row r="1170" spans="1:5">
      <c r="A1170">
        <v>1165</v>
      </c>
      <c r="B1170" s="11">
        <v>45873.583333333336</v>
      </c>
      <c r="C1170" s="7">
        <v>628.25810000000001</v>
      </c>
      <c r="D1170">
        <v>2847847</v>
      </c>
      <c r="E1170">
        <v>4704752.5</v>
      </c>
    </row>
    <row r="1171" spans="1:5">
      <c r="A1171">
        <v>1166</v>
      </c>
      <c r="B1171" s="11">
        <v>45873.5625</v>
      </c>
      <c r="C1171" s="7">
        <v>628.01880000000006</v>
      </c>
      <c r="D1171">
        <v>2371838</v>
      </c>
      <c r="E1171">
        <v>4861966</v>
      </c>
    </row>
    <row r="1172" spans="1:5">
      <c r="A1172">
        <v>1167</v>
      </c>
      <c r="B1172" s="11">
        <v>45873.541666666664</v>
      </c>
      <c r="C1172" s="7">
        <v>628.57230000000004</v>
      </c>
      <c r="D1172">
        <v>1964029</v>
      </c>
      <c r="E1172">
        <v>5157294.5</v>
      </c>
    </row>
    <row r="1173" spans="1:5">
      <c r="A1173">
        <v>1168</v>
      </c>
      <c r="B1173" s="11">
        <v>45873.520833333336</v>
      </c>
      <c r="C1173" s="7">
        <v>628.42759999999998</v>
      </c>
      <c r="D1173">
        <v>1995392</v>
      </c>
      <c r="E1173">
        <v>5490834.5</v>
      </c>
    </row>
    <row r="1174" spans="1:5">
      <c r="A1174">
        <v>1169</v>
      </c>
      <c r="B1174" s="11">
        <v>45873.5</v>
      </c>
      <c r="C1174" s="7">
        <v>627.98900000000003</v>
      </c>
      <c r="D1174">
        <v>2411427</v>
      </c>
      <c r="E1174">
        <v>5699581</v>
      </c>
    </row>
    <row r="1175" spans="1:5">
      <c r="A1175">
        <v>1170</v>
      </c>
      <c r="B1175" s="11">
        <v>45873.479166666664</v>
      </c>
      <c r="C1175" s="7">
        <v>628.17830000000004</v>
      </c>
      <c r="D1175">
        <v>3099248</v>
      </c>
      <c r="E1175">
        <v>5888695</v>
      </c>
    </row>
    <row r="1176" spans="1:5">
      <c r="A1176">
        <v>1171</v>
      </c>
      <c r="B1176" s="11">
        <v>45873.458333333336</v>
      </c>
      <c r="C1176" s="7">
        <v>627.24090000000001</v>
      </c>
      <c r="D1176">
        <v>3072662</v>
      </c>
      <c r="E1176">
        <v>6060985.5</v>
      </c>
    </row>
    <row r="1177" spans="1:5">
      <c r="A1177">
        <v>1172</v>
      </c>
      <c r="B1177" s="11">
        <v>45873.4375</v>
      </c>
      <c r="C1177" s="7">
        <v>627.41819999999996</v>
      </c>
      <c r="D1177">
        <v>4461681</v>
      </c>
      <c r="E1177">
        <v>6375500</v>
      </c>
    </row>
    <row r="1178" spans="1:5">
      <c r="A1178">
        <v>1173</v>
      </c>
      <c r="B1178" s="11">
        <v>45873.416666666664</v>
      </c>
      <c r="C1178" s="7">
        <v>627.68970000000002</v>
      </c>
      <c r="D1178">
        <v>4167806</v>
      </c>
      <c r="E1178">
        <v>6724459</v>
      </c>
    </row>
    <row r="1179" spans="1:5">
      <c r="A1179">
        <v>1174</v>
      </c>
      <c r="B1179" s="11">
        <v>45873.395833333336</v>
      </c>
      <c r="C1179" s="7">
        <v>627.40049999999997</v>
      </c>
      <c r="D1179">
        <v>8153121</v>
      </c>
      <c r="E1179">
        <v>7239266.5</v>
      </c>
    </row>
    <row r="1180" spans="1:5">
      <c r="A1180">
        <v>1175</v>
      </c>
      <c r="B1180" s="11">
        <v>45870.666666666664</v>
      </c>
      <c r="C1180" s="7">
        <v>620.00099999999998</v>
      </c>
      <c r="D1180">
        <v>0</v>
      </c>
      <c r="E1180">
        <v>6695725</v>
      </c>
    </row>
    <row r="1181" spans="1:5">
      <c r="A1181">
        <v>1176</v>
      </c>
      <c r="B1181" s="11">
        <v>45870.645833333336</v>
      </c>
      <c r="C1181" s="7">
        <v>620.00099999999998</v>
      </c>
      <c r="D1181">
        <v>16048035</v>
      </c>
      <c r="E1181">
        <v>7834023.5</v>
      </c>
    </row>
    <row r="1182" spans="1:5">
      <c r="A1182">
        <v>1177</v>
      </c>
      <c r="B1182" s="11">
        <v>45870.625</v>
      </c>
      <c r="C1182" s="7">
        <v>620.06089999999995</v>
      </c>
      <c r="D1182">
        <v>7480405</v>
      </c>
      <c r="E1182">
        <v>7094088.5</v>
      </c>
    </row>
    <row r="1183" spans="1:5">
      <c r="A1183">
        <v>1178</v>
      </c>
      <c r="B1183" s="11">
        <v>45870.604166666664</v>
      </c>
      <c r="C1183" s="7">
        <v>619.66200000000003</v>
      </c>
      <c r="D1183">
        <v>6810809</v>
      </c>
      <c r="E1183">
        <v>6847745.5</v>
      </c>
    </row>
    <row r="1184" spans="1:5">
      <c r="A1184">
        <v>1179</v>
      </c>
      <c r="B1184" s="11">
        <v>45870.583333333336</v>
      </c>
      <c r="C1184" s="7">
        <v>619.92129999999997</v>
      </c>
      <c r="D1184">
        <v>5686985</v>
      </c>
      <c r="E1184">
        <v>6798411</v>
      </c>
    </row>
    <row r="1185" spans="1:5">
      <c r="A1185">
        <v>1180</v>
      </c>
      <c r="B1185" s="11">
        <v>45870.5625</v>
      </c>
      <c r="C1185" s="7">
        <v>618.95389999999998</v>
      </c>
      <c r="D1185">
        <v>5206051</v>
      </c>
      <c r="E1185">
        <v>6791289</v>
      </c>
    </row>
    <row r="1186" spans="1:5">
      <c r="A1186">
        <v>1181</v>
      </c>
      <c r="B1186" s="11">
        <v>45870.541666666664</v>
      </c>
      <c r="C1186" s="7">
        <v>618.7944</v>
      </c>
      <c r="D1186">
        <v>6801765</v>
      </c>
      <c r="E1186">
        <v>6686032.5</v>
      </c>
    </row>
    <row r="1187" spans="1:5">
      <c r="A1187">
        <v>1182</v>
      </c>
      <c r="B1187" s="11">
        <v>45870.520833333336</v>
      </c>
      <c r="C1187" s="7">
        <v>619.65200000000004</v>
      </c>
      <c r="D1187">
        <v>6967130</v>
      </c>
      <c r="E1187">
        <v>6398330.5</v>
      </c>
    </row>
    <row r="1188" spans="1:5">
      <c r="A1188">
        <v>1183</v>
      </c>
      <c r="B1188" s="11">
        <v>45870.5</v>
      </c>
      <c r="C1188" s="7">
        <v>622.50409999999999</v>
      </c>
      <c r="D1188">
        <v>5126592</v>
      </c>
      <c r="E1188">
        <v>6081703</v>
      </c>
    </row>
    <row r="1189" spans="1:5">
      <c r="A1189">
        <v>1184</v>
      </c>
      <c r="B1189" s="11">
        <v>45870.479166666664</v>
      </c>
      <c r="C1189" s="7">
        <v>622.20489999999995</v>
      </c>
      <c r="D1189">
        <v>5248138</v>
      </c>
      <c r="E1189">
        <v>5935409</v>
      </c>
    </row>
    <row r="1190" spans="1:5">
      <c r="A1190">
        <v>1185</v>
      </c>
      <c r="B1190" s="11">
        <v>45870.458333333336</v>
      </c>
      <c r="C1190" s="7">
        <v>619.79160000000002</v>
      </c>
      <c r="D1190">
        <v>5683603</v>
      </c>
      <c r="E1190">
        <v>5908642</v>
      </c>
    </row>
    <row r="1191" spans="1:5">
      <c r="A1191">
        <v>1186</v>
      </c>
      <c r="B1191" s="11">
        <v>45870.4375</v>
      </c>
      <c r="C1191" s="7">
        <v>620.25030000000004</v>
      </c>
      <c r="D1191">
        <v>7790382</v>
      </c>
      <c r="E1191">
        <v>5826371</v>
      </c>
    </row>
    <row r="1192" spans="1:5">
      <c r="A1192">
        <v>1187</v>
      </c>
      <c r="B1192" s="11">
        <v>45870.416666666664</v>
      </c>
      <c r="C1192" s="7">
        <v>621.6268</v>
      </c>
      <c r="D1192">
        <v>9696065</v>
      </c>
      <c r="E1192">
        <v>5605074.5</v>
      </c>
    </row>
    <row r="1193" spans="1:5">
      <c r="A1193">
        <v>1188</v>
      </c>
      <c r="B1193" s="11">
        <v>45870.395833333336</v>
      </c>
      <c r="C1193" s="7">
        <v>619.45249999999999</v>
      </c>
      <c r="D1193">
        <v>11889917</v>
      </c>
      <c r="E1193">
        <v>5542455.5</v>
      </c>
    </row>
    <row r="1194" spans="1:5">
      <c r="A1194">
        <v>1189</v>
      </c>
      <c r="B1194" s="11">
        <v>45869.666666666664</v>
      </c>
      <c r="C1194" s="7">
        <v>630.33240000000001</v>
      </c>
      <c r="D1194">
        <v>0</v>
      </c>
      <c r="E1194">
        <v>4749794.5</v>
      </c>
    </row>
    <row r="1195" spans="1:5">
      <c r="A1195">
        <v>1190</v>
      </c>
      <c r="B1195" s="11">
        <v>45869.645833333336</v>
      </c>
      <c r="C1195" s="7">
        <v>630.33240000000001</v>
      </c>
      <c r="D1195">
        <v>17074478</v>
      </c>
      <c r="E1195">
        <v>5515573</v>
      </c>
    </row>
    <row r="1196" spans="1:5">
      <c r="A1196">
        <v>1191</v>
      </c>
      <c r="B1196" s="11">
        <v>45869.625</v>
      </c>
      <c r="C1196" s="7">
        <v>631.17499999999995</v>
      </c>
      <c r="D1196">
        <v>4949005</v>
      </c>
      <c r="E1196">
        <v>4962218</v>
      </c>
    </row>
    <row r="1197" spans="1:5">
      <c r="A1197">
        <v>1192</v>
      </c>
      <c r="B1197" s="11">
        <v>45869.604166666664</v>
      </c>
      <c r="C1197" s="7">
        <v>632.58619999999996</v>
      </c>
      <c r="D1197">
        <v>3785266</v>
      </c>
      <c r="E1197">
        <v>5177813.5</v>
      </c>
    </row>
    <row r="1198" spans="1:5">
      <c r="A1198">
        <v>1193</v>
      </c>
      <c r="B1198" s="11">
        <v>45869.583333333336</v>
      </c>
      <c r="C1198" s="7">
        <v>632.40660000000003</v>
      </c>
      <c r="D1198">
        <v>6070789</v>
      </c>
      <c r="E1198">
        <v>5103990.5</v>
      </c>
    </row>
    <row r="1199" spans="1:5">
      <c r="A1199">
        <v>1194</v>
      </c>
      <c r="B1199" s="11">
        <v>45869.5625</v>
      </c>
      <c r="C1199" s="7">
        <v>631.60879999999997</v>
      </c>
      <c r="D1199">
        <v>5580156</v>
      </c>
      <c r="E1199">
        <v>4810294</v>
      </c>
    </row>
    <row r="1200" spans="1:5">
      <c r="A1200">
        <v>1195</v>
      </c>
      <c r="B1200" s="11">
        <v>45869.541666666664</v>
      </c>
      <c r="C1200" s="7">
        <v>633.07479999999998</v>
      </c>
      <c r="D1200">
        <v>3627203</v>
      </c>
      <c r="E1200">
        <v>4509978</v>
      </c>
    </row>
    <row r="1201" spans="1:5">
      <c r="A1201">
        <v>1196</v>
      </c>
      <c r="B1201" s="11">
        <v>45869.520833333336</v>
      </c>
      <c r="C1201" s="7">
        <v>636.00670000000002</v>
      </c>
      <c r="D1201">
        <v>2486230</v>
      </c>
      <c r="E1201">
        <v>4360430</v>
      </c>
    </row>
    <row r="1202" spans="1:5">
      <c r="A1202">
        <v>1197</v>
      </c>
      <c r="B1202" s="11">
        <v>45869.5</v>
      </c>
      <c r="C1202" s="7">
        <v>636.31590000000006</v>
      </c>
      <c r="D1202">
        <v>2217719</v>
      </c>
      <c r="E1202">
        <v>4336151</v>
      </c>
    </row>
    <row r="1203" spans="1:5">
      <c r="A1203">
        <v>1198</v>
      </c>
      <c r="B1203" s="11">
        <v>45869.479166666664</v>
      </c>
      <c r="C1203" s="7">
        <v>635.75729999999999</v>
      </c>
      <c r="D1203">
        <v>2932186</v>
      </c>
      <c r="E1203">
        <v>4296501.5</v>
      </c>
    </row>
    <row r="1204" spans="1:5">
      <c r="A1204">
        <v>1199</v>
      </c>
      <c r="B1204" s="11">
        <v>45869.458333333336</v>
      </c>
      <c r="C1204" s="7">
        <v>634.44100000000003</v>
      </c>
      <c r="D1204">
        <v>4846631</v>
      </c>
      <c r="E1204">
        <v>4276206.5</v>
      </c>
    </row>
    <row r="1205" spans="1:5">
      <c r="A1205">
        <v>1200</v>
      </c>
      <c r="B1205" s="11">
        <v>45869.4375</v>
      </c>
      <c r="C1205" s="7">
        <v>634.84990000000005</v>
      </c>
      <c r="D1205">
        <v>4449541</v>
      </c>
      <c r="E1205">
        <v>4092377.25</v>
      </c>
    </row>
    <row r="1206" spans="1:5">
      <c r="A1206">
        <v>1201</v>
      </c>
      <c r="B1206" s="11">
        <v>45869.416666666664</v>
      </c>
      <c r="C1206" s="7">
        <v>637.04380000000003</v>
      </c>
      <c r="D1206">
        <v>4470930</v>
      </c>
      <c r="E1206">
        <v>3961863.25</v>
      </c>
    </row>
    <row r="1207" spans="1:5">
      <c r="A1207">
        <v>1202</v>
      </c>
      <c r="B1207" s="11">
        <v>45869.395833333336</v>
      </c>
      <c r="C1207" s="7">
        <v>637.67700000000002</v>
      </c>
      <c r="D1207">
        <v>8756784</v>
      </c>
      <c r="E1207">
        <v>3942386</v>
      </c>
    </row>
    <row r="1208" spans="1:5">
      <c r="A1208">
        <v>1203</v>
      </c>
      <c r="B1208" s="11">
        <v>45868.666666666664</v>
      </c>
      <c r="C1208" s="7">
        <v>632.70579999999995</v>
      </c>
      <c r="D1208">
        <v>0</v>
      </c>
      <c r="E1208">
        <v>3358600.5</v>
      </c>
    </row>
    <row r="1209" spans="1:5">
      <c r="A1209">
        <v>1204</v>
      </c>
      <c r="B1209" s="11">
        <v>45868.645833333336</v>
      </c>
      <c r="C1209" s="7">
        <v>632.70579999999995</v>
      </c>
      <c r="D1209">
        <v>11486680</v>
      </c>
      <c r="E1209">
        <v>3941683.5</v>
      </c>
    </row>
    <row r="1210" spans="1:5">
      <c r="A1210">
        <v>1205</v>
      </c>
      <c r="B1210" s="11">
        <v>45868.625</v>
      </c>
      <c r="C1210" s="7">
        <v>630.40219999999999</v>
      </c>
      <c r="D1210">
        <v>8774153</v>
      </c>
      <c r="E1210">
        <v>3353284.5</v>
      </c>
    </row>
    <row r="1211" spans="1:5">
      <c r="A1211">
        <v>1206</v>
      </c>
      <c r="B1211" s="11">
        <v>45868.604166666664</v>
      </c>
      <c r="C1211" s="7">
        <v>630.98050000000001</v>
      </c>
      <c r="D1211">
        <v>8182938</v>
      </c>
      <c r="E1211">
        <v>2881791.25</v>
      </c>
    </row>
    <row r="1212" spans="1:5">
      <c r="A1212">
        <v>1207</v>
      </c>
      <c r="B1212" s="11">
        <v>45868.583333333336</v>
      </c>
      <c r="C1212" s="7">
        <v>635.03930000000003</v>
      </c>
      <c r="D1212">
        <v>2677921</v>
      </c>
      <c r="E1212">
        <v>2480493</v>
      </c>
    </row>
    <row r="1213" spans="1:5">
      <c r="A1213">
        <v>1208</v>
      </c>
      <c r="B1213" s="11">
        <v>45868.5625</v>
      </c>
      <c r="C1213" s="7">
        <v>634.87980000000005</v>
      </c>
      <c r="D1213">
        <v>1665340</v>
      </c>
      <c r="E1213">
        <v>2483867.25</v>
      </c>
    </row>
    <row r="1214" spans="1:5">
      <c r="A1214">
        <v>1209</v>
      </c>
      <c r="B1214" s="11">
        <v>45868.541666666664</v>
      </c>
      <c r="C1214" s="7">
        <v>634.44100000000003</v>
      </c>
      <c r="D1214">
        <v>1075412</v>
      </c>
      <c r="E1214">
        <v>2522266.75</v>
      </c>
    </row>
    <row r="1215" spans="1:5">
      <c r="A1215">
        <v>1210</v>
      </c>
      <c r="B1215" s="11">
        <v>45868.520833333336</v>
      </c>
      <c r="C1215" s="7">
        <v>634.71519999999998</v>
      </c>
      <c r="D1215">
        <v>1383984</v>
      </c>
      <c r="E1215">
        <v>2571966.75</v>
      </c>
    </row>
    <row r="1216" spans="1:5">
      <c r="A1216">
        <v>1211</v>
      </c>
      <c r="B1216" s="11">
        <v>45868.5</v>
      </c>
      <c r="C1216" s="7">
        <v>634.84990000000005</v>
      </c>
      <c r="D1216">
        <v>2122047</v>
      </c>
      <c r="E1216">
        <v>2621603.5</v>
      </c>
    </row>
    <row r="1217" spans="1:5">
      <c r="A1217">
        <v>1212</v>
      </c>
      <c r="B1217" s="11">
        <v>45868.479166666664</v>
      </c>
      <c r="C1217" s="7">
        <v>634.41600000000005</v>
      </c>
      <c r="D1217">
        <v>1622974</v>
      </c>
      <c r="E1217">
        <v>2707936</v>
      </c>
    </row>
    <row r="1218" spans="1:5">
      <c r="A1218">
        <v>1213</v>
      </c>
      <c r="B1218" s="11">
        <v>45868.458333333336</v>
      </c>
      <c r="C1218" s="7">
        <v>633.5634</v>
      </c>
      <c r="D1218">
        <v>2627765</v>
      </c>
      <c r="E1218">
        <v>2843330.25</v>
      </c>
    </row>
    <row r="1219" spans="1:5">
      <c r="A1219">
        <v>1214</v>
      </c>
      <c r="B1219" s="11">
        <v>45868.4375</v>
      </c>
      <c r="C1219" s="7">
        <v>634.5009</v>
      </c>
      <c r="D1219">
        <v>2089188</v>
      </c>
      <c r="E1219">
        <v>2875367.75</v>
      </c>
    </row>
    <row r="1220" spans="1:5">
      <c r="A1220">
        <v>1215</v>
      </c>
      <c r="B1220" s="11">
        <v>45868.416666666664</v>
      </c>
      <c r="C1220" s="7">
        <v>634.6105</v>
      </c>
      <c r="D1220">
        <v>2491831</v>
      </c>
      <c r="E1220">
        <v>2921947</v>
      </c>
    </row>
    <row r="1221" spans="1:5">
      <c r="A1221">
        <v>1216</v>
      </c>
      <c r="B1221" s="11">
        <v>45868.395833333336</v>
      </c>
      <c r="C1221" s="7">
        <v>633.95230000000004</v>
      </c>
      <c r="D1221">
        <v>4178773</v>
      </c>
      <c r="E1221">
        <v>3065148</v>
      </c>
    </row>
    <row r="1222" spans="1:5">
      <c r="A1222">
        <v>1217</v>
      </c>
      <c r="B1222" s="11">
        <v>45867.666666666664</v>
      </c>
      <c r="C1222" s="7">
        <v>633.50360000000001</v>
      </c>
      <c r="D1222">
        <v>0</v>
      </c>
      <c r="E1222">
        <v>2786563.25</v>
      </c>
    </row>
    <row r="1223" spans="1:5">
      <c r="A1223">
        <v>1218</v>
      </c>
      <c r="B1223" s="11">
        <v>45867.645833333336</v>
      </c>
      <c r="C1223" s="7">
        <v>633.50360000000001</v>
      </c>
      <c r="D1223">
        <v>8746247</v>
      </c>
      <c r="E1223">
        <v>3230925.5</v>
      </c>
    </row>
    <row r="1224" spans="1:5">
      <c r="A1224">
        <v>1219</v>
      </c>
      <c r="B1224" s="11">
        <v>45867.625</v>
      </c>
      <c r="C1224" s="7">
        <v>633.34900000000005</v>
      </c>
      <c r="D1224">
        <v>2660693</v>
      </c>
      <c r="E1224">
        <v>2803443.5</v>
      </c>
    </row>
    <row r="1225" spans="1:5">
      <c r="A1225">
        <v>1220</v>
      </c>
      <c r="B1225" s="11">
        <v>45867.604166666664</v>
      </c>
      <c r="C1225" s="7">
        <v>633.56330000000003</v>
      </c>
      <c r="D1225">
        <v>1701756</v>
      </c>
      <c r="E1225">
        <v>2763525.5</v>
      </c>
    </row>
    <row r="1226" spans="1:5">
      <c r="A1226">
        <v>1221</v>
      </c>
      <c r="B1226" s="11">
        <v>45867.583333333336</v>
      </c>
      <c r="C1226" s="7">
        <v>633.55840000000001</v>
      </c>
      <c r="D1226">
        <v>2163463</v>
      </c>
      <c r="E1226">
        <v>2873266.75</v>
      </c>
    </row>
    <row r="1227" spans="1:5">
      <c r="A1227">
        <v>1222</v>
      </c>
      <c r="B1227" s="11">
        <v>45867.5625</v>
      </c>
      <c r="C1227" s="7">
        <v>633.82270000000005</v>
      </c>
      <c r="D1227">
        <v>2728534</v>
      </c>
      <c r="E1227">
        <v>2823016.5</v>
      </c>
    </row>
    <row r="1228" spans="1:5">
      <c r="A1228">
        <v>1223</v>
      </c>
      <c r="B1228" s="11">
        <v>45867.541666666664</v>
      </c>
      <c r="C1228" s="7">
        <v>634.43029999999999</v>
      </c>
      <c r="D1228">
        <v>2241335</v>
      </c>
      <c r="E1228">
        <v>2787932.5</v>
      </c>
    </row>
    <row r="1229" spans="1:5">
      <c r="A1229">
        <v>1224</v>
      </c>
      <c r="B1229" s="11">
        <v>45867.520833333336</v>
      </c>
      <c r="C1229" s="7">
        <v>634.39589999999998</v>
      </c>
      <c r="D1229">
        <v>1820911</v>
      </c>
      <c r="E1229">
        <v>2738973.5</v>
      </c>
    </row>
    <row r="1230" spans="1:5">
      <c r="A1230">
        <v>1225</v>
      </c>
      <c r="B1230" s="11">
        <v>45867.5</v>
      </c>
      <c r="C1230" s="7">
        <v>633.90250000000003</v>
      </c>
      <c r="D1230">
        <v>2128536</v>
      </c>
      <c r="E1230">
        <v>2714858</v>
      </c>
    </row>
    <row r="1231" spans="1:5">
      <c r="A1231">
        <v>1226</v>
      </c>
      <c r="B1231" s="11">
        <v>45867.479166666664</v>
      </c>
      <c r="C1231" s="7">
        <v>634.12180000000001</v>
      </c>
      <c r="D1231">
        <v>3417035</v>
      </c>
      <c r="E1231">
        <v>2676127</v>
      </c>
    </row>
    <row r="1232" spans="1:5">
      <c r="A1232">
        <v>1227</v>
      </c>
      <c r="B1232" s="11">
        <v>45867.458333333336</v>
      </c>
      <c r="C1232" s="7">
        <v>633.48360000000002</v>
      </c>
      <c r="D1232">
        <v>3653885</v>
      </c>
      <c r="E1232">
        <v>2641868.25</v>
      </c>
    </row>
    <row r="1233" spans="1:5">
      <c r="A1233">
        <v>1228</v>
      </c>
      <c r="B1233" s="11">
        <v>45867.4375</v>
      </c>
      <c r="C1233" s="7">
        <v>634.93960000000004</v>
      </c>
      <c r="D1233">
        <v>3108330</v>
      </c>
      <c r="E1233">
        <v>2549485</v>
      </c>
    </row>
    <row r="1234" spans="1:5">
      <c r="A1234">
        <v>1229</v>
      </c>
      <c r="B1234" s="11">
        <v>45867.416666666664</v>
      </c>
      <c r="C1234" s="7">
        <v>635.98670000000004</v>
      </c>
      <c r="D1234">
        <v>2787876</v>
      </c>
      <c r="E1234">
        <v>2557206.5</v>
      </c>
    </row>
    <row r="1235" spans="1:5">
      <c r="A1235">
        <v>1230</v>
      </c>
      <c r="B1235" s="11">
        <v>45867.395833333336</v>
      </c>
      <c r="C1235" s="7">
        <v>636.25599999999997</v>
      </c>
      <c r="D1235">
        <v>4639846</v>
      </c>
      <c r="E1235">
        <v>2724331.5</v>
      </c>
    </row>
    <row r="1236" spans="1:5">
      <c r="A1236">
        <v>1231</v>
      </c>
      <c r="B1236" s="11">
        <v>45866.666666666664</v>
      </c>
      <c r="C1236" s="7">
        <v>635.17899999999997</v>
      </c>
      <c r="D1236">
        <v>0</v>
      </c>
      <c r="E1236">
        <v>2415008.5</v>
      </c>
    </row>
    <row r="1237" spans="1:5">
      <c r="A1237">
        <v>1232</v>
      </c>
      <c r="B1237" s="11">
        <v>45866.645833333336</v>
      </c>
      <c r="C1237" s="7">
        <v>635.17899999999997</v>
      </c>
      <c r="D1237">
        <v>6665436</v>
      </c>
      <c r="E1237">
        <v>3071445.75</v>
      </c>
    </row>
    <row r="1238" spans="1:5">
      <c r="A1238">
        <v>1233</v>
      </c>
      <c r="B1238" s="11">
        <v>45866.625</v>
      </c>
      <c r="C1238" s="7">
        <v>634.29139999999995</v>
      </c>
      <c r="D1238">
        <v>2334015</v>
      </c>
      <c r="E1238">
        <v>2777995.5</v>
      </c>
    </row>
    <row r="1239" spans="1:5">
      <c r="A1239">
        <v>1234</v>
      </c>
      <c r="B1239" s="11">
        <v>45866.604166666664</v>
      </c>
      <c r="C1239" s="7">
        <v>634.29139999999995</v>
      </c>
      <c r="D1239">
        <v>2061926</v>
      </c>
      <c r="E1239">
        <v>2736213</v>
      </c>
    </row>
    <row r="1240" spans="1:5">
      <c r="A1240">
        <v>1235</v>
      </c>
      <c r="B1240" s="11">
        <v>45866.583333333336</v>
      </c>
      <c r="C1240" s="7">
        <v>634.3193</v>
      </c>
      <c r="D1240">
        <v>3347872</v>
      </c>
      <c r="E1240">
        <v>2743898.75</v>
      </c>
    </row>
    <row r="1241" spans="1:5">
      <c r="A1241">
        <v>1236</v>
      </c>
      <c r="B1241" s="11">
        <v>45866.5625</v>
      </c>
      <c r="C1241" s="7">
        <v>634.33130000000006</v>
      </c>
      <c r="D1241">
        <v>1409710</v>
      </c>
      <c r="E1241">
        <v>2647654.5</v>
      </c>
    </row>
    <row r="1242" spans="1:5">
      <c r="A1242">
        <v>1237</v>
      </c>
      <c r="B1242" s="11">
        <v>45866.541666666664</v>
      </c>
      <c r="C1242" s="7">
        <v>634.55070000000001</v>
      </c>
      <c r="D1242">
        <v>2202275</v>
      </c>
      <c r="E1242">
        <v>2654876.5</v>
      </c>
    </row>
    <row r="1243" spans="1:5">
      <c r="A1243">
        <v>1238</v>
      </c>
      <c r="B1243" s="11">
        <v>45866.520833333336</v>
      </c>
      <c r="C1243" s="7">
        <v>635.1241</v>
      </c>
      <c r="D1243">
        <v>1506948</v>
      </c>
      <c r="E1243">
        <v>2629816.75</v>
      </c>
    </row>
    <row r="1244" spans="1:5">
      <c r="A1244">
        <v>1239</v>
      </c>
      <c r="B1244" s="11">
        <v>45866.5</v>
      </c>
      <c r="C1244" s="7">
        <v>635.6377</v>
      </c>
      <c r="D1244">
        <v>1459179</v>
      </c>
      <c r="E1244">
        <v>2732226</v>
      </c>
    </row>
    <row r="1245" spans="1:5">
      <c r="A1245">
        <v>1240</v>
      </c>
      <c r="B1245" s="11">
        <v>45866.479166666664</v>
      </c>
      <c r="C1245" s="7">
        <v>635.61770000000001</v>
      </c>
      <c r="D1245">
        <v>1547572</v>
      </c>
      <c r="E1245">
        <v>2738784.25</v>
      </c>
    </row>
    <row r="1246" spans="1:5">
      <c r="A1246">
        <v>1241</v>
      </c>
      <c r="B1246" s="11">
        <v>45866.458333333336</v>
      </c>
      <c r="C1246" s="7">
        <v>635.30859999999996</v>
      </c>
      <c r="D1246">
        <v>2903153</v>
      </c>
      <c r="E1246">
        <v>2753416</v>
      </c>
    </row>
    <row r="1247" spans="1:5">
      <c r="A1247">
        <v>1242</v>
      </c>
      <c r="B1247" s="11">
        <v>45866.4375</v>
      </c>
      <c r="C1247" s="7">
        <v>635.66759999999999</v>
      </c>
      <c r="D1247">
        <v>2268138</v>
      </c>
      <c r="E1247">
        <v>2756322.5</v>
      </c>
    </row>
    <row r="1248" spans="1:5">
      <c r="A1248">
        <v>1243</v>
      </c>
      <c r="B1248" s="11">
        <v>45866.416666666664</v>
      </c>
      <c r="C1248" s="7">
        <v>635.96669999999995</v>
      </c>
      <c r="D1248">
        <v>3224150</v>
      </c>
      <c r="E1248">
        <v>2785315</v>
      </c>
    </row>
    <row r="1249" spans="1:5">
      <c r="A1249">
        <v>1244</v>
      </c>
      <c r="B1249" s="11">
        <v>45866.395833333336</v>
      </c>
      <c r="C1249" s="7">
        <v>635.68759999999997</v>
      </c>
      <c r="D1249">
        <v>5294752</v>
      </c>
      <c r="E1249">
        <v>2830803.5</v>
      </c>
    </row>
    <row r="1250" spans="1:5">
      <c r="A1250">
        <v>1245</v>
      </c>
      <c r="B1250" s="11">
        <v>45863.666666666664</v>
      </c>
      <c r="C1250" s="7">
        <v>635.33839999999998</v>
      </c>
      <c r="D1250">
        <v>0</v>
      </c>
      <c r="E1250">
        <v>2477820</v>
      </c>
    </row>
    <row r="1251" spans="1:5">
      <c r="A1251">
        <v>1246</v>
      </c>
      <c r="B1251" s="11">
        <v>45863.645833333336</v>
      </c>
      <c r="C1251" s="7">
        <v>635.24879999999996</v>
      </c>
      <c r="D1251">
        <v>9846561</v>
      </c>
      <c r="E1251">
        <v>3143961.75</v>
      </c>
    </row>
    <row r="1252" spans="1:5">
      <c r="A1252">
        <v>1247</v>
      </c>
      <c r="B1252" s="11">
        <v>45863.625</v>
      </c>
      <c r="C1252" s="7">
        <v>635.56790000000001</v>
      </c>
      <c r="D1252">
        <v>2263682</v>
      </c>
      <c r="E1252">
        <v>2691825</v>
      </c>
    </row>
    <row r="1253" spans="1:5">
      <c r="A1253">
        <v>1248</v>
      </c>
      <c r="B1253" s="11">
        <v>45863.604166666664</v>
      </c>
      <c r="C1253" s="7">
        <v>635.41830000000004</v>
      </c>
      <c r="D1253">
        <v>1707277</v>
      </c>
      <c r="E1253">
        <v>2801807.25</v>
      </c>
    </row>
    <row r="1254" spans="1:5">
      <c r="A1254">
        <v>1249</v>
      </c>
      <c r="B1254" s="11">
        <v>45863.583333333336</v>
      </c>
      <c r="C1254" s="7">
        <v>635.5779</v>
      </c>
      <c r="D1254">
        <v>2177212</v>
      </c>
      <c r="E1254">
        <v>3000877.25</v>
      </c>
    </row>
    <row r="1255" spans="1:5">
      <c r="A1255">
        <v>1250</v>
      </c>
      <c r="B1255" s="11">
        <v>45863.5625</v>
      </c>
      <c r="C1255" s="7">
        <v>635.37339999999995</v>
      </c>
      <c r="D1255">
        <v>1904209</v>
      </c>
      <c r="E1255">
        <v>2969853</v>
      </c>
    </row>
    <row r="1256" spans="1:5">
      <c r="A1256">
        <v>1251</v>
      </c>
      <c r="B1256" s="11">
        <v>45863.541666666664</v>
      </c>
      <c r="C1256" s="7">
        <v>635.28359999999998</v>
      </c>
      <c r="D1256">
        <v>1518039</v>
      </c>
      <c r="E1256">
        <v>3013323</v>
      </c>
    </row>
    <row r="1257" spans="1:5">
      <c r="A1257">
        <v>1252</v>
      </c>
      <c r="B1257" s="11">
        <v>45863.520833333336</v>
      </c>
      <c r="C1257" s="7">
        <v>635.08420000000001</v>
      </c>
      <c r="D1257">
        <v>1826380</v>
      </c>
      <c r="E1257">
        <v>3065707.5</v>
      </c>
    </row>
    <row r="1258" spans="1:5">
      <c r="A1258">
        <v>1253</v>
      </c>
      <c r="B1258" s="11">
        <v>45863.5</v>
      </c>
      <c r="C1258" s="7">
        <v>635.00450000000001</v>
      </c>
      <c r="D1258">
        <v>3043085</v>
      </c>
      <c r="E1258">
        <v>3131262.75</v>
      </c>
    </row>
    <row r="1259" spans="1:5">
      <c r="A1259">
        <v>1254</v>
      </c>
      <c r="B1259" s="11">
        <v>45863.479166666664</v>
      </c>
      <c r="C1259" s="7">
        <v>634.16669999999999</v>
      </c>
      <c r="D1259">
        <v>1557555</v>
      </c>
      <c r="E1259">
        <v>3063912.75</v>
      </c>
    </row>
    <row r="1260" spans="1:5">
      <c r="A1260">
        <v>1255</v>
      </c>
      <c r="B1260" s="11">
        <v>45863.458333333336</v>
      </c>
      <c r="C1260" s="7">
        <v>634.22659999999996</v>
      </c>
      <c r="D1260">
        <v>1767047</v>
      </c>
      <c r="E1260">
        <v>3149676.5</v>
      </c>
    </row>
    <row r="1261" spans="1:5">
      <c r="A1261">
        <v>1256</v>
      </c>
      <c r="B1261" s="11">
        <v>45863.4375</v>
      </c>
      <c r="C1261" s="7">
        <v>634.06200000000001</v>
      </c>
      <c r="D1261">
        <v>2946749</v>
      </c>
      <c r="E1261">
        <v>3213007</v>
      </c>
    </row>
    <row r="1262" spans="1:5">
      <c r="A1262">
        <v>1257</v>
      </c>
      <c r="B1262" s="11">
        <v>45863.416666666664</v>
      </c>
      <c r="C1262" s="7">
        <v>633.73789999999997</v>
      </c>
      <c r="D1262">
        <v>2703028</v>
      </c>
      <c r="E1262">
        <v>3277881.75</v>
      </c>
    </row>
    <row r="1263" spans="1:5">
      <c r="A1263">
        <v>1258</v>
      </c>
      <c r="B1263" s="11">
        <v>45863.395833333336</v>
      </c>
      <c r="C1263" s="7">
        <v>633.53340000000003</v>
      </c>
      <c r="D1263">
        <v>3906476</v>
      </c>
      <c r="E1263">
        <v>3459155.75</v>
      </c>
    </row>
    <row r="1264" spans="1:5">
      <c r="A1264">
        <v>1259</v>
      </c>
      <c r="B1264" s="11">
        <v>45862.666666666664</v>
      </c>
      <c r="C1264" s="7">
        <v>632.66589999999997</v>
      </c>
      <c r="D1264">
        <v>0</v>
      </c>
      <c r="E1264">
        <v>3198724.25</v>
      </c>
    </row>
    <row r="1265" spans="1:5">
      <c r="A1265">
        <v>1260</v>
      </c>
      <c r="B1265" s="11">
        <v>45862.645833333336</v>
      </c>
      <c r="C1265" s="7">
        <v>632.66589999999997</v>
      </c>
      <c r="D1265">
        <v>9992125</v>
      </c>
      <c r="E1265">
        <v>3744013.25</v>
      </c>
    </row>
    <row r="1266" spans="1:5">
      <c r="A1266">
        <v>1261</v>
      </c>
      <c r="B1266" s="11">
        <v>45862.625</v>
      </c>
      <c r="C1266" s="7">
        <v>633.69309999999996</v>
      </c>
      <c r="D1266">
        <v>3064511</v>
      </c>
      <c r="E1266">
        <v>3296495.75</v>
      </c>
    </row>
    <row r="1267" spans="1:5">
      <c r="A1267">
        <v>1262</v>
      </c>
      <c r="B1267" s="11">
        <v>45862.604166666664</v>
      </c>
      <c r="C1267" s="7">
        <v>633.43380000000002</v>
      </c>
      <c r="D1267">
        <v>3913417</v>
      </c>
      <c r="E1267">
        <v>3236499</v>
      </c>
    </row>
    <row r="1268" spans="1:5">
      <c r="A1268">
        <v>1263</v>
      </c>
      <c r="B1268" s="11">
        <v>45862.583333333336</v>
      </c>
      <c r="C1268" s="7">
        <v>634.0222</v>
      </c>
      <c r="D1268">
        <v>4693326</v>
      </c>
      <c r="E1268">
        <v>3177275.25</v>
      </c>
    </row>
    <row r="1269" spans="1:5">
      <c r="A1269">
        <v>1264</v>
      </c>
      <c r="B1269" s="11">
        <v>45862.5625</v>
      </c>
      <c r="C1269" s="7">
        <v>633.49860000000001</v>
      </c>
      <c r="D1269">
        <v>1711849</v>
      </c>
      <c r="E1269">
        <v>3107801</v>
      </c>
    </row>
    <row r="1270" spans="1:5">
      <c r="A1270">
        <v>1265</v>
      </c>
      <c r="B1270" s="11">
        <v>45862.541666666664</v>
      </c>
      <c r="C1270" s="7">
        <v>633.60329999999999</v>
      </c>
      <c r="D1270">
        <v>2556259</v>
      </c>
      <c r="E1270">
        <v>3108105.75</v>
      </c>
    </row>
    <row r="1271" spans="1:5">
      <c r="A1271">
        <v>1266</v>
      </c>
      <c r="B1271" s="11">
        <v>45862.520833333336</v>
      </c>
      <c r="C1271" s="7">
        <v>633.12959999999998</v>
      </c>
      <c r="D1271">
        <v>2303804</v>
      </c>
      <c r="E1271">
        <v>3056761.5</v>
      </c>
    </row>
    <row r="1272" spans="1:5">
      <c r="A1272">
        <v>1267</v>
      </c>
      <c r="B1272" s="11">
        <v>45862.5</v>
      </c>
      <c r="C1272" s="7">
        <v>632.79549999999995</v>
      </c>
      <c r="D1272">
        <v>2809710</v>
      </c>
      <c r="E1272">
        <v>3109340.5</v>
      </c>
    </row>
    <row r="1273" spans="1:5">
      <c r="A1273">
        <v>1268</v>
      </c>
      <c r="B1273" s="11">
        <v>45862.479166666664</v>
      </c>
      <c r="C1273" s="7">
        <v>633.75350000000003</v>
      </c>
      <c r="D1273">
        <v>2032835</v>
      </c>
      <c r="E1273">
        <v>3205414.75</v>
      </c>
    </row>
    <row r="1274" spans="1:5">
      <c r="A1274">
        <v>1269</v>
      </c>
      <c r="B1274" s="11">
        <v>45862.458333333336</v>
      </c>
      <c r="C1274" s="7">
        <v>633.77779999999996</v>
      </c>
      <c r="D1274">
        <v>2844013</v>
      </c>
      <c r="E1274">
        <v>3219423.25</v>
      </c>
    </row>
    <row r="1275" spans="1:5">
      <c r="A1275">
        <v>1270</v>
      </c>
      <c r="B1275" s="11">
        <v>45862.4375</v>
      </c>
      <c r="C1275" s="7">
        <v>633.7722</v>
      </c>
      <c r="D1275">
        <v>2717004</v>
      </c>
      <c r="E1275">
        <v>3164321.75</v>
      </c>
    </row>
    <row r="1276" spans="1:5">
      <c r="A1276">
        <v>1271</v>
      </c>
      <c r="B1276" s="11">
        <v>45862.416666666664</v>
      </c>
      <c r="C1276" s="7">
        <v>633.04489999999998</v>
      </c>
      <c r="D1276">
        <v>3919871</v>
      </c>
      <c r="E1276">
        <v>3183977.25</v>
      </c>
    </row>
    <row r="1277" spans="1:5">
      <c r="A1277">
        <v>1272</v>
      </c>
      <c r="B1277" s="11">
        <v>45862.395833333336</v>
      </c>
      <c r="C1277" s="7">
        <v>633.35400000000004</v>
      </c>
      <c r="D1277">
        <v>5422138</v>
      </c>
      <c r="E1277">
        <v>3276101.75</v>
      </c>
    </row>
    <row r="1278" spans="1:5">
      <c r="A1278">
        <v>1273</v>
      </c>
      <c r="B1278" s="11">
        <v>45861.666666666664</v>
      </c>
      <c r="C1278" s="7">
        <v>632.45650000000001</v>
      </c>
      <c r="D1278">
        <v>0</v>
      </c>
      <c r="E1278">
        <v>2914625.75</v>
      </c>
    </row>
    <row r="1279" spans="1:5">
      <c r="A1279">
        <v>1274</v>
      </c>
      <c r="B1279" s="11">
        <v>45861.645833333336</v>
      </c>
      <c r="C1279" s="7">
        <v>632.45650000000001</v>
      </c>
      <c r="D1279">
        <v>8179336</v>
      </c>
      <c r="E1279">
        <v>3478265</v>
      </c>
    </row>
    <row r="1280" spans="1:5">
      <c r="A1280">
        <v>1275</v>
      </c>
      <c r="B1280" s="11">
        <v>45861.625</v>
      </c>
      <c r="C1280" s="7">
        <v>631.58889999999997</v>
      </c>
      <c r="D1280">
        <v>3279362</v>
      </c>
      <c r="E1280">
        <v>3115314</v>
      </c>
    </row>
    <row r="1281" spans="1:5">
      <c r="A1281">
        <v>1276</v>
      </c>
      <c r="B1281" s="11">
        <v>45861.604166666664</v>
      </c>
      <c r="C1281" s="7">
        <v>631.52909999999997</v>
      </c>
      <c r="D1281">
        <v>2164560</v>
      </c>
      <c r="E1281">
        <v>3090225.5</v>
      </c>
    </row>
    <row r="1282" spans="1:5">
      <c r="A1282">
        <v>1277</v>
      </c>
      <c r="B1282" s="11">
        <v>45861.583333333336</v>
      </c>
      <c r="C1282" s="7">
        <v>631.4941</v>
      </c>
      <c r="D1282">
        <v>3025062</v>
      </c>
      <c r="E1282">
        <v>3136657.25</v>
      </c>
    </row>
    <row r="1283" spans="1:5">
      <c r="A1283">
        <v>1278</v>
      </c>
      <c r="B1283" s="11">
        <v>45861.5625</v>
      </c>
      <c r="C1283" s="7">
        <v>630.80600000000004</v>
      </c>
      <c r="D1283">
        <v>3651213</v>
      </c>
      <c r="E1283">
        <v>3066136.25</v>
      </c>
    </row>
    <row r="1284" spans="1:5">
      <c r="A1284">
        <v>1279</v>
      </c>
      <c r="B1284" s="11">
        <v>45861.541666666664</v>
      </c>
      <c r="C1284" s="7">
        <v>630.36720000000003</v>
      </c>
      <c r="D1284">
        <v>1716419</v>
      </c>
      <c r="E1284">
        <v>2970705.25</v>
      </c>
    </row>
    <row r="1285" spans="1:5">
      <c r="A1285">
        <v>1280</v>
      </c>
      <c r="B1285" s="11">
        <v>45861.520833333336</v>
      </c>
      <c r="C1285" s="7">
        <v>630.1037</v>
      </c>
      <c r="D1285">
        <v>1786095</v>
      </c>
      <c r="E1285">
        <v>2982477.75</v>
      </c>
    </row>
    <row r="1286" spans="1:5">
      <c r="A1286">
        <v>1281</v>
      </c>
      <c r="B1286" s="11">
        <v>45861.5</v>
      </c>
      <c r="C1286" s="7">
        <v>629.92349999999999</v>
      </c>
      <c r="D1286">
        <v>3092490</v>
      </c>
      <c r="E1286">
        <v>3013588.25</v>
      </c>
    </row>
    <row r="1287" spans="1:5">
      <c r="A1287">
        <v>1282</v>
      </c>
      <c r="B1287" s="11">
        <v>45861.479166666664</v>
      </c>
      <c r="C1287" s="7">
        <v>630.22270000000003</v>
      </c>
      <c r="D1287">
        <v>4250822</v>
      </c>
      <c r="E1287">
        <v>2955394.75</v>
      </c>
    </row>
    <row r="1288" spans="1:5">
      <c r="A1288">
        <v>1283</v>
      </c>
      <c r="B1288" s="11">
        <v>45861.458333333336</v>
      </c>
      <c r="C1288" s="7">
        <v>629.11569999999995</v>
      </c>
      <c r="D1288">
        <v>2242962</v>
      </c>
      <c r="E1288">
        <v>2811870.5</v>
      </c>
    </row>
    <row r="1289" spans="1:5">
      <c r="A1289">
        <v>1284</v>
      </c>
      <c r="B1289" s="11">
        <v>45861.4375</v>
      </c>
      <c r="C1289" s="7">
        <v>628.98609999999996</v>
      </c>
      <c r="D1289">
        <v>2017491</v>
      </c>
      <c r="E1289">
        <v>2848551.75</v>
      </c>
    </row>
    <row r="1290" spans="1:5">
      <c r="A1290">
        <v>1285</v>
      </c>
      <c r="B1290" s="11">
        <v>45861.416666666664</v>
      </c>
      <c r="C1290" s="7">
        <v>628.99609999999996</v>
      </c>
      <c r="D1290">
        <v>3011837</v>
      </c>
      <c r="E1290">
        <v>2956792.75</v>
      </c>
    </row>
    <row r="1291" spans="1:5">
      <c r="A1291">
        <v>1286</v>
      </c>
      <c r="B1291" s="11">
        <v>45861.395833333336</v>
      </c>
      <c r="C1291" s="7">
        <v>628.2183</v>
      </c>
      <c r="D1291">
        <v>5301738</v>
      </c>
      <c r="E1291">
        <v>3217297.5</v>
      </c>
    </row>
    <row r="1292" spans="1:5">
      <c r="A1292">
        <v>1287</v>
      </c>
      <c r="B1292" s="11">
        <v>45860.666666666664</v>
      </c>
      <c r="C1292" s="7">
        <v>627.12130000000002</v>
      </c>
      <c r="D1292">
        <v>0</v>
      </c>
      <c r="E1292">
        <v>2863848.25</v>
      </c>
    </row>
    <row r="1293" spans="1:5">
      <c r="A1293">
        <v>1288</v>
      </c>
      <c r="B1293" s="11">
        <v>45860.645833333336</v>
      </c>
      <c r="C1293" s="7">
        <v>627.12130000000002</v>
      </c>
      <c r="D1293">
        <v>8454587</v>
      </c>
      <c r="E1293">
        <v>3562616.75</v>
      </c>
    </row>
    <row r="1294" spans="1:5">
      <c r="A1294">
        <v>1289</v>
      </c>
      <c r="B1294" s="11">
        <v>45860.625</v>
      </c>
      <c r="C1294" s="7">
        <v>627.45540000000005</v>
      </c>
      <c r="D1294">
        <v>2735073</v>
      </c>
      <c r="E1294">
        <v>3351915.5</v>
      </c>
    </row>
    <row r="1295" spans="1:5">
      <c r="A1295">
        <v>1290</v>
      </c>
      <c r="B1295" s="11">
        <v>45860.604166666664</v>
      </c>
      <c r="C1295" s="7">
        <v>627.59</v>
      </c>
      <c r="D1295">
        <v>2903034</v>
      </c>
      <c r="E1295">
        <v>3375048</v>
      </c>
    </row>
    <row r="1296" spans="1:5">
      <c r="A1296">
        <v>1291</v>
      </c>
      <c r="B1296" s="11">
        <v>45860.583333333336</v>
      </c>
      <c r="C1296" s="7">
        <v>626.65260000000001</v>
      </c>
      <c r="D1296">
        <v>2861036</v>
      </c>
      <c r="E1296">
        <v>3291805</v>
      </c>
    </row>
    <row r="1297" spans="1:5">
      <c r="A1297">
        <v>1292</v>
      </c>
      <c r="B1297" s="11">
        <v>45860.5625</v>
      </c>
      <c r="C1297" s="7">
        <v>626.60270000000003</v>
      </c>
      <c r="D1297">
        <v>1967246</v>
      </c>
      <c r="E1297">
        <v>3193630.25</v>
      </c>
    </row>
    <row r="1298" spans="1:5">
      <c r="A1298">
        <v>1293</v>
      </c>
      <c r="B1298" s="11">
        <v>45860.541666666664</v>
      </c>
      <c r="C1298" s="7">
        <v>627.35059999999999</v>
      </c>
      <c r="D1298">
        <v>2219748</v>
      </c>
      <c r="E1298">
        <v>3161346.25</v>
      </c>
    </row>
    <row r="1299" spans="1:5">
      <c r="A1299">
        <v>1294</v>
      </c>
      <c r="B1299" s="11">
        <v>45860.520833333336</v>
      </c>
      <c r="C1299" s="7">
        <v>626.11410000000001</v>
      </c>
      <c r="D1299">
        <v>1893008</v>
      </c>
      <c r="E1299">
        <v>3127009</v>
      </c>
    </row>
    <row r="1300" spans="1:5">
      <c r="A1300">
        <v>1295</v>
      </c>
      <c r="B1300" s="11">
        <v>45860.5</v>
      </c>
      <c r="C1300" s="7">
        <v>625.44590000000005</v>
      </c>
      <c r="D1300">
        <v>2252752</v>
      </c>
      <c r="E1300">
        <v>3156467.25</v>
      </c>
    </row>
    <row r="1301" spans="1:5">
      <c r="A1301">
        <v>1296</v>
      </c>
      <c r="B1301" s="11">
        <v>45860.479166666664</v>
      </c>
      <c r="C1301" s="7">
        <v>625.95450000000005</v>
      </c>
      <c r="D1301">
        <v>2219589</v>
      </c>
      <c r="E1301">
        <v>3155331.5</v>
      </c>
    </row>
    <row r="1302" spans="1:5">
      <c r="A1302">
        <v>1297</v>
      </c>
      <c r="B1302" s="11">
        <v>45860.458333333336</v>
      </c>
      <c r="C1302" s="7">
        <v>625.91470000000004</v>
      </c>
      <c r="D1302">
        <v>2097955</v>
      </c>
      <c r="E1302">
        <v>3149802</v>
      </c>
    </row>
    <row r="1303" spans="1:5">
      <c r="A1303">
        <v>1298</v>
      </c>
      <c r="B1303" s="11">
        <v>45860.4375</v>
      </c>
      <c r="C1303" s="7">
        <v>626.22879999999998</v>
      </c>
      <c r="D1303">
        <v>2793184</v>
      </c>
      <c r="E1303">
        <v>3204236.75</v>
      </c>
    </row>
    <row r="1304" spans="1:5">
      <c r="A1304">
        <v>1299</v>
      </c>
      <c r="B1304" s="11">
        <v>45860.416666666664</v>
      </c>
      <c r="C1304" s="7">
        <v>625.32619999999997</v>
      </c>
      <c r="D1304">
        <v>3641105</v>
      </c>
      <c r="E1304">
        <v>3281536.75</v>
      </c>
    </row>
    <row r="1305" spans="1:5">
      <c r="A1305">
        <v>1300</v>
      </c>
      <c r="B1305" s="11">
        <v>45860.395833333336</v>
      </c>
      <c r="C1305" s="7">
        <v>625.03700000000003</v>
      </c>
      <c r="D1305">
        <v>6919406</v>
      </c>
      <c r="E1305">
        <v>3354446.25</v>
      </c>
    </row>
    <row r="1306" spans="1:5">
      <c r="A1306">
        <v>1301</v>
      </c>
      <c r="B1306" s="11">
        <v>45859.666666666664</v>
      </c>
      <c r="C1306" s="7">
        <v>627.03160000000003</v>
      </c>
      <c r="D1306">
        <v>0</v>
      </c>
      <c r="E1306">
        <v>2893152.5</v>
      </c>
    </row>
    <row r="1307" spans="1:5">
      <c r="A1307">
        <v>1302</v>
      </c>
      <c r="B1307" s="11">
        <v>45859.645833333336</v>
      </c>
      <c r="C1307" s="7">
        <v>627.03160000000003</v>
      </c>
      <c r="D1307">
        <v>10481527</v>
      </c>
      <c r="E1307">
        <v>3392292</v>
      </c>
    </row>
    <row r="1308" spans="1:5">
      <c r="A1308">
        <v>1303</v>
      </c>
      <c r="B1308" s="11">
        <v>45859.625</v>
      </c>
      <c r="C1308" s="7">
        <v>627.7097</v>
      </c>
      <c r="D1308">
        <v>5294070</v>
      </c>
      <c r="E1308">
        <v>2844900.75</v>
      </c>
    </row>
    <row r="1309" spans="1:5">
      <c r="A1309">
        <v>1304</v>
      </c>
      <c r="B1309" s="11">
        <v>45859.604166666664</v>
      </c>
      <c r="C1309" s="7">
        <v>628.64700000000005</v>
      </c>
      <c r="D1309">
        <v>3082060</v>
      </c>
      <c r="E1309">
        <v>2596364.25</v>
      </c>
    </row>
    <row r="1310" spans="1:5">
      <c r="A1310">
        <v>1305</v>
      </c>
      <c r="B1310" s="11">
        <v>45859.583333333336</v>
      </c>
      <c r="C1310" s="7">
        <v>629.4547</v>
      </c>
      <c r="D1310">
        <v>1654388</v>
      </c>
      <c r="E1310">
        <v>2518161.25</v>
      </c>
    </row>
    <row r="1311" spans="1:5">
      <c r="A1311">
        <v>1306</v>
      </c>
      <c r="B1311" s="11">
        <v>45859.5625</v>
      </c>
      <c r="C1311" s="7">
        <v>629.41</v>
      </c>
      <c r="D1311">
        <v>1388416</v>
      </c>
      <c r="E1311">
        <v>2500448</v>
      </c>
    </row>
    <row r="1312" spans="1:5">
      <c r="A1312">
        <v>1307</v>
      </c>
      <c r="B1312" s="11">
        <v>45859.541666666664</v>
      </c>
      <c r="C1312" s="7">
        <v>629.64430000000004</v>
      </c>
      <c r="D1312">
        <v>1482985</v>
      </c>
      <c r="E1312">
        <v>2543981.5</v>
      </c>
    </row>
    <row r="1313" spans="1:5">
      <c r="A1313">
        <v>1308</v>
      </c>
      <c r="B1313" s="11">
        <v>45859.520833333336</v>
      </c>
      <c r="C1313" s="7">
        <v>629.49469999999997</v>
      </c>
      <c r="D1313">
        <v>1704689</v>
      </c>
      <c r="E1313">
        <v>2616191.25</v>
      </c>
    </row>
    <row r="1314" spans="1:5">
      <c r="A1314">
        <v>1309</v>
      </c>
      <c r="B1314" s="11">
        <v>45859.5</v>
      </c>
      <c r="C1314" s="7">
        <v>629.01099999999997</v>
      </c>
      <c r="D1314">
        <v>2334883</v>
      </c>
      <c r="E1314">
        <v>2691278</v>
      </c>
    </row>
    <row r="1315" spans="1:5">
      <c r="A1315">
        <v>1310</v>
      </c>
      <c r="B1315" s="11">
        <v>45859.479166666664</v>
      </c>
      <c r="C1315" s="7">
        <v>629.41489999999999</v>
      </c>
      <c r="D1315">
        <v>2235714</v>
      </c>
      <c r="E1315">
        <v>2655077.5</v>
      </c>
    </row>
    <row r="1316" spans="1:5">
      <c r="A1316">
        <v>1311</v>
      </c>
      <c r="B1316" s="11">
        <v>45859.458333333336</v>
      </c>
      <c r="C1316" s="7">
        <v>629.54259999999999</v>
      </c>
      <c r="D1316">
        <v>2136648</v>
      </c>
      <c r="E1316">
        <v>2654111.75</v>
      </c>
    </row>
    <row r="1317" spans="1:5">
      <c r="A1317">
        <v>1312</v>
      </c>
      <c r="B1317" s="11">
        <v>45859.4375</v>
      </c>
      <c r="C1317" s="7">
        <v>629.27530000000002</v>
      </c>
      <c r="D1317">
        <v>2914478</v>
      </c>
      <c r="E1317">
        <v>2670870</v>
      </c>
    </row>
    <row r="1318" spans="1:5">
      <c r="A1318">
        <v>1313</v>
      </c>
      <c r="B1318" s="11">
        <v>45859.416666666664</v>
      </c>
      <c r="C1318" s="7">
        <v>629.51459999999997</v>
      </c>
      <c r="D1318">
        <v>3952682</v>
      </c>
      <c r="E1318">
        <v>2754000.75</v>
      </c>
    </row>
    <row r="1319" spans="1:5">
      <c r="A1319">
        <v>1314</v>
      </c>
      <c r="B1319" s="11">
        <v>45859.395833333336</v>
      </c>
      <c r="C1319" s="7">
        <v>629.03599999999994</v>
      </c>
      <c r="D1319">
        <v>4734746</v>
      </c>
      <c r="E1319">
        <v>2802350.75</v>
      </c>
    </row>
    <row r="1320" spans="1:5">
      <c r="A1320">
        <v>1315</v>
      </c>
      <c r="B1320" s="11">
        <v>45856.666666666664</v>
      </c>
      <c r="C1320" s="7">
        <v>625.84479999999996</v>
      </c>
      <c r="D1320">
        <v>0</v>
      </c>
      <c r="E1320">
        <v>2486701</v>
      </c>
    </row>
    <row r="1321" spans="1:5">
      <c r="A1321">
        <v>1316</v>
      </c>
      <c r="B1321" s="11">
        <v>45856.645833333336</v>
      </c>
      <c r="C1321" s="7">
        <v>625.84479999999996</v>
      </c>
      <c r="D1321">
        <v>7487095</v>
      </c>
      <c r="E1321">
        <v>3333959</v>
      </c>
    </row>
    <row r="1322" spans="1:5">
      <c r="A1322">
        <v>1317</v>
      </c>
      <c r="B1322" s="11">
        <v>45856.625</v>
      </c>
      <c r="C1322" s="7">
        <v>625.65530000000001</v>
      </c>
      <c r="D1322">
        <v>2270659</v>
      </c>
      <c r="E1322">
        <v>3053926.25</v>
      </c>
    </row>
    <row r="1323" spans="1:5">
      <c r="A1323">
        <v>1318</v>
      </c>
      <c r="B1323" s="11">
        <v>45856.604166666664</v>
      </c>
      <c r="C1323" s="7">
        <v>625.49580000000003</v>
      </c>
      <c r="D1323">
        <v>1566019</v>
      </c>
      <c r="E1323">
        <v>3056872.25</v>
      </c>
    </row>
    <row r="1324" spans="1:5">
      <c r="A1324">
        <v>1319</v>
      </c>
      <c r="B1324" s="11">
        <v>45856.583333333336</v>
      </c>
      <c r="C1324" s="7">
        <v>625.36609999999996</v>
      </c>
      <c r="D1324">
        <v>1909018</v>
      </c>
      <c r="E1324">
        <v>3123025.5</v>
      </c>
    </row>
    <row r="1325" spans="1:5">
      <c r="A1325">
        <v>1320</v>
      </c>
      <c r="B1325" s="11">
        <v>45856.5625</v>
      </c>
      <c r="C1325" s="7">
        <v>625.36609999999996</v>
      </c>
      <c r="D1325">
        <v>1388687</v>
      </c>
      <c r="E1325">
        <v>3100696.75</v>
      </c>
    </row>
    <row r="1326" spans="1:5">
      <c r="A1326">
        <v>1321</v>
      </c>
      <c r="B1326" s="11">
        <v>45856.541666666664</v>
      </c>
      <c r="C1326" s="7">
        <v>625.22659999999996</v>
      </c>
      <c r="D1326">
        <v>2041421</v>
      </c>
      <c r="E1326">
        <v>3151704.75</v>
      </c>
    </row>
    <row r="1327" spans="1:5">
      <c r="A1327">
        <v>1322</v>
      </c>
      <c r="B1327" s="11">
        <v>45856.520833333336</v>
      </c>
      <c r="C1327" s="7">
        <v>624.93730000000005</v>
      </c>
      <c r="D1327">
        <v>2566128</v>
      </c>
      <c r="E1327">
        <v>3129323.75</v>
      </c>
    </row>
    <row r="1328" spans="1:5">
      <c r="A1328">
        <v>1323</v>
      </c>
      <c r="B1328" s="11">
        <v>45856.5</v>
      </c>
      <c r="C1328" s="7">
        <v>625.19659999999999</v>
      </c>
      <c r="D1328">
        <v>2830991</v>
      </c>
      <c r="E1328">
        <v>3132427.5</v>
      </c>
    </row>
    <row r="1329" spans="1:5">
      <c r="A1329">
        <v>1324</v>
      </c>
      <c r="B1329" s="11">
        <v>45856.479166666664</v>
      </c>
      <c r="C1329" s="7">
        <v>626.36329999999998</v>
      </c>
      <c r="D1329">
        <v>1791878</v>
      </c>
      <c r="E1329">
        <v>3119890.75</v>
      </c>
    </row>
    <row r="1330" spans="1:5">
      <c r="A1330">
        <v>1325</v>
      </c>
      <c r="B1330" s="11">
        <v>45856.458333333336</v>
      </c>
      <c r="C1330" s="7">
        <v>625.89469999999994</v>
      </c>
      <c r="D1330">
        <v>2221227</v>
      </c>
      <c r="E1330">
        <v>3222465.75</v>
      </c>
    </row>
    <row r="1331" spans="1:5">
      <c r="A1331">
        <v>1326</v>
      </c>
      <c r="B1331" s="11">
        <v>45856.4375</v>
      </c>
      <c r="C1331" s="7">
        <v>625.43589999999995</v>
      </c>
      <c r="D1331">
        <v>2388022</v>
      </c>
      <c r="E1331">
        <v>3254454</v>
      </c>
    </row>
    <row r="1332" spans="1:5">
      <c r="A1332">
        <v>1327</v>
      </c>
      <c r="B1332" s="11">
        <v>45856.416666666664</v>
      </c>
      <c r="C1332" s="7">
        <v>625.64530000000002</v>
      </c>
      <c r="D1332">
        <v>4161437</v>
      </c>
      <c r="E1332">
        <v>3316621</v>
      </c>
    </row>
    <row r="1333" spans="1:5">
      <c r="A1333">
        <v>1328</v>
      </c>
      <c r="B1333" s="11">
        <v>45856.395833333336</v>
      </c>
      <c r="C1333" s="7">
        <v>627.50019999999995</v>
      </c>
      <c r="D1333">
        <v>4677932</v>
      </c>
      <c r="E1333">
        <v>3369601</v>
      </c>
    </row>
    <row r="1334" spans="1:5">
      <c r="A1334">
        <v>1329</v>
      </c>
      <c r="B1334" s="11">
        <v>45855.666666666664</v>
      </c>
      <c r="C1334" s="7">
        <v>626.30349999999999</v>
      </c>
      <c r="D1334">
        <v>0</v>
      </c>
      <c r="E1334">
        <v>3057738.75</v>
      </c>
    </row>
    <row r="1335" spans="1:5">
      <c r="A1335">
        <v>1330</v>
      </c>
      <c r="B1335" s="11">
        <v>45855.645833333336</v>
      </c>
      <c r="C1335" s="7">
        <v>626.30349999999999</v>
      </c>
      <c r="D1335">
        <v>12708872</v>
      </c>
      <c r="E1335">
        <v>3540289.75</v>
      </c>
    </row>
    <row r="1336" spans="1:5">
      <c r="A1336">
        <v>1331</v>
      </c>
      <c r="B1336" s="11">
        <v>45855.625</v>
      </c>
      <c r="C1336" s="7">
        <v>626.2337</v>
      </c>
      <c r="D1336">
        <v>3286603</v>
      </c>
      <c r="E1336">
        <v>2860055.75</v>
      </c>
    </row>
    <row r="1337" spans="1:5">
      <c r="A1337">
        <v>1332</v>
      </c>
      <c r="B1337" s="11">
        <v>45855.604166666664</v>
      </c>
      <c r="C1337" s="7">
        <v>626.24369999999999</v>
      </c>
      <c r="D1337">
        <v>2314848</v>
      </c>
      <c r="E1337">
        <v>2799426.5</v>
      </c>
    </row>
    <row r="1338" spans="1:5">
      <c r="A1338">
        <v>1333</v>
      </c>
      <c r="B1338" s="11">
        <v>45855.583333333336</v>
      </c>
      <c r="C1338" s="7">
        <v>626.10410000000002</v>
      </c>
      <c r="D1338">
        <v>2558319</v>
      </c>
      <c r="E1338">
        <v>2778516</v>
      </c>
    </row>
    <row r="1339" spans="1:5">
      <c r="A1339">
        <v>1334</v>
      </c>
      <c r="B1339" s="11">
        <v>45855.5625</v>
      </c>
      <c r="C1339" s="7">
        <v>625.69600000000003</v>
      </c>
      <c r="D1339">
        <v>1574085</v>
      </c>
      <c r="E1339">
        <v>2709392.25</v>
      </c>
    </row>
    <row r="1340" spans="1:5">
      <c r="A1340">
        <v>1335</v>
      </c>
      <c r="B1340" s="11">
        <v>45855.541666666664</v>
      </c>
      <c r="C1340" s="7">
        <v>625.28639999999996</v>
      </c>
      <c r="D1340">
        <v>2153807</v>
      </c>
      <c r="E1340">
        <v>2769416.25</v>
      </c>
    </row>
    <row r="1341" spans="1:5">
      <c r="A1341">
        <v>1336</v>
      </c>
      <c r="B1341" s="11">
        <v>45855.520833333336</v>
      </c>
      <c r="C1341" s="7">
        <v>625.08680000000004</v>
      </c>
      <c r="D1341">
        <v>1705708</v>
      </c>
      <c r="E1341">
        <v>2819984</v>
      </c>
    </row>
    <row r="1342" spans="1:5">
      <c r="A1342">
        <v>1337</v>
      </c>
      <c r="B1342" s="11">
        <v>45855.5</v>
      </c>
      <c r="C1342" s="7">
        <v>625.1069</v>
      </c>
      <c r="D1342">
        <v>2612682</v>
      </c>
      <c r="E1342">
        <v>2991401.5</v>
      </c>
    </row>
    <row r="1343" spans="1:5">
      <c r="A1343">
        <v>1338</v>
      </c>
      <c r="B1343" s="11">
        <v>45855.479166666664</v>
      </c>
      <c r="C1343" s="7">
        <v>625.48080000000004</v>
      </c>
      <c r="D1343">
        <v>2642942</v>
      </c>
      <c r="E1343">
        <v>3800455.25</v>
      </c>
    </row>
    <row r="1344" spans="1:5">
      <c r="A1344">
        <v>1339</v>
      </c>
      <c r="B1344" s="11">
        <v>45855.458333333336</v>
      </c>
      <c r="C1344" s="7">
        <v>624.92729999999995</v>
      </c>
      <c r="D1344">
        <v>3330502</v>
      </c>
      <c r="E1344">
        <v>4482063.5</v>
      </c>
    </row>
    <row r="1345" spans="1:5">
      <c r="A1345">
        <v>1340</v>
      </c>
      <c r="B1345" s="11">
        <v>45855.4375</v>
      </c>
      <c r="C1345" s="7">
        <v>624.09969999999998</v>
      </c>
      <c r="D1345">
        <v>2701052</v>
      </c>
      <c r="E1345">
        <v>4689845</v>
      </c>
    </row>
    <row r="1346" spans="1:5">
      <c r="A1346">
        <v>1341</v>
      </c>
      <c r="B1346" s="11">
        <v>45855.416666666664</v>
      </c>
      <c r="C1346" s="7">
        <v>623.73940000000005</v>
      </c>
      <c r="D1346">
        <v>3320526</v>
      </c>
      <c r="E1346">
        <v>4721832.5</v>
      </c>
    </row>
    <row r="1347" spans="1:5">
      <c r="A1347">
        <v>1342</v>
      </c>
      <c r="B1347" s="11">
        <v>45855.395833333336</v>
      </c>
      <c r="C1347" s="7">
        <v>624.1395</v>
      </c>
      <c r="D1347">
        <v>4956137</v>
      </c>
      <c r="E1347">
        <v>4841077</v>
      </c>
    </row>
    <row r="1348" spans="1:5">
      <c r="A1348">
        <v>1343</v>
      </c>
      <c r="B1348" s="11">
        <v>45854.666666666664</v>
      </c>
      <c r="C1348" s="7">
        <v>622.4941</v>
      </c>
      <c r="D1348">
        <v>0</v>
      </c>
      <c r="E1348">
        <v>4510668</v>
      </c>
    </row>
    <row r="1349" spans="1:5">
      <c r="A1349">
        <v>1344</v>
      </c>
      <c r="B1349" s="11">
        <v>45854.645833333336</v>
      </c>
      <c r="C1349" s="7">
        <v>622.4742</v>
      </c>
      <c r="D1349">
        <v>7238262</v>
      </c>
      <c r="E1349">
        <v>5135160</v>
      </c>
    </row>
    <row r="1350" spans="1:5">
      <c r="A1350">
        <v>1345</v>
      </c>
      <c r="B1350" s="11">
        <v>45854.625</v>
      </c>
      <c r="C1350" s="7">
        <v>622.40440000000001</v>
      </c>
      <c r="D1350">
        <v>2505362</v>
      </c>
      <c r="E1350">
        <v>4934525.5</v>
      </c>
    </row>
    <row r="1351" spans="1:5">
      <c r="A1351">
        <v>1346</v>
      </c>
      <c r="B1351" s="11">
        <v>45854.604166666664</v>
      </c>
      <c r="C1351" s="7">
        <v>622.60379999999998</v>
      </c>
      <c r="D1351">
        <v>2377166</v>
      </c>
      <c r="E1351">
        <v>5028213.5</v>
      </c>
    </row>
    <row r="1352" spans="1:5">
      <c r="A1352">
        <v>1347</v>
      </c>
      <c r="B1352" s="11">
        <v>45854.583333333336</v>
      </c>
      <c r="C1352" s="7">
        <v>621.65639999999996</v>
      </c>
      <c r="D1352">
        <v>2001191</v>
      </c>
      <c r="E1352">
        <v>5027889</v>
      </c>
    </row>
    <row r="1353" spans="1:5">
      <c r="A1353">
        <v>1348</v>
      </c>
      <c r="B1353" s="11">
        <v>45854.5625</v>
      </c>
      <c r="C1353" s="7">
        <v>621.38710000000003</v>
      </c>
      <c r="D1353">
        <v>1521460</v>
      </c>
      <c r="E1353">
        <v>5055544</v>
      </c>
    </row>
    <row r="1354" spans="1:5">
      <c r="A1354">
        <v>1349</v>
      </c>
      <c r="B1354" s="11">
        <v>45854.541666666664</v>
      </c>
      <c r="C1354" s="7">
        <v>621.35730000000001</v>
      </c>
      <c r="D1354">
        <v>2474448</v>
      </c>
      <c r="E1354">
        <v>5171877</v>
      </c>
    </row>
    <row r="1355" spans="1:5">
      <c r="A1355">
        <v>1350</v>
      </c>
      <c r="B1355" s="11">
        <v>45854.520833333336</v>
      </c>
      <c r="C1355" s="7">
        <v>621.37720000000002</v>
      </c>
      <c r="D1355">
        <v>2912321</v>
      </c>
      <c r="E1355">
        <v>5227456</v>
      </c>
    </row>
    <row r="1356" spans="1:5">
      <c r="A1356">
        <v>1351</v>
      </c>
      <c r="B1356" s="11">
        <v>45854.5</v>
      </c>
      <c r="C1356" s="7">
        <v>619.93119999999999</v>
      </c>
      <c r="D1356">
        <v>4276971</v>
      </c>
      <c r="E1356">
        <v>5217692.5</v>
      </c>
    </row>
    <row r="1357" spans="1:5">
      <c r="A1357">
        <v>1352</v>
      </c>
      <c r="B1357" s="11">
        <v>45854.479166666664</v>
      </c>
      <c r="C1357" s="7">
        <v>620.22040000000004</v>
      </c>
      <c r="D1357">
        <v>14748487</v>
      </c>
      <c r="E1357">
        <v>5115450</v>
      </c>
    </row>
    <row r="1358" spans="1:5">
      <c r="A1358">
        <v>1353</v>
      </c>
      <c r="B1358" s="11">
        <v>45854.458333333336</v>
      </c>
      <c r="C1358" s="7">
        <v>619.69179999999994</v>
      </c>
      <c r="D1358">
        <v>12867068</v>
      </c>
      <c r="E1358">
        <v>4397856.5</v>
      </c>
    </row>
    <row r="1359" spans="1:5">
      <c r="A1359">
        <v>1354</v>
      </c>
      <c r="B1359" s="11">
        <v>45854.4375</v>
      </c>
      <c r="C1359" s="7">
        <v>620.50959999999998</v>
      </c>
      <c r="D1359">
        <v>6447225</v>
      </c>
      <c r="E1359">
        <v>3875484.5</v>
      </c>
    </row>
    <row r="1360" spans="1:5">
      <c r="A1360">
        <v>1355</v>
      </c>
      <c r="B1360" s="11">
        <v>45854.416666666664</v>
      </c>
      <c r="C1360" s="7">
        <v>620.76980000000003</v>
      </c>
      <c r="D1360">
        <v>3180866</v>
      </c>
      <c r="E1360">
        <v>3688398</v>
      </c>
    </row>
    <row r="1361" spans="1:5">
      <c r="A1361">
        <v>1356</v>
      </c>
      <c r="B1361" s="11">
        <v>45854.395833333336</v>
      </c>
      <c r="C1361" s="7">
        <v>620.33010000000002</v>
      </c>
      <c r="D1361">
        <v>5109190</v>
      </c>
      <c r="E1361">
        <v>3870335.75</v>
      </c>
    </row>
    <row r="1362" spans="1:5">
      <c r="A1362">
        <v>1357</v>
      </c>
      <c r="B1362" s="11">
        <v>45853.666666666664</v>
      </c>
      <c r="C1362" s="7">
        <v>620.41989999999998</v>
      </c>
      <c r="D1362">
        <v>0</v>
      </c>
      <c r="E1362">
        <v>3529723.25</v>
      </c>
    </row>
    <row r="1363" spans="1:5">
      <c r="A1363">
        <v>1358</v>
      </c>
      <c r="B1363" s="11">
        <v>45853.645833333336</v>
      </c>
      <c r="C1363" s="7">
        <v>620.41989999999998</v>
      </c>
      <c r="D1363">
        <v>9367385</v>
      </c>
      <c r="E1363">
        <v>3997119.5</v>
      </c>
    </row>
    <row r="1364" spans="1:5">
      <c r="A1364">
        <v>1359</v>
      </c>
      <c r="B1364" s="11">
        <v>45853.625</v>
      </c>
      <c r="C1364" s="7">
        <v>621.61659999999995</v>
      </c>
      <c r="D1364">
        <v>4228741</v>
      </c>
      <c r="E1364">
        <v>3550662.75</v>
      </c>
    </row>
    <row r="1365" spans="1:5">
      <c r="A1365">
        <v>1360</v>
      </c>
      <c r="B1365" s="11">
        <v>45853.604166666664</v>
      </c>
      <c r="C1365" s="7">
        <v>621.30740000000003</v>
      </c>
      <c r="D1365">
        <v>3910683</v>
      </c>
      <c r="E1365">
        <v>3375211</v>
      </c>
    </row>
    <row r="1366" spans="1:5">
      <c r="A1366">
        <v>1361</v>
      </c>
      <c r="B1366" s="11">
        <v>45853.583333333336</v>
      </c>
      <c r="C1366" s="7">
        <v>622.88300000000004</v>
      </c>
      <c r="D1366">
        <v>2372297</v>
      </c>
      <c r="E1366">
        <v>3217230.75</v>
      </c>
    </row>
    <row r="1367" spans="1:5">
      <c r="A1367">
        <v>1362</v>
      </c>
      <c r="B1367" s="11">
        <v>45853.5625</v>
      </c>
      <c r="C1367" s="7">
        <v>622.87300000000005</v>
      </c>
      <c r="D1367">
        <v>2416017</v>
      </c>
      <c r="E1367">
        <v>3175683.25</v>
      </c>
    </row>
    <row r="1368" spans="1:5">
      <c r="A1368">
        <v>1363</v>
      </c>
      <c r="B1368" s="11">
        <v>45853.541666666664</v>
      </c>
      <c r="C1368" s="7">
        <v>622.12509999999997</v>
      </c>
      <c r="D1368">
        <v>3266457</v>
      </c>
      <c r="E1368">
        <v>3151499.75</v>
      </c>
    </row>
    <row r="1369" spans="1:5">
      <c r="A1369">
        <v>1364</v>
      </c>
      <c r="B1369" s="11">
        <v>45853.520833333336</v>
      </c>
      <c r="C1369" s="7">
        <v>621.447</v>
      </c>
      <c r="D1369">
        <v>3308130</v>
      </c>
      <c r="E1369">
        <v>3057830.5</v>
      </c>
    </row>
    <row r="1370" spans="1:5">
      <c r="A1370">
        <v>1365</v>
      </c>
      <c r="B1370" s="11">
        <v>45853.5</v>
      </c>
      <c r="C1370" s="7">
        <v>622.53399999999999</v>
      </c>
      <c r="D1370">
        <v>2765867</v>
      </c>
      <c r="E1370">
        <v>2935119.25</v>
      </c>
    </row>
    <row r="1371" spans="1:5">
      <c r="A1371">
        <v>1366</v>
      </c>
      <c r="B1371" s="11">
        <v>45853.479166666664</v>
      </c>
      <c r="C1371" s="7">
        <v>623.13229999999999</v>
      </c>
      <c r="D1371">
        <v>2743339</v>
      </c>
      <c r="E1371">
        <v>2911163.75</v>
      </c>
    </row>
    <row r="1372" spans="1:5">
      <c r="A1372">
        <v>1367</v>
      </c>
      <c r="B1372" s="11">
        <v>45853.458333333336</v>
      </c>
      <c r="C1372" s="7">
        <v>623.39160000000004</v>
      </c>
      <c r="D1372">
        <v>3984586</v>
      </c>
      <c r="E1372">
        <v>2921683.75</v>
      </c>
    </row>
    <row r="1373" spans="1:5">
      <c r="A1373">
        <v>1368</v>
      </c>
      <c r="B1373" s="11">
        <v>45853.4375</v>
      </c>
      <c r="C1373" s="7">
        <v>622.26469999999995</v>
      </c>
      <c r="D1373">
        <v>5031483</v>
      </c>
      <c r="E1373">
        <v>2855653.25</v>
      </c>
    </row>
    <row r="1374" spans="1:5">
      <c r="A1374">
        <v>1369</v>
      </c>
      <c r="B1374" s="11">
        <v>45853.416666666664</v>
      </c>
      <c r="C1374" s="7">
        <v>623.67089999999996</v>
      </c>
      <c r="D1374">
        <v>3640929</v>
      </c>
      <c r="E1374">
        <v>2753298.25</v>
      </c>
    </row>
    <row r="1375" spans="1:5">
      <c r="A1375">
        <v>1370</v>
      </c>
      <c r="B1375" s="11">
        <v>45853.395833333336</v>
      </c>
      <c r="C1375" s="7">
        <v>623.97</v>
      </c>
      <c r="D1375">
        <v>5909934</v>
      </c>
      <c r="E1375">
        <v>2874070.75</v>
      </c>
    </row>
    <row r="1376" spans="1:5">
      <c r="A1376">
        <v>1371</v>
      </c>
      <c r="B1376" s="11">
        <v>45852.666666666664</v>
      </c>
      <c r="C1376" s="7">
        <v>623.08249999999998</v>
      </c>
      <c r="D1376">
        <v>0</v>
      </c>
      <c r="E1376">
        <v>2480075.25</v>
      </c>
    </row>
    <row r="1377" spans="1:5">
      <c r="A1377">
        <v>1372</v>
      </c>
      <c r="B1377" s="11">
        <v>45852.645833333336</v>
      </c>
      <c r="C1377" s="7">
        <v>623.04259999999999</v>
      </c>
      <c r="D1377">
        <v>7010944</v>
      </c>
      <c r="E1377">
        <v>3047379.5</v>
      </c>
    </row>
    <row r="1378" spans="1:5">
      <c r="A1378">
        <v>1373</v>
      </c>
      <c r="B1378" s="11">
        <v>45852.625</v>
      </c>
      <c r="C1378" s="7">
        <v>622.96280000000002</v>
      </c>
      <c r="D1378">
        <v>2670536</v>
      </c>
      <c r="E1378">
        <v>2927919</v>
      </c>
    </row>
    <row r="1379" spans="1:5">
      <c r="A1379">
        <v>1374</v>
      </c>
      <c r="B1379" s="11">
        <v>45852.604166666664</v>
      </c>
      <c r="C1379" s="7">
        <v>623.23209999999995</v>
      </c>
      <c r="D1379">
        <v>1596964</v>
      </c>
      <c r="E1379">
        <v>2930321.75</v>
      </c>
    </row>
    <row r="1380" spans="1:5">
      <c r="A1380">
        <v>1375</v>
      </c>
      <c r="B1380" s="11">
        <v>45852.583333333336</v>
      </c>
      <c r="C1380" s="7">
        <v>623.20209999999997</v>
      </c>
      <c r="D1380">
        <v>1540979</v>
      </c>
      <c r="E1380">
        <v>2979385.25</v>
      </c>
    </row>
    <row r="1381" spans="1:5">
      <c r="A1381">
        <v>1376</v>
      </c>
      <c r="B1381" s="11">
        <v>45852.5625</v>
      </c>
      <c r="C1381" s="7">
        <v>622.94290000000001</v>
      </c>
      <c r="D1381">
        <v>1749082</v>
      </c>
      <c r="E1381">
        <v>3038674.5</v>
      </c>
    </row>
    <row r="1382" spans="1:5">
      <c r="A1382">
        <v>1377</v>
      </c>
      <c r="B1382" s="11">
        <v>45852.541666666664</v>
      </c>
      <c r="C1382" s="7">
        <v>623.0027</v>
      </c>
      <c r="D1382">
        <v>2053266</v>
      </c>
      <c r="E1382">
        <v>3056187</v>
      </c>
    </row>
    <row r="1383" spans="1:5">
      <c r="A1383">
        <v>1378</v>
      </c>
      <c r="B1383" s="11">
        <v>45852.520833333336</v>
      </c>
      <c r="C1383" s="7">
        <v>622.56389999999999</v>
      </c>
      <c r="D1383">
        <v>1861417</v>
      </c>
      <c r="E1383">
        <v>3043517</v>
      </c>
    </row>
    <row r="1384" spans="1:5">
      <c r="A1384">
        <v>1379</v>
      </c>
      <c r="B1384" s="11">
        <v>45852.5</v>
      </c>
      <c r="C1384" s="7">
        <v>622.15499999999997</v>
      </c>
      <c r="D1384">
        <v>1467462</v>
      </c>
      <c r="E1384">
        <v>3072932</v>
      </c>
    </row>
    <row r="1385" spans="1:5">
      <c r="A1385">
        <v>1380</v>
      </c>
      <c r="B1385" s="11">
        <v>45852.479166666664</v>
      </c>
      <c r="C1385" s="7">
        <v>622.21489999999994</v>
      </c>
      <c r="D1385">
        <v>2406534</v>
      </c>
      <c r="E1385">
        <v>3183265.5</v>
      </c>
    </row>
    <row r="1386" spans="1:5">
      <c r="A1386">
        <v>1381</v>
      </c>
      <c r="B1386" s="11">
        <v>45852.458333333336</v>
      </c>
      <c r="C1386" s="7">
        <v>622.42430000000002</v>
      </c>
      <c r="D1386">
        <v>2901142</v>
      </c>
      <c r="E1386">
        <v>3236619.75</v>
      </c>
    </row>
    <row r="1387" spans="1:5">
      <c r="A1387">
        <v>1382</v>
      </c>
      <c r="B1387" s="11">
        <v>45852.4375</v>
      </c>
      <c r="C1387" s="7">
        <v>621.70630000000006</v>
      </c>
      <c r="D1387">
        <v>2994127</v>
      </c>
      <c r="E1387">
        <v>3218222.25</v>
      </c>
    </row>
    <row r="1388" spans="1:5">
      <c r="A1388">
        <v>1383</v>
      </c>
      <c r="B1388" s="11">
        <v>45852.416666666664</v>
      </c>
      <c r="C1388" s="7">
        <v>620.94839999999999</v>
      </c>
      <c r="D1388">
        <v>3496158</v>
      </c>
      <c r="E1388">
        <v>3209743</v>
      </c>
    </row>
    <row r="1389" spans="1:5">
      <c r="A1389">
        <v>1384</v>
      </c>
      <c r="B1389" s="11">
        <v>45852.395833333336</v>
      </c>
      <c r="C1389" s="7">
        <v>620.98829999999998</v>
      </c>
      <c r="D1389">
        <v>5452518</v>
      </c>
      <c r="E1389">
        <v>3336174.25</v>
      </c>
    </row>
    <row r="1390" spans="1:5">
      <c r="A1390">
        <v>1385</v>
      </c>
      <c r="B1390" s="11">
        <v>45849.666666666664</v>
      </c>
      <c r="C1390" s="7">
        <v>621.89580000000001</v>
      </c>
      <c r="D1390">
        <v>0</v>
      </c>
      <c r="E1390">
        <v>2972673</v>
      </c>
    </row>
    <row r="1391" spans="1:5">
      <c r="A1391">
        <v>1386</v>
      </c>
      <c r="B1391" s="11">
        <v>45849.645833333336</v>
      </c>
      <c r="C1391" s="7">
        <v>621.89580000000001</v>
      </c>
      <c r="D1391">
        <v>8509565</v>
      </c>
      <c r="E1391">
        <v>3568373.25</v>
      </c>
    </row>
    <row r="1392" spans="1:5">
      <c r="A1392">
        <v>1387</v>
      </c>
      <c r="B1392" s="11">
        <v>45849.625</v>
      </c>
      <c r="C1392" s="7">
        <v>622.67359999999996</v>
      </c>
      <c r="D1392">
        <v>5219034</v>
      </c>
      <c r="E1392">
        <v>3179916.25</v>
      </c>
    </row>
    <row r="1393" spans="1:5">
      <c r="A1393">
        <v>1388</v>
      </c>
      <c r="B1393" s="11">
        <v>45849.604166666664</v>
      </c>
      <c r="C1393" s="7">
        <v>622.60379999999998</v>
      </c>
      <c r="D1393">
        <v>2706579</v>
      </c>
      <c r="E1393">
        <v>2994072.25</v>
      </c>
    </row>
    <row r="1394" spans="1:5">
      <c r="A1394">
        <v>1389</v>
      </c>
      <c r="B1394" s="11">
        <v>45849.583333333336</v>
      </c>
      <c r="C1394" s="7">
        <v>622.53399999999999</v>
      </c>
      <c r="D1394">
        <v>2332914</v>
      </c>
      <c r="E1394">
        <v>2959184</v>
      </c>
    </row>
    <row r="1395" spans="1:5">
      <c r="A1395">
        <v>1390</v>
      </c>
      <c r="B1395" s="11">
        <v>45849.5625</v>
      </c>
      <c r="C1395" s="7">
        <v>622.73350000000005</v>
      </c>
      <c r="D1395">
        <v>2430320</v>
      </c>
      <c r="E1395">
        <v>2979666.5</v>
      </c>
    </row>
    <row r="1396" spans="1:5">
      <c r="A1396">
        <v>1391</v>
      </c>
      <c r="B1396" s="11">
        <v>45849.541666666664</v>
      </c>
      <c r="C1396" s="7">
        <v>622.70349999999996</v>
      </c>
      <c r="D1396">
        <v>2011768</v>
      </c>
      <c r="E1396">
        <v>2943576</v>
      </c>
    </row>
    <row r="1397" spans="1:5">
      <c r="A1397">
        <v>1392</v>
      </c>
      <c r="B1397" s="11">
        <v>45849.520833333336</v>
      </c>
      <c r="C1397" s="7">
        <v>622.62369999999999</v>
      </c>
      <c r="D1397">
        <v>1863216</v>
      </c>
      <c r="E1397">
        <v>2913561.25</v>
      </c>
    </row>
    <row r="1398" spans="1:5">
      <c r="A1398">
        <v>1393</v>
      </c>
      <c r="B1398" s="11">
        <v>45849.5</v>
      </c>
      <c r="C1398" s="7">
        <v>622.2097</v>
      </c>
      <c r="D1398">
        <v>2302642</v>
      </c>
      <c r="E1398">
        <v>2939717.5</v>
      </c>
    </row>
    <row r="1399" spans="1:5">
      <c r="A1399">
        <v>1394</v>
      </c>
      <c r="B1399" s="11">
        <v>45849.479166666664</v>
      </c>
      <c r="C1399" s="7">
        <v>622.0453</v>
      </c>
      <c r="D1399">
        <v>3122467</v>
      </c>
      <c r="E1399">
        <v>2898976.25</v>
      </c>
    </row>
    <row r="1400" spans="1:5">
      <c r="A1400">
        <v>1395</v>
      </c>
      <c r="B1400" s="11">
        <v>45849.458333333336</v>
      </c>
      <c r="C1400" s="7">
        <v>621.62649999999996</v>
      </c>
      <c r="D1400">
        <v>3206846</v>
      </c>
      <c r="E1400">
        <v>2875222.25</v>
      </c>
    </row>
    <row r="1401" spans="1:5">
      <c r="A1401">
        <v>1396</v>
      </c>
      <c r="B1401" s="11">
        <v>45849.4375</v>
      </c>
      <c r="C1401" s="7">
        <v>622.12509999999997</v>
      </c>
      <c r="D1401">
        <v>2625178</v>
      </c>
      <c r="E1401">
        <v>2877387.5</v>
      </c>
    </row>
    <row r="1402" spans="1:5">
      <c r="A1402">
        <v>1397</v>
      </c>
      <c r="B1402" s="11">
        <v>45849.416666666664</v>
      </c>
      <c r="C1402" s="7">
        <v>622.29470000000003</v>
      </c>
      <c r="D1402">
        <v>2866941</v>
      </c>
      <c r="E1402">
        <v>2981048.75</v>
      </c>
    </row>
    <row r="1403" spans="1:5">
      <c r="A1403">
        <v>1398</v>
      </c>
      <c r="B1403" s="11">
        <v>45849.395833333336</v>
      </c>
      <c r="C1403" s="7">
        <v>621.46699999999998</v>
      </c>
      <c r="D1403">
        <v>5392624</v>
      </c>
      <c r="E1403">
        <v>3097790.25</v>
      </c>
    </row>
    <row r="1404" spans="1:5">
      <c r="A1404">
        <v>1399</v>
      </c>
      <c r="B1404" s="11">
        <v>45848.666666666664</v>
      </c>
      <c r="C1404" s="7">
        <v>624.08969999999999</v>
      </c>
      <c r="D1404">
        <v>0</v>
      </c>
      <c r="E1404">
        <v>2738282</v>
      </c>
    </row>
    <row r="1405" spans="1:5">
      <c r="A1405">
        <v>1400</v>
      </c>
      <c r="B1405" s="11">
        <v>45848.645833333336</v>
      </c>
      <c r="C1405" s="7">
        <v>624.08969999999999</v>
      </c>
      <c r="D1405">
        <v>8935504</v>
      </c>
      <c r="E1405">
        <v>3312171.5</v>
      </c>
    </row>
    <row r="1406" spans="1:5">
      <c r="A1406">
        <v>1401</v>
      </c>
      <c r="B1406" s="11">
        <v>45848.625</v>
      </c>
      <c r="C1406" s="7">
        <v>624.48850000000004</v>
      </c>
      <c r="D1406">
        <v>2682709</v>
      </c>
      <c r="E1406">
        <v>2964514.25</v>
      </c>
    </row>
    <row r="1407" spans="1:5">
      <c r="A1407">
        <v>1402</v>
      </c>
      <c r="B1407" s="11">
        <v>45848.604166666664</v>
      </c>
      <c r="C1407" s="7">
        <v>624.51850000000002</v>
      </c>
      <c r="D1407">
        <v>2431375</v>
      </c>
      <c r="E1407">
        <v>2944049.75</v>
      </c>
    </row>
    <row r="1408" spans="1:5">
      <c r="A1408">
        <v>1403</v>
      </c>
      <c r="B1408" s="11">
        <v>45848.583333333336</v>
      </c>
      <c r="C1408" s="7">
        <v>624.87750000000005</v>
      </c>
      <c r="D1408">
        <v>2183255</v>
      </c>
      <c r="E1408">
        <v>2982862.75</v>
      </c>
    </row>
    <row r="1409" spans="1:5">
      <c r="A1409">
        <v>1404</v>
      </c>
      <c r="B1409" s="11">
        <v>45848.5625</v>
      </c>
      <c r="C1409" s="7">
        <v>624.8528</v>
      </c>
      <c r="D1409">
        <v>2640153</v>
      </c>
      <c r="E1409">
        <v>2997186.5</v>
      </c>
    </row>
    <row r="1410" spans="1:5">
      <c r="A1410">
        <v>1405</v>
      </c>
      <c r="B1410" s="11">
        <v>45848.541666666664</v>
      </c>
      <c r="C1410" s="7">
        <v>624.35889999999995</v>
      </c>
      <c r="D1410">
        <v>1888962</v>
      </c>
      <c r="E1410">
        <v>2967134.25</v>
      </c>
    </row>
    <row r="1411" spans="1:5">
      <c r="A1411">
        <v>1406</v>
      </c>
      <c r="B1411" s="11">
        <v>45848.520833333336</v>
      </c>
      <c r="C1411" s="7">
        <v>623.80050000000006</v>
      </c>
      <c r="D1411">
        <v>1561545</v>
      </c>
      <c r="E1411">
        <v>2943749.25</v>
      </c>
    </row>
    <row r="1412" spans="1:5">
      <c r="A1412">
        <v>1407</v>
      </c>
      <c r="B1412" s="11">
        <v>45848.5</v>
      </c>
      <c r="C1412" s="7">
        <v>623.84040000000005</v>
      </c>
      <c r="D1412">
        <v>2255563</v>
      </c>
      <c r="E1412">
        <v>2982434.75</v>
      </c>
    </row>
    <row r="1413" spans="1:5">
      <c r="A1413">
        <v>1408</v>
      </c>
      <c r="B1413" s="11">
        <v>45848.479166666664</v>
      </c>
      <c r="C1413" s="7">
        <v>623.96</v>
      </c>
      <c r="D1413">
        <v>1691523</v>
      </c>
      <c r="E1413">
        <v>3027697.5</v>
      </c>
    </row>
    <row r="1414" spans="1:5">
      <c r="A1414">
        <v>1409</v>
      </c>
      <c r="B1414" s="11">
        <v>45848.458333333336</v>
      </c>
      <c r="C1414" s="7">
        <v>623.78060000000005</v>
      </c>
      <c r="D1414">
        <v>2766155</v>
      </c>
      <c r="E1414">
        <v>3167674.75</v>
      </c>
    </row>
    <row r="1415" spans="1:5">
      <c r="A1415">
        <v>1410</v>
      </c>
      <c r="B1415" s="11">
        <v>45848.4375</v>
      </c>
      <c r="C1415" s="7">
        <v>623.13729999999998</v>
      </c>
      <c r="D1415">
        <v>3239324</v>
      </c>
      <c r="E1415">
        <v>3393330</v>
      </c>
    </row>
    <row r="1416" spans="1:5">
      <c r="A1416">
        <v>1411</v>
      </c>
      <c r="B1416" s="11">
        <v>45848.416666666664</v>
      </c>
      <c r="C1416" s="7">
        <v>622.02539999999999</v>
      </c>
      <c r="D1416">
        <v>4180099</v>
      </c>
      <c r="E1416">
        <v>3397512.75</v>
      </c>
    </row>
    <row r="1417" spans="1:5">
      <c r="A1417">
        <v>1412</v>
      </c>
      <c r="B1417" s="11">
        <v>45848.395833333336</v>
      </c>
      <c r="C1417" s="7">
        <v>621.63649999999996</v>
      </c>
      <c r="D1417">
        <v>4618062</v>
      </c>
      <c r="E1417">
        <v>3485116.25</v>
      </c>
    </row>
    <row r="1418" spans="1:5">
      <c r="A1418">
        <v>1413</v>
      </c>
      <c r="B1418" s="11">
        <v>45847.666666666664</v>
      </c>
      <c r="C1418" s="7">
        <v>622.33450000000005</v>
      </c>
      <c r="D1418">
        <v>0</v>
      </c>
      <c r="E1418">
        <v>3177245.5</v>
      </c>
    </row>
    <row r="1419" spans="1:5">
      <c r="A1419">
        <v>1414</v>
      </c>
      <c r="B1419" s="11">
        <v>45847.645833333336</v>
      </c>
      <c r="C1419" s="7">
        <v>622.33450000000005</v>
      </c>
      <c r="D1419">
        <v>8608344</v>
      </c>
      <c r="E1419">
        <v>3765064.25</v>
      </c>
    </row>
    <row r="1420" spans="1:5">
      <c r="A1420">
        <v>1415</v>
      </c>
      <c r="B1420" s="11">
        <v>45847.625</v>
      </c>
      <c r="C1420" s="7">
        <v>621.86580000000004</v>
      </c>
      <c r="D1420">
        <v>3720645</v>
      </c>
      <c r="E1420">
        <v>3372700.5</v>
      </c>
    </row>
    <row r="1421" spans="1:5">
      <c r="A1421">
        <v>1416</v>
      </c>
      <c r="B1421" s="11">
        <v>45847.604166666664</v>
      </c>
      <c r="C1421" s="7">
        <v>621.68629999999996</v>
      </c>
      <c r="D1421">
        <v>2375741</v>
      </c>
      <c r="E1421">
        <v>3260124.75</v>
      </c>
    </row>
    <row r="1422" spans="1:5">
      <c r="A1422">
        <v>1417</v>
      </c>
      <c r="B1422" s="11">
        <v>45847.583333333336</v>
      </c>
      <c r="C1422" s="7">
        <v>621.14779999999996</v>
      </c>
      <c r="D1422">
        <v>3013570</v>
      </c>
      <c r="E1422">
        <v>3235446.5</v>
      </c>
    </row>
    <row r="1423" spans="1:5">
      <c r="A1423">
        <v>1418</v>
      </c>
      <c r="B1423" s="11">
        <v>45847.5625</v>
      </c>
      <c r="C1423" s="7">
        <v>620.70899999999995</v>
      </c>
      <c r="D1423">
        <v>2398111</v>
      </c>
      <c r="E1423">
        <v>3159258.75</v>
      </c>
    </row>
    <row r="1424" spans="1:5">
      <c r="A1424">
        <v>1419</v>
      </c>
      <c r="B1424" s="11">
        <v>45847.541666666664</v>
      </c>
      <c r="C1424" s="7">
        <v>620.59939999999995</v>
      </c>
      <c r="D1424">
        <v>2189369</v>
      </c>
      <c r="E1424">
        <v>3162595.75</v>
      </c>
    </row>
    <row r="1425" spans="1:5">
      <c r="A1425">
        <v>1420</v>
      </c>
      <c r="B1425" s="11">
        <v>45847.520833333336</v>
      </c>
      <c r="C1425" s="7">
        <v>620.30020000000002</v>
      </c>
      <c r="D1425">
        <v>1538188</v>
      </c>
      <c r="E1425">
        <v>3262653</v>
      </c>
    </row>
    <row r="1426" spans="1:5">
      <c r="A1426">
        <v>1421</v>
      </c>
      <c r="B1426" s="11">
        <v>45847.5</v>
      </c>
      <c r="C1426" s="7">
        <v>620.10080000000005</v>
      </c>
      <c r="D1426">
        <v>2141828</v>
      </c>
      <c r="E1426">
        <v>3353965</v>
      </c>
    </row>
    <row r="1427" spans="1:5">
      <c r="A1427">
        <v>1422</v>
      </c>
      <c r="B1427" s="11">
        <v>45847.479166666664</v>
      </c>
      <c r="C1427" s="7">
        <v>620.21040000000005</v>
      </c>
      <c r="D1427">
        <v>2934503</v>
      </c>
      <c r="E1427">
        <v>3346426</v>
      </c>
    </row>
    <row r="1428" spans="1:5">
      <c r="A1428">
        <v>1423</v>
      </c>
      <c r="B1428" s="11">
        <v>45847.458333333336</v>
      </c>
      <c r="C1428" s="7">
        <v>620.40989999999999</v>
      </c>
      <c r="D1428">
        <v>3791184</v>
      </c>
      <c r="E1428">
        <v>3332217.5</v>
      </c>
    </row>
    <row r="1429" spans="1:5">
      <c r="A1429">
        <v>1424</v>
      </c>
      <c r="B1429" s="11">
        <v>45847.4375</v>
      </c>
      <c r="C1429" s="7">
        <v>619.62210000000005</v>
      </c>
      <c r="D1429">
        <v>6150981</v>
      </c>
      <c r="E1429">
        <v>3383316.5</v>
      </c>
    </row>
    <row r="1430" spans="1:5">
      <c r="A1430">
        <v>1425</v>
      </c>
      <c r="B1430" s="11">
        <v>45847.416666666664</v>
      </c>
      <c r="C1430" s="7">
        <v>621.61159999999995</v>
      </c>
      <c r="D1430">
        <v>3302068</v>
      </c>
      <c r="E1430">
        <v>3180383</v>
      </c>
    </row>
    <row r="1431" spans="1:5">
      <c r="A1431">
        <v>1426</v>
      </c>
      <c r="B1431" s="11">
        <v>45847.395833333336</v>
      </c>
      <c r="C1431" s="7">
        <v>622.51400000000001</v>
      </c>
      <c r="D1431">
        <v>5494149</v>
      </c>
      <c r="E1431">
        <v>3220709</v>
      </c>
    </row>
    <row r="1432" spans="1:5">
      <c r="A1432">
        <v>1427</v>
      </c>
      <c r="B1432" s="11">
        <v>45846.666666666664</v>
      </c>
      <c r="C1432" s="7">
        <v>618.62490000000003</v>
      </c>
      <c r="D1432">
        <v>0</v>
      </c>
      <c r="E1432">
        <v>2854432.25</v>
      </c>
    </row>
    <row r="1433" spans="1:5">
      <c r="A1433">
        <v>1428</v>
      </c>
      <c r="B1433" s="11">
        <v>45846.645833333336</v>
      </c>
      <c r="C1433" s="7">
        <v>618.61490000000003</v>
      </c>
      <c r="D1433">
        <v>8817281</v>
      </c>
      <c r="E1433">
        <v>3613922</v>
      </c>
    </row>
    <row r="1434" spans="1:5">
      <c r="A1434">
        <v>1429</v>
      </c>
      <c r="B1434" s="11">
        <v>45846.625</v>
      </c>
      <c r="C1434" s="7">
        <v>618.76980000000003</v>
      </c>
      <c r="D1434">
        <v>2722889</v>
      </c>
      <c r="E1434">
        <v>3257729</v>
      </c>
    </row>
    <row r="1435" spans="1:5">
      <c r="A1435">
        <v>1430</v>
      </c>
      <c r="B1435" s="11">
        <v>45846.604166666664</v>
      </c>
      <c r="C1435" s="7">
        <v>618.75450000000001</v>
      </c>
      <c r="D1435">
        <v>2032011</v>
      </c>
      <c r="E1435">
        <v>3299547.5</v>
      </c>
    </row>
    <row r="1436" spans="1:5">
      <c r="A1436">
        <v>1431</v>
      </c>
      <c r="B1436" s="11">
        <v>45846.583333333336</v>
      </c>
      <c r="C1436" s="7">
        <v>618.95389999999998</v>
      </c>
      <c r="D1436">
        <v>2005566</v>
      </c>
      <c r="E1436">
        <v>3445376</v>
      </c>
    </row>
    <row r="1437" spans="1:5">
      <c r="A1437">
        <v>1432</v>
      </c>
      <c r="B1437" s="11">
        <v>45846.5625</v>
      </c>
      <c r="C1437" s="7">
        <v>619.40260000000001</v>
      </c>
      <c r="D1437">
        <v>1870754</v>
      </c>
      <c r="E1437">
        <v>3570010.75</v>
      </c>
    </row>
    <row r="1438" spans="1:5">
      <c r="A1438">
        <v>1433</v>
      </c>
      <c r="B1438" s="11">
        <v>45846.541666666664</v>
      </c>
      <c r="C1438" s="7">
        <v>619.13340000000005</v>
      </c>
      <c r="D1438">
        <v>2448164</v>
      </c>
      <c r="E1438">
        <v>3601426</v>
      </c>
    </row>
    <row r="1439" spans="1:5">
      <c r="A1439">
        <v>1434</v>
      </c>
      <c r="B1439" s="11">
        <v>45846.520833333336</v>
      </c>
      <c r="C1439" s="7">
        <v>619.08360000000005</v>
      </c>
      <c r="D1439">
        <v>3690230</v>
      </c>
      <c r="E1439">
        <v>3684144.75</v>
      </c>
    </row>
    <row r="1440" spans="1:5">
      <c r="A1440">
        <v>1435</v>
      </c>
      <c r="B1440" s="11">
        <v>45846.5</v>
      </c>
      <c r="C1440" s="7">
        <v>620.18050000000005</v>
      </c>
      <c r="D1440">
        <v>2907866</v>
      </c>
      <c r="E1440">
        <v>3910947.5</v>
      </c>
    </row>
    <row r="1441" spans="1:5">
      <c r="A1441">
        <v>1436</v>
      </c>
      <c r="B1441" s="11">
        <v>45846.479166666664</v>
      </c>
      <c r="C1441" s="7">
        <v>619.37279999999998</v>
      </c>
      <c r="D1441">
        <v>2028743</v>
      </c>
      <c r="E1441">
        <v>3867840.5</v>
      </c>
    </row>
    <row r="1442" spans="1:5">
      <c r="A1442">
        <v>1437</v>
      </c>
      <c r="B1442" s="11">
        <v>45846.458333333336</v>
      </c>
      <c r="C1442" s="7">
        <v>618.28579999999999</v>
      </c>
      <c r="D1442">
        <v>2721378</v>
      </c>
      <c r="E1442">
        <v>3893025.75</v>
      </c>
    </row>
    <row r="1443" spans="1:5">
      <c r="A1443">
        <v>1438</v>
      </c>
      <c r="B1443" s="11">
        <v>45846.4375</v>
      </c>
      <c r="C1443" s="7">
        <v>618.73299999999995</v>
      </c>
      <c r="D1443">
        <v>4557668</v>
      </c>
      <c r="E1443">
        <v>3907267.75</v>
      </c>
    </row>
    <row r="1444" spans="1:5">
      <c r="A1444">
        <v>1439</v>
      </c>
      <c r="B1444" s="11">
        <v>45846.416666666664</v>
      </c>
      <c r="C1444" s="7">
        <v>618.3057</v>
      </c>
      <c r="D1444">
        <v>3106979</v>
      </c>
      <c r="E1444">
        <v>3767730.5</v>
      </c>
    </row>
    <row r="1445" spans="1:5">
      <c r="A1445">
        <v>1440</v>
      </c>
      <c r="B1445" s="11">
        <v>45846.395833333336</v>
      </c>
      <c r="C1445" s="7">
        <v>618.94389999999999</v>
      </c>
      <c r="D1445">
        <v>3906956</v>
      </c>
      <c r="E1445">
        <v>3822679.25</v>
      </c>
    </row>
    <row r="1446" spans="1:5">
      <c r="A1446">
        <v>1441</v>
      </c>
      <c r="B1446" s="11">
        <v>45845.666666666664</v>
      </c>
      <c r="C1446" s="7">
        <v>618.96389999999997</v>
      </c>
      <c r="D1446">
        <v>0</v>
      </c>
      <c r="E1446">
        <v>3562215.5</v>
      </c>
    </row>
    <row r="1447" spans="1:5">
      <c r="A1447">
        <v>1442</v>
      </c>
      <c r="B1447" s="11">
        <v>45845.645833333336</v>
      </c>
      <c r="C1447" s="7">
        <v>618.96389999999997</v>
      </c>
      <c r="D1447">
        <v>11392345</v>
      </c>
      <c r="E1447">
        <v>3562215.5</v>
      </c>
    </row>
    <row r="1448" spans="1:5">
      <c r="A1448">
        <v>1443</v>
      </c>
      <c r="B1448" s="11">
        <v>45845.625</v>
      </c>
      <c r="C1448" s="7">
        <v>617.7473</v>
      </c>
      <c r="D1448">
        <v>3474387</v>
      </c>
      <c r="E1448">
        <v>2802725.75</v>
      </c>
    </row>
    <row r="1449" spans="1:5">
      <c r="A1449">
        <v>1444</v>
      </c>
      <c r="B1449" s="11">
        <v>45845.604166666664</v>
      </c>
      <c r="C1449" s="7">
        <v>618.4402</v>
      </c>
      <c r="D1449">
        <v>3350164</v>
      </c>
      <c r="E1449">
        <v>2571100</v>
      </c>
    </row>
    <row r="1450" spans="1:5">
      <c r="A1450">
        <v>1445</v>
      </c>
      <c r="B1450" s="11">
        <v>45845.583333333336</v>
      </c>
      <c r="C1450" s="7">
        <v>616.26139999999998</v>
      </c>
      <c r="D1450">
        <v>4219440</v>
      </c>
      <c r="E1450">
        <v>2942672</v>
      </c>
    </row>
    <row r="1451" spans="1:5">
      <c r="A1451">
        <v>1446</v>
      </c>
      <c r="B1451" s="11">
        <v>45845.5625</v>
      </c>
      <c r="C1451" s="7">
        <v>618.31569999999999</v>
      </c>
      <c r="D1451">
        <v>3875088</v>
      </c>
      <c r="E1451">
        <v>2889792.75</v>
      </c>
    </row>
    <row r="1452" spans="1:5">
      <c r="A1452">
        <v>1447</v>
      </c>
      <c r="B1452" s="11">
        <v>45845.541666666664</v>
      </c>
      <c r="C1452" s="7">
        <v>618.45029999999997</v>
      </c>
      <c r="D1452">
        <v>2341981</v>
      </c>
      <c r="E1452">
        <v>2841194.75</v>
      </c>
    </row>
    <row r="1453" spans="1:5">
      <c r="A1453">
        <v>1448</v>
      </c>
      <c r="B1453" s="11">
        <v>45845.520833333336</v>
      </c>
      <c r="C1453" s="7">
        <v>618.08130000000006</v>
      </c>
      <c r="D1453">
        <v>3688948</v>
      </c>
      <c r="E1453">
        <v>2883877.5</v>
      </c>
    </row>
    <row r="1454" spans="1:5">
      <c r="A1454">
        <v>1449</v>
      </c>
      <c r="B1454" s="11">
        <v>45845.5</v>
      </c>
      <c r="C1454" s="7">
        <v>618.86419999999998</v>
      </c>
      <c r="D1454">
        <v>7092271</v>
      </c>
      <c r="E1454">
        <v>2832252.75</v>
      </c>
    </row>
    <row r="1455" spans="1:5">
      <c r="A1455">
        <v>1450</v>
      </c>
      <c r="B1455" s="11">
        <v>45845.479166666664</v>
      </c>
      <c r="C1455" s="7">
        <v>620.03089999999997</v>
      </c>
      <c r="D1455">
        <v>2261258</v>
      </c>
      <c r="E1455">
        <v>2637365.75</v>
      </c>
    </row>
    <row r="1456" spans="1:5">
      <c r="A1456">
        <v>1451</v>
      </c>
      <c r="B1456" s="11">
        <v>45845.458333333336</v>
      </c>
      <c r="C1456" s="7">
        <v>620.32010000000002</v>
      </c>
      <c r="D1456">
        <v>2406522</v>
      </c>
      <c r="E1456">
        <v>2920785.25</v>
      </c>
    </row>
    <row r="1457" spans="1:5">
      <c r="A1457">
        <v>1452</v>
      </c>
      <c r="B1457" s="11">
        <v>45845.4375</v>
      </c>
      <c r="C1457" s="7">
        <v>620.37990000000002</v>
      </c>
      <c r="D1457">
        <v>2935008</v>
      </c>
      <c r="E1457">
        <v>2760350.25</v>
      </c>
    </row>
    <row r="1458" spans="1:5">
      <c r="A1458">
        <v>1453</v>
      </c>
      <c r="B1458" s="11">
        <v>45845.416666666664</v>
      </c>
      <c r="C1458" s="7">
        <v>621.31730000000005</v>
      </c>
      <c r="D1458">
        <v>2464612</v>
      </c>
      <c r="E1458">
        <v>3131958.75</v>
      </c>
    </row>
    <row r="1459" spans="1:5">
      <c r="A1459">
        <v>1454</v>
      </c>
      <c r="B1459" s="11">
        <v>45845.395833333336</v>
      </c>
      <c r="C1459" s="7">
        <v>621.87580000000003</v>
      </c>
      <c r="D1459">
        <v>3931208</v>
      </c>
      <c r="E1459">
        <v>3167413.75</v>
      </c>
    </row>
    <row r="1460" spans="1:5">
      <c r="A1460">
        <v>1455</v>
      </c>
      <c r="B1460" s="11">
        <v>45841.645833333336</v>
      </c>
      <c r="C1460" s="7">
        <v>623.61099999999999</v>
      </c>
      <c r="D1460">
        <v>0</v>
      </c>
      <c r="E1460">
        <v>3067191.25</v>
      </c>
    </row>
    <row r="1461" spans="1:5">
      <c r="A1461">
        <v>1456</v>
      </c>
      <c r="B1461" s="11">
        <v>45841.625</v>
      </c>
      <c r="C1461" s="7">
        <v>623.61099999999999</v>
      </c>
      <c r="D1461">
        <v>0</v>
      </c>
      <c r="E1461">
        <v>3217163.75</v>
      </c>
    </row>
    <row r="1462" spans="1:5">
      <c r="A1462">
        <v>1457</v>
      </c>
      <c r="B1462" s="11">
        <v>45841.583333333336</v>
      </c>
      <c r="C1462" s="7">
        <v>623.61099999999999</v>
      </c>
      <c r="D1462">
        <v>0</v>
      </c>
      <c r="E1462">
        <v>3331671.5</v>
      </c>
    </row>
    <row r="1463" spans="1:5">
      <c r="A1463">
        <v>1458</v>
      </c>
      <c r="B1463" s="11">
        <v>45841.541666666664</v>
      </c>
      <c r="C1463" s="7">
        <v>623.61099999999999</v>
      </c>
      <c r="D1463">
        <v>0</v>
      </c>
      <c r="E1463">
        <v>3454130.25</v>
      </c>
    </row>
    <row r="1464" spans="1:5">
      <c r="A1464">
        <v>1459</v>
      </c>
      <c r="B1464" s="11">
        <v>45841.520833333336</v>
      </c>
      <c r="C1464" s="7">
        <v>623.61099999999999</v>
      </c>
      <c r="D1464">
        <v>8923745</v>
      </c>
      <c r="E1464">
        <v>3591849.25</v>
      </c>
    </row>
    <row r="1465" spans="1:5">
      <c r="A1465">
        <v>1460</v>
      </c>
      <c r="B1465" s="11">
        <v>45841.5</v>
      </c>
      <c r="C1465" s="7">
        <v>624.00490000000002</v>
      </c>
      <c r="D1465">
        <v>3426249</v>
      </c>
      <c r="E1465">
        <v>3128830.25</v>
      </c>
    </row>
    <row r="1466" spans="1:5">
      <c r="A1466">
        <v>1461</v>
      </c>
      <c r="B1466" s="11">
        <v>45841.479166666664</v>
      </c>
      <c r="C1466" s="7">
        <v>624.16449999999998</v>
      </c>
      <c r="D1466">
        <v>3146120</v>
      </c>
      <c r="E1466">
        <v>3068539</v>
      </c>
    </row>
    <row r="1467" spans="1:5">
      <c r="A1467">
        <v>1462</v>
      </c>
      <c r="B1467" s="11">
        <v>45841.458333333336</v>
      </c>
      <c r="C1467" s="7">
        <v>623.66089999999997</v>
      </c>
      <c r="D1467">
        <v>2982223</v>
      </c>
      <c r="E1467">
        <v>3032500.75</v>
      </c>
    </row>
    <row r="1468" spans="1:5">
      <c r="A1468">
        <v>1463</v>
      </c>
      <c r="B1468" s="11">
        <v>45841.4375</v>
      </c>
      <c r="C1468" s="7">
        <v>623.5711</v>
      </c>
      <c r="D1468">
        <v>2914576</v>
      </c>
      <c r="E1468">
        <v>3119549.5</v>
      </c>
    </row>
    <row r="1469" spans="1:5">
      <c r="A1469">
        <v>1464</v>
      </c>
      <c r="B1469" s="11">
        <v>45841.416666666664</v>
      </c>
      <c r="C1469" s="7">
        <v>623.26199999999994</v>
      </c>
      <c r="D1469">
        <v>4168965</v>
      </c>
      <c r="E1469">
        <v>3206427.5</v>
      </c>
    </row>
    <row r="1470" spans="1:5">
      <c r="A1470">
        <v>1465</v>
      </c>
      <c r="B1470" s="11">
        <v>45841.395833333336</v>
      </c>
      <c r="C1470" s="7">
        <v>622.51400000000001</v>
      </c>
      <c r="D1470">
        <v>6512549</v>
      </c>
      <c r="E1470">
        <v>3213681.5</v>
      </c>
    </row>
    <row r="1471" spans="1:5">
      <c r="A1471">
        <v>1466</v>
      </c>
      <c r="B1471" s="11">
        <v>45840.666666666664</v>
      </c>
      <c r="C1471" s="7">
        <v>618.7346</v>
      </c>
      <c r="D1471">
        <v>0</v>
      </c>
      <c r="E1471">
        <v>2779511.5</v>
      </c>
    </row>
    <row r="1472" spans="1:5">
      <c r="A1472">
        <v>1467</v>
      </c>
      <c r="B1472" s="11">
        <v>45840.645833333336</v>
      </c>
      <c r="C1472" s="7">
        <v>618.7346</v>
      </c>
      <c r="D1472">
        <v>8509136</v>
      </c>
      <c r="E1472">
        <v>3400866.5</v>
      </c>
    </row>
    <row r="1473" spans="1:5">
      <c r="A1473">
        <v>1468</v>
      </c>
      <c r="B1473" s="11">
        <v>45840.625</v>
      </c>
      <c r="C1473" s="7">
        <v>618.01649999999995</v>
      </c>
      <c r="D1473">
        <v>2996437</v>
      </c>
      <c r="E1473">
        <v>3195209.75</v>
      </c>
    </row>
    <row r="1474" spans="1:5">
      <c r="A1474">
        <v>1469</v>
      </c>
      <c r="B1474" s="11">
        <v>45840.604166666664</v>
      </c>
      <c r="C1474" s="7">
        <v>618.13400000000001</v>
      </c>
      <c r="D1474">
        <v>2427868</v>
      </c>
      <c r="E1474">
        <v>3140808.5</v>
      </c>
    </row>
    <row r="1475" spans="1:5">
      <c r="A1475">
        <v>1470</v>
      </c>
      <c r="B1475" s="11">
        <v>45840.583333333336</v>
      </c>
      <c r="C1475" s="7">
        <v>617.87699999999995</v>
      </c>
      <c r="D1475">
        <v>2249588</v>
      </c>
      <c r="E1475">
        <v>3163216.25</v>
      </c>
    </row>
    <row r="1476" spans="1:5">
      <c r="A1476">
        <v>1471</v>
      </c>
      <c r="B1476" s="11">
        <v>45840.5625</v>
      </c>
      <c r="C1476" s="7">
        <v>617.7373</v>
      </c>
      <c r="D1476">
        <v>1717617</v>
      </c>
      <c r="E1476">
        <v>3156490</v>
      </c>
    </row>
    <row r="1477" spans="1:5">
      <c r="A1477">
        <v>1472</v>
      </c>
      <c r="B1477" s="11">
        <v>45840.541666666664</v>
      </c>
      <c r="C1477" s="7">
        <v>617.75229999999999</v>
      </c>
      <c r="D1477">
        <v>1836882</v>
      </c>
      <c r="E1477">
        <v>3199375</v>
      </c>
    </row>
    <row r="1478" spans="1:5">
      <c r="A1478">
        <v>1473</v>
      </c>
      <c r="B1478" s="11">
        <v>45840.520833333336</v>
      </c>
      <c r="C1478" s="7">
        <v>617.83540000000005</v>
      </c>
      <c r="D1478">
        <v>2065785</v>
      </c>
      <c r="E1478">
        <v>3228731.75</v>
      </c>
    </row>
    <row r="1479" spans="1:5">
      <c r="A1479">
        <v>1474</v>
      </c>
      <c r="B1479" s="11">
        <v>45840.5</v>
      </c>
      <c r="C1479" s="7">
        <v>617.42819999999995</v>
      </c>
      <c r="D1479">
        <v>1978457</v>
      </c>
      <c r="E1479">
        <v>3306899.5</v>
      </c>
    </row>
    <row r="1480" spans="1:5">
      <c r="A1480">
        <v>1475</v>
      </c>
      <c r="B1480" s="11">
        <v>45840.479166666664</v>
      </c>
      <c r="C1480" s="7">
        <v>617.55280000000005</v>
      </c>
      <c r="D1480">
        <v>2521881</v>
      </c>
      <c r="E1480">
        <v>3349183</v>
      </c>
    </row>
    <row r="1481" spans="1:5">
      <c r="A1481">
        <v>1476</v>
      </c>
      <c r="B1481" s="11">
        <v>45840.458333333336</v>
      </c>
      <c r="C1481" s="7">
        <v>617.04930000000002</v>
      </c>
      <c r="D1481">
        <v>2605548</v>
      </c>
      <c r="E1481">
        <v>3501527.5</v>
      </c>
    </row>
    <row r="1482" spans="1:5">
      <c r="A1482">
        <v>1477</v>
      </c>
      <c r="B1482" s="11">
        <v>45840.4375</v>
      </c>
      <c r="C1482" s="7">
        <v>617.10910000000001</v>
      </c>
      <c r="D1482">
        <v>4287954</v>
      </c>
      <c r="E1482">
        <v>3595544.75</v>
      </c>
    </row>
    <row r="1483" spans="1:5">
      <c r="A1483">
        <v>1478</v>
      </c>
      <c r="B1483" s="11">
        <v>45840.416666666664</v>
      </c>
      <c r="C1483" s="7">
        <v>616.93949999999995</v>
      </c>
      <c r="D1483">
        <v>4217745</v>
      </c>
      <c r="E1483">
        <v>3579286.5</v>
      </c>
    </row>
    <row r="1484" spans="1:5">
      <c r="A1484">
        <v>1479</v>
      </c>
      <c r="B1484" s="11">
        <v>45840.395833333336</v>
      </c>
      <c r="C1484" s="7">
        <v>615.59320000000002</v>
      </c>
      <c r="D1484">
        <v>4277776</v>
      </c>
      <c r="E1484">
        <v>3608692.5</v>
      </c>
    </row>
    <row r="1485" spans="1:5">
      <c r="A1485">
        <v>1480</v>
      </c>
      <c r="B1485" s="11">
        <v>45839.666666666664</v>
      </c>
      <c r="C1485" s="7">
        <v>615.94230000000005</v>
      </c>
      <c r="D1485">
        <v>0</v>
      </c>
      <c r="E1485">
        <v>3323507.5</v>
      </c>
    </row>
    <row r="1486" spans="1:5">
      <c r="A1486">
        <v>1481</v>
      </c>
      <c r="B1486" s="11">
        <v>45839.645833333336</v>
      </c>
      <c r="C1486" s="7">
        <v>615.94230000000005</v>
      </c>
      <c r="D1486">
        <v>9320322</v>
      </c>
      <c r="E1486">
        <v>4643352.5</v>
      </c>
    </row>
    <row r="1487" spans="1:5">
      <c r="A1487">
        <v>1482</v>
      </c>
      <c r="B1487" s="11">
        <v>45839.625</v>
      </c>
      <c r="C1487" s="7">
        <v>616.65530000000001</v>
      </c>
      <c r="D1487">
        <v>5424285</v>
      </c>
      <c r="E1487">
        <v>4473752</v>
      </c>
    </row>
    <row r="1488" spans="1:5">
      <c r="A1488">
        <v>1483</v>
      </c>
      <c r="B1488" s="11">
        <v>45839.604166666664</v>
      </c>
      <c r="C1488" s="7">
        <v>615.98220000000003</v>
      </c>
      <c r="D1488">
        <v>2180419</v>
      </c>
      <c r="E1488">
        <v>4380508.5</v>
      </c>
    </row>
    <row r="1489" spans="1:5">
      <c r="A1489">
        <v>1484</v>
      </c>
      <c r="B1489" s="11">
        <v>45839.583333333336</v>
      </c>
      <c r="C1489" s="7">
        <v>616.28129999999999</v>
      </c>
      <c r="D1489">
        <v>2763984</v>
      </c>
      <c r="E1489">
        <v>4460676</v>
      </c>
    </row>
    <row r="1490" spans="1:5">
      <c r="A1490">
        <v>1485</v>
      </c>
      <c r="B1490" s="11">
        <v>45839.5625</v>
      </c>
      <c r="C1490" s="7">
        <v>616.90959999999995</v>
      </c>
      <c r="D1490">
        <v>2148696</v>
      </c>
      <c r="E1490">
        <v>4493627.5</v>
      </c>
    </row>
    <row r="1491" spans="1:5">
      <c r="A1491">
        <v>1486</v>
      </c>
      <c r="B1491" s="11">
        <v>45839.541666666664</v>
      </c>
      <c r="C1491" s="7">
        <v>616.36109999999996</v>
      </c>
      <c r="D1491">
        <v>2360891</v>
      </c>
      <c r="E1491">
        <v>4463086</v>
      </c>
    </row>
    <row r="1492" spans="1:5">
      <c r="A1492">
        <v>1487</v>
      </c>
      <c r="B1492" s="11">
        <v>45839.520833333336</v>
      </c>
      <c r="C1492" s="7">
        <v>615.41380000000004</v>
      </c>
      <c r="D1492">
        <v>2277235</v>
      </c>
      <c r="E1492">
        <v>4441209.5</v>
      </c>
    </row>
    <row r="1493" spans="1:5">
      <c r="A1493">
        <v>1488</v>
      </c>
      <c r="B1493" s="11">
        <v>45839.5</v>
      </c>
      <c r="C1493" s="7">
        <v>615.59320000000002</v>
      </c>
      <c r="D1493">
        <v>3238301</v>
      </c>
      <c r="E1493">
        <v>4394653.5</v>
      </c>
    </row>
    <row r="1494" spans="1:5">
      <c r="A1494">
        <v>1489</v>
      </c>
      <c r="B1494" s="11">
        <v>45839.479166666664</v>
      </c>
      <c r="C1494" s="7">
        <v>615.27409999999998</v>
      </c>
      <c r="D1494">
        <v>2612708</v>
      </c>
      <c r="E1494">
        <v>4323650</v>
      </c>
    </row>
    <row r="1495" spans="1:5">
      <c r="A1495">
        <v>1490</v>
      </c>
      <c r="B1495" s="11">
        <v>45839.458333333336</v>
      </c>
      <c r="C1495" s="7">
        <v>615.58309999999994</v>
      </c>
      <c r="D1495">
        <v>4807050</v>
      </c>
      <c r="E1495">
        <v>4354558</v>
      </c>
    </row>
    <row r="1496" spans="1:5">
      <c r="A1496">
        <v>1491</v>
      </c>
      <c r="B1496" s="11">
        <v>45839.4375</v>
      </c>
      <c r="C1496" s="7">
        <v>614.74559999999997</v>
      </c>
      <c r="D1496">
        <v>4015807</v>
      </c>
      <c r="E1496">
        <v>4200235</v>
      </c>
    </row>
    <row r="1497" spans="1:5">
      <c r="A1497">
        <v>1492</v>
      </c>
      <c r="B1497" s="11">
        <v>45839.416666666664</v>
      </c>
      <c r="C1497" s="7">
        <v>615.32399999999996</v>
      </c>
      <c r="D1497">
        <v>4044077</v>
      </c>
      <c r="E1497">
        <v>4185855</v>
      </c>
    </row>
    <row r="1498" spans="1:5">
      <c r="A1498">
        <v>1493</v>
      </c>
      <c r="B1498" s="11">
        <v>45839.395833333336</v>
      </c>
      <c r="C1498" s="7">
        <v>615.45529999999997</v>
      </c>
      <c r="D1498">
        <v>4658837</v>
      </c>
      <c r="E1498">
        <v>4292124</v>
      </c>
    </row>
    <row r="1499" spans="1:5">
      <c r="A1499">
        <v>1494</v>
      </c>
      <c r="B1499" s="11">
        <v>45838.666666666664</v>
      </c>
      <c r="C1499" s="7">
        <v>616.14170000000001</v>
      </c>
      <c r="D1499">
        <v>0</v>
      </c>
      <c r="E1499">
        <v>3981534.75</v>
      </c>
    </row>
    <row r="1500" spans="1:5">
      <c r="A1500">
        <v>1495</v>
      </c>
      <c r="B1500" s="11">
        <v>45838.645833333336</v>
      </c>
      <c r="C1500" s="7">
        <v>616.24149999999997</v>
      </c>
      <c r="D1500">
        <v>19797674</v>
      </c>
      <c r="E1500">
        <v>4937478.5</v>
      </c>
    </row>
    <row r="1501" spans="1:5">
      <c r="A1501">
        <v>1496</v>
      </c>
      <c r="B1501" s="11">
        <v>45838.625</v>
      </c>
      <c r="C1501" s="7">
        <v>616.1866</v>
      </c>
      <c r="D1501">
        <v>6776315</v>
      </c>
      <c r="E1501">
        <v>3980501.25</v>
      </c>
    </row>
    <row r="1502" spans="1:5">
      <c r="A1502">
        <v>1497</v>
      </c>
      <c r="B1502" s="11">
        <v>45838.604166666664</v>
      </c>
      <c r="C1502" s="7">
        <v>615.21429999999998</v>
      </c>
      <c r="D1502">
        <v>4025631</v>
      </c>
      <c r="E1502">
        <v>4029960.25</v>
      </c>
    </row>
    <row r="1503" spans="1:5">
      <c r="A1503">
        <v>1498</v>
      </c>
      <c r="B1503" s="11">
        <v>45838.583333333336</v>
      </c>
      <c r="C1503" s="7">
        <v>614.33669999999995</v>
      </c>
      <c r="D1503">
        <v>3382937</v>
      </c>
      <c r="E1503">
        <v>4033350</v>
      </c>
    </row>
    <row r="1504" spans="1:5">
      <c r="A1504">
        <v>1499</v>
      </c>
      <c r="B1504" s="11">
        <v>45838.5625</v>
      </c>
      <c r="C1504" s="7">
        <v>614.12729999999999</v>
      </c>
      <c r="D1504">
        <v>3258255</v>
      </c>
      <c r="E1504">
        <v>4151917.25</v>
      </c>
    </row>
    <row r="1505" spans="1:5">
      <c r="A1505">
        <v>1500</v>
      </c>
      <c r="B1505" s="11">
        <v>45838.541666666664</v>
      </c>
      <c r="C1505" s="7">
        <v>614.81039999999996</v>
      </c>
      <c r="D1505">
        <v>1690572</v>
      </c>
      <c r="E1505">
        <v>4033750.5</v>
      </c>
    </row>
    <row r="1506" spans="1:5">
      <c r="A1506">
        <v>1501</v>
      </c>
      <c r="B1506" s="11">
        <v>45838.520833333336</v>
      </c>
      <c r="C1506" s="7">
        <v>614.95500000000004</v>
      </c>
      <c r="D1506">
        <v>2032740</v>
      </c>
      <c r="E1506">
        <v>4062057.5</v>
      </c>
    </row>
    <row r="1507" spans="1:5">
      <c r="A1507">
        <v>1502</v>
      </c>
      <c r="B1507" s="11">
        <v>45838.5</v>
      </c>
      <c r="C1507" s="7">
        <v>614.51620000000003</v>
      </c>
      <c r="D1507">
        <v>1578901</v>
      </c>
      <c r="E1507">
        <v>4064196</v>
      </c>
    </row>
    <row r="1508" spans="1:5">
      <c r="A1508">
        <v>1503</v>
      </c>
      <c r="B1508" s="11">
        <v>45838.479166666664</v>
      </c>
      <c r="C1508" s="7">
        <v>614.77549999999997</v>
      </c>
      <c r="D1508">
        <v>2173244</v>
      </c>
      <c r="E1508">
        <v>4122274.75</v>
      </c>
    </row>
    <row r="1509" spans="1:5">
      <c r="A1509">
        <v>1504</v>
      </c>
      <c r="B1509" s="11">
        <v>45838.458333333336</v>
      </c>
      <c r="C1509" s="7">
        <v>614.51620000000003</v>
      </c>
      <c r="D1509">
        <v>3076332</v>
      </c>
      <c r="E1509">
        <v>4106338.25</v>
      </c>
    </row>
    <row r="1510" spans="1:5">
      <c r="A1510">
        <v>1505</v>
      </c>
      <c r="B1510" s="11">
        <v>45838.4375</v>
      </c>
      <c r="C1510" s="7">
        <v>614.35170000000005</v>
      </c>
      <c r="D1510">
        <v>2492200</v>
      </c>
      <c r="E1510">
        <v>4089073.5</v>
      </c>
    </row>
    <row r="1511" spans="1:5">
      <c r="A1511">
        <v>1506</v>
      </c>
      <c r="B1511" s="11">
        <v>45838.416666666664</v>
      </c>
      <c r="C1511" s="7">
        <v>615.02480000000003</v>
      </c>
      <c r="D1511">
        <v>3800110</v>
      </c>
      <c r="E1511">
        <v>4213699.5</v>
      </c>
    </row>
    <row r="1512" spans="1:5">
      <c r="A1512">
        <v>1507</v>
      </c>
      <c r="B1512" s="11">
        <v>45838.395833333336</v>
      </c>
      <c r="C1512" s="7">
        <v>614.68579999999997</v>
      </c>
      <c r="D1512">
        <v>5638109</v>
      </c>
      <c r="E1512">
        <v>4286574.5</v>
      </c>
    </row>
    <row r="1513" spans="1:5">
      <c r="A1513">
        <v>1508</v>
      </c>
      <c r="B1513" s="11">
        <v>45835.666666666664</v>
      </c>
      <c r="C1513" s="7">
        <v>613.20979999999997</v>
      </c>
      <c r="D1513">
        <v>0</v>
      </c>
      <c r="E1513">
        <v>3910700.75</v>
      </c>
    </row>
    <row r="1514" spans="1:5">
      <c r="A1514">
        <v>1509</v>
      </c>
      <c r="B1514" s="11">
        <v>45835.645833333336</v>
      </c>
      <c r="C1514" s="7">
        <v>612.9905</v>
      </c>
      <c r="D1514">
        <v>14339161</v>
      </c>
      <c r="E1514">
        <v>4684397</v>
      </c>
    </row>
    <row r="1515" spans="1:5">
      <c r="A1515">
        <v>1510</v>
      </c>
      <c r="B1515" s="11">
        <v>45835.625</v>
      </c>
      <c r="C1515" s="7">
        <v>610.73670000000004</v>
      </c>
      <c r="D1515">
        <v>5443010</v>
      </c>
      <c r="E1515">
        <v>3934571.25</v>
      </c>
    </row>
    <row r="1516" spans="1:5">
      <c r="A1516">
        <v>1511</v>
      </c>
      <c r="B1516" s="11">
        <v>45835.604166666664</v>
      </c>
      <c r="C1516" s="7">
        <v>609.37049999999999</v>
      </c>
      <c r="D1516">
        <v>7518202</v>
      </c>
      <c r="E1516">
        <v>3763367.25</v>
      </c>
    </row>
    <row r="1517" spans="1:5">
      <c r="A1517">
        <v>1512</v>
      </c>
      <c r="B1517" s="11">
        <v>45835.583333333336</v>
      </c>
      <c r="C1517" s="7">
        <v>610.69680000000005</v>
      </c>
      <c r="D1517">
        <v>4076477</v>
      </c>
      <c r="E1517">
        <v>3466198.75</v>
      </c>
    </row>
    <row r="1518" spans="1:5">
      <c r="A1518">
        <v>1513</v>
      </c>
      <c r="B1518" s="11">
        <v>45835.5625</v>
      </c>
      <c r="C1518" s="7">
        <v>612.42200000000003</v>
      </c>
      <c r="D1518">
        <v>5161447</v>
      </c>
      <c r="E1518">
        <v>3318690.25</v>
      </c>
    </row>
    <row r="1519" spans="1:5">
      <c r="A1519">
        <v>1514</v>
      </c>
      <c r="B1519" s="11">
        <v>45835.541666666664</v>
      </c>
      <c r="C1519" s="7">
        <v>613.68849999999998</v>
      </c>
      <c r="D1519">
        <v>1485754</v>
      </c>
      <c r="E1519">
        <v>3074136</v>
      </c>
    </row>
    <row r="1520" spans="1:5">
      <c r="A1520">
        <v>1515</v>
      </c>
      <c r="B1520" s="11">
        <v>45835.520833333336</v>
      </c>
      <c r="C1520" s="7">
        <v>614.24199999999996</v>
      </c>
      <c r="D1520">
        <v>2115174</v>
      </c>
      <c r="E1520">
        <v>3063864.25</v>
      </c>
    </row>
    <row r="1521" spans="1:5">
      <c r="A1521">
        <v>1516</v>
      </c>
      <c r="B1521" s="11">
        <v>45835.5</v>
      </c>
      <c r="C1521" s="7">
        <v>614.596</v>
      </c>
      <c r="D1521">
        <v>2064818</v>
      </c>
      <c r="E1521">
        <v>3055773.75</v>
      </c>
    </row>
    <row r="1522" spans="1:5">
      <c r="A1522">
        <v>1517</v>
      </c>
      <c r="B1522" s="11">
        <v>45835.479166666664</v>
      </c>
      <c r="C1522" s="7">
        <v>614.19709999999998</v>
      </c>
      <c r="D1522">
        <v>2450085</v>
      </c>
      <c r="E1522">
        <v>3055068.5</v>
      </c>
    </row>
    <row r="1523" spans="1:5">
      <c r="A1523">
        <v>1518</v>
      </c>
      <c r="B1523" s="11">
        <v>45835.458333333336</v>
      </c>
      <c r="C1523" s="7">
        <v>613.64859999999999</v>
      </c>
      <c r="D1523">
        <v>1934196</v>
      </c>
      <c r="E1523">
        <v>3056583.5</v>
      </c>
    </row>
    <row r="1524" spans="1:5">
      <c r="A1524">
        <v>1519</v>
      </c>
      <c r="B1524" s="11">
        <v>45835.4375</v>
      </c>
      <c r="C1524" s="7">
        <v>613.11509999999998</v>
      </c>
      <c r="D1524">
        <v>2817361</v>
      </c>
      <c r="E1524">
        <v>3154134.25</v>
      </c>
    </row>
    <row r="1525" spans="1:5">
      <c r="A1525">
        <v>1520</v>
      </c>
      <c r="B1525" s="11">
        <v>45835.416666666664</v>
      </c>
      <c r="C1525" s="7">
        <v>613.19989999999996</v>
      </c>
      <c r="D1525">
        <v>4361585</v>
      </c>
      <c r="E1525">
        <v>3184196.75</v>
      </c>
    </row>
    <row r="1526" spans="1:5">
      <c r="A1526">
        <v>1521</v>
      </c>
      <c r="B1526" s="11">
        <v>45835.395833333336</v>
      </c>
      <c r="C1526" s="7">
        <v>612.75120000000004</v>
      </c>
      <c r="D1526">
        <v>4893241</v>
      </c>
      <c r="E1526">
        <v>3235378.75</v>
      </c>
    </row>
    <row r="1527" spans="1:5">
      <c r="A1527">
        <v>1522</v>
      </c>
      <c r="B1527" s="11">
        <v>45834.666666666664</v>
      </c>
      <c r="C1527" s="7">
        <v>610.17819999999995</v>
      </c>
      <c r="D1527">
        <v>0</v>
      </c>
      <c r="E1527">
        <v>2909162.5</v>
      </c>
    </row>
    <row r="1528" spans="1:5">
      <c r="A1528">
        <v>1523</v>
      </c>
      <c r="B1528" s="11">
        <v>45834.645833333336</v>
      </c>
      <c r="C1528" s="7">
        <v>610.23810000000003</v>
      </c>
      <c r="D1528">
        <v>11605446</v>
      </c>
      <c r="E1528">
        <v>3474023.25</v>
      </c>
    </row>
    <row r="1529" spans="1:5">
      <c r="A1529">
        <v>1524</v>
      </c>
      <c r="B1529" s="11">
        <v>45834.625</v>
      </c>
      <c r="C1529" s="7">
        <v>609.904</v>
      </c>
      <c r="D1529">
        <v>3091773</v>
      </c>
      <c r="E1529">
        <v>2874810.75</v>
      </c>
    </row>
    <row r="1530" spans="1:5">
      <c r="A1530">
        <v>1525</v>
      </c>
      <c r="B1530" s="11">
        <v>45834.604166666664</v>
      </c>
      <c r="C1530" s="7">
        <v>609.76130000000001</v>
      </c>
      <c r="D1530">
        <v>2874949</v>
      </c>
      <c r="E1530">
        <v>2775925.25</v>
      </c>
    </row>
    <row r="1531" spans="1:5">
      <c r="A1531">
        <v>1526</v>
      </c>
      <c r="B1531" s="11">
        <v>45834.583333333336</v>
      </c>
      <c r="C1531" s="7">
        <v>610.05359999999996</v>
      </c>
      <c r="D1531">
        <v>3060675</v>
      </c>
      <c r="E1531">
        <v>2696803.5</v>
      </c>
    </row>
    <row r="1532" spans="1:5">
      <c r="A1532">
        <v>1527</v>
      </c>
      <c r="B1532" s="11">
        <v>45834.5625</v>
      </c>
      <c r="C1532" s="7">
        <v>609.59990000000005</v>
      </c>
      <c r="D1532">
        <v>1863848</v>
      </c>
      <c r="E1532">
        <v>2704177.75</v>
      </c>
    </row>
    <row r="1533" spans="1:5">
      <c r="A1533">
        <v>1528</v>
      </c>
      <c r="B1533" s="11">
        <v>45834.541666666664</v>
      </c>
      <c r="C1533" s="7">
        <v>609.54</v>
      </c>
      <c r="D1533">
        <v>1493135</v>
      </c>
      <c r="E1533">
        <v>2736104.25</v>
      </c>
    </row>
    <row r="1534" spans="1:5">
      <c r="A1534">
        <v>1529</v>
      </c>
      <c r="B1534" s="11">
        <v>45834.520833333336</v>
      </c>
      <c r="C1534" s="7">
        <v>609.15110000000004</v>
      </c>
      <c r="D1534">
        <v>1331678</v>
      </c>
      <c r="E1534">
        <v>2745261</v>
      </c>
    </row>
    <row r="1535" spans="1:5">
      <c r="A1535">
        <v>1530</v>
      </c>
      <c r="B1535" s="11">
        <v>45834.5</v>
      </c>
      <c r="C1535" s="7">
        <v>609.20100000000002</v>
      </c>
      <c r="D1535">
        <v>1993815</v>
      </c>
      <c r="E1535">
        <v>2755503</v>
      </c>
    </row>
    <row r="1536" spans="1:5">
      <c r="A1536">
        <v>1531</v>
      </c>
      <c r="B1536" s="11">
        <v>45834.479166666664</v>
      </c>
      <c r="C1536" s="7">
        <v>608.84199999999998</v>
      </c>
      <c r="D1536">
        <v>2054241</v>
      </c>
      <c r="E1536">
        <v>2800383.5</v>
      </c>
    </row>
    <row r="1537" spans="1:5">
      <c r="A1537">
        <v>1532</v>
      </c>
      <c r="B1537" s="11">
        <v>45834.458333333336</v>
      </c>
      <c r="C1537" s="7">
        <v>608.36329999999998</v>
      </c>
      <c r="D1537">
        <v>2472810</v>
      </c>
      <c r="E1537">
        <v>2895669.75</v>
      </c>
    </row>
    <row r="1538" spans="1:5">
      <c r="A1538">
        <v>1533</v>
      </c>
      <c r="B1538" s="11">
        <v>45834.4375</v>
      </c>
      <c r="C1538" s="7">
        <v>608.71230000000003</v>
      </c>
      <c r="D1538">
        <v>3397455</v>
      </c>
      <c r="E1538">
        <v>2929032</v>
      </c>
    </row>
    <row r="1539" spans="1:5">
      <c r="A1539">
        <v>1534</v>
      </c>
      <c r="B1539" s="11">
        <v>45834.416666666664</v>
      </c>
      <c r="C1539" s="7">
        <v>608.26350000000002</v>
      </c>
      <c r="D1539">
        <v>3268300</v>
      </c>
      <c r="E1539">
        <v>2946857.75</v>
      </c>
    </row>
    <row r="1540" spans="1:5">
      <c r="A1540">
        <v>1535</v>
      </c>
      <c r="B1540" s="11">
        <v>45834.395833333336</v>
      </c>
      <c r="C1540" s="7">
        <v>607.53549999999996</v>
      </c>
      <c r="D1540">
        <v>5129314</v>
      </c>
      <c r="E1540">
        <v>3188228.5</v>
      </c>
    </row>
    <row r="1541" spans="1:5">
      <c r="A1541">
        <v>1536</v>
      </c>
      <c r="B1541" s="11">
        <v>45833.666666666664</v>
      </c>
      <c r="C1541" s="7">
        <v>605.44140000000004</v>
      </c>
      <c r="D1541">
        <v>0</v>
      </c>
      <c r="E1541">
        <v>2846274.25</v>
      </c>
    </row>
    <row r="1542" spans="1:5">
      <c r="A1542">
        <v>1537</v>
      </c>
      <c r="B1542" s="11">
        <v>45833.645833333336</v>
      </c>
      <c r="C1542" s="7">
        <v>605.41150000000005</v>
      </c>
      <c r="D1542">
        <v>8472911</v>
      </c>
      <c r="E1542">
        <v>3514662</v>
      </c>
    </row>
    <row r="1543" spans="1:5">
      <c r="A1543">
        <v>1538</v>
      </c>
      <c r="B1543" s="11">
        <v>45833.625</v>
      </c>
      <c r="C1543" s="7">
        <v>605.31669999999997</v>
      </c>
      <c r="D1543">
        <v>2617258</v>
      </c>
      <c r="E1543">
        <v>3142423.25</v>
      </c>
    </row>
    <row r="1544" spans="1:5">
      <c r="A1544">
        <v>1539</v>
      </c>
      <c r="B1544" s="11">
        <v>45833.604166666664</v>
      </c>
      <c r="C1544" s="7">
        <v>604.73329999999999</v>
      </c>
      <c r="D1544">
        <v>1608489</v>
      </c>
      <c r="E1544">
        <v>3112503.75</v>
      </c>
    </row>
    <row r="1545" spans="1:5">
      <c r="A1545">
        <v>1540</v>
      </c>
      <c r="B1545" s="11">
        <v>45833.583333333336</v>
      </c>
      <c r="C1545" s="7">
        <v>604.73109999999997</v>
      </c>
      <c r="D1545">
        <v>1688123</v>
      </c>
      <c r="E1545">
        <v>3153808.25</v>
      </c>
    </row>
    <row r="1546" spans="1:5">
      <c r="A1546">
        <v>1541</v>
      </c>
      <c r="B1546" s="11">
        <v>45833.5625</v>
      </c>
      <c r="C1546" s="7">
        <v>604.56380000000001</v>
      </c>
      <c r="D1546">
        <v>3171290</v>
      </c>
      <c r="E1546">
        <v>3171659.75</v>
      </c>
    </row>
    <row r="1547" spans="1:5">
      <c r="A1547">
        <v>1542</v>
      </c>
      <c r="B1547" s="11">
        <v>45833.541666666664</v>
      </c>
      <c r="C1547" s="7">
        <v>605.34169999999995</v>
      </c>
      <c r="D1547">
        <v>2342745</v>
      </c>
      <c r="E1547">
        <v>3111448.75</v>
      </c>
    </row>
    <row r="1548" spans="1:5">
      <c r="A1548">
        <v>1543</v>
      </c>
      <c r="B1548" s="11">
        <v>45833.520833333336</v>
      </c>
      <c r="C1548" s="7">
        <v>605.05240000000003</v>
      </c>
      <c r="D1548">
        <v>1630485</v>
      </c>
      <c r="E1548">
        <v>3125427</v>
      </c>
    </row>
    <row r="1549" spans="1:5">
      <c r="A1549">
        <v>1544</v>
      </c>
      <c r="B1549" s="11">
        <v>45833.5</v>
      </c>
      <c r="C1549" s="7">
        <v>605.27189999999996</v>
      </c>
      <c r="D1549">
        <v>1485309</v>
      </c>
      <c r="E1549">
        <v>3143423.75</v>
      </c>
    </row>
    <row r="1550" spans="1:5">
      <c r="A1550">
        <v>1545</v>
      </c>
      <c r="B1550" s="11">
        <v>45833.479166666664</v>
      </c>
      <c r="C1550" s="7">
        <v>605.21199999999999</v>
      </c>
      <c r="D1550">
        <v>2667022</v>
      </c>
      <c r="E1550">
        <v>3186006.25</v>
      </c>
    </row>
    <row r="1551" spans="1:5">
      <c r="A1551">
        <v>1546</v>
      </c>
      <c r="B1551" s="11">
        <v>45833.458333333336</v>
      </c>
      <c r="C1551" s="7">
        <v>605.49120000000005</v>
      </c>
      <c r="D1551">
        <v>3483535</v>
      </c>
      <c r="E1551">
        <v>3192235.5</v>
      </c>
    </row>
    <row r="1552" spans="1:5">
      <c r="A1552">
        <v>1547</v>
      </c>
      <c r="B1552" s="11">
        <v>45833.4375</v>
      </c>
      <c r="C1552" s="7">
        <v>606.04970000000003</v>
      </c>
      <c r="D1552">
        <v>2973245</v>
      </c>
      <c r="E1552">
        <v>3157379</v>
      </c>
    </row>
    <row r="1553" spans="1:5">
      <c r="A1553">
        <v>1548</v>
      </c>
      <c r="B1553" s="11">
        <v>45833.416666666664</v>
      </c>
      <c r="C1553" s="7">
        <v>606.04970000000003</v>
      </c>
      <c r="D1553">
        <v>3664841</v>
      </c>
      <c r="E1553">
        <v>3235072.25</v>
      </c>
    </row>
    <row r="1554" spans="1:5">
      <c r="A1554">
        <v>1549</v>
      </c>
      <c r="B1554" s="11">
        <v>45833.395833333336</v>
      </c>
      <c r="C1554" s="7">
        <v>606.50840000000005</v>
      </c>
      <c r="D1554">
        <v>6888859</v>
      </c>
      <c r="E1554">
        <v>3427365.25</v>
      </c>
    </row>
    <row r="1555" spans="1:5">
      <c r="A1555">
        <v>1550</v>
      </c>
      <c r="B1555" s="11">
        <v>45832.666666666664</v>
      </c>
      <c r="C1555" s="7">
        <v>605.10239999999999</v>
      </c>
      <c r="D1555">
        <v>0</v>
      </c>
      <c r="E1555">
        <v>2968108</v>
      </c>
    </row>
    <row r="1556" spans="1:5">
      <c r="A1556">
        <v>1551</v>
      </c>
      <c r="B1556" s="11">
        <v>45832.645833333336</v>
      </c>
      <c r="C1556" s="7">
        <v>605.10239999999999</v>
      </c>
      <c r="D1556">
        <v>10025819</v>
      </c>
      <c r="E1556">
        <v>3608160.25</v>
      </c>
    </row>
    <row r="1557" spans="1:5">
      <c r="A1557">
        <v>1552</v>
      </c>
      <c r="B1557" s="11">
        <v>45832.625</v>
      </c>
      <c r="C1557" s="7">
        <v>605.80039999999997</v>
      </c>
      <c r="D1557">
        <v>2889329</v>
      </c>
      <c r="E1557">
        <v>3204394.5</v>
      </c>
    </row>
    <row r="1558" spans="1:5">
      <c r="A1558">
        <v>1553</v>
      </c>
      <c r="B1558" s="11">
        <v>45832.604166666664</v>
      </c>
      <c r="C1558" s="7">
        <v>605.63589999999999</v>
      </c>
      <c r="D1558">
        <v>2168464</v>
      </c>
      <c r="E1558">
        <v>3226897.75</v>
      </c>
    </row>
    <row r="1559" spans="1:5">
      <c r="A1559">
        <v>1554</v>
      </c>
      <c r="B1559" s="11">
        <v>45832.583333333336</v>
      </c>
      <c r="C1559" s="7">
        <v>605.33169999999996</v>
      </c>
      <c r="D1559">
        <v>2228057</v>
      </c>
      <c r="E1559">
        <v>3285182.25</v>
      </c>
    </row>
    <row r="1560" spans="1:5">
      <c r="A1560">
        <v>1555</v>
      </c>
      <c r="B1560" s="11">
        <v>45832.5625</v>
      </c>
      <c r="C1560" s="7">
        <v>605.50120000000004</v>
      </c>
      <c r="D1560">
        <v>1955897</v>
      </c>
      <c r="E1560">
        <v>3456447</v>
      </c>
    </row>
    <row r="1561" spans="1:5">
      <c r="A1561">
        <v>1556</v>
      </c>
      <c r="B1561" s="11">
        <v>45832.541666666664</v>
      </c>
      <c r="C1561" s="7">
        <v>604.67349999999999</v>
      </c>
      <c r="D1561">
        <v>2268126</v>
      </c>
      <c r="E1561">
        <v>3716316</v>
      </c>
    </row>
    <row r="1562" spans="1:5">
      <c r="A1562">
        <v>1557</v>
      </c>
      <c r="B1562" s="11">
        <v>45832.520833333336</v>
      </c>
      <c r="C1562" s="7">
        <v>604.96270000000004</v>
      </c>
      <c r="D1562">
        <v>2552416</v>
      </c>
      <c r="E1562">
        <v>4182362</v>
      </c>
    </row>
    <row r="1563" spans="1:5">
      <c r="A1563">
        <v>1558</v>
      </c>
      <c r="B1563" s="11">
        <v>45832.5</v>
      </c>
      <c r="C1563" s="7">
        <v>604.82309999999995</v>
      </c>
      <c r="D1563">
        <v>1900437</v>
      </c>
      <c r="E1563">
        <v>4208908</v>
      </c>
    </row>
    <row r="1564" spans="1:5">
      <c r="A1564">
        <v>1559</v>
      </c>
      <c r="B1564" s="11">
        <v>45832.479166666664</v>
      </c>
      <c r="C1564" s="7">
        <v>604.11</v>
      </c>
      <c r="D1564">
        <v>2124047</v>
      </c>
      <c r="E1564">
        <v>4261823</v>
      </c>
    </row>
    <row r="1565" spans="1:5">
      <c r="A1565">
        <v>1560</v>
      </c>
      <c r="B1565" s="11">
        <v>45832.458333333336</v>
      </c>
      <c r="C1565" s="7">
        <v>604.10509999999999</v>
      </c>
      <c r="D1565">
        <v>2760460</v>
      </c>
      <c r="E1565">
        <v>4289874</v>
      </c>
    </row>
    <row r="1566" spans="1:5">
      <c r="A1566">
        <v>1561</v>
      </c>
      <c r="B1566" s="11">
        <v>45832.4375</v>
      </c>
      <c r="C1566" s="7">
        <v>603.32730000000004</v>
      </c>
      <c r="D1566">
        <v>2960689</v>
      </c>
      <c r="E1566">
        <v>4307210.5</v>
      </c>
    </row>
    <row r="1567" spans="1:5">
      <c r="A1567">
        <v>1562</v>
      </c>
      <c r="B1567" s="11">
        <v>45832.416666666664</v>
      </c>
      <c r="C1567" s="7">
        <v>602.95330000000001</v>
      </c>
      <c r="D1567">
        <v>4138642</v>
      </c>
      <c r="E1567">
        <v>4420677.5</v>
      </c>
    </row>
    <row r="1568" spans="1:5">
      <c r="A1568">
        <v>1563</v>
      </c>
      <c r="B1568" s="11">
        <v>45832.395833333336</v>
      </c>
      <c r="C1568" s="7">
        <v>602.21029999999996</v>
      </c>
      <c r="D1568">
        <v>6549237</v>
      </c>
      <c r="E1568">
        <v>4522700</v>
      </c>
    </row>
    <row r="1569" spans="1:5">
      <c r="A1569">
        <v>1564</v>
      </c>
      <c r="B1569" s="11">
        <v>45831.666666666664</v>
      </c>
      <c r="C1569" s="7">
        <v>598.49069999999995</v>
      </c>
      <c r="D1569">
        <v>0</v>
      </c>
      <c r="E1569">
        <v>4086084.25</v>
      </c>
    </row>
    <row r="1570" spans="1:5">
      <c r="A1570">
        <v>1565</v>
      </c>
      <c r="B1570" s="11">
        <v>45831.645833333336</v>
      </c>
      <c r="C1570" s="7">
        <v>598.49069999999995</v>
      </c>
      <c r="D1570">
        <v>9600783</v>
      </c>
      <c r="E1570">
        <v>4967782</v>
      </c>
    </row>
    <row r="1571" spans="1:5">
      <c r="A1571">
        <v>1566</v>
      </c>
      <c r="B1571" s="11">
        <v>45831.625</v>
      </c>
      <c r="C1571" s="7">
        <v>597.56320000000005</v>
      </c>
      <c r="D1571">
        <v>3969332</v>
      </c>
      <c r="E1571">
        <v>4536400.5</v>
      </c>
    </row>
    <row r="1572" spans="1:5">
      <c r="A1572">
        <v>1567</v>
      </c>
      <c r="B1572" s="11">
        <v>45831.604166666664</v>
      </c>
      <c r="C1572" s="7">
        <v>596.80539999999996</v>
      </c>
      <c r="D1572">
        <v>3226881</v>
      </c>
      <c r="E1572">
        <v>4418239</v>
      </c>
    </row>
    <row r="1573" spans="1:5">
      <c r="A1573">
        <v>1568</v>
      </c>
      <c r="B1573" s="11">
        <v>45831.583333333336</v>
      </c>
      <c r="C1573" s="7">
        <v>596.7654</v>
      </c>
      <c r="D1573">
        <v>3042728</v>
      </c>
      <c r="E1573">
        <v>4365330</v>
      </c>
    </row>
    <row r="1574" spans="1:5">
      <c r="A1574">
        <v>1569</v>
      </c>
      <c r="B1574" s="11">
        <v>45831.5625</v>
      </c>
      <c r="C1574" s="7">
        <v>596.92499999999995</v>
      </c>
      <c r="D1574">
        <v>4797029</v>
      </c>
      <c r="E1574">
        <v>4361292</v>
      </c>
    </row>
    <row r="1575" spans="1:5">
      <c r="A1575">
        <v>1570</v>
      </c>
      <c r="B1575" s="11">
        <v>45831.541666666664</v>
      </c>
      <c r="C1575" s="7">
        <v>596.2269</v>
      </c>
      <c r="D1575">
        <v>5853934</v>
      </c>
      <c r="E1575">
        <v>4221595.5</v>
      </c>
    </row>
    <row r="1576" spans="1:5">
      <c r="A1576">
        <v>1571</v>
      </c>
      <c r="B1576" s="11">
        <v>45831.520833333336</v>
      </c>
      <c r="C1576" s="7">
        <v>591.93880000000001</v>
      </c>
      <c r="D1576">
        <v>9258814</v>
      </c>
      <c r="E1576">
        <v>3961252.25</v>
      </c>
    </row>
    <row r="1577" spans="1:5">
      <c r="A1577">
        <v>1572</v>
      </c>
      <c r="B1577" s="11">
        <v>45831.5</v>
      </c>
      <c r="C1577" s="7">
        <v>592.59699999999998</v>
      </c>
      <c r="D1577">
        <v>2950607</v>
      </c>
      <c r="E1577">
        <v>3488174.75</v>
      </c>
    </row>
    <row r="1578" spans="1:5">
      <c r="A1578">
        <v>1573</v>
      </c>
      <c r="B1578" s="11">
        <v>45831.479166666664</v>
      </c>
      <c r="C1578" s="7">
        <v>594.20249999999999</v>
      </c>
      <c r="D1578">
        <v>2694165</v>
      </c>
      <c r="E1578">
        <v>3473253</v>
      </c>
    </row>
    <row r="1579" spans="1:5">
      <c r="A1579">
        <v>1574</v>
      </c>
      <c r="B1579" s="11">
        <v>45831.458333333336</v>
      </c>
      <c r="C1579" s="7">
        <v>594.78089999999997</v>
      </c>
      <c r="D1579">
        <v>2544809</v>
      </c>
      <c r="E1579">
        <v>3520397.25</v>
      </c>
    </row>
    <row r="1580" spans="1:5">
      <c r="A1580">
        <v>1575</v>
      </c>
      <c r="B1580" s="11">
        <v>45831.4375</v>
      </c>
      <c r="C1580" s="7">
        <v>594.8107</v>
      </c>
      <c r="D1580">
        <v>3020511</v>
      </c>
      <c r="E1580">
        <v>3634718.5</v>
      </c>
    </row>
    <row r="1581" spans="1:5">
      <c r="A1581">
        <v>1576</v>
      </c>
      <c r="B1581" s="11">
        <v>45831.416666666664</v>
      </c>
      <c r="C1581" s="7">
        <v>595.94510000000002</v>
      </c>
      <c r="D1581">
        <v>4662690</v>
      </c>
      <c r="E1581">
        <v>3710274</v>
      </c>
    </row>
    <row r="1582" spans="1:5">
      <c r="A1582">
        <v>1577</v>
      </c>
      <c r="B1582" s="11">
        <v>45831.395833333336</v>
      </c>
      <c r="C1582" s="7">
        <v>595.1</v>
      </c>
      <c r="D1582">
        <v>5668980</v>
      </c>
      <c r="E1582">
        <v>3827728.75</v>
      </c>
    </row>
    <row r="1583" spans="1:5">
      <c r="A1583">
        <v>1578</v>
      </c>
      <c r="B1583" s="11">
        <v>45828.666666666664</v>
      </c>
      <c r="C1583" s="7">
        <v>592.63689999999997</v>
      </c>
      <c r="D1583">
        <v>0</v>
      </c>
      <c r="E1583">
        <v>3449796.75</v>
      </c>
    </row>
    <row r="1584" spans="1:5">
      <c r="A1584">
        <v>1579</v>
      </c>
      <c r="B1584" s="11">
        <v>45828.645833333336</v>
      </c>
      <c r="C1584" s="7">
        <v>592.59699999999998</v>
      </c>
      <c r="D1584">
        <v>13225465</v>
      </c>
      <c r="E1584">
        <v>4024162</v>
      </c>
    </row>
    <row r="1585" spans="1:5">
      <c r="A1585">
        <v>1580</v>
      </c>
      <c r="B1585" s="11">
        <v>45828.625</v>
      </c>
      <c r="C1585" s="7">
        <v>591.81920000000002</v>
      </c>
      <c r="D1585">
        <v>3130061</v>
      </c>
      <c r="E1585">
        <v>3599914.5</v>
      </c>
    </row>
    <row r="1586" spans="1:5">
      <c r="A1586">
        <v>1581</v>
      </c>
      <c r="B1586" s="11">
        <v>45828.604166666664</v>
      </c>
      <c r="C1586" s="7">
        <v>591.84910000000002</v>
      </c>
      <c r="D1586">
        <v>2196913</v>
      </c>
      <c r="E1586">
        <v>3788683.25</v>
      </c>
    </row>
    <row r="1587" spans="1:5">
      <c r="A1587">
        <v>1582</v>
      </c>
      <c r="B1587" s="11">
        <v>45828.583333333336</v>
      </c>
      <c r="C1587" s="7">
        <v>593.28510000000006</v>
      </c>
      <c r="D1587">
        <v>2433243</v>
      </c>
      <c r="E1587">
        <v>3906881.75</v>
      </c>
    </row>
    <row r="1588" spans="1:5">
      <c r="A1588">
        <v>1583</v>
      </c>
      <c r="B1588" s="11">
        <v>45828.5625</v>
      </c>
      <c r="C1588" s="7">
        <v>592.34770000000003</v>
      </c>
      <c r="D1588">
        <v>2982158</v>
      </c>
      <c r="E1588">
        <v>3906322.5</v>
      </c>
    </row>
    <row r="1589" spans="1:5">
      <c r="A1589">
        <v>1584</v>
      </c>
      <c r="B1589" s="11">
        <v>45828.541666666664</v>
      </c>
      <c r="C1589" s="7">
        <v>591.71939999999995</v>
      </c>
      <c r="D1589">
        <v>2701585</v>
      </c>
      <c r="E1589">
        <v>3807390.5</v>
      </c>
    </row>
    <row r="1590" spans="1:5">
      <c r="A1590">
        <v>1585</v>
      </c>
      <c r="B1590" s="11">
        <v>45828.520833333336</v>
      </c>
      <c r="C1590" s="7">
        <v>593.63419999999996</v>
      </c>
      <c r="D1590">
        <v>1948783</v>
      </c>
      <c r="E1590">
        <v>3731413.5</v>
      </c>
    </row>
    <row r="1591" spans="1:5">
      <c r="A1591">
        <v>1586</v>
      </c>
      <c r="B1591" s="11">
        <v>45828.5</v>
      </c>
      <c r="C1591" s="7">
        <v>593.32000000000005</v>
      </c>
      <c r="D1591">
        <v>2162651</v>
      </c>
      <c r="E1591">
        <v>3698910.5</v>
      </c>
    </row>
    <row r="1592" spans="1:5">
      <c r="A1592">
        <v>1587</v>
      </c>
      <c r="B1592" s="11">
        <v>45828.479166666664</v>
      </c>
      <c r="C1592" s="7">
        <v>593.0059</v>
      </c>
      <c r="D1592">
        <v>2726780</v>
      </c>
      <c r="E1592">
        <v>3673416.25</v>
      </c>
    </row>
    <row r="1593" spans="1:5">
      <c r="A1593">
        <v>1588</v>
      </c>
      <c r="B1593" s="11">
        <v>45828.458333333336</v>
      </c>
      <c r="C1593" s="7">
        <v>593.46950000000004</v>
      </c>
      <c r="D1593">
        <v>3401329</v>
      </c>
      <c r="E1593">
        <v>3593636.5</v>
      </c>
    </row>
    <row r="1594" spans="1:5">
      <c r="A1594">
        <v>1589</v>
      </c>
      <c r="B1594" s="11">
        <v>45828.4375</v>
      </c>
      <c r="C1594" s="7">
        <v>592.59699999999998</v>
      </c>
      <c r="D1594">
        <v>4259628</v>
      </c>
      <c r="E1594">
        <v>3522138.25</v>
      </c>
    </row>
    <row r="1595" spans="1:5">
      <c r="A1595">
        <v>1590</v>
      </c>
      <c r="B1595" s="11">
        <v>45828.416666666664</v>
      </c>
      <c r="C1595" s="7">
        <v>594.49180000000001</v>
      </c>
      <c r="D1595">
        <v>4153844</v>
      </c>
      <c r="E1595">
        <v>3492574</v>
      </c>
    </row>
    <row r="1596" spans="1:5">
      <c r="A1596">
        <v>1591</v>
      </c>
      <c r="B1596" s="11">
        <v>45828.395833333336</v>
      </c>
      <c r="C1596" s="7">
        <v>595.59870000000001</v>
      </c>
      <c r="D1596">
        <v>6424512</v>
      </c>
      <c r="E1596">
        <v>3524064</v>
      </c>
    </row>
    <row r="1597" spans="1:5">
      <c r="A1597">
        <v>1592</v>
      </c>
      <c r="B1597" s="11">
        <v>45826.666666666664</v>
      </c>
      <c r="C1597" s="7">
        <v>594.03189999999995</v>
      </c>
      <c r="D1597">
        <v>0</v>
      </c>
      <c r="E1597">
        <v>3095763.25</v>
      </c>
    </row>
    <row r="1598" spans="1:5">
      <c r="A1598">
        <v>1593</v>
      </c>
      <c r="B1598" s="11">
        <v>45826.645833333336</v>
      </c>
      <c r="C1598" s="7">
        <v>594.07169999999996</v>
      </c>
      <c r="D1598">
        <v>8615478</v>
      </c>
      <c r="E1598">
        <v>3792383.75</v>
      </c>
    </row>
    <row r="1599" spans="1:5">
      <c r="A1599">
        <v>1594</v>
      </c>
      <c r="B1599" s="11">
        <v>45826.625</v>
      </c>
      <c r="C1599" s="7">
        <v>593.43539999999996</v>
      </c>
      <c r="D1599">
        <v>6861751</v>
      </c>
      <c r="E1599">
        <v>3480478.25</v>
      </c>
    </row>
    <row r="1600" spans="1:5">
      <c r="A1600">
        <v>1595</v>
      </c>
      <c r="B1600" s="11">
        <v>45826.604166666664</v>
      </c>
      <c r="C1600" s="7">
        <v>593.59439999999995</v>
      </c>
      <c r="D1600">
        <v>5961592</v>
      </c>
      <c r="E1600">
        <v>3291002.75</v>
      </c>
    </row>
    <row r="1601" spans="1:5">
      <c r="A1601">
        <v>1596</v>
      </c>
      <c r="B1601" s="11">
        <v>45826.583333333336</v>
      </c>
      <c r="C1601" s="7">
        <v>595.92110000000002</v>
      </c>
      <c r="D1601">
        <v>3969891</v>
      </c>
      <c r="E1601">
        <v>3240763.75</v>
      </c>
    </row>
    <row r="1602" spans="1:5">
      <c r="A1602">
        <v>1597</v>
      </c>
      <c r="B1602" s="11">
        <v>45826.5625</v>
      </c>
      <c r="C1602" s="7">
        <v>596.18949999999995</v>
      </c>
      <c r="D1602">
        <v>2424854</v>
      </c>
      <c r="E1602">
        <v>3296090.5</v>
      </c>
    </row>
    <row r="1603" spans="1:5">
      <c r="A1603">
        <v>1598</v>
      </c>
      <c r="B1603" s="11">
        <v>45826.541666666664</v>
      </c>
      <c r="C1603" s="7">
        <v>595.40909999999997</v>
      </c>
      <c r="D1603">
        <v>1498178</v>
      </c>
      <c r="E1603">
        <v>3374316.75</v>
      </c>
    </row>
    <row r="1604" spans="1:5">
      <c r="A1604">
        <v>1599</v>
      </c>
      <c r="B1604" s="11">
        <v>45826.520833333336</v>
      </c>
      <c r="C1604" s="7">
        <v>595.99069999999995</v>
      </c>
      <c r="D1604">
        <v>1561930</v>
      </c>
      <c r="E1604">
        <v>3516444.25</v>
      </c>
    </row>
    <row r="1605" spans="1:5">
      <c r="A1605">
        <v>1600</v>
      </c>
      <c r="B1605" s="11">
        <v>45826.5</v>
      </c>
      <c r="C1605" s="7">
        <v>596.03549999999996</v>
      </c>
      <c r="D1605">
        <v>1461240</v>
      </c>
      <c r="E1605">
        <v>3576709.25</v>
      </c>
    </row>
    <row r="1606" spans="1:5">
      <c r="A1606">
        <v>1601</v>
      </c>
      <c r="B1606" s="11">
        <v>45826.479166666664</v>
      </c>
      <c r="C1606" s="7">
        <v>596.28819999999996</v>
      </c>
      <c r="D1606">
        <v>1780236</v>
      </c>
      <c r="E1606">
        <v>3634526</v>
      </c>
    </row>
    <row r="1607" spans="1:5">
      <c r="A1607">
        <v>1602</v>
      </c>
      <c r="B1607" s="11">
        <v>45826.458333333336</v>
      </c>
      <c r="C1607" s="7">
        <v>596.71659999999997</v>
      </c>
      <c r="D1607">
        <v>1530084</v>
      </c>
      <c r="E1607">
        <v>3686447</v>
      </c>
    </row>
    <row r="1608" spans="1:5">
      <c r="A1608">
        <v>1603</v>
      </c>
      <c r="B1608" s="11">
        <v>45826.4375</v>
      </c>
      <c r="C1608" s="7">
        <v>597.42240000000004</v>
      </c>
      <c r="D1608">
        <v>2328855</v>
      </c>
      <c r="E1608">
        <v>3752353.25</v>
      </c>
    </row>
    <row r="1609" spans="1:5">
      <c r="A1609">
        <v>1604</v>
      </c>
      <c r="B1609" s="11">
        <v>45826.416666666664</v>
      </c>
      <c r="C1609" s="7">
        <v>597.31510000000003</v>
      </c>
      <c r="D1609">
        <v>3816165</v>
      </c>
      <c r="E1609">
        <v>3813981.25</v>
      </c>
    </row>
    <row r="1610" spans="1:5">
      <c r="A1610">
        <v>1605</v>
      </c>
      <c r="B1610" s="11">
        <v>45826.395833333336</v>
      </c>
      <c r="C1610" s="7">
        <v>595.76</v>
      </c>
      <c r="D1610">
        <v>4626193</v>
      </c>
      <c r="E1610">
        <v>3949294</v>
      </c>
    </row>
    <row r="1611" spans="1:5">
      <c r="A1611">
        <v>1606</v>
      </c>
      <c r="B1611" s="11">
        <v>45825.666666666664</v>
      </c>
      <c r="C1611" s="7">
        <v>594.12149999999997</v>
      </c>
      <c r="D1611">
        <v>0</v>
      </c>
      <c r="E1611">
        <v>3640881</v>
      </c>
    </row>
    <row r="1612" spans="1:5">
      <c r="A1612">
        <v>1607</v>
      </c>
      <c r="B1612" s="11">
        <v>45825.645833333336</v>
      </c>
      <c r="C1612" s="7">
        <v>594.12149999999997</v>
      </c>
      <c r="D1612">
        <v>10449311</v>
      </c>
      <c r="E1612">
        <v>4331213.5</v>
      </c>
    </row>
    <row r="1613" spans="1:5">
      <c r="A1613">
        <v>1608</v>
      </c>
      <c r="B1613" s="11">
        <v>45825.625</v>
      </c>
      <c r="C1613" s="7">
        <v>594.85720000000003</v>
      </c>
      <c r="D1613">
        <v>3936893</v>
      </c>
      <c r="E1613">
        <v>3922767.5</v>
      </c>
    </row>
    <row r="1614" spans="1:5">
      <c r="A1614">
        <v>1609</v>
      </c>
      <c r="B1614" s="11">
        <v>45825.604166666664</v>
      </c>
      <c r="C1614" s="7">
        <v>594.73789999999997</v>
      </c>
      <c r="D1614">
        <v>4019618</v>
      </c>
      <c r="E1614">
        <v>3839016</v>
      </c>
    </row>
    <row r="1615" spans="1:5">
      <c r="A1615">
        <v>1610</v>
      </c>
      <c r="B1615" s="11">
        <v>45825.583333333336</v>
      </c>
      <c r="C1615" s="7">
        <v>593.96230000000003</v>
      </c>
      <c r="D1615">
        <v>5208010</v>
      </c>
      <c r="E1615">
        <v>3709875.5</v>
      </c>
    </row>
    <row r="1616" spans="1:5">
      <c r="A1616">
        <v>1611</v>
      </c>
      <c r="B1616" s="11">
        <v>45825.5625</v>
      </c>
      <c r="C1616" s="7">
        <v>594.51909999999998</v>
      </c>
      <c r="D1616">
        <v>4799790</v>
      </c>
      <c r="E1616">
        <v>3542877.5</v>
      </c>
    </row>
    <row r="1617" spans="1:5">
      <c r="A1617">
        <v>1612</v>
      </c>
      <c r="B1617" s="11">
        <v>45825.541666666664</v>
      </c>
      <c r="C1617" s="7">
        <v>595.39409999999998</v>
      </c>
      <c r="D1617">
        <v>3598249</v>
      </c>
      <c r="E1617">
        <v>3389789.25</v>
      </c>
    </row>
    <row r="1618" spans="1:5">
      <c r="A1618">
        <v>1613</v>
      </c>
      <c r="B1618" s="11">
        <v>45825.520833333336</v>
      </c>
      <c r="C1618" s="7">
        <v>596.32870000000003</v>
      </c>
      <c r="D1618">
        <v>3630089</v>
      </c>
      <c r="E1618">
        <v>3290564.25</v>
      </c>
    </row>
    <row r="1619" spans="1:5">
      <c r="A1619">
        <v>1614</v>
      </c>
      <c r="B1619" s="11">
        <v>45825.5</v>
      </c>
      <c r="C1619" s="7">
        <v>597.71079999999995</v>
      </c>
      <c r="D1619">
        <v>2465907</v>
      </c>
      <c r="E1619">
        <v>3174096.25</v>
      </c>
    </row>
    <row r="1620" spans="1:5">
      <c r="A1620">
        <v>1615</v>
      </c>
      <c r="B1620" s="11">
        <v>45825.479166666664</v>
      </c>
      <c r="C1620" s="7">
        <v>597.29319999999996</v>
      </c>
      <c r="D1620">
        <v>2328490</v>
      </c>
      <c r="E1620">
        <v>3219482</v>
      </c>
    </row>
    <row r="1621" spans="1:5">
      <c r="A1621">
        <v>1616</v>
      </c>
      <c r="B1621" s="11">
        <v>45825.458333333336</v>
      </c>
      <c r="C1621" s="7">
        <v>597.01480000000004</v>
      </c>
      <c r="D1621">
        <v>2559050</v>
      </c>
      <c r="E1621">
        <v>3282529.75</v>
      </c>
    </row>
    <row r="1622" spans="1:5">
      <c r="A1622">
        <v>1617</v>
      </c>
      <c r="B1622" s="11">
        <v>45825.4375</v>
      </c>
      <c r="C1622" s="7">
        <v>597.04459999999995</v>
      </c>
      <c r="D1622">
        <v>2518679</v>
      </c>
      <c r="E1622">
        <v>3358547.75</v>
      </c>
    </row>
    <row r="1623" spans="1:5">
      <c r="A1623">
        <v>1618</v>
      </c>
      <c r="B1623" s="11">
        <v>45825.416666666664</v>
      </c>
      <c r="C1623" s="7">
        <v>597.71079999999995</v>
      </c>
      <c r="D1623">
        <v>3253273</v>
      </c>
      <c r="E1623">
        <v>3504774.75</v>
      </c>
    </row>
    <row r="1624" spans="1:5">
      <c r="A1624">
        <v>1619</v>
      </c>
      <c r="B1624" s="11">
        <v>45825.395833333336</v>
      </c>
      <c r="C1624" s="7">
        <v>597.5616</v>
      </c>
      <c r="D1624">
        <v>5845857</v>
      </c>
      <c r="E1624">
        <v>3848552</v>
      </c>
    </row>
    <row r="1625" spans="1:5">
      <c r="A1625">
        <v>1620</v>
      </c>
      <c r="B1625" s="11">
        <v>45824.666666666664</v>
      </c>
      <c r="C1625" s="7">
        <v>599.24199999999996</v>
      </c>
      <c r="D1625">
        <v>0</v>
      </c>
      <c r="E1625">
        <v>3458828.25</v>
      </c>
    </row>
    <row r="1626" spans="1:5">
      <c r="A1626">
        <v>1621</v>
      </c>
      <c r="B1626" s="11">
        <v>45824.645833333336</v>
      </c>
      <c r="C1626" s="7">
        <v>599.24199999999996</v>
      </c>
      <c r="D1626">
        <v>10354987</v>
      </c>
      <c r="E1626">
        <v>4351301</v>
      </c>
    </row>
    <row r="1627" spans="1:5">
      <c r="A1627">
        <v>1622</v>
      </c>
      <c r="B1627" s="11">
        <v>45824.625</v>
      </c>
      <c r="C1627" s="7">
        <v>598.60569999999996</v>
      </c>
      <c r="D1627">
        <v>4322622</v>
      </c>
      <c r="E1627">
        <v>4022521.25</v>
      </c>
    </row>
    <row r="1628" spans="1:5">
      <c r="A1628">
        <v>1623</v>
      </c>
      <c r="B1628" s="11">
        <v>45824.604166666664</v>
      </c>
      <c r="C1628" s="7">
        <v>599.06299999999999</v>
      </c>
      <c r="D1628">
        <v>2680619</v>
      </c>
      <c r="E1628">
        <v>4200778</v>
      </c>
    </row>
    <row r="1629" spans="1:5">
      <c r="A1629">
        <v>1624</v>
      </c>
      <c r="B1629" s="11">
        <v>45824.583333333336</v>
      </c>
      <c r="C1629" s="7">
        <v>599.14260000000002</v>
      </c>
      <c r="D1629">
        <v>2082510</v>
      </c>
      <c r="E1629">
        <v>4353457.5</v>
      </c>
    </row>
    <row r="1630" spans="1:5">
      <c r="A1630">
        <v>1625</v>
      </c>
      <c r="B1630" s="11">
        <v>45824.5625</v>
      </c>
      <c r="C1630" s="7">
        <v>598.8741</v>
      </c>
      <c r="D1630">
        <v>2703042</v>
      </c>
      <c r="E1630">
        <v>4393409</v>
      </c>
    </row>
    <row r="1631" spans="1:5">
      <c r="A1631">
        <v>1626</v>
      </c>
      <c r="B1631" s="11">
        <v>45824.541666666664</v>
      </c>
      <c r="C1631" s="7">
        <v>599.9579</v>
      </c>
      <c r="D1631">
        <v>2503464</v>
      </c>
      <c r="E1631">
        <v>4416358.5</v>
      </c>
    </row>
    <row r="1632" spans="1:5">
      <c r="A1632">
        <v>1627</v>
      </c>
      <c r="B1632" s="11">
        <v>45824.520833333336</v>
      </c>
      <c r="C1632" s="7">
        <v>599.27189999999996</v>
      </c>
      <c r="D1632">
        <v>2109876</v>
      </c>
      <c r="E1632">
        <v>4388954.5</v>
      </c>
    </row>
    <row r="1633" spans="1:5">
      <c r="A1633">
        <v>1628</v>
      </c>
      <c r="B1633" s="11">
        <v>45824.5</v>
      </c>
      <c r="C1633" s="7">
        <v>599.60990000000004</v>
      </c>
      <c r="D1633">
        <v>1883068</v>
      </c>
      <c r="E1633">
        <v>4381457</v>
      </c>
    </row>
    <row r="1634" spans="1:5">
      <c r="A1634">
        <v>1629</v>
      </c>
      <c r="B1634" s="11">
        <v>45824.479166666664</v>
      </c>
      <c r="C1634" s="7">
        <v>599.69939999999997</v>
      </c>
      <c r="D1634">
        <v>3146693</v>
      </c>
      <c r="E1634">
        <v>4481095</v>
      </c>
    </row>
    <row r="1635" spans="1:5">
      <c r="A1635">
        <v>1630</v>
      </c>
      <c r="B1635" s="11">
        <v>45824.458333333336</v>
      </c>
      <c r="C1635" s="7">
        <v>599.91819999999996</v>
      </c>
      <c r="D1635">
        <v>3274207</v>
      </c>
      <c r="E1635">
        <v>4467176</v>
      </c>
    </row>
    <row r="1636" spans="1:5">
      <c r="A1636">
        <v>1631</v>
      </c>
      <c r="B1636" s="11">
        <v>45824.4375</v>
      </c>
      <c r="C1636" s="7">
        <v>600.47490000000005</v>
      </c>
      <c r="D1636">
        <v>3699318</v>
      </c>
      <c r="E1636">
        <v>4535550.5</v>
      </c>
    </row>
    <row r="1637" spans="1:5">
      <c r="A1637">
        <v>1632</v>
      </c>
      <c r="B1637" s="11">
        <v>45824.416666666664</v>
      </c>
      <c r="C1637" s="7">
        <v>600.65390000000002</v>
      </c>
      <c r="D1637">
        <v>4712086</v>
      </c>
      <c r="E1637">
        <v>4584961.5</v>
      </c>
    </row>
    <row r="1638" spans="1:5">
      <c r="A1638">
        <v>1633</v>
      </c>
      <c r="B1638" s="11">
        <v>45824.395833333336</v>
      </c>
      <c r="C1638" s="7">
        <v>599.76400000000001</v>
      </c>
      <c r="D1638">
        <v>8409931</v>
      </c>
      <c r="E1638">
        <v>4736212.5</v>
      </c>
    </row>
    <row r="1639" spans="1:5">
      <c r="A1639">
        <v>1634</v>
      </c>
      <c r="B1639" s="11">
        <v>45821.666666666664</v>
      </c>
      <c r="C1639" s="7">
        <v>593.59439999999995</v>
      </c>
      <c r="D1639">
        <v>0</v>
      </c>
      <c r="E1639">
        <v>4175550.5</v>
      </c>
    </row>
    <row r="1640" spans="1:5">
      <c r="A1640">
        <v>1635</v>
      </c>
      <c r="B1640" s="11">
        <v>45821.645833333336</v>
      </c>
      <c r="C1640" s="7">
        <v>593.59439999999995</v>
      </c>
      <c r="D1640">
        <v>13387094</v>
      </c>
      <c r="E1640">
        <v>4712235</v>
      </c>
    </row>
    <row r="1641" spans="1:5">
      <c r="A1641">
        <v>1636</v>
      </c>
      <c r="B1641" s="11">
        <v>45821.625</v>
      </c>
      <c r="C1641" s="7">
        <v>592.91830000000004</v>
      </c>
      <c r="D1641">
        <v>5423287</v>
      </c>
      <c r="E1641">
        <v>4002732</v>
      </c>
    </row>
    <row r="1642" spans="1:5">
      <c r="A1642">
        <v>1637</v>
      </c>
      <c r="B1642" s="11">
        <v>45821.604166666664</v>
      </c>
      <c r="C1642" s="7">
        <v>593.66409999999996</v>
      </c>
      <c r="D1642">
        <v>6996476</v>
      </c>
      <c r="E1642">
        <v>3822423</v>
      </c>
    </row>
    <row r="1643" spans="1:5">
      <c r="A1643">
        <v>1638</v>
      </c>
      <c r="B1643" s="11">
        <v>45821.583333333336</v>
      </c>
      <c r="C1643" s="7">
        <v>593.71370000000002</v>
      </c>
      <c r="D1643">
        <v>4970813</v>
      </c>
      <c r="E1643">
        <v>3501452.5</v>
      </c>
    </row>
    <row r="1644" spans="1:5">
      <c r="A1644">
        <v>1639</v>
      </c>
      <c r="B1644" s="11">
        <v>45821.5625</v>
      </c>
      <c r="C1644" s="7">
        <v>596.30960000000005</v>
      </c>
      <c r="D1644">
        <v>2681782</v>
      </c>
      <c r="E1644">
        <v>3278557.25</v>
      </c>
    </row>
    <row r="1645" spans="1:5">
      <c r="A1645">
        <v>1640</v>
      </c>
      <c r="B1645" s="11">
        <v>45821.541666666664</v>
      </c>
      <c r="C1645" s="7">
        <v>596.07029999999997</v>
      </c>
      <c r="D1645">
        <v>3047279</v>
      </c>
      <c r="E1645">
        <v>3222771.25</v>
      </c>
    </row>
    <row r="1646" spans="1:5">
      <c r="A1646">
        <v>1641</v>
      </c>
      <c r="B1646" s="11">
        <v>45821.520833333336</v>
      </c>
      <c r="C1646" s="7">
        <v>597.5616</v>
      </c>
      <c r="D1646">
        <v>2092409</v>
      </c>
      <c r="E1646">
        <v>3207509.75</v>
      </c>
    </row>
    <row r="1647" spans="1:5">
      <c r="A1647">
        <v>1642</v>
      </c>
      <c r="B1647" s="11">
        <v>45821.5</v>
      </c>
      <c r="C1647" s="7">
        <v>597.47320000000002</v>
      </c>
      <c r="D1647">
        <v>1997409</v>
      </c>
      <c r="E1647">
        <v>3282550.25</v>
      </c>
    </row>
    <row r="1648" spans="1:5">
      <c r="A1648">
        <v>1643</v>
      </c>
      <c r="B1648" s="11">
        <v>45821.479166666664</v>
      </c>
      <c r="C1648" s="7">
        <v>597.81020000000001</v>
      </c>
      <c r="D1648">
        <v>3377641</v>
      </c>
      <c r="E1648">
        <v>3305502.25</v>
      </c>
    </row>
    <row r="1649" spans="1:5">
      <c r="A1649">
        <v>1644</v>
      </c>
      <c r="B1649" s="11">
        <v>45821.458333333336</v>
      </c>
      <c r="C1649" s="7">
        <v>597.15409999999997</v>
      </c>
      <c r="D1649">
        <v>2937909</v>
      </c>
      <c r="E1649">
        <v>3417934.75</v>
      </c>
    </row>
    <row r="1650" spans="1:5">
      <c r="A1650">
        <v>1645</v>
      </c>
      <c r="B1650" s="11">
        <v>45821.4375</v>
      </c>
      <c r="C1650" s="7">
        <v>595.78689999999995</v>
      </c>
      <c r="D1650">
        <v>4299825</v>
      </c>
      <c r="E1650">
        <v>3425836</v>
      </c>
    </row>
    <row r="1651" spans="1:5">
      <c r="A1651">
        <v>1646</v>
      </c>
      <c r="B1651" s="11">
        <v>45821.416666666664</v>
      </c>
      <c r="C1651" s="7">
        <v>593.44529999999997</v>
      </c>
      <c r="D1651">
        <v>4440482</v>
      </c>
      <c r="E1651">
        <v>3408680</v>
      </c>
    </row>
    <row r="1652" spans="1:5">
      <c r="A1652">
        <v>1647</v>
      </c>
      <c r="B1652" s="11">
        <v>45821.395833333336</v>
      </c>
      <c r="C1652" s="7">
        <v>595.36429999999996</v>
      </c>
      <c r="D1652">
        <v>6980852</v>
      </c>
      <c r="E1652">
        <v>3416719.75</v>
      </c>
    </row>
    <row r="1653" spans="1:5">
      <c r="A1653">
        <v>1648</v>
      </c>
      <c r="B1653" s="11">
        <v>45820.666666666664</v>
      </c>
      <c r="C1653" s="7">
        <v>600.30589999999995</v>
      </c>
      <c r="D1653">
        <v>0</v>
      </c>
      <c r="E1653">
        <v>2951329.75</v>
      </c>
    </row>
    <row r="1654" spans="1:5">
      <c r="A1654">
        <v>1649</v>
      </c>
      <c r="B1654" s="11">
        <v>45820.645833333336</v>
      </c>
      <c r="C1654" s="7">
        <v>600.30589999999995</v>
      </c>
      <c r="D1654">
        <v>8050267</v>
      </c>
      <c r="E1654">
        <v>3528078</v>
      </c>
    </row>
    <row r="1655" spans="1:5">
      <c r="A1655">
        <v>1650</v>
      </c>
      <c r="B1655" s="11">
        <v>45820.625</v>
      </c>
      <c r="C1655" s="7">
        <v>599.81870000000004</v>
      </c>
      <c r="D1655">
        <v>2744548</v>
      </c>
      <c r="E1655">
        <v>3251270.75</v>
      </c>
    </row>
    <row r="1656" spans="1:5">
      <c r="A1656">
        <v>1651</v>
      </c>
      <c r="B1656" s="11">
        <v>45820.604166666664</v>
      </c>
      <c r="C1656" s="7">
        <v>599.86839999999995</v>
      </c>
      <c r="D1656">
        <v>2718653</v>
      </c>
      <c r="E1656">
        <v>3383899.25</v>
      </c>
    </row>
    <row r="1657" spans="1:5">
      <c r="A1657">
        <v>1652</v>
      </c>
      <c r="B1657" s="11">
        <v>45820.583333333336</v>
      </c>
      <c r="C1657" s="7">
        <v>599.38120000000004</v>
      </c>
      <c r="D1657">
        <v>2181917</v>
      </c>
      <c r="E1657">
        <v>3683880.5</v>
      </c>
    </row>
    <row r="1658" spans="1:5">
      <c r="A1658">
        <v>1653</v>
      </c>
      <c r="B1658" s="11">
        <v>45820.5625</v>
      </c>
      <c r="C1658" s="7">
        <v>599.68949999999995</v>
      </c>
      <c r="D1658">
        <v>1627387</v>
      </c>
      <c r="E1658">
        <v>3688854.75</v>
      </c>
    </row>
    <row r="1659" spans="1:5">
      <c r="A1659">
        <v>1654</v>
      </c>
      <c r="B1659" s="11">
        <v>45820.541666666664</v>
      </c>
      <c r="C1659" s="7">
        <v>599.53030000000001</v>
      </c>
      <c r="D1659">
        <v>1844989</v>
      </c>
      <c r="E1659">
        <v>3709060.5</v>
      </c>
    </row>
    <row r="1660" spans="1:5">
      <c r="A1660">
        <v>1655</v>
      </c>
      <c r="B1660" s="11">
        <v>45820.520833333336</v>
      </c>
      <c r="C1660" s="7">
        <v>599.01340000000005</v>
      </c>
      <c r="D1660">
        <v>2818359</v>
      </c>
      <c r="E1660">
        <v>3731879</v>
      </c>
    </row>
    <row r="1661" spans="1:5">
      <c r="A1661">
        <v>1656</v>
      </c>
      <c r="B1661" s="11">
        <v>45820.5</v>
      </c>
      <c r="C1661" s="7">
        <v>599.5403</v>
      </c>
      <c r="D1661">
        <v>3218014</v>
      </c>
      <c r="E1661">
        <v>3794727</v>
      </c>
    </row>
    <row r="1662" spans="1:5">
      <c r="A1662">
        <v>1657</v>
      </c>
      <c r="B1662" s="11">
        <v>45820.479166666664</v>
      </c>
      <c r="C1662" s="7">
        <v>599.06299999999999</v>
      </c>
      <c r="D1662">
        <v>2341692</v>
      </c>
      <c r="E1662">
        <v>3726076.75</v>
      </c>
    </row>
    <row r="1663" spans="1:5">
      <c r="A1663">
        <v>1658</v>
      </c>
      <c r="B1663" s="11">
        <v>45820.458333333336</v>
      </c>
      <c r="C1663" s="7">
        <v>598.97360000000003</v>
      </c>
      <c r="D1663">
        <v>5064129</v>
      </c>
      <c r="E1663">
        <v>3758553.25</v>
      </c>
    </row>
    <row r="1664" spans="1:5">
      <c r="A1664">
        <v>1659</v>
      </c>
      <c r="B1664" s="11">
        <v>45820.4375</v>
      </c>
      <c r="C1664" s="7">
        <v>599.26199999999994</v>
      </c>
      <c r="D1664">
        <v>3056427</v>
      </c>
      <c r="E1664">
        <v>3573667.5</v>
      </c>
    </row>
    <row r="1665" spans="1:5">
      <c r="A1665">
        <v>1660</v>
      </c>
      <c r="B1665" s="11">
        <v>45820.416666666664</v>
      </c>
      <c r="C1665" s="7">
        <v>599.0829</v>
      </c>
      <c r="D1665">
        <v>4042483</v>
      </c>
      <c r="E1665">
        <v>3560880.5</v>
      </c>
    </row>
    <row r="1666" spans="1:5">
      <c r="A1666">
        <v>1661</v>
      </c>
      <c r="B1666" s="11">
        <v>45820.395833333336</v>
      </c>
      <c r="C1666" s="7">
        <v>597.3827</v>
      </c>
      <c r="D1666">
        <v>4561080</v>
      </c>
      <c r="E1666">
        <v>3653411.25</v>
      </c>
    </row>
    <row r="1667" spans="1:5">
      <c r="A1667">
        <v>1662</v>
      </c>
      <c r="B1667" s="11">
        <v>45819.666666666664</v>
      </c>
      <c r="C1667" s="7">
        <v>597.92960000000005</v>
      </c>
      <c r="D1667">
        <v>0</v>
      </c>
      <c r="E1667">
        <v>3349339.25</v>
      </c>
    </row>
    <row r="1668" spans="1:5">
      <c r="A1668">
        <v>1663</v>
      </c>
      <c r="B1668" s="11">
        <v>45819.645833333336</v>
      </c>
      <c r="C1668" s="7">
        <v>597.92960000000005</v>
      </c>
      <c r="D1668">
        <v>8651224</v>
      </c>
      <c r="E1668">
        <v>3986987</v>
      </c>
    </row>
    <row r="1669" spans="1:5">
      <c r="A1669">
        <v>1664</v>
      </c>
      <c r="B1669" s="11">
        <v>45819.625</v>
      </c>
      <c r="C1669" s="7">
        <v>596.99490000000003</v>
      </c>
      <c r="D1669">
        <v>3898160</v>
      </c>
      <c r="E1669">
        <v>3698496</v>
      </c>
    </row>
    <row r="1670" spans="1:5">
      <c r="A1670">
        <v>1665</v>
      </c>
      <c r="B1670" s="11">
        <v>45819.604166666664</v>
      </c>
      <c r="C1670" s="7">
        <v>597.31309999999996</v>
      </c>
      <c r="D1670">
        <v>4733976</v>
      </c>
      <c r="E1670">
        <v>3685957.5</v>
      </c>
    </row>
    <row r="1671" spans="1:5">
      <c r="A1671">
        <v>1666</v>
      </c>
      <c r="B1671" s="11">
        <v>45819.583333333336</v>
      </c>
      <c r="C1671" s="7">
        <v>597.15409999999997</v>
      </c>
      <c r="D1671">
        <v>7218369</v>
      </c>
      <c r="E1671">
        <v>3631013.5</v>
      </c>
    </row>
    <row r="1672" spans="1:5">
      <c r="A1672">
        <v>1667</v>
      </c>
      <c r="B1672" s="11">
        <v>45819.5625</v>
      </c>
      <c r="C1672" s="7">
        <v>599.00340000000006</v>
      </c>
      <c r="D1672">
        <v>2256533</v>
      </c>
      <c r="E1672">
        <v>3292250.5</v>
      </c>
    </row>
    <row r="1673" spans="1:5">
      <c r="A1673">
        <v>1668</v>
      </c>
      <c r="B1673" s="11">
        <v>45819.541666666664</v>
      </c>
      <c r="C1673" s="7">
        <v>600.90250000000003</v>
      </c>
      <c r="D1673">
        <v>1930473</v>
      </c>
      <c r="E1673">
        <v>3307345</v>
      </c>
    </row>
    <row r="1674" spans="1:5">
      <c r="A1674">
        <v>1669</v>
      </c>
      <c r="B1674" s="11">
        <v>45819.520833333336</v>
      </c>
      <c r="C1674" s="7">
        <v>599.96299999999997</v>
      </c>
      <c r="D1674">
        <v>2187265</v>
      </c>
      <c r="E1674">
        <v>3308016.75</v>
      </c>
    </row>
    <row r="1675" spans="1:5">
      <c r="A1675">
        <v>1670</v>
      </c>
      <c r="B1675" s="11">
        <v>45819.5</v>
      </c>
      <c r="C1675" s="7">
        <v>599.78390000000002</v>
      </c>
      <c r="D1675">
        <v>3761081</v>
      </c>
      <c r="E1675">
        <v>3321846.75</v>
      </c>
    </row>
    <row r="1676" spans="1:5">
      <c r="A1676">
        <v>1671</v>
      </c>
      <c r="B1676" s="11">
        <v>45819.479166666664</v>
      </c>
      <c r="C1676" s="7">
        <v>600.14189999999996</v>
      </c>
      <c r="D1676">
        <v>2188259</v>
      </c>
      <c r="E1676">
        <v>3386043.25</v>
      </c>
    </row>
    <row r="1677" spans="1:5">
      <c r="A1677">
        <v>1672</v>
      </c>
      <c r="B1677" s="11">
        <v>45819.458333333336</v>
      </c>
      <c r="C1677" s="7">
        <v>600.75340000000006</v>
      </c>
      <c r="D1677">
        <v>2828840</v>
      </c>
      <c r="E1677">
        <v>3398727.5</v>
      </c>
    </row>
    <row r="1678" spans="1:5">
      <c r="A1678">
        <v>1673</v>
      </c>
      <c r="B1678" s="11">
        <v>45819.4375</v>
      </c>
      <c r="C1678" s="7">
        <v>601.24059999999997</v>
      </c>
      <c r="D1678">
        <v>2290842</v>
      </c>
      <c r="E1678">
        <v>3387394.5</v>
      </c>
    </row>
    <row r="1679" spans="1:5">
      <c r="A1679">
        <v>1674</v>
      </c>
      <c r="B1679" s="11">
        <v>45819.416666666664</v>
      </c>
      <c r="C1679" s="7">
        <v>601.31020000000001</v>
      </c>
      <c r="D1679">
        <v>2864624</v>
      </c>
      <c r="E1679">
        <v>3405170.75</v>
      </c>
    </row>
    <row r="1680" spans="1:5">
      <c r="A1680">
        <v>1675</v>
      </c>
      <c r="B1680" s="11">
        <v>45819.395833333336</v>
      </c>
      <c r="C1680" s="7">
        <v>600.18679999999995</v>
      </c>
      <c r="D1680">
        <v>5430443</v>
      </c>
      <c r="E1680">
        <v>3484051</v>
      </c>
    </row>
    <row r="1681" spans="1:5">
      <c r="A1681">
        <v>1676</v>
      </c>
      <c r="B1681" s="11">
        <v>45818.666666666664</v>
      </c>
      <c r="C1681" s="7">
        <v>599.63980000000004</v>
      </c>
      <c r="D1681">
        <v>0</v>
      </c>
      <c r="E1681">
        <v>3122021.5</v>
      </c>
    </row>
    <row r="1682" spans="1:5">
      <c r="A1682">
        <v>1677</v>
      </c>
      <c r="B1682" s="11">
        <v>45818.645833333336</v>
      </c>
      <c r="C1682" s="7">
        <v>599.56020000000001</v>
      </c>
      <c r="D1682">
        <v>9564715</v>
      </c>
      <c r="E1682">
        <v>3717082.75</v>
      </c>
    </row>
    <row r="1683" spans="1:5">
      <c r="A1683">
        <v>1678</v>
      </c>
      <c r="B1683" s="11">
        <v>45818.625</v>
      </c>
      <c r="C1683" s="7">
        <v>599.21220000000005</v>
      </c>
      <c r="D1683">
        <v>4323861</v>
      </c>
      <c r="E1683">
        <v>3223146</v>
      </c>
    </row>
    <row r="1684" spans="1:5">
      <c r="A1684">
        <v>1679</v>
      </c>
      <c r="B1684" s="11">
        <v>45818.604166666664</v>
      </c>
      <c r="C1684" s="7">
        <v>599.02329999999995</v>
      </c>
      <c r="D1684">
        <v>3710083</v>
      </c>
      <c r="E1684">
        <v>3114913.5</v>
      </c>
    </row>
    <row r="1685" spans="1:5">
      <c r="A1685">
        <v>1680</v>
      </c>
      <c r="B1685" s="11">
        <v>45818.583333333336</v>
      </c>
      <c r="C1685" s="7">
        <v>597.47360000000003</v>
      </c>
      <c r="D1685">
        <v>3909816</v>
      </c>
      <c r="E1685">
        <v>2968354.5</v>
      </c>
    </row>
    <row r="1686" spans="1:5">
      <c r="A1686">
        <v>1681</v>
      </c>
      <c r="B1686" s="11">
        <v>45818.5625</v>
      </c>
      <c r="C1686" s="7">
        <v>597.85</v>
      </c>
      <c r="D1686">
        <v>2136922</v>
      </c>
      <c r="E1686">
        <v>2812122.75</v>
      </c>
    </row>
    <row r="1687" spans="1:5">
      <c r="A1687">
        <v>1682</v>
      </c>
      <c r="B1687" s="11">
        <v>45818.541666666664</v>
      </c>
      <c r="C1687" s="7">
        <v>598.48630000000003</v>
      </c>
      <c r="D1687">
        <v>2482950</v>
      </c>
      <c r="E1687">
        <v>2794298.5</v>
      </c>
    </row>
    <row r="1688" spans="1:5">
      <c r="A1688">
        <v>1683</v>
      </c>
      <c r="B1688" s="11">
        <v>45818.520833333336</v>
      </c>
      <c r="C1688" s="7">
        <v>598.74490000000003</v>
      </c>
      <c r="D1688">
        <v>1940551</v>
      </c>
      <c r="E1688">
        <v>2780874.75</v>
      </c>
    </row>
    <row r="1689" spans="1:5">
      <c r="A1689">
        <v>1684</v>
      </c>
      <c r="B1689" s="11">
        <v>45818.5</v>
      </c>
      <c r="C1689" s="7">
        <v>598.45659999999998</v>
      </c>
      <c r="D1689">
        <v>2394714</v>
      </c>
      <c r="E1689">
        <v>2758799.75</v>
      </c>
    </row>
    <row r="1690" spans="1:5">
      <c r="A1690">
        <v>1685</v>
      </c>
      <c r="B1690" s="11">
        <v>45818.479166666664</v>
      </c>
      <c r="C1690" s="7">
        <v>597.80520000000001</v>
      </c>
      <c r="D1690">
        <v>4724027</v>
      </c>
      <c r="E1690">
        <v>2711789.5</v>
      </c>
    </row>
    <row r="1691" spans="1:5">
      <c r="A1691">
        <v>1686</v>
      </c>
      <c r="B1691" s="11">
        <v>45818.458333333336</v>
      </c>
      <c r="C1691" s="7">
        <v>597.70540000000005</v>
      </c>
      <c r="D1691">
        <v>2378526</v>
      </c>
      <c r="E1691">
        <v>2518275.75</v>
      </c>
    </row>
    <row r="1692" spans="1:5">
      <c r="A1692">
        <v>1687</v>
      </c>
      <c r="B1692" s="11">
        <v>45818.4375</v>
      </c>
      <c r="C1692" s="7">
        <v>597.64869999999996</v>
      </c>
      <c r="D1692">
        <v>2658845</v>
      </c>
      <c r="E1692">
        <v>2592754.5</v>
      </c>
    </row>
    <row r="1693" spans="1:5">
      <c r="A1693">
        <v>1688</v>
      </c>
      <c r="B1693" s="11">
        <v>45818.416666666664</v>
      </c>
      <c r="C1693" s="7">
        <v>597.76059999999995</v>
      </c>
      <c r="D1693">
        <v>2557485</v>
      </c>
      <c r="E1693">
        <v>2639133.75</v>
      </c>
    </row>
    <row r="1694" spans="1:5">
      <c r="A1694">
        <v>1689</v>
      </c>
      <c r="B1694" s="11">
        <v>45818.395833333336</v>
      </c>
      <c r="C1694" s="7">
        <v>597.14409999999998</v>
      </c>
      <c r="D1694">
        <v>4047828</v>
      </c>
      <c r="E1694">
        <v>2740603.25</v>
      </c>
    </row>
    <row r="1695" spans="1:5">
      <c r="A1695">
        <v>1690</v>
      </c>
      <c r="B1695" s="11">
        <v>45817.666666666664</v>
      </c>
      <c r="C1695" s="7">
        <v>596.25919999999996</v>
      </c>
      <c r="D1695">
        <v>0</v>
      </c>
      <c r="E1695">
        <v>2470748</v>
      </c>
    </row>
    <row r="1696" spans="1:5">
      <c r="A1696">
        <v>1691</v>
      </c>
      <c r="B1696" s="11">
        <v>45817.645833333336</v>
      </c>
      <c r="C1696" s="7">
        <v>596.25919999999996</v>
      </c>
      <c r="D1696">
        <v>8925917</v>
      </c>
      <c r="E1696">
        <v>3062630</v>
      </c>
    </row>
    <row r="1697" spans="1:5">
      <c r="A1697">
        <v>1692</v>
      </c>
      <c r="B1697" s="11">
        <v>45817.625</v>
      </c>
      <c r="C1697" s="7">
        <v>597.07449999999994</v>
      </c>
      <c r="D1697">
        <v>2155666</v>
      </c>
      <c r="E1697">
        <v>2653083.75</v>
      </c>
    </row>
    <row r="1698" spans="1:5">
      <c r="A1698">
        <v>1693</v>
      </c>
      <c r="B1698" s="11">
        <v>45817.604166666664</v>
      </c>
      <c r="C1698" s="7">
        <v>597.5616</v>
      </c>
      <c r="D1698">
        <v>2700371</v>
      </c>
      <c r="E1698">
        <v>2701957</v>
      </c>
    </row>
    <row r="1699" spans="1:5">
      <c r="A1699">
        <v>1694</v>
      </c>
      <c r="B1699" s="11">
        <v>45817.583333333336</v>
      </c>
      <c r="C1699" s="7">
        <v>597.54169999999999</v>
      </c>
      <c r="D1699">
        <v>1511699</v>
      </c>
      <c r="E1699">
        <v>2714785</v>
      </c>
    </row>
    <row r="1700" spans="1:5">
      <c r="A1700">
        <v>1695</v>
      </c>
      <c r="B1700" s="11">
        <v>45817.5625</v>
      </c>
      <c r="C1700" s="7">
        <v>597.47220000000004</v>
      </c>
      <c r="D1700">
        <v>1566340</v>
      </c>
      <c r="E1700">
        <v>2713784.5</v>
      </c>
    </row>
    <row r="1701" spans="1:5">
      <c r="A1701">
        <v>1696</v>
      </c>
      <c r="B1701" s="11">
        <v>45817.541666666664</v>
      </c>
      <c r="C1701" s="7">
        <v>597.39760000000001</v>
      </c>
      <c r="D1701">
        <v>1869558</v>
      </c>
      <c r="E1701">
        <v>2747306.25</v>
      </c>
    </row>
    <row r="1702" spans="1:5">
      <c r="A1702">
        <v>1697</v>
      </c>
      <c r="B1702" s="11">
        <v>45817.520833333336</v>
      </c>
      <c r="C1702" s="7">
        <v>597.25840000000005</v>
      </c>
      <c r="D1702">
        <v>2281594</v>
      </c>
      <c r="E1702">
        <v>2804338.5</v>
      </c>
    </row>
    <row r="1703" spans="1:5">
      <c r="A1703">
        <v>1698</v>
      </c>
      <c r="B1703" s="11">
        <v>45817.5</v>
      </c>
      <c r="C1703" s="7">
        <v>596.37850000000003</v>
      </c>
      <c r="D1703">
        <v>1609428</v>
      </c>
      <c r="E1703">
        <v>2757842.5</v>
      </c>
    </row>
    <row r="1704" spans="1:5">
      <c r="A1704">
        <v>1699</v>
      </c>
      <c r="B1704" s="11">
        <v>45817.479166666664</v>
      </c>
      <c r="C1704" s="7">
        <v>596.41330000000005</v>
      </c>
      <c r="D1704">
        <v>1689560</v>
      </c>
      <c r="E1704">
        <v>2809365.5</v>
      </c>
    </row>
    <row r="1705" spans="1:5">
      <c r="A1705">
        <v>1700</v>
      </c>
      <c r="B1705" s="11">
        <v>45817.458333333336</v>
      </c>
      <c r="C1705" s="7">
        <v>595.79679999999996</v>
      </c>
      <c r="D1705">
        <v>1821320</v>
      </c>
      <c r="E1705">
        <v>3008969.75</v>
      </c>
    </row>
    <row r="1706" spans="1:5">
      <c r="A1706">
        <v>1701</v>
      </c>
      <c r="B1706" s="11">
        <v>45817.4375</v>
      </c>
      <c r="C1706" s="7">
        <v>596.11</v>
      </c>
      <c r="D1706">
        <v>3495707</v>
      </c>
      <c r="E1706">
        <v>3046427.5</v>
      </c>
    </row>
    <row r="1707" spans="1:5">
      <c r="A1707">
        <v>1702</v>
      </c>
      <c r="B1707" s="11">
        <v>45817.416666666664</v>
      </c>
      <c r="C1707" s="7">
        <v>596.32870000000003</v>
      </c>
      <c r="D1707">
        <v>3354533</v>
      </c>
      <c r="E1707">
        <v>3049561.25</v>
      </c>
    </row>
    <row r="1708" spans="1:5">
      <c r="A1708">
        <v>1703</v>
      </c>
      <c r="B1708" s="11">
        <v>45817.395833333336</v>
      </c>
      <c r="C1708" s="7">
        <v>595.55319999999995</v>
      </c>
      <c r="D1708">
        <v>4079527</v>
      </c>
      <c r="E1708">
        <v>3345593</v>
      </c>
    </row>
    <row r="1709" spans="1:5">
      <c r="A1709">
        <v>1704</v>
      </c>
      <c r="B1709" s="11">
        <v>45814.666666666664</v>
      </c>
      <c r="C1709" s="7">
        <v>595.72220000000004</v>
      </c>
      <c r="D1709">
        <v>0</v>
      </c>
      <c r="E1709">
        <v>3073624.5</v>
      </c>
    </row>
    <row r="1710" spans="1:5">
      <c r="A1710">
        <v>1705</v>
      </c>
      <c r="B1710" s="11">
        <v>45814.645833333336</v>
      </c>
      <c r="C1710" s="7">
        <v>595.72220000000004</v>
      </c>
      <c r="D1710">
        <v>8878229</v>
      </c>
      <c r="E1710">
        <v>3922431.75</v>
      </c>
    </row>
    <row r="1711" spans="1:5">
      <c r="A1711">
        <v>1706</v>
      </c>
      <c r="B1711" s="11">
        <v>45814.625</v>
      </c>
      <c r="C1711" s="7">
        <v>595.89120000000003</v>
      </c>
      <c r="D1711">
        <v>2782723</v>
      </c>
      <c r="E1711">
        <v>3870246.5</v>
      </c>
    </row>
    <row r="1712" spans="1:5">
      <c r="A1712">
        <v>1707</v>
      </c>
      <c r="B1712" s="11">
        <v>45814.604166666664</v>
      </c>
      <c r="C1712" s="7">
        <v>596.24919999999997</v>
      </c>
      <c r="D1712">
        <v>2888765</v>
      </c>
      <c r="E1712">
        <v>3869195.75</v>
      </c>
    </row>
    <row r="1713" spans="1:5">
      <c r="A1713">
        <v>1708</v>
      </c>
      <c r="B1713" s="11">
        <v>45814.583333333336</v>
      </c>
      <c r="C1713" s="7">
        <v>596.15970000000004</v>
      </c>
      <c r="D1713">
        <v>2892793</v>
      </c>
      <c r="E1713">
        <v>3969415</v>
      </c>
    </row>
    <row r="1714" spans="1:5">
      <c r="A1714">
        <v>1709</v>
      </c>
      <c r="B1714" s="11">
        <v>45814.5625</v>
      </c>
      <c r="C1714" s="7">
        <v>595.54330000000004</v>
      </c>
      <c r="D1714">
        <v>1496690</v>
      </c>
      <c r="E1714">
        <v>3913151</v>
      </c>
    </row>
    <row r="1715" spans="1:5">
      <c r="A1715">
        <v>1710</v>
      </c>
      <c r="B1715" s="11">
        <v>45814.541666666664</v>
      </c>
      <c r="C1715" s="7">
        <v>594.81740000000002</v>
      </c>
      <c r="D1715">
        <v>2069167</v>
      </c>
      <c r="E1715">
        <v>4020636</v>
      </c>
    </row>
    <row r="1716" spans="1:5">
      <c r="A1716">
        <v>1711</v>
      </c>
      <c r="B1716" s="11">
        <v>45814.520833333336</v>
      </c>
      <c r="C1716" s="7">
        <v>594.20090000000005</v>
      </c>
      <c r="D1716">
        <v>2725040</v>
      </c>
      <c r="E1716">
        <v>4194183.25</v>
      </c>
    </row>
    <row r="1717" spans="1:5">
      <c r="A1717">
        <v>1712</v>
      </c>
      <c r="B1717" s="11">
        <v>45814.5</v>
      </c>
      <c r="C1717" s="7">
        <v>595.17539999999997</v>
      </c>
      <c r="D1717">
        <v>1584156</v>
      </c>
      <c r="E1717">
        <v>4210076.5</v>
      </c>
    </row>
    <row r="1718" spans="1:5">
      <c r="A1718">
        <v>1713</v>
      </c>
      <c r="B1718" s="11">
        <v>45814.479166666664</v>
      </c>
      <c r="C1718" s="7">
        <v>595.31460000000004</v>
      </c>
      <c r="D1718">
        <v>2382273</v>
      </c>
      <c r="E1718">
        <v>4271435.5</v>
      </c>
    </row>
    <row r="1719" spans="1:5">
      <c r="A1719">
        <v>1714</v>
      </c>
      <c r="B1719" s="11">
        <v>45814.458333333336</v>
      </c>
      <c r="C1719" s="7">
        <v>595.07590000000005</v>
      </c>
      <c r="D1719">
        <v>4683622</v>
      </c>
      <c r="E1719">
        <v>4362369</v>
      </c>
    </row>
    <row r="1720" spans="1:5">
      <c r="A1720">
        <v>1715</v>
      </c>
      <c r="B1720" s="11">
        <v>45814.4375</v>
      </c>
      <c r="C1720" s="7">
        <v>595.88130000000001</v>
      </c>
      <c r="D1720">
        <v>2383189</v>
      </c>
      <c r="E1720">
        <v>4522829</v>
      </c>
    </row>
    <row r="1721" spans="1:5">
      <c r="A1721">
        <v>1716</v>
      </c>
      <c r="B1721" s="11">
        <v>45814.416666666664</v>
      </c>
      <c r="C1721" s="7">
        <v>595.72720000000004</v>
      </c>
      <c r="D1721">
        <v>3542710</v>
      </c>
      <c r="E1721">
        <v>4595455.5</v>
      </c>
    </row>
    <row r="1722" spans="1:5">
      <c r="A1722">
        <v>1717</v>
      </c>
      <c r="B1722" s="11">
        <v>45814.395833333336</v>
      </c>
      <c r="C1722" s="7">
        <v>596.95320000000004</v>
      </c>
      <c r="D1722">
        <v>7795011</v>
      </c>
      <c r="E1722">
        <v>4772250</v>
      </c>
    </row>
    <row r="1723" spans="1:5">
      <c r="A1723">
        <v>1718</v>
      </c>
      <c r="B1723" s="11">
        <v>45813.666666666664</v>
      </c>
      <c r="C1723" s="7">
        <v>589.66690000000006</v>
      </c>
      <c r="D1723">
        <v>0</v>
      </c>
      <c r="E1723">
        <v>4252582.5</v>
      </c>
    </row>
    <row r="1724" spans="1:5">
      <c r="A1724">
        <v>1719</v>
      </c>
      <c r="B1724" s="11">
        <v>45813.645833333336</v>
      </c>
      <c r="C1724" s="7">
        <v>589.66690000000006</v>
      </c>
      <c r="D1724">
        <v>12732108</v>
      </c>
      <c r="E1724">
        <v>4812311</v>
      </c>
    </row>
    <row r="1725" spans="1:5">
      <c r="A1725">
        <v>1720</v>
      </c>
      <c r="B1725" s="11">
        <v>45813.625</v>
      </c>
      <c r="C1725" s="7">
        <v>589.10400000000004</v>
      </c>
      <c r="D1725">
        <v>8095451</v>
      </c>
      <c r="E1725">
        <v>4130146.75</v>
      </c>
    </row>
    <row r="1726" spans="1:5">
      <c r="A1726">
        <v>1721</v>
      </c>
      <c r="B1726" s="11">
        <v>45813.604166666664</v>
      </c>
      <c r="C1726" s="7">
        <v>591.86440000000005</v>
      </c>
      <c r="D1726">
        <v>2766960</v>
      </c>
      <c r="E1726">
        <v>3750545.5</v>
      </c>
    </row>
    <row r="1727" spans="1:5">
      <c r="A1727">
        <v>1722</v>
      </c>
      <c r="B1727" s="11">
        <v>45813.583333333336</v>
      </c>
      <c r="C1727" s="7">
        <v>591.93399999999997</v>
      </c>
      <c r="D1727">
        <v>4392056</v>
      </c>
      <c r="E1727">
        <v>3710899.25</v>
      </c>
    </row>
    <row r="1728" spans="1:5">
      <c r="A1728">
        <v>1723</v>
      </c>
      <c r="B1728" s="11">
        <v>45813.5625</v>
      </c>
      <c r="C1728" s="7">
        <v>592.4212</v>
      </c>
      <c r="D1728">
        <v>2048832</v>
      </c>
      <c r="E1728">
        <v>3529212.25</v>
      </c>
    </row>
    <row r="1729" spans="1:5">
      <c r="A1729">
        <v>1724</v>
      </c>
      <c r="B1729" s="11">
        <v>45813.541666666664</v>
      </c>
      <c r="C1729" s="7">
        <v>593.05759999999998</v>
      </c>
      <c r="D1729">
        <v>3108965</v>
      </c>
      <c r="E1729">
        <v>3509932.25</v>
      </c>
    </row>
    <row r="1730" spans="1:5">
      <c r="A1730">
        <v>1725</v>
      </c>
      <c r="B1730" s="11">
        <v>45813.520833333336</v>
      </c>
      <c r="C1730" s="7">
        <v>591.28769999999997</v>
      </c>
      <c r="D1730">
        <v>4672375</v>
      </c>
      <c r="E1730">
        <v>3415600.75</v>
      </c>
    </row>
    <row r="1731" spans="1:5">
      <c r="A1731">
        <v>1726</v>
      </c>
      <c r="B1731" s="11">
        <v>45813.5</v>
      </c>
      <c r="C1731" s="7">
        <v>594.48929999999996</v>
      </c>
      <c r="D1731">
        <v>2963443</v>
      </c>
      <c r="E1731">
        <v>3265333.5</v>
      </c>
    </row>
    <row r="1732" spans="1:5">
      <c r="A1732">
        <v>1727</v>
      </c>
      <c r="B1732" s="11">
        <v>45813.479166666664</v>
      </c>
      <c r="C1732" s="7">
        <v>595.36429999999996</v>
      </c>
      <c r="D1732">
        <v>2504540</v>
      </c>
      <c r="E1732">
        <v>3226428</v>
      </c>
    </row>
    <row r="1733" spans="1:5">
      <c r="A1733">
        <v>1728</v>
      </c>
      <c r="B1733" s="11">
        <v>45813.458333333336</v>
      </c>
      <c r="C1733" s="7">
        <v>595.26480000000004</v>
      </c>
      <c r="D1733">
        <v>3746273</v>
      </c>
      <c r="E1733">
        <v>3197084.25</v>
      </c>
    </row>
    <row r="1734" spans="1:5">
      <c r="A1734">
        <v>1729</v>
      </c>
      <c r="B1734" s="11">
        <v>45813.4375</v>
      </c>
      <c r="C1734" s="7">
        <v>593.95240000000001</v>
      </c>
      <c r="D1734">
        <v>7090520</v>
      </c>
      <c r="E1734">
        <v>3119094.75</v>
      </c>
    </row>
    <row r="1735" spans="1:5">
      <c r="A1735">
        <v>1730</v>
      </c>
      <c r="B1735" s="11">
        <v>45813.416666666664</v>
      </c>
      <c r="C1735" s="7">
        <v>592.74929999999995</v>
      </c>
      <c r="D1735">
        <v>3472589</v>
      </c>
      <c r="E1735">
        <v>2996073.25</v>
      </c>
    </row>
    <row r="1736" spans="1:5">
      <c r="A1736">
        <v>1731</v>
      </c>
      <c r="B1736" s="11">
        <v>45813.395833333336</v>
      </c>
      <c r="C1736" s="7">
        <v>590.86009999999999</v>
      </c>
      <c r="D1736">
        <v>6194629</v>
      </c>
      <c r="E1736">
        <v>3088175.5</v>
      </c>
    </row>
    <row r="1737" spans="1:5">
      <c r="A1737">
        <v>1732</v>
      </c>
      <c r="B1737" s="11">
        <v>45812.666666666664</v>
      </c>
      <c r="C1737" s="7">
        <v>592.53049999999996</v>
      </c>
      <c r="D1737">
        <v>0</v>
      </c>
      <c r="E1737">
        <v>2675200.25</v>
      </c>
    </row>
    <row r="1738" spans="1:5">
      <c r="A1738">
        <v>1733</v>
      </c>
      <c r="B1738" s="11">
        <v>45812.645833333336</v>
      </c>
      <c r="C1738" s="7">
        <v>592.53049999999996</v>
      </c>
      <c r="D1738">
        <v>8395922</v>
      </c>
      <c r="E1738">
        <v>3253169.25</v>
      </c>
    </row>
    <row r="1739" spans="1:5">
      <c r="A1739">
        <v>1734</v>
      </c>
      <c r="B1739" s="11">
        <v>45812.625</v>
      </c>
      <c r="C1739" s="7">
        <v>593.62429999999995</v>
      </c>
      <c r="D1739">
        <v>2499647</v>
      </c>
      <c r="E1739">
        <v>2936956.75</v>
      </c>
    </row>
    <row r="1740" spans="1:5">
      <c r="A1740">
        <v>1735</v>
      </c>
      <c r="B1740" s="11">
        <v>45812.604166666664</v>
      </c>
      <c r="C1740" s="7">
        <v>593.59439999999995</v>
      </c>
      <c r="D1740">
        <v>2401432</v>
      </c>
      <c r="E1740">
        <v>2928119</v>
      </c>
    </row>
    <row r="1741" spans="1:5">
      <c r="A1741">
        <v>1736</v>
      </c>
      <c r="B1741" s="11">
        <v>45812.583333333336</v>
      </c>
      <c r="C1741" s="7">
        <v>594.17110000000002</v>
      </c>
      <c r="D1741">
        <v>2172265</v>
      </c>
      <c r="E1741">
        <v>3077148.25</v>
      </c>
    </row>
    <row r="1742" spans="1:5">
      <c r="A1742">
        <v>1737</v>
      </c>
      <c r="B1742" s="11">
        <v>45812.5625</v>
      </c>
      <c r="C1742" s="7">
        <v>594.16120000000001</v>
      </c>
      <c r="D1742">
        <v>1666753</v>
      </c>
      <c r="E1742">
        <v>3099487.25</v>
      </c>
    </row>
    <row r="1743" spans="1:5">
      <c r="A1743">
        <v>1738</v>
      </c>
      <c r="B1743" s="11">
        <v>45812.541666666664</v>
      </c>
      <c r="C1743" s="7">
        <v>593.91060000000004</v>
      </c>
      <c r="D1743">
        <v>1759632</v>
      </c>
      <c r="E1743">
        <v>3130842.75</v>
      </c>
    </row>
    <row r="1744" spans="1:5">
      <c r="A1744">
        <v>1739</v>
      </c>
      <c r="B1744" s="11">
        <v>45812.520833333336</v>
      </c>
      <c r="C1744" s="7">
        <v>593.37570000000005</v>
      </c>
      <c r="D1744">
        <v>1693993</v>
      </c>
      <c r="E1744">
        <v>3159597</v>
      </c>
    </row>
    <row r="1745" spans="1:5">
      <c r="A1745">
        <v>1740</v>
      </c>
      <c r="B1745" s="11">
        <v>45812.5</v>
      </c>
      <c r="C1745" s="7">
        <v>592.51059999999995</v>
      </c>
      <c r="D1745">
        <v>2418365</v>
      </c>
      <c r="E1745">
        <v>3211480.75</v>
      </c>
    </row>
    <row r="1746" spans="1:5">
      <c r="A1746">
        <v>1741</v>
      </c>
      <c r="B1746" s="11">
        <v>45812.479166666664</v>
      </c>
      <c r="C1746" s="7">
        <v>593.43539999999996</v>
      </c>
      <c r="D1746">
        <v>2379861</v>
      </c>
      <c r="E1746">
        <v>3227763.5</v>
      </c>
    </row>
    <row r="1747" spans="1:5">
      <c r="A1747">
        <v>1742</v>
      </c>
      <c r="B1747" s="11">
        <v>45812.458333333336</v>
      </c>
      <c r="C1747" s="7">
        <v>593.56460000000004</v>
      </c>
      <c r="D1747">
        <v>2064384</v>
      </c>
      <c r="E1747">
        <v>3271444.75</v>
      </c>
    </row>
    <row r="1748" spans="1:5">
      <c r="A1748">
        <v>1743</v>
      </c>
      <c r="B1748" s="11">
        <v>45812.4375</v>
      </c>
      <c r="C1748" s="7">
        <v>594.18110000000001</v>
      </c>
      <c r="D1748">
        <v>2576429</v>
      </c>
      <c r="E1748">
        <v>3324375</v>
      </c>
    </row>
    <row r="1749" spans="1:5">
      <c r="A1749">
        <v>1744</v>
      </c>
      <c r="B1749" s="11">
        <v>45812.416666666664</v>
      </c>
      <c r="C1749" s="7">
        <v>594.17110000000002</v>
      </c>
      <c r="D1749">
        <v>5245199</v>
      </c>
      <c r="E1749">
        <v>3393794.25</v>
      </c>
    </row>
    <row r="1750" spans="1:5">
      <c r="A1750">
        <v>1745</v>
      </c>
      <c r="B1750" s="11">
        <v>45812.395833333336</v>
      </c>
      <c r="C1750" s="7">
        <v>593.36580000000004</v>
      </c>
      <c r="D1750">
        <v>4854122</v>
      </c>
      <c r="E1750">
        <v>3331245.25</v>
      </c>
    </row>
    <row r="1751" spans="1:5">
      <c r="A1751">
        <v>1746</v>
      </c>
      <c r="B1751" s="11">
        <v>45811.666666666664</v>
      </c>
      <c r="C1751" s="7">
        <v>592.68960000000004</v>
      </c>
      <c r="D1751">
        <v>0</v>
      </c>
      <c r="E1751">
        <v>3007637</v>
      </c>
    </row>
    <row r="1752" spans="1:5">
      <c r="A1752">
        <v>1747</v>
      </c>
      <c r="B1752" s="11">
        <v>45811.645833333336</v>
      </c>
      <c r="C1752" s="7">
        <v>592.68960000000004</v>
      </c>
      <c r="D1752">
        <v>8669534</v>
      </c>
      <c r="E1752">
        <v>3592361.5</v>
      </c>
    </row>
    <row r="1753" spans="1:5">
      <c r="A1753">
        <v>1748</v>
      </c>
      <c r="B1753" s="11">
        <v>45811.625</v>
      </c>
      <c r="C1753" s="7">
        <v>592.81880000000001</v>
      </c>
      <c r="D1753">
        <v>3652737</v>
      </c>
      <c r="E1753">
        <v>3241474.5</v>
      </c>
    </row>
    <row r="1754" spans="1:5">
      <c r="A1754">
        <v>1749</v>
      </c>
      <c r="B1754" s="11">
        <v>45811.604166666664</v>
      </c>
      <c r="C1754" s="7">
        <v>592.95799999999997</v>
      </c>
      <c r="D1754">
        <v>2367078</v>
      </c>
      <c r="E1754">
        <v>3136957.5</v>
      </c>
    </row>
    <row r="1755" spans="1:5">
      <c r="A1755">
        <v>1750</v>
      </c>
      <c r="B1755" s="11">
        <v>45811.583333333336</v>
      </c>
      <c r="C1755" s="7">
        <v>592.76919999999996</v>
      </c>
      <c r="D1755">
        <v>4636871</v>
      </c>
      <c r="E1755">
        <v>3170590.5</v>
      </c>
    </row>
    <row r="1756" spans="1:5">
      <c r="A1756">
        <v>1751</v>
      </c>
      <c r="B1756" s="11">
        <v>45811.5625</v>
      </c>
      <c r="C1756" s="7">
        <v>592.73940000000005</v>
      </c>
      <c r="D1756">
        <v>2507352</v>
      </c>
      <c r="E1756">
        <v>2936013.25</v>
      </c>
    </row>
    <row r="1757" spans="1:5">
      <c r="A1757">
        <v>1752</v>
      </c>
      <c r="B1757" s="11">
        <v>45811.541666666664</v>
      </c>
      <c r="C1757" s="7">
        <v>593.34090000000003</v>
      </c>
      <c r="D1757">
        <v>2137085</v>
      </c>
      <c r="E1757">
        <v>2858731</v>
      </c>
    </row>
    <row r="1758" spans="1:5">
      <c r="A1758">
        <v>1753</v>
      </c>
      <c r="B1758" s="11">
        <v>45811.520833333336</v>
      </c>
      <c r="C1758" s="7">
        <v>593.11720000000003</v>
      </c>
      <c r="D1758">
        <v>2190946</v>
      </c>
      <c r="E1758">
        <v>2806188.25</v>
      </c>
    </row>
    <row r="1759" spans="1:5">
      <c r="A1759">
        <v>1754</v>
      </c>
      <c r="B1759" s="11">
        <v>45811.5</v>
      </c>
      <c r="C1759" s="7">
        <v>592.65480000000002</v>
      </c>
      <c r="D1759">
        <v>2472247</v>
      </c>
      <c r="E1759">
        <v>2747176.75</v>
      </c>
    </row>
    <row r="1760" spans="1:5">
      <c r="A1760">
        <v>1755</v>
      </c>
      <c r="B1760" s="11">
        <v>45811.479166666664</v>
      </c>
      <c r="C1760" s="7">
        <v>592.23220000000003</v>
      </c>
      <c r="D1760">
        <v>2662607</v>
      </c>
      <c r="E1760">
        <v>2717839.25</v>
      </c>
    </row>
    <row r="1761" spans="1:5">
      <c r="A1761">
        <v>1756</v>
      </c>
      <c r="B1761" s="11">
        <v>45811.458333333336</v>
      </c>
      <c r="C1761" s="7">
        <v>591.56610000000001</v>
      </c>
      <c r="D1761">
        <v>3035082</v>
      </c>
      <c r="E1761">
        <v>2720861.25</v>
      </c>
    </row>
    <row r="1762" spans="1:5">
      <c r="A1762">
        <v>1757</v>
      </c>
      <c r="B1762" s="11">
        <v>45811.4375</v>
      </c>
      <c r="C1762" s="7">
        <v>591.01919999999996</v>
      </c>
      <c r="D1762">
        <v>2858335</v>
      </c>
      <c r="E1762">
        <v>2751086</v>
      </c>
    </row>
    <row r="1763" spans="1:5">
      <c r="A1763">
        <v>1758</v>
      </c>
      <c r="B1763" s="11">
        <v>45811.416666666664</v>
      </c>
      <c r="C1763" s="7">
        <v>590.44749999999999</v>
      </c>
      <c r="D1763">
        <v>3617717</v>
      </c>
      <c r="E1763">
        <v>2931413.5</v>
      </c>
    </row>
    <row r="1764" spans="1:5">
      <c r="A1764">
        <v>1759</v>
      </c>
      <c r="B1764" s="11">
        <v>45811.395833333336</v>
      </c>
      <c r="C1764" s="7">
        <v>589.11019999999996</v>
      </c>
      <c r="D1764">
        <v>4306965</v>
      </c>
      <c r="E1764">
        <v>3103422.75</v>
      </c>
    </row>
    <row r="1765" spans="1:5">
      <c r="A1765">
        <v>1760</v>
      </c>
      <c r="B1765" s="11">
        <v>45810.666666666664</v>
      </c>
      <c r="C1765" s="7">
        <v>589.32889999999998</v>
      </c>
      <c r="D1765">
        <v>0</v>
      </c>
      <c r="E1765">
        <v>2816291.75</v>
      </c>
    </row>
    <row r="1766" spans="1:5">
      <c r="A1766">
        <v>1761</v>
      </c>
      <c r="B1766" s="11">
        <v>45810.645833333336</v>
      </c>
      <c r="C1766" s="7">
        <v>589.32889999999998</v>
      </c>
      <c r="D1766">
        <v>8770867</v>
      </c>
      <c r="E1766">
        <v>3955776.75</v>
      </c>
    </row>
    <row r="1767" spans="1:5">
      <c r="A1767">
        <v>1762</v>
      </c>
      <c r="B1767" s="11">
        <v>45810.625</v>
      </c>
      <c r="C1767" s="7">
        <v>588.93119999999999</v>
      </c>
      <c r="D1767">
        <v>3406228</v>
      </c>
      <c r="E1767">
        <v>3622948.75</v>
      </c>
    </row>
    <row r="1768" spans="1:5">
      <c r="A1768">
        <v>1763</v>
      </c>
      <c r="B1768" s="11">
        <v>45810.604166666664</v>
      </c>
      <c r="C1768" s="7">
        <v>588.47379999999998</v>
      </c>
      <c r="D1768">
        <v>2084981</v>
      </c>
      <c r="E1768">
        <v>3539810.25</v>
      </c>
    </row>
    <row r="1769" spans="1:5">
      <c r="A1769">
        <v>1764</v>
      </c>
      <c r="B1769" s="11">
        <v>45810.583333333336</v>
      </c>
      <c r="C1769" s="7">
        <v>588.12580000000003</v>
      </c>
      <c r="D1769">
        <v>2871574</v>
      </c>
      <c r="E1769">
        <v>3710164.5</v>
      </c>
    </row>
    <row r="1770" spans="1:5">
      <c r="A1770">
        <v>1765</v>
      </c>
      <c r="B1770" s="11">
        <v>45810.5625</v>
      </c>
      <c r="C1770" s="7">
        <v>586.5498</v>
      </c>
      <c r="D1770">
        <v>1118213</v>
      </c>
      <c r="E1770">
        <v>3680440</v>
      </c>
    </row>
    <row r="1771" spans="1:5">
      <c r="A1771">
        <v>1766</v>
      </c>
      <c r="B1771" s="11">
        <v>45810.541666666664</v>
      </c>
      <c r="C1771" s="7">
        <v>586.47529999999995</v>
      </c>
      <c r="D1771">
        <v>1348117</v>
      </c>
      <c r="E1771">
        <v>3791507.75</v>
      </c>
    </row>
    <row r="1772" spans="1:5">
      <c r="A1772">
        <v>1767</v>
      </c>
      <c r="B1772" s="11">
        <v>45810.520833333336</v>
      </c>
      <c r="C1772" s="7">
        <v>586.63430000000005</v>
      </c>
      <c r="D1772">
        <v>1348944</v>
      </c>
      <c r="E1772">
        <v>4127515.75</v>
      </c>
    </row>
    <row r="1773" spans="1:5">
      <c r="A1773">
        <v>1768</v>
      </c>
      <c r="B1773" s="11">
        <v>45810.5</v>
      </c>
      <c r="C1773" s="7">
        <v>586.02779999999996</v>
      </c>
      <c r="D1773">
        <v>1305774</v>
      </c>
      <c r="E1773">
        <v>4339558.5</v>
      </c>
    </row>
    <row r="1774" spans="1:5">
      <c r="A1774">
        <v>1769</v>
      </c>
      <c r="B1774" s="11">
        <v>45810.479166666664</v>
      </c>
      <c r="C1774" s="7">
        <v>586.50509999999997</v>
      </c>
      <c r="D1774">
        <v>2032184</v>
      </c>
      <c r="E1774">
        <v>4401647.5</v>
      </c>
    </row>
    <row r="1775" spans="1:5">
      <c r="A1775">
        <v>1770</v>
      </c>
      <c r="B1775" s="11">
        <v>45810.458333333336</v>
      </c>
      <c r="C1775" s="7">
        <v>585.19259999999997</v>
      </c>
      <c r="D1775">
        <v>2707939</v>
      </c>
      <c r="E1775">
        <v>4380385.5</v>
      </c>
    </row>
    <row r="1776" spans="1:5">
      <c r="A1776">
        <v>1771</v>
      </c>
      <c r="B1776" s="11">
        <v>45810.4375</v>
      </c>
      <c r="C1776" s="7">
        <v>585.99800000000005</v>
      </c>
      <c r="D1776">
        <v>3488453</v>
      </c>
      <c r="E1776">
        <v>4354796</v>
      </c>
    </row>
    <row r="1777" spans="1:5">
      <c r="A1777">
        <v>1772</v>
      </c>
      <c r="B1777" s="11">
        <v>45810.416666666664</v>
      </c>
      <c r="C1777" s="7">
        <v>585.23239999999998</v>
      </c>
      <c r="D1777">
        <v>5563245</v>
      </c>
      <c r="E1777">
        <v>4367514</v>
      </c>
    </row>
    <row r="1778" spans="1:5">
      <c r="A1778">
        <v>1773</v>
      </c>
      <c r="B1778" s="11">
        <v>45810.395833333336</v>
      </c>
      <c r="C1778" s="7">
        <v>582.98530000000005</v>
      </c>
      <c r="D1778">
        <v>6197858</v>
      </c>
      <c r="E1778">
        <v>4316811.5</v>
      </c>
    </row>
    <row r="1779" spans="1:5">
      <c r="A1779">
        <v>1774</v>
      </c>
      <c r="B1779" s="11">
        <v>45807.666666666664</v>
      </c>
      <c r="C1779" s="7">
        <v>586.02779999999996</v>
      </c>
      <c r="D1779">
        <v>0</v>
      </c>
      <c r="E1779">
        <v>3903621</v>
      </c>
    </row>
    <row r="1780" spans="1:5">
      <c r="A1780">
        <v>1775</v>
      </c>
      <c r="B1780" s="11">
        <v>45807.645833333336</v>
      </c>
      <c r="C1780" s="7">
        <v>586.02779999999996</v>
      </c>
      <c r="D1780">
        <v>17092276</v>
      </c>
      <c r="E1780">
        <v>4453630</v>
      </c>
    </row>
    <row r="1781" spans="1:5">
      <c r="A1781">
        <v>1776</v>
      </c>
      <c r="B1781" s="11">
        <v>45807.625</v>
      </c>
      <c r="C1781" s="7">
        <v>587.24080000000004</v>
      </c>
      <c r="D1781">
        <v>3778446</v>
      </c>
      <c r="E1781">
        <v>3558261.75</v>
      </c>
    </row>
    <row r="1782" spans="1:5">
      <c r="A1782">
        <v>1777</v>
      </c>
      <c r="B1782" s="11">
        <v>45807.604166666664</v>
      </c>
      <c r="C1782" s="7">
        <v>585.28219999999999</v>
      </c>
      <c r="D1782">
        <v>2159148</v>
      </c>
      <c r="E1782">
        <v>3459797</v>
      </c>
    </row>
    <row r="1783" spans="1:5">
      <c r="A1783">
        <v>1778</v>
      </c>
      <c r="B1783" s="11">
        <v>45807.583333333336</v>
      </c>
      <c r="C1783" s="7">
        <v>584.97389999999996</v>
      </c>
      <c r="D1783">
        <v>4640295</v>
      </c>
      <c r="E1783">
        <v>3482096.25</v>
      </c>
    </row>
    <row r="1784" spans="1:5">
      <c r="A1784">
        <v>1779</v>
      </c>
      <c r="B1784" s="11">
        <v>45807.5625</v>
      </c>
      <c r="C1784" s="7">
        <v>582.53790000000004</v>
      </c>
      <c r="D1784">
        <v>2425709</v>
      </c>
      <c r="E1784">
        <v>3310521.75</v>
      </c>
    </row>
    <row r="1785" spans="1:5">
      <c r="A1785">
        <v>1780</v>
      </c>
      <c r="B1785" s="11">
        <v>45807.541666666664</v>
      </c>
      <c r="C1785" s="7">
        <v>582.54790000000003</v>
      </c>
      <c r="D1785">
        <v>2784229</v>
      </c>
      <c r="E1785">
        <v>3283129.75</v>
      </c>
    </row>
    <row r="1786" spans="1:5">
      <c r="A1786">
        <v>1781</v>
      </c>
      <c r="B1786" s="11">
        <v>45807.520833333336</v>
      </c>
      <c r="C1786" s="7">
        <v>580.7183</v>
      </c>
      <c r="D1786">
        <v>6388237</v>
      </c>
      <c r="E1786">
        <v>3227437.5</v>
      </c>
    </row>
    <row r="1787" spans="1:5">
      <c r="A1787">
        <v>1782</v>
      </c>
      <c r="B1787" s="11">
        <v>45807.5</v>
      </c>
      <c r="C1787" s="7">
        <v>581.75239999999997</v>
      </c>
      <c r="D1787">
        <v>4529583</v>
      </c>
      <c r="E1787">
        <v>3042350.75</v>
      </c>
    </row>
    <row r="1788" spans="1:5">
      <c r="A1788">
        <v>1783</v>
      </c>
      <c r="B1788" s="11">
        <v>45807.479166666664</v>
      </c>
      <c r="C1788" s="7">
        <v>584.68050000000005</v>
      </c>
      <c r="D1788">
        <v>2237111</v>
      </c>
      <c r="E1788">
        <v>2984483.75</v>
      </c>
    </row>
    <row r="1789" spans="1:5">
      <c r="A1789">
        <v>1784</v>
      </c>
      <c r="B1789" s="11">
        <v>45807.458333333336</v>
      </c>
      <c r="C1789" s="7">
        <v>585.65</v>
      </c>
      <c r="D1789">
        <v>1713252</v>
      </c>
      <c r="E1789">
        <v>2988514.5</v>
      </c>
    </row>
    <row r="1790" spans="1:5">
      <c r="A1790">
        <v>1785</v>
      </c>
      <c r="B1790" s="11">
        <v>45807.4375</v>
      </c>
      <c r="C1790" s="7">
        <v>585.32190000000003</v>
      </c>
      <c r="D1790">
        <v>2324099</v>
      </c>
      <c r="E1790">
        <v>3041354.25</v>
      </c>
    </row>
    <row r="1791" spans="1:5">
      <c r="A1791">
        <v>1786</v>
      </c>
      <c r="B1791" s="11">
        <v>45807.416666666664</v>
      </c>
      <c r="C1791" s="7">
        <v>586.1671</v>
      </c>
      <c r="D1791">
        <v>3679222</v>
      </c>
      <c r="E1791">
        <v>3199211.75</v>
      </c>
    </row>
    <row r="1792" spans="1:5">
      <c r="A1792">
        <v>1787</v>
      </c>
      <c r="B1792" s="11">
        <v>45807.395833333336</v>
      </c>
      <c r="C1792" s="7">
        <v>584.06910000000005</v>
      </c>
      <c r="D1792">
        <v>4802709</v>
      </c>
      <c r="E1792">
        <v>3366791.5</v>
      </c>
    </row>
    <row r="1793" spans="1:5">
      <c r="A1793">
        <v>1788</v>
      </c>
      <c r="B1793" s="11">
        <v>45806.666666666664</v>
      </c>
      <c r="C1793" s="7">
        <v>586.68409999999994</v>
      </c>
      <c r="D1793">
        <v>0</v>
      </c>
      <c r="E1793">
        <v>3046611</v>
      </c>
    </row>
    <row r="1794" spans="1:5">
      <c r="A1794">
        <v>1789</v>
      </c>
      <c r="B1794" s="11">
        <v>45806.645833333336</v>
      </c>
      <c r="C1794" s="7">
        <v>586.68409999999994</v>
      </c>
      <c r="D1794">
        <v>8250133</v>
      </c>
      <c r="E1794">
        <v>3726276.5</v>
      </c>
    </row>
    <row r="1795" spans="1:5">
      <c r="A1795">
        <v>1790</v>
      </c>
      <c r="B1795" s="11">
        <v>45806.625</v>
      </c>
      <c r="C1795" s="7">
        <v>585.57039999999995</v>
      </c>
      <c r="D1795">
        <v>3661753</v>
      </c>
      <c r="E1795">
        <v>3479067.25</v>
      </c>
    </row>
    <row r="1796" spans="1:5">
      <c r="A1796">
        <v>1791</v>
      </c>
      <c r="B1796" s="11">
        <v>45806.604166666664</v>
      </c>
      <c r="C1796" s="7">
        <v>585.43619999999999</v>
      </c>
      <c r="D1796">
        <v>2301474</v>
      </c>
      <c r="E1796">
        <v>3525859.75</v>
      </c>
    </row>
    <row r="1797" spans="1:5">
      <c r="A1797">
        <v>1792</v>
      </c>
      <c r="B1797" s="11">
        <v>45806.583333333336</v>
      </c>
      <c r="C1797" s="7">
        <v>584.69550000000004</v>
      </c>
      <c r="D1797">
        <v>2493639</v>
      </c>
      <c r="E1797">
        <v>3497036.5</v>
      </c>
    </row>
    <row r="1798" spans="1:5">
      <c r="A1798">
        <v>1793</v>
      </c>
      <c r="B1798" s="11">
        <v>45806.5625</v>
      </c>
      <c r="C1798" s="7">
        <v>585.23239999999998</v>
      </c>
      <c r="D1798">
        <v>2066677</v>
      </c>
      <c r="E1798">
        <v>3447333.75</v>
      </c>
    </row>
    <row r="1799" spans="1:5">
      <c r="A1799">
        <v>1794</v>
      </c>
      <c r="B1799" s="11">
        <v>45806.541666666664</v>
      </c>
      <c r="C1799" s="7">
        <v>585.95839999999998</v>
      </c>
      <c r="D1799">
        <v>2014830</v>
      </c>
      <c r="E1799">
        <v>3433876.75</v>
      </c>
    </row>
    <row r="1800" spans="1:5">
      <c r="A1800">
        <v>1795</v>
      </c>
      <c r="B1800" s="11">
        <v>45806.520833333336</v>
      </c>
      <c r="C1800" s="7">
        <v>586.38580000000002</v>
      </c>
      <c r="D1800">
        <v>1948845</v>
      </c>
      <c r="E1800">
        <v>3407119</v>
      </c>
    </row>
    <row r="1801" spans="1:5">
      <c r="A1801">
        <v>1796</v>
      </c>
      <c r="B1801" s="11">
        <v>45806.5</v>
      </c>
      <c r="C1801" s="7">
        <v>585.62019999999995</v>
      </c>
      <c r="D1801">
        <v>3611933</v>
      </c>
      <c r="E1801">
        <v>3396153.5</v>
      </c>
    </row>
    <row r="1802" spans="1:5">
      <c r="A1802">
        <v>1797</v>
      </c>
      <c r="B1802" s="11">
        <v>45806.479166666664</v>
      </c>
      <c r="C1802" s="7">
        <v>583.77080000000001</v>
      </c>
      <c r="D1802">
        <v>3661581</v>
      </c>
      <c r="E1802">
        <v>3299785.75</v>
      </c>
    </row>
    <row r="1803" spans="1:5">
      <c r="A1803">
        <v>1798</v>
      </c>
      <c r="B1803" s="11">
        <v>45806.458333333336</v>
      </c>
      <c r="C1803" s="7">
        <v>587.33040000000005</v>
      </c>
      <c r="D1803">
        <v>2297572</v>
      </c>
      <c r="E1803">
        <v>3217124.5</v>
      </c>
    </row>
    <row r="1804" spans="1:5">
      <c r="A1804">
        <v>1799</v>
      </c>
      <c r="B1804" s="11">
        <v>45806.4375</v>
      </c>
      <c r="C1804" s="7">
        <v>587.55909999999994</v>
      </c>
      <c r="D1804">
        <v>2505845</v>
      </c>
      <c r="E1804">
        <v>3245687.5</v>
      </c>
    </row>
    <row r="1805" spans="1:5">
      <c r="A1805">
        <v>1800</v>
      </c>
      <c r="B1805" s="11">
        <v>45806.416666666664</v>
      </c>
      <c r="C1805" s="7">
        <v>586.65300000000002</v>
      </c>
      <c r="D1805">
        <v>4691962</v>
      </c>
      <c r="E1805">
        <v>3279039</v>
      </c>
    </row>
    <row r="1806" spans="1:5">
      <c r="A1806">
        <v>1801</v>
      </c>
      <c r="B1806" s="11">
        <v>45806.395833333336</v>
      </c>
      <c r="C1806" s="7">
        <v>587.80269999999996</v>
      </c>
      <c r="D1806">
        <v>6192921</v>
      </c>
      <c r="E1806">
        <v>3355359.25</v>
      </c>
    </row>
    <row r="1807" spans="1:5">
      <c r="A1807">
        <v>1802</v>
      </c>
      <c r="B1807" s="11">
        <v>45805.666666666664</v>
      </c>
      <c r="C1807" s="7">
        <v>584.37729999999999</v>
      </c>
      <c r="D1807">
        <v>0</v>
      </c>
      <c r="E1807">
        <v>2942497.75</v>
      </c>
    </row>
    <row r="1808" spans="1:5">
      <c r="A1808">
        <v>1803</v>
      </c>
      <c r="B1808" s="11">
        <v>45805.645833333336</v>
      </c>
      <c r="C1808" s="7">
        <v>584.37729999999999</v>
      </c>
      <c r="D1808">
        <v>10194983</v>
      </c>
      <c r="E1808">
        <v>3709227.75</v>
      </c>
    </row>
    <row r="1809" spans="1:5">
      <c r="A1809">
        <v>1804</v>
      </c>
      <c r="B1809" s="11">
        <v>45805.625</v>
      </c>
      <c r="C1809" s="7">
        <v>586.0471</v>
      </c>
      <c r="D1809">
        <v>4541992</v>
      </c>
      <c r="E1809">
        <v>3295022.25</v>
      </c>
    </row>
    <row r="1810" spans="1:5">
      <c r="A1810">
        <v>1805</v>
      </c>
      <c r="B1810" s="11">
        <v>45805.604166666664</v>
      </c>
      <c r="C1810" s="7">
        <v>586.3759</v>
      </c>
      <c r="D1810">
        <v>4363642</v>
      </c>
      <c r="E1810">
        <v>3159446</v>
      </c>
    </row>
    <row r="1811" spans="1:5">
      <c r="A1811">
        <v>1806</v>
      </c>
      <c r="B1811" s="11">
        <v>45805.583333333336</v>
      </c>
      <c r="C1811" s="7">
        <v>586.73379999999997</v>
      </c>
      <c r="D1811">
        <v>1869125</v>
      </c>
      <c r="E1811">
        <v>3038561.75</v>
      </c>
    </row>
    <row r="1812" spans="1:5">
      <c r="A1812">
        <v>1807</v>
      </c>
      <c r="B1812" s="11">
        <v>45805.5625</v>
      </c>
      <c r="C1812" s="7">
        <v>586.35350000000005</v>
      </c>
      <c r="D1812">
        <v>1748100</v>
      </c>
      <c r="E1812">
        <v>3048084.5</v>
      </c>
    </row>
    <row r="1813" spans="1:5">
      <c r="A1813">
        <v>1808</v>
      </c>
      <c r="B1813" s="11">
        <v>45805.541666666664</v>
      </c>
      <c r="C1813" s="7">
        <v>586.89790000000005</v>
      </c>
      <c r="D1813">
        <v>1864822</v>
      </c>
      <c r="E1813">
        <v>3049702</v>
      </c>
    </row>
    <row r="1814" spans="1:5">
      <c r="A1814">
        <v>1809</v>
      </c>
      <c r="B1814" s="11">
        <v>45805.520833333336</v>
      </c>
      <c r="C1814" s="7">
        <v>586.61440000000005</v>
      </c>
      <c r="D1814">
        <v>1613462</v>
      </c>
      <c r="E1814">
        <v>3153424.5</v>
      </c>
    </row>
    <row r="1815" spans="1:5">
      <c r="A1815">
        <v>1810</v>
      </c>
      <c r="B1815" s="11">
        <v>45805.5</v>
      </c>
      <c r="C1815" s="7">
        <v>586.46529999999996</v>
      </c>
      <c r="D1815">
        <v>1784362</v>
      </c>
      <c r="E1815">
        <v>3222583</v>
      </c>
    </row>
    <row r="1816" spans="1:5">
      <c r="A1816">
        <v>1811</v>
      </c>
      <c r="B1816" s="11">
        <v>45805.479166666664</v>
      </c>
      <c r="C1816" s="7">
        <v>585.7296</v>
      </c>
      <c r="D1816">
        <v>2166418</v>
      </c>
      <c r="E1816">
        <v>3267684</v>
      </c>
    </row>
    <row r="1817" spans="1:5">
      <c r="A1817">
        <v>1812</v>
      </c>
      <c r="B1817" s="11">
        <v>45805.458333333336</v>
      </c>
      <c r="C1817" s="7">
        <v>585.98800000000006</v>
      </c>
      <c r="D1817">
        <v>2421661</v>
      </c>
      <c r="E1817">
        <v>3315342.25</v>
      </c>
    </row>
    <row r="1818" spans="1:5">
      <c r="A1818">
        <v>1813</v>
      </c>
      <c r="B1818" s="11">
        <v>45805.4375</v>
      </c>
      <c r="C1818" s="7">
        <v>585.98310000000004</v>
      </c>
      <c r="D1818">
        <v>2726017</v>
      </c>
      <c r="E1818">
        <v>3346211</v>
      </c>
    </row>
    <row r="1819" spans="1:5">
      <c r="A1819">
        <v>1814</v>
      </c>
      <c r="B1819" s="11">
        <v>45805.416666666664</v>
      </c>
      <c r="C1819" s="7">
        <v>586.84810000000004</v>
      </c>
      <c r="D1819">
        <v>3006119</v>
      </c>
      <c r="E1819">
        <v>3490487</v>
      </c>
    </row>
    <row r="1820" spans="1:5">
      <c r="A1820">
        <v>1815</v>
      </c>
      <c r="B1820" s="11">
        <v>45805.395833333336</v>
      </c>
      <c r="C1820" s="7">
        <v>587.39</v>
      </c>
      <c r="D1820">
        <v>5836764</v>
      </c>
      <c r="E1820">
        <v>3734779.75</v>
      </c>
    </row>
    <row r="1821" spans="1:5">
      <c r="A1821">
        <v>1816</v>
      </c>
      <c r="B1821" s="11">
        <v>45804.666666666664</v>
      </c>
      <c r="C1821" s="7">
        <v>587.77779999999996</v>
      </c>
      <c r="D1821">
        <v>0</v>
      </c>
      <c r="E1821">
        <v>3345662.25</v>
      </c>
    </row>
    <row r="1822" spans="1:5">
      <c r="A1822">
        <v>1817</v>
      </c>
      <c r="B1822" s="11">
        <v>45804.645833333336</v>
      </c>
      <c r="C1822" s="7">
        <v>587.77779999999996</v>
      </c>
      <c r="D1822">
        <v>11500949</v>
      </c>
      <c r="E1822">
        <v>3936686.75</v>
      </c>
    </row>
    <row r="1823" spans="1:5">
      <c r="A1823">
        <v>1818</v>
      </c>
      <c r="B1823" s="11">
        <v>45804.625</v>
      </c>
      <c r="C1823" s="7">
        <v>586.95259999999996</v>
      </c>
      <c r="D1823">
        <v>3981900</v>
      </c>
      <c r="E1823">
        <v>3375837.5</v>
      </c>
    </row>
    <row r="1824" spans="1:5">
      <c r="A1824">
        <v>1819</v>
      </c>
      <c r="B1824" s="11">
        <v>45804.604166666664</v>
      </c>
      <c r="C1824" s="7">
        <v>586.97249999999997</v>
      </c>
      <c r="D1824">
        <v>2508350</v>
      </c>
      <c r="E1824">
        <v>3230851.25</v>
      </c>
    </row>
    <row r="1825" spans="1:5">
      <c r="A1825">
        <v>1820</v>
      </c>
      <c r="B1825" s="11">
        <v>45804.583333333336</v>
      </c>
      <c r="C1825" s="7">
        <v>587.32039999999995</v>
      </c>
      <c r="D1825">
        <v>2550376</v>
      </c>
      <c r="E1825">
        <v>3276642.25</v>
      </c>
    </row>
    <row r="1826" spans="1:5">
      <c r="A1826">
        <v>1821</v>
      </c>
      <c r="B1826" s="11">
        <v>45804.5625</v>
      </c>
      <c r="C1826" s="7">
        <v>587.62369999999999</v>
      </c>
      <c r="D1826">
        <v>2011967</v>
      </c>
      <c r="E1826">
        <v>3240030.5</v>
      </c>
    </row>
    <row r="1827" spans="1:5">
      <c r="A1827">
        <v>1822</v>
      </c>
      <c r="B1827" s="11">
        <v>45804.541666666664</v>
      </c>
      <c r="C1827" s="7">
        <v>586.80340000000001</v>
      </c>
      <c r="D1827">
        <v>1772363</v>
      </c>
      <c r="E1827">
        <v>3269583.75</v>
      </c>
    </row>
    <row r="1828" spans="1:5">
      <c r="A1828">
        <v>1823</v>
      </c>
      <c r="B1828" s="11">
        <v>45804.520833333336</v>
      </c>
      <c r="C1828" s="7">
        <v>586.5829</v>
      </c>
      <c r="D1828">
        <v>3420658</v>
      </c>
      <c r="E1828">
        <v>3283156.25</v>
      </c>
    </row>
    <row r="1829" spans="1:5">
      <c r="A1829">
        <v>1824</v>
      </c>
      <c r="B1829" s="11">
        <v>45804.5</v>
      </c>
      <c r="C1829" s="7">
        <v>585.99800000000005</v>
      </c>
      <c r="D1829">
        <v>2650842</v>
      </c>
      <c r="E1829">
        <v>3198655.25</v>
      </c>
    </row>
    <row r="1830" spans="1:5">
      <c r="A1830">
        <v>1825</v>
      </c>
      <c r="B1830" s="11">
        <v>45804.479166666664</v>
      </c>
      <c r="C1830" s="7">
        <v>585.61019999999996</v>
      </c>
      <c r="D1830">
        <v>2460875</v>
      </c>
      <c r="E1830">
        <v>3186048.25</v>
      </c>
    </row>
    <row r="1831" spans="1:5">
      <c r="A1831">
        <v>1826</v>
      </c>
      <c r="B1831" s="11">
        <v>45804.458333333336</v>
      </c>
      <c r="C1831" s="7">
        <v>585.44119999999998</v>
      </c>
      <c r="D1831">
        <v>2881293</v>
      </c>
      <c r="E1831">
        <v>3192270.75</v>
      </c>
    </row>
    <row r="1832" spans="1:5">
      <c r="A1832">
        <v>1827</v>
      </c>
      <c r="B1832" s="11">
        <v>45804.4375</v>
      </c>
      <c r="C1832" s="7">
        <v>584.71040000000005</v>
      </c>
      <c r="D1832">
        <v>2884693</v>
      </c>
      <c r="E1832">
        <v>3186905.25</v>
      </c>
    </row>
    <row r="1833" spans="1:5">
      <c r="A1833">
        <v>1828</v>
      </c>
      <c r="B1833" s="11">
        <v>45804.416666666664</v>
      </c>
      <c r="C1833" s="7">
        <v>584.52560000000005</v>
      </c>
      <c r="D1833">
        <v>4890155</v>
      </c>
      <c r="E1833">
        <v>3310583</v>
      </c>
    </row>
    <row r="1834" spans="1:5">
      <c r="A1834">
        <v>1829</v>
      </c>
      <c r="B1834" s="11">
        <v>45804.395833333336</v>
      </c>
      <c r="C1834" s="7">
        <v>582.95540000000005</v>
      </c>
      <c r="D1834">
        <v>6670511</v>
      </c>
      <c r="E1834">
        <v>3566066.75</v>
      </c>
    </row>
    <row r="1835" spans="1:5">
      <c r="A1835">
        <v>1830</v>
      </c>
      <c r="B1835" s="11">
        <v>45800.666666666664</v>
      </c>
      <c r="C1835" s="7">
        <v>575.80650000000003</v>
      </c>
      <c r="D1835">
        <v>0</v>
      </c>
      <c r="E1835">
        <v>3121366.25</v>
      </c>
    </row>
    <row r="1836" spans="1:5">
      <c r="A1836">
        <v>1831</v>
      </c>
      <c r="B1836" s="11">
        <v>45800.645833333336</v>
      </c>
      <c r="C1836" s="7">
        <v>575.81640000000004</v>
      </c>
      <c r="D1836">
        <v>8865369</v>
      </c>
      <c r="E1836">
        <v>3878563.75</v>
      </c>
    </row>
    <row r="1837" spans="1:5">
      <c r="A1837">
        <v>1832</v>
      </c>
      <c r="B1837" s="11">
        <v>45800.625</v>
      </c>
      <c r="C1837" s="7">
        <v>576.46280000000002</v>
      </c>
      <c r="D1837">
        <v>3088211</v>
      </c>
      <c r="E1837">
        <v>3509526.25</v>
      </c>
    </row>
    <row r="1838" spans="1:5">
      <c r="A1838">
        <v>1833</v>
      </c>
      <c r="B1838" s="11">
        <v>45800.604166666664</v>
      </c>
      <c r="C1838" s="7">
        <v>577.39739999999995</v>
      </c>
      <c r="D1838">
        <v>1807107</v>
      </c>
      <c r="E1838">
        <v>3459647.25</v>
      </c>
    </row>
    <row r="1839" spans="1:5">
      <c r="A1839">
        <v>1834</v>
      </c>
      <c r="B1839" s="11">
        <v>45800.583333333336</v>
      </c>
      <c r="C1839" s="7">
        <v>577.37750000000005</v>
      </c>
      <c r="D1839">
        <v>3195214</v>
      </c>
      <c r="E1839">
        <v>3515382</v>
      </c>
    </row>
    <row r="1840" spans="1:5">
      <c r="A1840">
        <v>1835</v>
      </c>
      <c r="B1840" s="11">
        <v>45800.5625</v>
      </c>
      <c r="C1840" s="7">
        <v>577.52670000000001</v>
      </c>
      <c r="D1840">
        <v>2001201</v>
      </c>
      <c r="E1840">
        <v>3454905.75</v>
      </c>
    </row>
    <row r="1841" spans="1:5">
      <c r="A1841">
        <v>1836</v>
      </c>
      <c r="B1841" s="11">
        <v>45800.541666666664</v>
      </c>
      <c r="C1841" s="7">
        <v>577.72550000000001</v>
      </c>
      <c r="D1841">
        <v>2455264</v>
      </c>
      <c r="E1841">
        <v>3498223.75</v>
      </c>
    </row>
    <row r="1842" spans="1:5">
      <c r="A1842">
        <v>1837</v>
      </c>
      <c r="B1842" s="11">
        <v>45800.520833333336</v>
      </c>
      <c r="C1842" s="7">
        <v>575.68709999999999</v>
      </c>
      <c r="D1842">
        <v>1975951</v>
      </c>
      <c r="E1842">
        <v>3475470</v>
      </c>
    </row>
    <row r="1843" spans="1:5">
      <c r="A1843">
        <v>1838</v>
      </c>
      <c r="B1843" s="11">
        <v>45800.5</v>
      </c>
      <c r="C1843" s="7">
        <v>575.3193</v>
      </c>
      <c r="D1843">
        <v>2153142</v>
      </c>
      <c r="E1843">
        <v>3533957.25</v>
      </c>
    </row>
    <row r="1844" spans="1:5">
      <c r="A1844">
        <v>1839</v>
      </c>
      <c r="B1844" s="11">
        <v>45800.479166666664</v>
      </c>
      <c r="C1844" s="7">
        <v>574.73270000000002</v>
      </c>
      <c r="D1844">
        <v>2461738</v>
      </c>
      <c r="E1844">
        <v>3571009.75</v>
      </c>
    </row>
    <row r="1845" spans="1:5">
      <c r="A1845">
        <v>1840</v>
      </c>
      <c r="B1845" s="11">
        <v>45800.458333333336</v>
      </c>
      <c r="C1845" s="7">
        <v>575.13040000000001</v>
      </c>
      <c r="D1845">
        <v>2554211</v>
      </c>
      <c r="E1845">
        <v>3608899.25</v>
      </c>
    </row>
    <row r="1846" spans="1:5">
      <c r="A1846">
        <v>1841</v>
      </c>
      <c r="B1846" s="11">
        <v>45800.4375</v>
      </c>
      <c r="C1846" s="7">
        <v>573.89250000000004</v>
      </c>
      <c r="D1846">
        <v>2800811</v>
      </c>
      <c r="E1846">
        <v>3683654.25</v>
      </c>
    </row>
    <row r="1847" spans="1:5">
      <c r="A1847">
        <v>1842</v>
      </c>
      <c r="B1847" s="11">
        <v>45800.416666666664</v>
      </c>
      <c r="C1847" s="7">
        <v>574.40449999999998</v>
      </c>
      <c r="D1847">
        <v>4739860</v>
      </c>
      <c r="E1847">
        <v>3754154.75</v>
      </c>
    </row>
    <row r="1848" spans="1:5">
      <c r="A1848">
        <v>1843</v>
      </c>
      <c r="B1848" s="11">
        <v>45800.395833333336</v>
      </c>
      <c r="C1848" s="7">
        <v>573.46990000000005</v>
      </c>
      <c r="D1848">
        <v>8722413</v>
      </c>
      <c r="E1848">
        <v>3844404.75</v>
      </c>
    </row>
    <row r="1849" spans="1:5">
      <c r="A1849">
        <v>1844</v>
      </c>
      <c r="B1849" s="11">
        <v>45799.666666666664</v>
      </c>
      <c r="C1849" s="7">
        <v>579.76379999999995</v>
      </c>
      <c r="D1849">
        <v>0</v>
      </c>
      <c r="E1849">
        <v>3262910.75</v>
      </c>
    </row>
    <row r="1850" spans="1:5">
      <c r="A1850">
        <v>1845</v>
      </c>
      <c r="B1850" s="11">
        <v>45799.645833333336</v>
      </c>
      <c r="C1850" s="7">
        <v>579.75379999999996</v>
      </c>
      <c r="D1850">
        <v>11357963</v>
      </c>
      <c r="E1850">
        <v>4096696.25</v>
      </c>
    </row>
    <row r="1851" spans="1:5">
      <c r="A1851">
        <v>1846</v>
      </c>
      <c r="B1851" s="11">
        <v>45799.625</v>
      </c>
      <c r="C1851" s="7">
        <v>583.15930000000003</v>
      </c>
      <c r="D1851">
        <v>3329807</v>
      </c>
      <c r="E1851">
        <v>3741593.75</v>
      </c>
    </row>
    <row r="1852" spans="1:5">
      <c r="A1852">
        <v>1847</v>
      </c>
      <c r="B1852" s="11">
        <v>45799.604166666664</v>
      </c>
      <c r="C1852" s="7">
        <v>582.50310000000002</v>
      </c>
      <c r="D1852">
        <v>2340025</v>
      </c>
      <c r="E1852">
        <v>3758460</v>
      </c>
    </row>
    <row r="1853" spans="1:5">
      <c r="A1853">
        <v>1848</v>
      </c>
      <c r="B1853" s="11">
        <v>45799.583333333336</v>
      </c>
      <c r="C1853" s="7">
        <v>582.16999999999996</v>
      </c>
      <c r="D1853">
        <v>2643131</v>
      </c>
      <c r="E1853">
        <v>3852401.5</v>
      </c>
    </row>
    <row r="1854" spans="1:5">
      <c r="A1854">
        <v>1849</v>
      </c>
      <c r="B1854" s="11">
        <v>45799.5625</v>
      </c>
      <c r="C1854" s="7">
        <v>582.00099999999998</v>
      </c>
      <c r="D1854">
        <v>2288071</v>
      </c>
      <c r="E1854">
        <v>4232959.5</v>
      </c>
    </row>
    <row r="1855" spans="1:5">
      <c r="A1855">
        <v>1850</v>
      </c>
      <c r="B1855" s="11">
        <v>45799.541666666664</v>
      </c>
      <c r="C1855" s="7">
        <v>581.32479999999998</v>
      </c>
      <c r="D1855">
        <v>2650968</v>
      </c>
      <c r="E1855">
        <v>4630998</v>
      </c>
    </row>
    <row r="1856" spans="1:5">
      <c r="A1856">
        <v>1851</v>
      </c>
      <c r="B1856" s="11">
        <v>45799.520833333336</v>
      </c>
      <c r="C1856" s="7">
        <v>579.75890000000004</v>
      </c>
      <c r="D1856">
        <v>2113958</v>
      </c>
      <c r="E1856">
        <v>4609022</v>
      </c>
    </row>
    <row r="1857" spans="1:5">
      <c r="A1857">
        <v>1852</v>
      </c>
      <c r="B1857" s="11">
        <v>45799.5</v>
      </c>
      <c r="C1857" s="7">
        <v>581.00670000000002</v>
      </c>
      <c r="D1857">
        <v>2853261</v>
      </c>
      <c r="E1857">
        <v>4611079</v>
      </c>
    </row>
    <row r="1858" spans="1:5">
      <c r="A1858">
        <v>1853</v>
      </c>
      <c r="B1858" s="11">
        <v>45799.479166666664</v>
      </c>
      <c r="C1858" s="7">
        <v>580.97680000000003</v>
      </c>
      <c r="D1858">
        <v>2708930</v>
      </c>
      <c r="E1858">
        <v>4561760.5</v>
      </c>
    </row>
    <row r="1859" spans="1:5">
      <c r="A1859">
        <v>1854</v>
      </c>
      <c r="B1859" s="11">
        <v>45799.458333333336</v>
      </c>
      <c r="C1859" s="7">
        <v>579.1866</v>
      </c>
      <c r="D1859">
        <v>3030081</v>
      </c>
      <c r="E1859">
        <v>4610566.5</v>
      </c>
    </row>
    <row r="1860" spans="1:5">
      <c r="A1860">
        <v>1855</v>
      </c>
      <c r="B1860" s="11">
        <v>45799.4375</v>
      </c>
      <c r="C1860" s="7">
        <v>579.74390000000005</v>
      </c>
      <c r="D1860">
        <v>3675535</v>
      </c>
      <c r="E1860">
        <v>4590390.5</v>
      </c>
    </row>
    <row r="1861" spans="1:5">
      <c r="A1861">
        <v>1856</v>
      </c>
      <c r="B1861" s="11">
        <v>45799.416666666664</v>
      </c>
      <c r="C1861" s="7">
        <v>579.53510000000006</v>
      </c>
      <c r="D1861">
        <v>3858318</v>
      </c>
      <c r="E1861">
        <v>4615792</v>
      </c>
    </row>
    <row r="1862" spans="1:5">
      <c r="A1862">
        <v>1857</v>
      </c>
      <c r="B1862" s="11">
        <v>45799.395833333336</v>
      </c>
      <c r="C1862" s="7">
        <v>581.01660000000004</v>
      </c>
      <c r="D1862">
        <v>6093612</v>
      </c>
      <c r="E1862">
        <v>4723928</v>
      </c>
    </row>
    <row r="1863" spans="1:5">
      <c r="A1863">
        <v>1858</v>
      </c>
      <c r="B1863" s="11">
        <v>45798.666666666664</v>
      </c>
      <c r="C1863" s="7">
        <v>579.53510000000006</v>
      </c>
      <c r="D1863">
        <v>0</v>
      </c>
      <c r="E1863">
        <v>4317687.5</v>
      </c>
    </row>
    <row r="1864" spans="1:5">
      <c r="A1864">
        <v>1859</v>
      </c>
      <c r="B1864" s="11">
        <v>45798.645833333336</v>
      </c>
      <c r="C1864" s="7">
        <v>579.65440000000001</v>
      </c>
      <c r="D1864">
        <v>12506785</v>
      </c>
      <c r="E1864">
        <v>4843887</v>
      </c>
    </row>
    <row r="1865" spans="1:5">
      <c r="A1865">
        <v>1860</v>
      </c>
      <c r="B1865" s="11">
        <v>45798.625</v>
      </c>
      <c r="C1865" s="7">
        <v>578.98820000000001</v>
      </c>
      <c r="D1865">
        <v>6031424</v>
      </c>
      <c r="E1865">
        <v>4359832.5</v>
      </c>
    </row>
    <row r="1866" spans="1:5">
      <c r="A1866">
        <v>1861</v>
      </c>
      <c r="B1866" s="11">
        <v>45798.604166666664</v>
      </c>
      <c r="C1866" s="7">
        <v>580.7183</v>
      </c>
      <c r="D1866">
        <v>3582801</v>
      </c>
      <c r="E1866">
        <v>4183263.5</v>
      </c>
    </row>
    <row r="1867" spans="1:5">
      <c r="A1867">
        <v>1862</v>
      </c>
      <c r="B1867" s="11">
        <v>45798.583333333336</v>
      </c>
      <c r="C1867" s="7">
        <v>581.86180000000002</v>
      </c>
      <c r="D1867">
        <v>3749148</v>
      </c>
      <c r="E1867">
        <v>4179657</v>
      </c>
    </row>
    <row r="1868" spans="1:5">
      <c r="A1868">
        <v>1863</v>
      </c>
      <c r="B1868" s="11">
        <v>45798.5625</v>
      </c>
      <c r="C1868" s="7">
        <v>582.96540000000005</v>
      </c>
      <c r="D1868">
        <v>8351501</v>
      </c>
      <c r="E1868">
        <v>4073705</v>
      </c>
    </row>
    <row r="1869" spans="1:5">
      <c r="A1869">
        <v>1864</v>
      </c>
      <c r="B1869" s="11">
        <v>45798.541666666664</v>
      </c>
      <c r="C1869" s="7">
        <v>581.13589999999999</v>
      </c>
      <c r="D1869">
        <v>8258648</v>
      </c>
      <c r="E1869">
        <v>3644077</v>
      </c>
    </row>
    <row r="1870" spans="1:5">
      <c r="A1870">
        <v>1865</v>
      </c>
      <c r="B1870" s="11">
        <v>45798.520833333336</v>
      </c>
      <c r="C1870" s="7">
        <v>588.31479999999999</v>
      </c>
      <c r="D1870">
        <v>2321327</v>
      </c>
      <c r="E1870">
        <v>3206081.5</v>
      </c>
    </row>
    <row r="1871" spans="1:5">
      <c r="A1871">
        <v>1866</v>
      </c>
      <c r="B1871" s="11">
        <v>45798.5</v>
      </c>
      <c r="C1871" s="7">
        <v>588.39430000000004</v>
      </c>
      <c r="D1871">
        <v>2144817</v>
      </c>
      <c r="E1871">
        <v>3165426.25</v>
      </c>
    </row>
    <row r="1872" spans="1:5">
      <c r="A1872">
        <v>1867</v>
      </c>
      <c r="B1872" s="11">
        <v>45798.479166666664</v>
      </c>
      <c r="C1872" s="7">
        <v>588.37440000000004</v>
      </c>
      <c r="D1872">
        <v>2113481</v>
      </c>
      <c r="E1872">
        <v>3135390</v>
      </c>
    </row>
    <row r="1873" spans="1:5">
      <c r="A1873">
        <v>1868</v>
      </c>
      <c r="B1873" s="11">
        <v>45798.458333333336</v>
      </c>
      <c r="C1873" s="7">
        <v>588.40419999999995</v>
      </c>
      <c r="D1873">
        <v>3441016</v>
      </c>
      <c r="E1873">
        <v>3112316</v>
      </c>
    </row>
    <row r="1874" spans="1:5">
      <c r="A1874">
        <v>1869</v>
      </c>
      <c r="B1874" s="11">
        <v>45798.4375</v>
      </c>
      <c r="C1874" s="7">
        <v>587.32039999999995</v>
      </c>
      <c r="D1874">
        <v>2727442</v>
      </c>
      <c r="E1874">
        <v>3033323.75</v>
      </c>
    </row>
    <row r="1875" spans="1:5">
      <c r="A1875">
        <v>1870</v>
      </c>
      <c r="B1875" s="11">
        <v>45798.416666666664</v>
      </c>
      <c r="C1875" s="7">
        <v>586.29560000000004</v>
      </c>
      <c r="D1875">
        <v>4056563</v>
      </c>
      <c r="E1875">
        <v>3027871.25</v>
      </c>
    </row>
    <row r="1876" spans="1:5">
      <c r="A1876">
        <v>1871</v>
      </c>
      <c r="B1876" s="11">
        <v>45798.395833333336</v>
      </c>
      <c r="C1876" s="7">
        <v>586.62440000000004</v>
      </c>
      <c r="D1876">
        <v>5480356</v>
      </c>
      <c r="E1876">
        <v>3050248.75</v>
      </c>
    </row>
    <row r="1877" spans="1:5">
      <c r="A1877">
        <v>1872</v>
      </c>
      <c r="B1877" s="11">
        <v>45797.666666666664</v>
      </c>
      <c r="C1877" s="7">
        <v>589.46810000000005</v>
      </c>
      <c r="D1877">
        <v>0</v>
      </c>
      <c r="E1877">
        <v>2684891.5</v>
      </c>
    </row>
    <row r="1878" spans="1:5">
      <c r="A1878">
        <v>1873</v>
      </c>
      <c r="B1878" s="11">
        <v>45797.645833333336</v>
      </c>
      <c r="C1878" s="7">
        <v>589.41840000000002</v>
      </c>
      <c r="D1878">
        <v>7892994</v>
      </c>
      <c r="E1878">
        <v>3238825.25</v>
      </c>
    </row>
    <row r="1879" spans="1:5">
      <c r="A1879">
        <v>1874</v>
      </c>
      <c r="B1879" s="11">
        <v>45797.625</v>
      </c>
      <c r="C1879" s="7">
        <v>588.04629999999997</v>
      </c>
      <c r="D1879">
        <v>5245969</v>
      </c>
      <c r="E1879">
        <v>2891352.75</v>
      </c>
    </row>
    <row r="1880" spans="1:5">
      <c r="A1880">
        <v>1875</v>
      </c>
      <c r="B1880" s="11">
        <v>45797.604166666664</v>
      </c>
      <c r="C1880" s="7">
        <v>587.46460000000002</v>
      </c>
      <c r="D1880">
        <v>3382890</v>
      </c>
      <c r="E1880">
        <v>2680121</v>
      </c>
    </row>
    <row r="1881" spans="1:5">
      <c r="A1881">
        <v>1876</v>
      </c>
      <c r="B1881" s="11">
        <v>45797.583333333336</v>
      </c>
      <c r="C1881" s="7">
        <v>587.37009999999998</v>
      </c>
      <c r="D1881">
        <v>3528704</v>
      </c>
      <c r="E1881">
        <v>2627181.5</v>
      </c>
    </row>
    <row r="1882" spans="1:5">
      <c r="A1882">
        <v>1877</v>
      </c>
      <c r="B1882" s="11">
        <v>45797.5625</v>
      </c>
      <c r="C1882" s="7">
        <v>589.55759999999998</v>
      </c>
      <c r="D1882">
        <v>2159866</v>
      </c>
      <c r="E1882">
        <v>2536494.5</v>
      </c>
    </row>
    <row r="1883" spans="1:5">
      <c r="A1883">
        <v>1878</v>
      </c>
      <c r="B1883" s="11">
        <v>45797.541666666664</v>
      </c>
      <c r="C1883" s="7">
        <v>590.08450000000005</v>
      </c>
      <c r="D1883">
        <v>1907083</v>
      </c>
      <c r="E1883">
        <v>2604063.25</v>
      </c>
    </row>
    <row r="1884" spans="1:5">
      <c r="A1884">
        <v>1879</v>
      </c>
      <c r="B1884" s="11">
        <v>45797.520833333336</v>
      </c>
      <c r="C1884" s="7">
        <v>590.00509999999997</v>
      </c>
      <c r="D1884">
        <v>1688715</v>
      </c>
      <c r="E1884">
        <v>2628324.5</v>
      </c>
    </row>
    <row r="1885" spans="1:5">
      <c r="A1885">
        <v>1880</v>
      </c>
      <c r="B1885" s="11">
        <v>45797.5</v>
      </c>
      <c r="C1885" s="7">
        <v>589.28909999999996</v>
      </c>
      <c r="D1885">
        <v>1711497</v>
      </c>
      <c r="E1885">
        <v>2627948.25</v>
      </c>
    </row>
    <row r="1886" spans="1:5">
      <c r="A1886">
        <v>1881</v>
      </c>
      <c r="B1886" s="11">
        <v>45797.479166666664</v>
      </c>
      <c r="C1886" s="7">
        <v>589.83600000000001</v>
      </c>
      <c r="D1886">
        <v>1694275</v>
      </c>
      <c r="E1886">
        <v>2645074.5</v>
      </c>
    </row>
    <row r="1887" spans="1:5">
      <c r="A1887">
        <v>1882</v>
      </c>
      <c r="B1887" s="11">
        <v>45797.458333333336</v>
      </c>
      <c r="C1887" s="7">
        <v>590.05470000000003</v>
      </c>
      <c r="D1887">
        <v>1767370</v>
      </c>
      <c r="E1887">
        <v>2647389.5</v>
      </c>
    </row>
    <row r="1888" spans="1:5">
      <c r="A1888">
        <v>1883</v>
      </c>
      <c r="B1888" s="11">
        <v>45797.4375</v>
      </c>
      <c r="C1888" s="7">
        <v>589.48299999999995</v>
      </c>
      <c r="D1888">
        <v>2256132</v>
      </c>
      <c r="E1888">
        <v>2671176.5</v>
      </c>
    </row>
    <row r="1889" spans="1:5">
      <c r="A1889">
        <v>1884</v>
      </c>
      <c r="B1889" s="11">
        <v>45797.416666666664</v>
      </c>
      <c r="C1889" s="7">
        <v>589.48800000000006</v>
      </c>
      <c r="D1889">
        <v>2645656</v>
      </c>
      <c r="E1889">
        <v>2870606.25</v>
      </c>
    </row>
    <row r="1890" spans="1:5">
      <c r="A1890">
        <v>1885</v>
      </c>
      <c r="B1890" s="11">
        <v>45797.395833333336</v>
      </c>
      <c r="C1890" s="7">
        <v>589.43830000000003</v>
      </c>
      <c r="D1890">
        <v>4392223</v>
      </c>
      <c r="E1890">
        <v>3137979.5</v>
      </c>
    </row>
    <row r="1891" spans="1:5">
      <c r="A1891">
        <v>1886</v>
      </c>
      <c r="B1891" s="11">
        <v>45796.666666666664</v>
      </c>
      <c r="C1891" s="7">
        <v>591.45669999999996</v>
      </c>
      <c r="D1891">
        <v>0</v>
      </c>
      <c r="E1891">
        <v>2845164.75</v>
      </c>
    </row>
    <row r="1892" spans="1:5">
      <c r="A1892">
        <v>1887</v>
      </c>
      <c r="B1892" s="11">
        <v>45796.645833333336</v>
      </c>
      <c r="C1892" s="7">
        <v>591.45669999999996</v>
      </c>
      <c r="D1892">
        <v>8309004</v>
      </c>
      <c r="E1892">
        <v>3454883.25</v>
      </c>
    </row>
    <row r="1893" spans="1:5">
      <c r="A1893">
        <v>1888</v>
      </c>
      <c r="B1893" s="11">
        <v>45796.625</v>
      </c>
      <c r="C1893" s="7">
        <v>590.16409999999996</v>
      </c>
      <c r="D1893">
        <v>2680908</v>
      </c>
      <c r="E1893">
        <v>3078673.75</v>
      </c>
    </row>
    <row r="1894" spans="1:5">
      <c r="A1894">
        <v>1889</v>
      </c>
      <c r="B1894" s="11">
        <v>45796.604166666664</v>
      </c>
      <c r="C1894" s="7">
        <v>591.02909999999997</v>
      </c>
      <c r="D1894">
        <v>2077492</v>
      </c>
      <c r="E1894">
        <v>3068936.75</v>
      </c>
    </row>
    <row r="1895" spans="1:5">
      <c r="A1895">
        <v>1890</v>
      </c>
      <c r="B1895" s="11">
        <v>45796.583333333336</v>
      </c>
      <c r="C1895" s="7">
        <v>590.37289999999996</v>
      </c>
      <c r="D1895">
        <v>2588799</v>
      </c>
      <c r="E1895">
        <v>3056104</v>
      </c>
    </row>
    <row r="1896" spans="1:5">
      <c r="A1896">
        <v>1891</v>
      </c>
      <c r="B1896" s="11">
        <v>45796.5625</v>
      </c>
      <c r="C1896" s="7">
        <v>590.93970000000002</v>
      </c>
      <c r="D1896">
        <v>2168398</v>
      </c>
      <c r="E1896">
        <v>3035414.25</v>
      </c>
    </row>
    <row r="1897" spans="1:5">
      <c r="A1897">
        <v>1892</v>
      </c>
      <c r="B1897" s="11">
        <v>45796.541666666664</v>
      </c>
      <c r="C1897" s="7">
        <v>591.69870000000003</v>
      </c>
      <c r="D1897">
        <v>3173395</v>
      </c>
      <c r="E1897">
        <v>3031713.5</v>
      </c>
    </row>
    <row r="1898" spans="1:5">
      <c r="A1898">
        <v>1893</v>
      </c>
      <c r="B1898" s="11">
        <v>45796.520833333336</v>
      </c>
      <c r="C1898" s="7">
        <v>591.16830000000004</v>
      </c>
      <c r="D1898">
        <v>2271002</v>
      </c>
      <c r="E1898">
        <v>2952965.25</v>
      </c>
    </row>
    <row r="1899" spans="1:5">
      <c r="A1899">
        <v>1894</v>
      </c>
      <c r="B1899" s="11">
        <v>45796.5</v>
      </c>
      <c r="C1899" s="7">
        <v>590.63130000000001</v>
      </c>
      <c r="D1899">
        <v>1683072</v>
      </c>
      <c r="E1899">
        <v>2942947.5</v>
      </c>
    </row>
    <row r="1900" spans="1:5">
      <c r="A1900">
        <v>1895</v>
      </c>
      <c r="B1900" s="11">
        <v>45796.479166666664</v>
      </c>
      <c r="C1900" s="7">
        <v>589.77629999999999</v>
      </c>
      <c r="D1900">
        <v>1968392</v>
      </c>
      <c r="E1900">
        <v>2960842</v>
      </c>
    </row>
    <row r="1901" spans="1:5">
      <c r="A1901">
        <v>1896</v>
      </c>
      <c r="B1901" s="11">
        <v>45796.458333333336</v>
      </c>
      <c r="C1901" s="7">
        <v>588.97090000000003</v>
      </c>
      <c r="D1901">
        <v>1729000</v>
      </c>
      <c r="E1901">
        <v>2952796</v>
      </c>
    </row>
    <row r="1902" spans="1:5">
      <c r="A1902">
        <v>1897</v>
      </c>
      <c r="B1902" s="11">
        <v>45796.4375</v>
      </c>
      <c r="C1902" s="7">
        <v>588.62300000000005</v>
      </c>
      <c r="D1902">
        <v>2124173</v>
      </c>
      <c r="E1902">
        <v>3055266</v>
      </c>
    </row>
    <row r="1903" spans="1:5">
      <c r="A1903">
        <v>1898</v>
      </c>
      <c r="B1903" s="11">
        <v>45796.416666666664</v>
      </c>
      <c r="C1903" s="7">
        <v>588.88149999999996</v>
      </c>
      <c r="D1903">
        <v>5247580</v>
      </c>
      <c r="E1903">
        <v>3117113.25</v>
      </c>
    </row>
    <row r="1904" spans="1:5">
      <c r="A1904">
        <v>1899</v>
      </c>
      <c r="B1904" s="11">
        <v>45796.395833333336</v>
      </c>
      <c r="C1904" s="7">
        <v>587.93690000000004</v>
      </c>
      <c r="D1904">
        <v>6656256</v>
      </c>
      <c r="E1904">
        <v>3055406.75</v>
      </c>
    </row>
    <row r="1905" spans="1:5">
      <c r="A1905">
        <v>1900</v>
      </c>
      <c r="B1905" s="11">
        <v>45793.666666666664</v>
      </c>
      <c r="C1905" s="7">
        <v>590.81039999999996</v>
      </c>
      <c r="D1905">
        <v>0</v>
      </c>
      <c r="E1905">
        <v>2611656.25</v>
      </c>
    </row>
    <row r="1906" spans="1:5">
      <c r="A1906">
        <v>1901</v>
      </c>
      <c r="B1906" s="11">
        <v>45793.645833333336</v>
      </c>
      <c r="C1906" s="7">
        <v>590.84019999999998</v>
      </c>
      <c r="D1906">
        <v>9145778</v>
      </c>
      <c r="E1906">
        <v>3313117.5</v>
      </c>
    </row>
    <row r="1907" spans="1:5">
      <c r="A1907">
        <v>1902</v>
      </c>
      <c r="B1907" s="11">
        <v>45793.625</v>
      </c>
      <c r="C1907" s="7">
        <v>590.40269999999998</v>
      </c>
      <c r="D1907">
        <v>2665861</v>
      </c>
      <c r="E1907">
        <v>2937374</v>
      </c>
    </row>
    <row r="1908" spans="1:5">
      <c r="A1908">
        <v>1903</v>
      </c>
      <c r="B1908" s="11">
        <v>45793.604166666664</v>
      </c>
      <c r="C1908" s="7">
        <v>590.21379999999999</v>
      </c>
      <c r="D1908">
        <v>2534854</v>
      </c>
      <c r="E1908">
        <v>2918305.25</v>
      </c>
    </row>
    <row r="1909" spans="1:5">
      <c r="A1909">
        <v>1904</v>
      </c>
      <c r="B1909" s="11">
        <v>45793.583333333336</v>
      </c>
      <c r="C1909" s="7">
        <v>589.89570000000003</v>
      </c>
      <c r="D1909">
        <v>1884999</v>
      </c>
      <c r="E1909">
        <v>2939004.25</v>
      </c>
    </row>
    <row r="1910" spans="1:5">
      <c r="A1910">
        <v>1905</v>
      </c>
      <c r="B1910" s="11">
        <v>45793.5625</v>
      </c>
      <c r="C1910" s="7">
        <v>589.42139999999995</v>
      </c>
      <c r="D1910">
        <v>2278452</v>
      </c>
      <c r="E1910">
        <v>2967076.25</v>
      </c>
    </row>
    <row r="1911" spans="1:5">
      <c r="A1911">
        <v>1906</v>
      </c>
      <c r="B1911" s="11">
        <v>45793.541666666664</v>
      </c>
      <c r="C1911" s="7">
        <v>589.74649999999997</v>
      </c>
      <c r="D1911">
        <v>2112888</v>
      </c>
      <c r="E1911">
        <v>2978524.75</v>
      </c>
    </row>
    <row r="1912" spans="1:5">
      <c r="A1912">
        <v>1907</v>
      </c>
      <c r="B1912" s="11">
        <v>45793.520833333336</v>
      </c>
      <c r="C1912" s="7">
        <v>588.85209999999995</v>
      </c>
      <c r="D1912">
        <v>1992172</v>
      </c>
      <c r="E1912">
        <v>2972666.25</v>
      </c>
    </row>
    <row r="1913" spans="1:5">
      <c r="A1913">
        <v>1908</v>
      </c>
      <c r="B1913" s="11">
        <v>45793.5</v>
      </c>
      <c r="C1913" s="7">
        <v>588.68759999999997</v>
      </c>
      <c r="D1913">
        <v>2120734</v>
      </c>
      <c r="E1913">
        <v>3015643</v>
      </c>
    </row>
    <row r="1914" spans="1:5">
      <c r="A1914">
        <v>1909</v>
      </c>
      <c r="B1914" s="11">
        <v>45793.479166666664</v>
      </c>
      <c r="C1914" s="7">
        <v>587.6585</v>
      </c>
      <c r="D1914">
        <v>1951492</v>
      </c>
      <c r="E1914">
        <v>3037046.25</v>
      </c>
    </row>
    <row r="1915" spans="1:5">
      <c r="A1915">
        <v>1910</v>
      </c>
      <c r="B1915" s="11">
        <v>45793.458333333336</v>
      </c>
      <c r="C1915" s="7">
        <v>587.53909999999996</v>
      </c>
      <c r="D1915">
        <v>1847700</v>
      </c>
      <c r="E1915">
        <v>3192747.75</v>
      </c>
    </row>
    <row r="1916" spans="1:5">
      <c r="A1916">
        <v>1911</v>
      </c>
      <c r="B1916" s="11">
        <v>45793.4375</v>
      </c>
      <c r="C1916" s="7">
        <v>587.13149999999996</v>
      </c>
      <c r="D1916">
        <v>3266050</v>
      </c>
      <c r="E1916">
        <v>3265501.5</v>
      </c>
    </row>
    <row r="1917" spans="1:5">
      <c r="A1917">
        <v>1912</v>
      </c>
      <c r="B1917" s="11">
        <v>45793.416666666664</v>
      </c>
      <c r="C1917" s="7">
        <v>587.46960000000001</v>
      </c>
      <c r="D1917">
        <v>3051881</v>
      </c>
      <c r="E1917">
        <v>3290207.75</v>
      </c>
    </row>
    <row r="1918" spans="1:5">
      <c r="A1918">
        <v>1913</v>
      </c>
      <c r="B1918" s="11">
        <v>45793.395833333336</v>
      </c>
      <c r="C1918" s="7">
        <v>587.26080000000002</v>
      </c>
      <c r="D1918">
        <v>4321983</v>
      </c>
      <c r="E1918">
        <v>3418808.25</v>
      </c>
    </row>
    <row r="1919" spans="1:5">
      <c r="A1919">
        <v>1914</v>
      </c>
      <c r="B1919" s="11">
        <v>45792.666666666664</v>
      </c>
      <c r="C1919" s="7">
        <v>587.09169999999995</v>
      </c>
      <c r="D1919">
        <v>0</v>
      </c>
      <c r="E1919">
        <v>3130676</v>
      </c>
    </row>
    <row r="1920" spans="1:5">
      <c r="A1920">
        <v>1915</v>
      </c>
      <c r="B1920" s="11">
        <v>45792.645833333336</v>
      </c>
      <c r="C1920" s="7">
        <v>587.09169999999995</v>
      </c>
      <c r="D1920">
        <v>10521917</v>
      </c>
      <c r="E1920">
        <v>3871508</v>
      </c>
    </row>
    <row r="1921" spans="1:5">
      <c r="A1921">
        <v>1916</v>
      </c>
      <c r="B1921" s="11">
        <v>45792.625</v>
      </c>
      <c r="C1921" s="7">
        <v>585.53070000000002</v>
      </c>
      <c r="D1921">
        <v>3509628</v>
      </c>
      <c r="E1921">
        <v>3363516.5</v>
      </c>
    </row>
    <row r="1922" spans="1:5">
      <c r="A1922">
        <v>1917</v>
      </c>
      <c r="B1922" s="11">
        <v>45792.604166666664</v>
      </c>
      <c r="C1922" s="7">
        <v>586.38559999999995</v>
      </c>
      <c r="D1922">
        <v>2379827</v>
      </c>
      <c r="E1922">
        <v>3306060</v>
      </c>
    </row>
    <row r="1923" spans="1:5">
      <c r="A1923">
        <v>1918</v>
      </c>
      <c r="B1923" s="11">
        <v>45792.583333333336</v>
      </c>
      <c r="C1923" s="7">
        <v>586.09749999999997</v>
      </c>
      <c r="D1923">
        <v>2845340</v>
      </c>
      <c r="E1923">
        <v>3281660</v>
      </c>
    </row>
    <row r="1924" spans="1:5">
      <c r="A1924">
        <v>1919</v>
      </c>
      <c r="B1924" s="11">
        <v>45792.5625</v>
      </c>
      <c r="C1924" s="7">
        <v>586.47529999999995</v>
      </c>
      <c r="D1924">
        <v>2306081</v>
      </c>
      <c r="E1924">
        <v>3221709.75</v>
      </c>
    </row>
    <row r="1925" spans="1:5">
      <c r="A1925">
        <v>1920</v>
      </c>
      <c r="B1925" s="11">
        <v>45792.541666666664</v>
      </c>
      <c r="C1925" s="7">
        <v>587.30050000000006</v>
      </c>
      <c r="D1925">
        <v>2450179</v>
      </c>
      <c r="E1925">
        <v>3272999.75</v>
      </c>
    </row>
    <row r="1926" spans="1:5">
      <c r="A1926">
        <v>1921</v>
      </c>
      <c r="B1926" s="11">
        <v>45792.520833333336</v>
      </c>
      <c r="C1926" s="7">
        <v>586.82320000000004</v>
      </c>
      <c r="D1926">
        <v>2025010</v>
      </c>
      <c r="E1926">
        <v>3231928.5</v>
      </c>
    </row>
    <row r="1927" spans="1:5">
      <c r="A1927">
        <v>1922</v>
      </c>
      <c r="B1927" s="11">
        <v>45792.5</v>
      </c>
      <c r="C1927" s="7">
        <v>585.78920000000005</v>
      </c>
      <c r="D1927">
        <v>2636822</v>
      </c>
      <c r="E1927">
        <v>3190213.25</v>
      </c>
    </row>
    <row r="1928" spans="1:5">
      <c r="A1928">
        <v>1923</v>
      </c>
      <c r="B1928" s="11">
        <v>45792.479166666664</v>
      </c>
      <c r="C1928" s="7">
        <v>585.71960000000001</v>
      </c>
      <c r="D1928">
        <v>2441785</v>
      </c>
      <c r="E1928">
        <v>3149671.25</v>
      </c>
    </row>
    <row r="1929" spans="1:5">
      <c r="A1929">
        <v>1924</v>
      </c>
      <c r="B1929" s="11">
        <v>45792.458333333336</v>
      </c>
      <c r="C1929" s="7">
        <v>585.00369999999998</v>
      </c>
      <c r="D1929">
        <v>4287015</v>
      </c>
      <c r="E1929">
        <v>3200620</v>
      </c>
    </row>
    <row r="1930" spans="1:5">
      <c r="A1930">
        <v>1925</v>
      </c>
      <c r="B1930" s="11">
        <v>45792.4375</v>
      </c>
      <c r="C1930" s="7">
        <v>583.25369999999998</v>
      </c>
      <c r="D1930">
        <v>2939006</v>
      </c>
      <c r="E1930">
        <v>3071056</v>
      </c>
    </row>
    <row r="1931" spans="1:5">
      <c r="A1931">
        <v>1926</v>
      </c>
      <c r="B1931" s="11">
        <v>45792.416666666664</v>
      </c>
      <c r="C1931" s="7">
        <v>582.51790000000005</v>
      </c>
      <c r="D1931">
        <v>3636643</v>
      </c>
      <c r="E1931">
        <v>3102968</v>
      </c>
    </row>
    <row r="1932" spans="1:5">
      <c r="A1932">
        <v>1927</v>
      </c>
      <c r="B1932" s="11">
        <v>45792.395833333336</v>
      </c>
      <c r="C1932" s="7">
        <v>582.77650000000006</v>
      </c>
      <c r="D1932">
        <v>4980888</v>
      </c>
      <c r="E1932">
        <v>3224090.75</v>
      </c>
    </row>
    <row r="1933" spans="1:5">
      <c r="A1933">
        <v>1928</v>
      </c>
      <c r="B1933" s="11">
        <v>45791.666666666664</v>
      </c>
      <c r="C1933" s="7">
        <v>584.23820000000001</v>
      </c>
      <c r="D1933">
        <v>0</v>
      </c>
      <c r="E1933">
        <v>2892031.5</v>
      </c>
    </row>
    <row r="1934" spans="1:5">
      <c r="A1934">
        <v>1929</v>
      </c>
      <c r="B1934" s="11">
        <v>45791.645833333336</v>
      </c>
      <c r="C1934" s="7">
        <v>584.23820000000001</v>
      </c>
      <c r="D1934">
        <v>11112480</v>
      </c>
      <c r="E1934">
        <v>3474048.5</v>
      </c>
    </row>
    <row r="1935" spans="1:5">
      <c r="A1935">
        <v>1930</v>
      </c>
      <c r="B1935" s="11">
        <v>45791.625</v>
      </c>
      <c r="C1935" s="7">
        <v>583.65150000000006</v>
      </c>
      <c r="D1935">
        <v>2902044</v>
      </c>
      <c r="E1935">
        <v>2886197.5</v>
      </c>
    </row>
    <row r="1936" spans="1:5">
      <c r="A1936">
        <v>1931</v>
      </c>
      <c r="B1936" s="11">
        <v>45791.604166666664</v>
      </c>
      <c r="C1936" s="7">
        <v>584.29780000000005</v>
      </c>
      <c r="D1936">
        <v>2647781</v>
      </c>
      <c r="E1936">
        <v>2824853.5</v>
      </c>
    </row>
    <row r="1937" spans="1:5">
      <c r="A1937">
        <v>1932</v>
      </c>
      <c r="B1937" s="11">
        <v>45791.583333333336</v>
      </c>
      <c r="C1937" s="7">
        <v>583.50229999999999</v>
      </c>
      <c r="D1937">
        <v>2013826</v>
      </c>
      <c r="E1937">
        <v>2794432.5</v>
      </c>
    </row>
    <row r="1938" spans="1:5">
      <c r="A1938">
        <v>1933</v>
      </c>
      <c r="B1938" s="11">
        <v>45791.5625</v>
      </c>
      <c r="C1938" s="7">
        <v>583.9896</v>
      </c>
      <c r="D1938">
        <v>1946087</v>
      </c>
      <c r="E1938">
        <v>2825095.25</v>
      </c>
    </row>
    <row r="1939" spans="1:5">
      <c r="A1939">
        <v>1934</v>
      </c>
      <c r="B1939" s="11">
        <v>45791.541666666664</v>
      </c>
      <c r="C1939" s="7">
        <v>583.01400000000001</v>
      </c>
      <c r="D1939">
        <v>3075431</v>
      </c>
      <c r="E1939">
        <v>2813372.75</v>
      </c>
    </row>
    <row r="1940" spans="1:5">
      <c r="A1940">
        <v>1935</v>
      </c>
      <c r="B1940" s="11">
        <v>45791.520833333336</v>
      </c>
      <c r="C1940" s="7">
        <v>584.11879999999996</v>
      </c>
      <c r="D1940">
        <v>1834110</v>
      </c>
      <c r="E1940">
        <v>2724922.5</v>
      </c>
    </row>
    <row r="1941" spans="1:5">
      <c r="A1941">
        <v>1936</v>
      </c>
      <c r="B1941" s="11">
        <v>45791.5</v>
      </c>
      <c r="C1941" s="7">
        <v>584.58609999999999</v>
      </c>
      <c r="D1941">
        <v>1399282</v>
      </c>
      <c r="E1941">
        <v>2723246.5</v>
      </c>
    </row>
    <row r="1942" spans="1:5">
      <c r="A1942">
        <v>1937</v>
      </c>
      <c r="B1942" s="11">
        <v>45791.479166666664</v>
      </c>
      <c r="C1942" s="7">
        <v>584.60609999999997</v>
      </c>
      <c r="D1942">
        <v>2028692</v>
      </c>
      <c r="E1942">
        <v>2801629.5</v>
      </c>
    </row>
    <row r="1943" spans="1:5">
      <c r="A1943">
        <v>1938</v>
      </c>
      <c r="B1943" s="11">
        <v>45791.458333333336</v>
      </c>
      <c r="C1943" s="7">
        <v>584.51649999999995</v>
      </c>
      <c r="D1943">
        <v>3206015</v>
      </c>
      <c r="E1943">
        <v>2838040.5</v>
      </c>
    </row>
    <row r="1944" spans="1:5">
      <c r="A1944">
        <v>1939</v>
      </c>
      <c r="B1944" s="11">
        <v>45791.4375</v>
      </c>
      <c r="C1944" s="7">
        <v>584.19830000000002</v>
      </c>
      <c r="D1944">
        <v>2343556</v>
      </c>
      <c r="E1944">
        <v>2809129</v>
      </c>
    </row>
    <row r="1945" spans="1:5">
      <c r="A1945">
        <v>1940</v>
      </c>
      <c r="B1945" s="11">
        <v>45791.416666666664</v>
      </c>
      <c r="C1945" s="7">
        <v>584.19830000000002</v>
      </c>
      <c r="D1945">
        <v>3417684</v>
      </c>
      <c r="E1945">
        <v>3022140</v>
      </c>
    </row>
    <row r="1946" spans="1:5">
      <c r="A1946">
        <v>1941</v>
      </c>
      <c r="B1946" s="11">
        <v>45791.395833333336</v>
      </c>
      <c r="C1946" s="7">
        <v>584.1653</v>
      </c>
      <c r="D1946">
        <v>5453484</v>
      </c>
      <c r="E1946">
        <v>3123402.25</v>
      </c>
    </row>
    <row r="1947" spans="1:5">
      <c r="A1947">
        <v>1942</v>
      </c>
      <c r="B1947" s="11">
        <v>45790.666666666664</v>
      </c>
      <c r="C1947" s="7">
        <v>583.49239999999998</v>
      </c>
      <c r="D1947">
        <v>0</v>
      </c>
      <c r="E1947">
        <v>2759836.75</v>
      </c>
    </row>
    <row r="1948" spans="1:5">
      <c r="A1948">
        <v>1943</v>
      </c>
      <c r="B1948" s="11">
        <v>45790.645833333336</v>
      </c>
      <c r="C1948" s="7">
        <v>583.49239999999998</v>
      </c>
      <c r="D1948">
        <v>8730256</v>
      </c>
      <c r="E1948">
        <v>3542837.75</v>
      </c>
    </row>
    <row r="1949" spans="1:5">
      <c r="A1949">
        <v>1944</v>
      </c>
      <c r="B1949" s="11">
        <v>45790.625</v>
      </c>
      <c r="C1949" s="7">
        <v>585.15290000000005</v>
      </c>
      <c r="D1949">
        <v>2294715</v>
      </c>
      <c r="E1949">
        <v>3130677.5</v>
      </c>
    </row>
    <row r="1950" spans="1:5">
      <c r="A1950">
        <v>1945</v>
      </c>
      <c r="B1950" s="11">
        <v>45790.604166666664</v>
      </c>
      <c r="C1950" s="7">
        <v>585.22749999999996</v>
      </c>
      <c r="D1950">
        <v>1981883</v>
      </c>
      <c r="E1950">
        <v>3130673.25</v>
      </c>
    </row>
    <row r="1951" spans="1:5">
      <c r="A1951">
        <v>1946</v>
      </c>
      <c r="B1951" s="11">
        <v>45790.583333333336</v>
      </c>
      <c r="C1951" s="7">
        <v>584.56619999999998</v>
      </c>
      <c r="D1951">
        <v>2191466</v>
      </c>
      <c r="E1951">
        <v>3124850.25</v>
      </c>
    </row>
    <row r="1952" spans="1:5">
      <c r="A1952">
        <v>1947</v>
      </c>
      <c r="B1952" s="11">
        <v>45790.5625</v>
      </c>
      <c r="C1952" s="7">
        <v>584.57619999999997</v>
      </c>
      <c r="D1952">
        <v>2473766</v>
      </c>
      <c r="E1952">
        <v>3084979.5</v>
      </c>
    </row>
    <row r="1953" spans="1:5">
      <c r="A1953">
        <v>1948</v>
      </c>
      <c r="B1953" s="11">
        <v>45790.541666666664</v>
      </c>
      <c r="C1953" s="7">
        <v>584.99360000000001</v>
      </c>
      <c r="D1953">
        <v>1770251</v>
      </c>
      <c r="E1953">
        <v>3142843.75</v>
      </c>
    </row>
    <row r="1954" spans="1:5">
      <c r="A1954">
        <v>1949</v>
      </c>
      <c r="B1954" s="11">
        <v>45790.520833333336</v>
      </c>
      <c r="C1954" s="7">
        <v>584.64080000000001</v>
      </c>
      <c r="D1954">
        <v>1748676</v>
      </c>
      <c r="E1954">
        <v>3168957.75</v>
      </c>
    </row>
    <row r="1955" spans="1:5">
      <c r="A1955">
        <v>1950</v>
      </c>
      <c r="B1955" s="11">
        <v>45790.5</v>
      </c>
      <c r="C1955" s="7">
        <v>584.27790000000005</v>
      </c>
      <c r="D1955">
        <v>1808970</v>
      </c>
      <c r="E1955">
        <v>3200104.25</v>
      </c>
    </row>
    <row r="1956" spans="1:5">
      <c r="A1956">
        <v>1951</v>
      </c>
      <c r="B1956" s="11">
        <v>45790.479166666664</v>
      </c>
      <c r="C1956" s="7">
        <v>584.35739999999998</v>
      </c>
      <c r="D1956">
        <v>2575029</v>
      </c>
      <c r="E1956">
        <v>3245164</v>
      </c>
    </row>
    <row r="1957" spans="1:5">
      <c r="A1957">
        <v>1952</v>
      </c>
      <c r="B1957" s="11">
        <v>45790.458333333336</v>
      </c>
      <c r="C1957" s="7">
        <v>584.38729999999998</v>
      </c>
      <c r="D1957">
        <v>2574855</v>
      </c>
      <c r="E1957">
        <v>3281367.25</v>
      </c>
    </row>
    <row r="1958" spans="1:5">
      <c r="A1958">
        <v>1953</v>
      </c>
      <c r="B1958" s="11">
        <v>45790.4375</v>
      </c>
      <c r="C1958" s="7">
        <v>583.61180000000002</v>
      </c>
      <c r="D1958">
        <v>2772345</v>
      </c>
      <c r="E1958">
        <v>3385177</v>
      </c>
    </row>
    <row r="1959" spans="1:5">
      <c r="A1959">
        <v>1954</v>
      </c>
      <c r="B1959" s="11">
        <v>45790.416666666664</v>
      </c>
      <c r="C1959" s="7">
        <v>583.57190000000003</v>
      </c>
      <c r="D1959">
        <v>5538720</v>
      </c>
      <c r="E1959">
        <v>3464925.25</v>
      </c>
    </row>
    <row r="1960" spans="1:5">
      <c r="A1960">
        <v>1955</v>
      </c>
      <c r="B1960" s="11">
        <v>45790.395833333336</v>
      </c>
      <c r="C1960" s="7">
        <v>581.98109999999997</v>
      </c>
      <c r="D1960">
        <v>4936618</v>
      </c>
      <c r="E1960">
        <v>3614906.75</v>
      </c>
    </row>
    <row r="1961" spans="1:5">
      <c r="A1961">
        <v>1956</v>
      </c>
      <c r="B1961" s="11">
        <v>45789.666666666664</v>
      </c>
      <c r="C1961" s="7">
        <v>579.6644</v>
      </c>
      <c r="D1961">
        <v>0</v>
      </c>
      <c r="E1961">
        <v>3287251</v>
      </c>
    </row>
    <row r="1962" spans="1:5">
      <c r="A1962">
        <v>1957</v>
      </c>
      <c r="B1962" s="11">
        <v>45789.645833333336</v>
      </c>
      <c r="C1962" s="7">
        <v>579.6644</v>
      </c>
      <c r="D1962">
        <v>11745018</v>
      </c>
      <c r="E1962">
        <v>3654731.25</v>
      </c>
    </row>
    <row r="1963" spans="1:5">
      <c r="A1963">
        <v>1958</v>
      </c>
      <c r="B1963" s="11">
        <v>45789.625</v>
      </c>
      <c r="C1963" s="7">
        <v>578.1431</v>
      </c>
      <c r="D1963">
        <v>2547851</v>
      </c>
      <c r="E1963">
        <v>2976829.75</v>
      </c>
    </row>
    <row r="1964" spans="1:5">
      <c r="A1964">
        <v>1959</v>
      </c>
      <c r="B1964" s="11">
        <v>45789.604166666664</v>
      </c>
      <c r="C1964" s="7">
        <v>578.23249999999996</v>
      </c>
      <c r="D1964">
        <v>2294649</v>
      </c>
      <c r="E1964">
        <v>2854762.5</v>
      </c>
    </row>
    <row r="1965" spans="1:5">
      <c r="A1965">
        <v>1960</v>
      </c>
      <c r="B1965" s="11">
        <v>45789.583333333336</v>
      </c>
      <c r="C1965" s="7">
        <v>578.70979999999997</v>
      </c>
      <c r="D1965">
        <v>1894541</v>
      </c>
      <c r="E1965">
        <v>2757926.5</v>
      </c>
    </row>
    <row r="1966" spans="1:5">
      <c r="A1966">
        <v>1961</v>
      </c>
      <c r="B1966" s="11">
        <v>45789.5625</v>
      </c>
      <c r="C1966" s="7">
        <v>578.25739999999996</v>
      </c>
      <c r="D1966">
        <v>1593404</v>
      </c>
      <c r="E1966">
        <v>2716220</v>
      </c>
    </row>
    <row r="1967" spans="1:5">
      <c r="A1967">
        <v>1962</v>
      </c>
      <c r="B1967" s="11">
        <v>45789.541666666664</v>
      </c>
      <c r="C1967" s="7">
        <v>577.99400000000003</v>
      </c>
      <c r="D1967">
        <v>3341729</v>
      </c>
      <c r="E1967">
        <v>2710862.75</v>
      </c>
    </row>
    <row r="1968" spans="1:5">
      <c r="A1968">
        <v>1963</v>
      </c>
      <c r="B1968" s="11">
        <v>45789.520833333336</v>
      </c>
      <c r="C1968" s="7">
        <v>577.81489999999997</v>
      </c>
      <c r="D1968">
        <v>2161960</v>
      </c>
      <c r="E1968">
        <v>2562589.5</v>
      </c>
    </row>
    <row r="1969" spans="1:5">
      <c r="A1969">
        <v>1964</v>
      </c>
      <c r="B1969" s="11">
        <v>45789.5</v>
      </c>
      <c r="C1969" s="7">
        <v>576.00540000000001</v>
      </c>
      <c r="D1969">
        <v>2215874</v>
      </c>
      <c r="E1969">
        <v>2502253.25</v>
      </c>
    </row>
    <row r="1970" spans="1:5">
      <c r="A1970">
        <v>1965</v>
      </c>
      <c r="B1970" s="11">
        <v>45789.479166666664</v>
      </c>
      <c r="C1970" s="7">
        <v>574.89170000000001</v>
      </c>
      <c r="D1970">
        <v>2484867</v>
      </c>
      <c r="E1970">
        <v>2439103</v>
      </c>
    </row>
    <row r="1971" spans="1:5">
      <c r="A1971">
        <v>1966</v>
      </c>
      <c r="B1971" s="11">
        <v>45789.458333333336</v>
      </c>
      <c r="C1971" s="7">
        <v>575.57100000000003</v>
      </c>
      <c r="D1971">
        <v>3118077</v>
      </c>
      <c r="E1971">
        <v>2391462.25</v>
      </c>
    </row>
    <row r="1972" spans="1:5">
      <c r="A1972">
        <v>1967</v>
      </c>
      <c r="B1972" s="11">
        <v>45789.4375</v>
      </c>
      <c r="C1972" s="7">
        <v>575.81640000000004</v>
      </c>
      <c r="D1972">
        <v>4132002</v>
      </c>
      <c r="E1972">
        <v>2400844.75</v>
      </c>
    </row>
    <row r="1973" spans="1:5">
      <c r="A1973">
        <v>1968</v>
      </c>
      <c r="B1973" s="11">
        <v>45789.416666666664</v>
      </c>
      <c r="C1973" s="7">
        <v>574.89170000000001</v>
      </c>
      <c r="D1973">
        <v>3968570</v>
      </c>
      <c r="E1973">
        <v>2265896.5</v>
      </c>
    </row>
    <row r="1974" spans="1:5">
      <c r="A1974">
        <v>1969</v>
      </c>
      <c r="B1974" s="11">
        <v>45789.395833333336</v>
      </c>
      <c r="C1974" s="7">
        <v>575.59739999999999</v>
      </c>
      <c r="D1974">
        <v>7788443</v>
      </c>
      <c r="E1974">
        <v>2161167</v>
      </c>
    </row>
    <row r="1975" spans="1:5">
      <c r="A1975">
        <v>1970</v>
      </c>
      <c r="B1975" s="11">
        <v>45786.666666666664</v>
      </c>
      <c r="C1975" s="7">
        <v>561.12080000000003</v>
      </c>
      <c r="D1975">
        <v>21780</v>
      </c>
      <c r="E1975">
        <v>1641937.5</v>
      </c>
    </row>
    <row r="1976" spans="1:5">
      <c r="A1976">
        <v>1971</v>
      </c>
      <c r="B1976" s="11">
        <v>45786.645833333336</v>
      </c>
      <c r="C1976" s="7">
        <v>561.01139999999998</v>
      </c>
      <c r="D1976">
        <v>5512203</v>
      </c>
      <c r="E1976">
        <v>2276214.75</v>
      </c>
    </row>
    <row r="1977" spans="1:5">
      <c r="A1977">
        <v>1972</v>
      </c>
      <c r="B1977" s="11">
        <v>45786.625</v>
      </c>
      <c r="C1977" s="7">
        <v>561.76700000000005</v>
      </c>
      <c r="D1977">
        <v>1576496</v>
      </c>
      <c r="E1977">
        <v>2214699</v>
      </c>
    </row>
    <row r="1978" spans="1:5">
      <c r="A1978">
        <v>1973</v>
      </c>
      <c r="B1978" s="11">
        <v>45786.604166666664</v>
      </c>
      <c r="C1978" s="7">
        <v>561.61540000000002</v>
      </c>
      <c r="D1978">
        <v>716842</v>
      </c>
      <c r="E1978">
        <v>2214025.5</v>
      </c>
    </row>
    <row r="1979" spans="1:5">
      <c r="A1979">
        <v>1974</v>
      </c>
      <c r="B1979" s="11">
        <v>45786.583333333336</v>
      </c>
      <c r="C1979" s="7">
        <v>561.08090000000004</v>
      </c>
      <c r="D1979">
        <v>842110</v>
      </c>
      <c r="E1979">
        <v>2291803</v>
      </c>
    </row>
    <row r="1980" spans="1:5">
      <c r="A1980">
        <v>1975</v>
      </c>
      <c r="B1980" s="11">
        <v>45786.5625</v>
      </c>
      <c r="C1980" s="7">
        <v>561.96590000000003</v>
      </c>
      <c r="D1980">
        <v>1268942</v>
      </c>
      <c r="E1980">
        <v>2322628.75</v>
      </c>
    </row>
    <row r="1981" spans="1:5">
      <c r="A1981">
        <v>1976</v>
      </c>
      <c r="B1981" s="11">
        <v>45786.541666666664</v>
      </c>
      <c r="C1981" s="7">
        <v>560.75070000000005</v>
      </c>
      <c r="D1981">
        <v>1513045</v>
      </c>
      <c r="E1981">
        <v>2337814.25</v>
      </c>
    </row>
    <row r="1982" spans="1:5">
      <c r="A1982">
        <v>1977</v>
      </c>
      <c r="B1982" s="11">
        <v>45786.520833333336</v>
      </c>
      <c r="C1982" s="7">
        <v>560.15620000000001</v>
      </c>
      <c r="D1982">
        <v>1117633</v>
      </c>
      <c r="E1982">
        <v>2358183.75</v>
      </c>
    </row>
    <row r="1983" spans="1:5">
      <c r="A1983">
        <v>1978</v>
      </c>
      <c r="B1983" s="11">
        <v>45786.5</v>
      </c>
      <c r="C1983" s="7">
        <v>560.63350000000003</v>
      </c>
      <c r="D1983">
        <v>1256913</v>
      </c>
      <c r="E1983">
        <v>2420161</v>
      </c>
    </row>
    <row r="1984" spans="1:5">
      <c r="A1984">
        <v>1979</v>
      </c>
      <c r="B1984" s="11">
        <v>45786.479166666664</v>
      </c>
      <c r="C1984" s="7">
        <v>562.31039999999996</v>
      </c>
      <c r="D1984">
        <v>1268622</v>
      </c>
      <c r="E1984">
        <v>2750817</v>
      </c>
    </row>
    <row r="1985" spans="1:5">
      <c r="A1985">
        <v>1980</v>
      </c>
      <c r="B1985" s="11">
        <v>45786.458333333336</v>
      </c>
      <c r="C1985" s="7">
        <v>561.28980000000001</v>
      </c>
      <c r="D1985">
        <v>1770255</v>
      </c>
      <c r="E1985">
        <v>2933011</v>
      </c>
    </row>
    <row r="1986" spans="1:5">
      <c r="A1986">
        <v>1981</v>
      </c>
      <c r="B1986" s="11">
        <v>45786.4375</v>
      </c>
      <c r="C1986" s="7">
        <v>561.29470000000003</v>
      </c>
      <c r="D1986">
        <v>3258816</v>
      </c>
      <c r="E1986">
        <v>3066787</v>
      </c>
    </row>
    <row r="1987" spans="1:5">
      <c r="A1987">
        <v>1982</v>
      </c>
      <c r="B1987" s="11">
        <v>45786.416666666664</v>
      </c>
      <c r="C1987" s="7">
        <v>561.21019999999999</v>
      </c>
      <c r="D1987">
        <v>2107776</v>
      </c>
      <c r="E1987">
        <v>3050045.25</v>
      </c>
    </row>
    <row r="1988" spans="1:5">
      <c r="A1988">
        <v>1983</v>
      </c>
      <c r="B1988" s="11">
        <v>45786.395833333336</v>
      </c>
      <c r="C1988" s="7">
        <v>563.64620000000002</v>
      </c>
      <c r="D1988">
        <v>2397630</v>
      </c>
      <c r="E1988">
        <v>3124695.25</v>
      </c>
    </row>
    <row r="1989" spans="1:5">
      <c r="A1989">
        <v>1984</v>
      </c>
      <c r="B1989" s="11">
        <v>45785.666666666664</v>
      </c>
      <c r="C1989" s="7">
        <v>561.83659999999998</v>
      </c>
      <c r="D1989">
        <v>0</v>
      </c>
      <c r="E1989">
        <v>2964853.25</v>
      </c>
    </row>
    <row r="1990" spans="1:5">
      <c r="A1990">
        <v>1985</v>
      </c>
      <c r="B1990" s="11">
        <v>45785.645833333336</v>
      </c>
      <c r="C1990" s="7">
        <v>561.75710000000004</v>
      </c>
      <c r="D1990">
        <v>9535938</v>
      </c>
      <c r="E1990">
        <v>3646673.5</v>
      </c>
    </row>
    <row r="1991" spans="1:5">
      <c r="A1991">
        <v>1986</v>
      </c>
      <c r="B1991" s="11">
        <v>45785.625</v>
      </c>
      <c r="C1991" s="7">
        <v>565.85360000000003</v>
      </c>
      <c r="D1991">
        <v>4589468</v>
      </c>
      <c r="E1991">
        <v>3201102.75</v>
      </c>
    </row>
    <row r="1992" spans="1:5">
      <c r="A1992">
        <v>1987</v>
      </c>
      <c r="B1992" s="11">
        <v>45785.604166666664</v>
      </c>
      <c r="C1992" s="7">
        <v>565.06809999999996</v>
      </c>
      <c r="D1992">
        <v>1566394</v>
      </c>
      <c r="E1992">
        <v>3151808.5</v>
      </c>
    </row>
    <row r="1993" spans="1:5">
      <c r="A1993">
        <v>1988</v>
      </c>
      <c r="B1993" s="11">
        <v>45785.583333333336</v>
      </c>
      <c r="C1993" s="7">
        <v>564.78970000000004</v>
      </c>
      <c r="D1993">
        <v>1883503</v>
      </c>
      <c r="E1993">
        <v>3311153.75</v>
      </c>
    </row>
    <row r="1994" spans="1:5">
      <c r="A1994">
        <v>1989</v>
      </c>
      <c r="B1994" s="11">
        <v>45785.5625</v>
      </c>
      <c r="C1994" s="7">
        <v>564.42430000000002</v>
      </c>
      <c r="D1994">
        <v>1304498</v>
      </c>
      <c r="E1994">
        <v>3310080.5</v>
      </c>
    </row>
    <row r="1995" spans="1:5">
      <c r="A1995">
        <v>1990</v>
      </c>
      <c r="B1995" s="11">
        <v>45785.541666666664</v>
      </c>
      <c r="C1995" s="7">
        <v>565.96299999999997</v>
      </c>
      <c r="D1995">
        <v>1496724</v>
      </c>
      <c r="E1995">
        <v>3284961</v>
      </c>
    </row>
    <row r="1996" spans="1:5">
      <c r="A1996">
        <v>1991</v>
      </c>
      <c r="B1996" s="11">
        <v>45785.520833333336</v>
      </c>
      <c r="C1996" s="7">
        <v>566.86770000000001</v>
      </c>
      <c r="D1996">
        <v>1818587</v>
      </c>
      <c r="E1996">
        <v>3248787.75</v>
      </c>
    </row>
    <row r="1997" spans="1:5">
      <c r="A1997">
        <v>1992</v>
      </c>
      <c r="B1997" s="11">
        <v>45785.5</v>
      </c>
      <c r="C1997" s="7">
        <v>565.55529999999999</v>
      </c>
      <c r="D1997">
        <v>2047291</v>
      </c>
      <c r="E1997">
        <v>3195460.75</v>
      </c>
    </row>
    <row r="1998" spans="1:5">
      <c r="A1998">
        <v>1993</v>
      </c>
      <c r="B1998" s="11">
        <v>45785.479166666664</v>
      </c>
      <c r="C1998" s="7">
        <v>565.1277</v>
      </c>
      <c r="D1998">
        <v>6216752</v>
      </c>
      <c r="E1998">
        <v>3169350</v>
      </c>
    </row>
    <row r="1999" spans="1:5">
      <c r="A1999">
        <v>1994</v>
      </c>
      <c r="B1999" s="11">
        <v>45785.458333333336</v>
      </c>
      <c r="C1999" s="7">
        <v>562.95029999999997</v>
      </c>
      <c r="D1999">
        <v>4001532</v>
      </c>
      <c r="E1999">
        <v>2897350.5</v>
      </c>
    </row>
    <row r="2000" spans="1:5">
      <c r="A2000">
        <v>1995</v>
      </c>
      <c r="B2000" s="11">
        <v>45785.4375</v>
      </c>
      <c r="C2000" s="7">
        <v>559.08240000000001</v>
      </c>
      <c r="D2000">
        <v>3776895</v>
      </c>
      <c r="E2000">
        <v>2754286.5</v>
      </c>
    </row>
    <row r="2001" spans="1:5">
      <c r="A2001">
        <v>1996</v>
      </c>
      <c r="B2001" s="11">
        <v>45785.416666666664</v>
      </c>
      <c r="C2001" s="7">
        <v>561.23009999999999</v>
      </c>
      <c r="D2001">
        <v>3007689</v>
      </c>
      <c r="E2001">
        <v>2617477.5</v>
      </c>
    </row>
    <row r="2002" spans="1:5">
      <c r="A2002">
        <v>1997</v>
      </c>
      <c r="B2002" s="11">
        <v>45785.395833333336</v>
      </c>
      <c r="C2002" s="7">
        <v>560.85230000000001</v>
      </c>
      <c r="D2002">
        <v>3227527</v>
      </c>
      <c r="E2002">
        <v>2633944</v>
      </c>
    </row>
    <row r="2003" spans="1:5">
      <c r="A2003">
        <v>1998</v>
      </c>
      <c r="B2003" s="11">
        <v>45784.666666666664</v>
      </c>
      <c r="C2003" s="7">
        <v>557.94899999999996</v>
      </c>
      <c r="D2003">
        <v>0</v>
      </c>
      <c r="E2003">
        <v>2418775.5</v>
      </c>
    </row>
    <row r="2004" spans="1:5">
      <c r="A2004">
        <v>1999</v>
      </c>
      <c r="B2004" s="11">
        <v>45784.645833333336</v>
      </c>
      <c r="C2004" s="7">
        <v>558.04840000000002</v>
      </c>
      <c r="D2004">
        <v>10227303</v>
      </c>
      <c r="E2004">
        <v>2931445.75</v>
      </c>
    </row>
    <row r="2005" spans="1:5">
      <c r="A2005">
        <v>2000</v>
      </c>
      <c r="B2005" s="11">
        <v>45784.625</v>
      </c>
      <c r="C2005" s="7">
        <v>554.80690000000004</v>
      </c>
      <c r="D2005">
        <v>2852377</v>
      </c>
      <c r="E2005">
        <v>2371862.5</v>
      </c>
    </row>
    <row r="2006" spans="1:5">
      <c r="A2006">
        <v>2001</v>
      </c>
      <c r="B2006" s="11">
        <v>45784.604166666664</v>
      </c>
      <c r="C2006" s="7">
        <v>557.601</v>
      </c>
      <c r="D2006">
        <v>3850056</v>
      </c>
      <c r="E2006">
        <v>2310921.5</v>
      </c>
    </row>
    <row r="2007" spans="1:5">
      <c r="A2007">
        <v>2002</v>
      </c>
      <c r="B2007" s="11">
        <v>45784.583333333336</v>
      </c>
      <c r="C2007" s="7">
        <v>554.77719999999999</v>
      </c>
      <c r="D2007">
        <v>3956572</v>
      </c>
      <c r="E2007">
        <v>2183774.75</v>
      </c>
    </row>
    <row r="2008" spans="1:5">
      <c r="A2008">
        <v>2003</v>
      </c>
      <c r="B2008" s="11">
        <v>45784.5625</v>
      </c>
      <c r="C2008" s="7">
        <v>556.11940000000004</v>
      </c>
      <c r="D2008">
        <v>1867404</v>
      </c>
      <c r="E2008">
        <v>2006682.38</v>
      </c>
    </row>
    <row r="2009" spans="1:5">
      <c r="A2009">
        <v>2004</v>
      </c>
      <c r="B2009" s="11">
        <v>45784.541666666664</v>
      </c>
      <c r="C2009" s="7">
        <v>558.06830000000002</v>
      </c>
      <c r="D2009">
        <v>927706</v>
      </c>
      <c r="E2009">
        <v>1984955.75</v>
      </c>
    </row>
    <row r="2010" spans="1:5">
      <c r="A2010">
        <v>2005</v>
      </c>
      <c r="B2010" s="11">
        <v>45784.520833333336</v>
      </c>
      <c r="C2010" s="7">
        <v>558.04840000000002</v>
      </c>
      <c r="D2010">
        <v>954124</v>
      </c>
      <c r="E2010">
        <v>2021446.12</v>
      </c>
    </row>
    <row r="2011" spans="1:5">
      <c r="A2011">
        <v>2006</v>
      </c>
      <c r="B2011" s="11">
        <v>45784.5</v>
      </c>
      <c r="C2011" s="7">
        <v>556.0299</v>
      </c>
      <c r="D2011">
        <v>1018683</v>
      </c>
      <c r="E2011">
        <v>2205207.25</v>
      </c>
    </row>
    <row r="2012" spans="1:5">
      <c r="A2012">
        <v>2007</v>
      </c>
      <c r="B2012" s="11">
        <v>45784.479166666664</v>
      </c>
      <c r="C2012" s="7">
        <v>556.68619999999999</v>
      </c>
      <c r="D2012">
        <v>1655631</v>
      </c>
      <c r="E2012">
        <v>2228384</v>
      </c>
    </row>
    <row r="2013" spans="1:5">
      <c r="A2013">
        <v>2008</v>
      </c>
      <c r="B2013" s="11">
        <v>45784.458333333336</v>
      </c>
      <c r="C2013" s="7">
        <v>555.93050000000005</v>
      </c>
      <c r="D2013">
        <v>2136758</v>
      </c>
      <c r="E2013">
        <v>2236743.5</v>
      </c>
    </row>
    <row r="2014" spans="1:5">
      <c r="A2014">
        <v>2009</v>
      </c>
      <c r="B2014" s="11">
        <v>45784.4375</v>
      </c>
      <c r="C2014" s="7">
        <v>556.22879999999998</v>
      </c>
      <c r="D2014">
        <v>1855573</v>
      </c>
      <c r="E2014">
        <v>2219078</v>
      </c>
    </row>
    <row r="2015" spans="1:5">
      <c r="A2015">
        <v>2010</v>
      </c>
      <c r="B2015" s="11">
        <v>45784.416666666664</v>
      </c>
      <c r="C2015" s="7">
        <v>558.64490000000001</v>
      </c>
      <c r="D2015">
        <v>1724759</v>
      </c>
      <c r="E2015">
        <v>2298268.5</v>
      </c>
    </row>
    <row r="2016" spans="1:5">
      <c r="A2016">
        <v>2011</v>
      </c>
      <c r="B2016" s="11">
        <v>45784.395833333336</v>
      </c>
      <c r="C2016" s="7">
        <v>558.13789999999995</v>
      </c>
      <c r="D2016">
        <v>3254686</v>
      </c>
      <c r="E2016">
        <v>2459914.25</v>
      </c>
    </row>
    <row r="2017" spans="1:5">
      <c r="A2017">
        <v>2012</v>
      </c>
      <c r="B2017" s="11">
        <v>45783.666666666664</v>
      </c>
      <c r="C2017" s="7">
        <v>555.6123</v>
      </c>
      <c r="D2017">
        <v>0</v>
      </c>
      <c r="E2017">
        <v>2242935.25</v>
      </c>
    </row>
    <row r="2018" spans="1:5">
      <c r="A2018">
        <v>2013</v>
      </c>
      <c r="B2018" s="11">
        <v>45783.645833333336</v>
      </c>
      <c r="C2018" s="7">
        <v>555.6223</v>
      </c>
      <c r="D2018">
        <v>7690053</v>
      </c>
      <c r="E2018">
        <v>2614144.75</v>
      </c>
    </row>
    <row r="2019" spans="1:5">
      <c r="A2019">
        <v>2014</v>
      </c>
      <c r="B2019" s="11">
        <v>45783.625</v>
      </c>
      <c r="C2019" s="7">
        <v>557.601</v>
      </c>
      <c r="D2019">
        <v>1833557</v>
      </c>
      <c r="E2019">
        <v>2284051.5</v>
      </c>
    </row>
    <row r="2020" spans="1:5">
      <c r="A2020">
        <v>2015</v>
      </c>
      <c r="B2020" s="11">
        <v>45783.604166666664</v>
      </c>
      <c r="C2020" s="7">
        <v>557.80989999999997</v>
      </c>
      <c r="D2020">
        <v>1938262</v>
      </c>
      <c r="E2020">
        <v>2258512.75</v>
      </c>
    </row>
    <row r="2021" spans="1:5">
      <c r="A2021">
        <v>2016</v>
      </c>
      <c r="B2021" s="11">
        <v>45783.583333333336</v>
      </c>
      <c r="C2021" s="7">
        <v>557.26289999999995</v>
      </c>
      <c r="D2021">
        <v>1942852</v>
      </c>
      <c r="E2021">
        <v>2208402.25</v>
      </c>
    </row>
    <row r="2022" spans="1:5">
      <c r="A2022">
        <v>2017</v>
      </c>
      <c r="B2022" s="11">
        <v>45783.5625</v>
      </c>
      <c r="C2022" s="7">
        <v>555.27430000000004</v>
      </c>
      <c r="D2022">
        <v>1300187</v>
      </c>
      <c r="E2022">
        <v>2134874</v>
      </c>
    </row>
    <row r="2023" spans="1:5">
      <c r="A2023">
        <v>2018</v>
      </c>
      <c r="B2023" s="11">
        <v>45783.541666666664</v>
      </c>
      <c r="C2023" s="7">
        <v>556.48609999999996</v>
      </c>
      <c r="D2023">
        <v>1541506</v>
      </c>
      <c r="E2023">
        <v>2117002.5</v>
      </c>
    </row>
    <row r="2024" spans="1:5">
      <c r="A2024">
        <v>2019</v>
      </c>
      <c r="B2024" s="11">
        <v>45783.520833333336</v>
      </c>
      <c r="C2024" s="7">
        <v>556.06479999999999</v>
      </c>
      <c r="D2024">
        <v>1475060</v>
      </c>
      <c r="E2024">
        <v>2078598.5</v>
      </c>
    </row>
    <row r="2025" spans="1:5">
      <c r="A2025">
        <v>2020</v>
      </c>
      <c r="B2025" s="11">
        <v>45783.5</v>
      </c>
      <c r="C2025" s="7">
        <v>557.26289999999995</v>
      </c>
      <c r="D2025">
        <v>3710541</v>
      </c>
      <c r="E2025">
        <v>2071017.38</v>
      </c>
    </row>
    <row r="2026" spans="1:5">
      <c r="A2026">
        <v>2021</v>
      </c>
      <c r="B2026" s="11">
        <v>45783.479166666664</v>
      </c>
      <c r="C2026" s="7">
        <v>557.17830000000004</v>
      </c>
      <c r="D2026">
        <v>1366334</v>
      </c>
      <c r="E2026">
        <v>1917754.12</v>
      </c>
    </row>
    <row r="2027" spans="1:5">
      <c r="A2027">
        <v>2022</v>
      </c>
      <c r="B2027" s="11">
        <v>45783.458333333336</v>
      </c>
      <c r="C2027" s="7">
        <v>558.38649999999996</v>
      </c>
      <c r="D2027">
        <v>1781026</v>
      </c>
      <c r="E2027">
        <v>1969638.38</v>
      </c>
    </row>
    <row r="2028" spans="1:5">
      <c r="A2028">
        <v>2023</v>
      </c>
      <c r="B2028" s="11">
        <v>45783.4375</v>
      </c>
      <c r="C2028" s="7">
        <v>557.65060000000005</v>
      </c>
      <c r="D2028">
        <v>1871773</v>
      </c>
      <c r="E2028">
        <v>1997903.25</v>
      </c>
    </row>
    <row r="2029" spans="1:5">
      <c r="A2029">
        <v>2024</v>
      </c>
      <c r="B2029" s="11">
        <v>45783.416666666664</v>
      </c>
      <c r="C2029" s="7">
        <v>557.40200000000004</v>
      </c>
      <c r="D2029">
        <v>3043432</v>
      </c>
      <c r="E2029">
        <v>2047305.62</v>
      </c>
    </row>
    <row r="2030" spans="1:5">
      <c r="A2030">
        <v>2025</v>
      </c>
      <c r="B2030" s="11">
        <v>45783.395833333336</v>
      </c>
      <c r="C2030" s="7">
        <v>554.26030000000003</v>
      </c>
      <c r="D2030">
        <v>4149446</v>
      </c>
      <c r="E2030">
        <v>2099939.5</v>
      </c>
    </row>
    <row r="2031" spans="1:5">
      <c r="A2031">
        <v>2026</v>
      </c>
      <c r="B2031" s="11">
        <v>45782.666666666664</v>
      </c>
      <c r="C2031" s="7">
        <v>560.29549999999995</v>
      </c>
      <c r="D2031">
        <v>0</v>
      </c>
      <c r="E2031">
        <v>1823309.75</v>
      </c>
    </row>
    <row r="2032" spans="1:5">
      <c r="A2032">
        <v>2027</v>
      </c>
      <c r="B2032" s="11">
        <v>45782.645833333336</v>
      </c>
      <c r="C2032" s="7">
        <v>560.29549999999995</v>
      </c>
      <c r="D2032">
        <v>5568142</v>
      </c>
      <c r="E2032">
        <v>2479835.25</v>
      </c>
    </row>
    <row r="2033" spans="1:5">
      <c r="A2033">
        <v>2028</v>
      </c>
      <c r="B2033" s="11">
        <v>45782.625</v>
      </c>
      <c r="C2033" s="7">
        <v>561.41909999999996</v>
      </c>
      <c r="D2033">
        <v>2738654</v>
      </c>
      <c r="E2033">
        <v>2341367</v>
      </c>
    </row>
    <row r="2034" spans="1:5">
      <c r="A2034">
        <v>2029</v>
      </c>
      <c r="B2034" s="11">
        <v>45782.604166666664</v>
      </c>
      <c r="C2034" s="7">
        <v>562.55259999999998</v>
      </c>
      <c r="D2034">
        <v>1450478</v>
      </c>
      <c r="E2034">
        <v>2314849.5</v>
      </c>
    </row>
    <row r="2035" spans="1:5">
      <c r="A2035">
        <v>2030</v>
      </c>
      <c r="B2035" s="11">
        <v>45782.583333333336</v>
      </c>
      <c r="C2035" s="7">
        <v>562.90049999999997</v>
      </c>
      <c r="D2035">
        <v>1186601</v>
      </c>
      <c r="E2035">
        <v>2319432</v>
      </c>
    </row>
    <row r="2036" spans="1:5">
      <c r="A2036">
        <v>2031</v>
      </c>
      <c r="B2036" s="11">
        <v>45782.5625</v>
      </c>
      <c r="C2036" s="7">
        <v>562.45309999999995</v>
      </c>
      <c r="D2036">
        <v>839931</v>
      </c>
      <c r="E2036">
        <v>2317259</v>
      </c>
    </row>
    <row r="2037" spans="1:5">
      <c r="A2037">
        <v>2032</v>
      </c>
      <c r="B2037" s="11">
        <v>45782.541666666664</v>
      </c>
      <c r="C2037" s="7">
        <v>561.86649999999997</v>
      </c>
      <c r="D2037">
        <v>1032113</v>
      </c>
      <c r="E2037">
        <v>2361655.75</v>
      </c>
    </row>
    <row r="2038" spans="1:5">
      <c r="A2038">
        <v>2033</v>
      </c>
      <c r="B2038" s="11">
        <v>45782.520833333336</v>
      </c>
      <c r="C2038" s="7">
        <v>562.3537</v>
      </c>
      <c r="D2038">
        <v>965447</v>
      </c>
      <c r="E2038">
        <v>2404624.75</v>
      </c>
    </row>
    <row r="2039" spans="1:5">
      <c r="A2039">
        <v>2034</v>
      </c>
      <c r="B2039" s="11">
        <v>45782.5</v>
      </c>
      <c r="C2039" s="7">
        <v>562.47299999999996</v>
      </c>
      <c r="D2039">
        <v>1361343</v>
      </c>
      <c r="E2039">
        <v>2584879.5</v>
      </c>
    </row>
    <row r="2040" spans="1:5">
      <c r="A2040">
        <v>2035</v>
      </c>
      <c r="B2040" s="11">
        <v>45782.479166666664</v>
      </c>
      <c r="C2040" s="7">
        <v>561.78689999999995</v>
      </c>
      <c r="D2040">
        <v>1411592</v>
      </c>
      <c r="E2040">
        <v>2593440.5</v>
      </c>
    </row>
    <row r="2041" spans="1:5">
      <c r="A2041">
        <v>2036</v>
      </c>
      <c r="B2041" s="11">
        <v>45782.458333333336</v>
      </c>
      <c r="C2041" s="7">
        <v>561.59799999999996</v>
      </c>
      <c r="D2041">
        <v>2144597</v>
      </c>
      <c r="E2041">
        <v>2637811.5</v>
      </c>
    </row>
    <row r="2042" spans="1:5">
      <c r="A2042">
        <v>2037</v>
      </c>
      <c r="B2042" s="11">
        <v>45782.4375</v>
      </c>
      <c r="C2042" s="7">
        <v>561.68740000000003</v>
      </c>
      <c r="D2042">
        <v>2204999</v>
      </c>
      <c r="E2042">
        <v>2634402.75</v>
      </c>
    </row>
    <row r="2043" spans="1:5">
      <c r="A2043">
        <v>2038</v>
      </c>
      <c r="B2043" s="11">
        <v>45782.416666666664</v>
      </c>
      <c r="C2043" s="7">
        <v>560.49869999999999</v>
      </c>
      <c r="D2043">
        <v>2612810</v>
      </c>
      <c r="E2043">
        <v>2666068.75</v>
      </c>
    </row>
    <row r="2044" spans="1:5">
      <c r="A2044">
        <v>2039</v>
      </c>
      <c r="B2044" s="11">
        <v>45782.395833333336</v>
      </c>
      <c r="C2044" s="7">
        <v>560.5838</v>
      </c>
      <c r="D2044">
        <v>3832940</v>
      </c>
      <c r="E2044">
        <v>2802336.75</v>
      </c>
    </row>
    <row r="2045" spans="1:5">
      <c r="A2045">
        <v>2040</v>
      </c>
      <c r="B2045" s="11">
        <v>45779.666666666664</v>
      </c>
      <c r="C2045" s="7">
        <v>563.52700000000004</v>
      </c>
      <c r="D2045">
        <v>0</v>
      </c>
      <c r="E2045">
        <v>2546807.5</v>
      </c>
    </row>
    <row r="2046" spans="1:5">
      <c r="A2046">
        <v>2041</v>
      </c>
      <c r="B2046" s="11">
        <v>45779.645833333336</v>
      </c>
      <c r="C2046" s="7">
        <v>563.39769999999999</v>
      </c>
      <c r="D2046">
        <v>9847881</v>
      </c>
      <c r="E2046">
        <v>3129777.25</v>
      </c>
    </row>
    <row r="2047" spans="1:5">
      <c r="A2047">
        <v>2042</v>
      </c>
      <c r="B2047" s="11">
        <v>45779.625</v>
      </c>
      <c r="C2047" s="7">
        <v>564.39200000000005</v>
      </c>
      <c r="D2047">
        <v>3491119</v>
      </c>
      <c r="E2047">
        <v>2655549.75</v>
      </c>
    </row>
    <row r="2048" spans="1:5">
      <c r="A2048">
        <v>2043</v>
      </c>
      <c r="B2048" s="11">
        <v>45779.604166666664</v>
      </c>
      <c r="C2048" s="7">
        <v>563.82029999999997</v>
      </c>
      <c r="D2048">
        <v>2340892</v>
      </c>
      <c r="E2048">
        <v>2549090.25</v>
      </c>
    </row>
    <row r="2049" spans="1:5">
      <c r="A2049">
        <v>2044</v>
      </c>
      <c r="B2049" s="11">
        <v>45779.583333333336</v>
      </c>
      <c r="C2049" s="7">
        <v>564.45169999999996</v>
      </c>
      <c r="D2049">
        <v>1519214</v>
      </c>
      <c r="E2049">
        <v>2522694.25</v>
      </c>
    </row>
    <row r="2050" spans="1:5">
      <c r="A2050">
        <v>2045</v>
      </c>
      <c r="B2050" s="11">
        <v>45779.5625</v>
      </c>
      <c r="C2050" s="7">
        <v>564.00919999999996</v>
      </c>
      <c r="D2050">
        <v>1154006</v>
      </c>
      <c r="E2050">
        <v>2498183.5</v>
      </c>
    </row>
    <row r="2051" spans="1:5">
      <c r="A2051">
        <v>2046</v>
      </c>
      <c r="B2051" s="11">
        <v>45779.541666666664</v>
      </c>
      <c r="C2051" s="7">
        <v>563.54690000000005</v>
      </c>
      <c r="D2051">
        <v>1505885</v>
      </c>
      <c r="E2051">
        <v>2518969.25</v>
      </c>
    </row>
    <row r="2052" spans="1:5">
      <c r="A2052">
        <v>2047</v>
      </c>
      <c r="B2052" s="11">
        <v>45779.520833333336</v>
      </c>
      <c r="C2052" s="7">
        <v>564.27260000000001</v>
      </c>
      <c r="D2052">
        <v>1676645</v>
      </c>
      <c r="E2052">
        <v>2514586</v>
      </c>
    </row>
    <row r="2053" spans="1:5">
      <c r="A2053">
        <v>2048</v>
      </c>
      <c r="B2053" s="11">
        <v>45779.5</v>
      </c>
      <c r="C2053" s="7">
        <v>564.03409999999997</v>
      </c>
      <c r="D2053">
        <v>3669269</v>
      </c>
      <c r="E2053">
        <v>2529982.5</v>
      </c>
    </row>
    <row r="2054" spans="1:5">
      <c r="A2054">
        <v>2049</v>
      </c>
      <c r="B2054" s="11">
        <v>45779.479166666664</v>
      </c>
      <c r="C2054" s="7">
        <v>563.05960000000005</v>
      </c>
      <c r="D2054">
        <v>1489758</v>
      </c>
      <c r="E2054">
        <v>2456631.5</v>
      </c>
    </row>
    <row r="2055" spans="1:5">
      <c r="A2055">
        <v>2050</v>
      </c>
      <c r="B2055" s="11">
        <v>45779.458333333336</v>
      </c>
      <c r="C2055" s="7">
        <v>561.51350000000002</v>
      </c>
      <c r="D2055">
        <v>2077156</v>
      </c>
      <c r="E2055">
        <v>2539003.5</v>
      </c>
    </row>
    <row r="2056" spans="1:5">
      <c r="A2056">
        <v>2051</v>
      </c>
      <c r="B2056" s="11">
        <v>45779.4375</v>
      </c>
      <c r="C2056" s="7">
        <v>562.53269999999998</v>
      </c>
      <c r="D2056">
        <v>2093467</v>
      </c>
      <c r="E2056">
        <v>2591490</v>
      </c>
    </row>
    <row r="2057" spans="1:5">
      <c r="A2057">
        <v>2052</v>
      </c>
      <c r="B2057" s="11">
        <v>45779.416666666664</v>
      </c>
      <c r="C2057" s="7">
        <v>563.06209999999999</v>
      </c>
      <c r="D2057">
        <v>2679989</v>
      </c>
      <c r="E2057">
        <v>2708427.75</v>
      </c>
    </row>
    <row r="2058" spans="1:5">
      <c r="A2058">
        <v>2053</v>
      </c>
      <c r="B2058" s="11">
        <v>45779.395833333336</v>
      </c>
      <c r="C2058" s="7">
        <v>560.26559999999995</v>
      </c>
      <c r="D2058">
        <v>4656831</v>
      </c>
      <c r="E2058">
        <v>2896881.5</v>
      </c>
    </row>
    <row r="2059" spans="1:5">
      <c r="A2059">
        <v>2054</v>
      </c>
      <c r="B2059" s="11">
        <v>45778.666666666664</v>
      </c>
      <c r="C2059" s="7">
        <v>555.28420000000006</v>
      </c>
      <c r="D2059">
        <v>0</v>
      </c>
      <c r="E2059">
        <v>2586426.25</v>
      </c>
    </row>
    <row r="2060" spans="1:5">
      <c r="A2060">
        <v>2055</v>
      </c>
      <c r="B2060" s="11">
        <v>45778.645833333336</v>
      </c>
      <c r="C2060" s="7">
        <v>555.28420000000006</v>
      </c>
      <c r="D2060">
        <v>8744546</v>
      </c>
      <c r="E2060">
        <v>3804098</v>
      </c>
    </row>
    <row r="2061" spans="1:5">
      <c r="A2061">
        <v>2056</v>
      </c>
      <c r="B2061" s="11">
        <v>45778.625</v>
      </c>
      <c r="C2061" s="7">
        <v>558.91340000000002</v>
      </c>
      <c r="D2061">
        <v>2734471</v>
      </c>
      <c r="E2061">
        <v>3428892.5</v>
      </c>
    </row>
    <row r="2062" spans="1:5">
      <c r="A2062">
        <v>2057</v>
      </c>
      <c r="B2062" s="11">
        <v>45778.604166666664</v>
      </c>
      <c r="C2062" s="7">
        <v>558.55550000000005</v>
      </c>
      <c r="D2062">
        <v>1894226</v>
      </c>
      <c r="E2062">
        <v>3411463.5</v>
      </c>
    </row>
    <row r="2063" spans="1:5">
      <c r="A2063">
        <v>2058</v>
      </c>
      <c r="B2063" s="11">
        <v>45778.583333333336</v>
      </c>
      <c r="C2063" s="7">
        <v>558.69960000000003</v>
      </c>
      <c r="D2063">
        <v>1944949</v>
      </c>
      <c r="E2063">
        <v>3586661</v>
      </c>
    </row>
    <row r="2064" spans="1:5">
      <c r="A2064">
        <v>2059</v>
      </c>
      <c r="B2064" s="11">
        <v>45778.5625</v>
      </c>
      <c r="C2064" s="7">
        <v>557.41200000000003</v>
      </c>
      <c r="D2064">
        <v>1151554</v>
      </c>
      <c r="E2064">
        <v>3571834.5</v>
      </c>
    </row>
    <row r="2065" spans="1:5">
      <c r="A2065">
        <v>2060</v>
      </c>
      <c r="B2065" s="11">
        <v>45778.541666666664</v>
      </c>
      <c r="C2065" s="7">
        <v>558.14779999999996</v>
      </c>
      <c r="D2065">
        <v>1465791</v>
      </c>
      <c r="E2065">
        <v>3604597.75</v>
      </c>
    </row>
    <row r="2066" spans="1:5">
      <c r="A2066">
        <v>2061</v>
      </c>
      <c r="B2066" s="11">
        <v>45778.520833333336</v>
      </c>
      <c r="C2066" s="7">
        <v>556.56690000000003</v>
      </c>
      <c r="D2066">
        <v>1440138</v>
      </c>
      <c r="E2066">
        <v>3609631</v>
      </c>
    </row>
    <row r="2067" spans="1:5">
      <c r="A2067">
        <v>2062</v>
      </c>
      <c r="B2067" s="11">
        <v>45778.5</v>
      </c>
      <c r="C2067" s="7">
        <v>557.11369999999999</v>
      </c>
      <c r="D2067">
        <v>1907594</v>
      </c>
      <c r="E2067">
        <v>3655139.75</v>
      </c>
    </row>
    <row r="2068" spans="1:5">
      <c r="A2068">
        <v>2063</v>
      </c>
      <c r="B2068" s="11">
        <v>45778.479166666664</v>
      </c>
      <c r="C2068" s="7">
        <v>557.1617</v>
      </c>
      <c r="D2068">
        <v>2569002</v>
      </c>
      <c r="E2068">
        <v>3665679.25</v>
      </c>
    </row>
    <row r="2069" spans="1:5">
      <c r="A2069">
        <v>2064</v>
      </c>
      <c r="B2069" s="11">
        <v>45778.458333333336</v>
      </c>
      <c r="C2069" s="7">
        <v>560.15620000000001</v>
      </c>
      <c r="D2069">
        <v>2725337</v>
      </c>
      <c r="E2069">
        <v>3692530.75</v>
      </c>
    </row>
    <row r="2070" spans="1:5">
      <c r="A2070">
        <v>2065</v>
      </c>
      <c r="B2070" s="11">
        <v>45778.4375</v>
      </c>
      <c r="C2070" s="7">
        <v>560.17610000000002</v>
      </c>
      <c r="D2070">
        <v>2864454</v>
      </c>
      <c r="E2070">
        <v>3740073.25</v>
      </c>
    </row>
    <row r="2071" spans="1:5">
      <c r="A2071">
        <v>2066</v>
      </c>
      <c r="B2071" s="11">
        <v>45778.416666666664</v>
      </c>
      <c r="C2071" s="7">
        <v>558.85379999999998</v>
      </c>
      <c r="D2071">
        <v>3847534</v>
      </c>
      <c r="E2071">
        <v>3863264.75</v>
      </c>
    </row>
    <row r="2072" spans="1:5">
      <c r="A2072">
        <v>2067</v>
      </c>
      <c r="B2072" s="11">
        <v>45778.395833333336</v>
      </c>
      <c r="C2072" s="7">
        <v>557.29269999999997</v>
      </c>
      <c r="D2072">
        <v>5506796</v>
      </c>
      <c r="E2072">
        <v>4105266.25</v>
      </c>
    </row>
    <row r="2073" spans="1:5">
      <c r="A2073">
        <v>2068</v>
      </c>
      <c r="B2073" s="11">
        <v>45777.666666666664</v>
      </c>
      <c r="C2073" s="7">
        <v>551.37660000000005</v>
      </c>
      <c r="D2073">
        <v>0</v>
      </c>
      <c r="E2073">
        <v>3738146.5</v>
      </c>
    </row>
    <row r="2074" spans="1:5">
      <c r="A2074">
        <v>2069</v>
      </c>
      <c r="B2074" s="11">
        <v>45777.645833333336</v>
      </c>
      <c r="C2074" s="7">
        <v>551.37660000000005</v>
      </c>
      <c r="D2074">
        <v>18265078</v>
      </c>
      <c r="E2074">
        <v>4196900.5</v>
      </c>
    </row>
    <row r="2075" spans="1:5">
      <c r="A2075">
        <v>2070</v>
      </c>
      <c r="B2075" s="11">
        <v>45777.625</v>
      </c>
      <c r="C2075" s="7">
        <v>546.71979999999996</v>
      </c>
      <c r="D2075">
        <v>3116465</v>
      </c>
      <c r="E2075">
        <v>3126878.75</v>
      </c>
    </row>
    <row r="2076" spans="1:5">
      <c r="A2076">
        <v>2071</v>
      </c>
      <c r="B2076" s="11">
        <v>45777.604166666664</v>
      </c>
      <c r="C2076" s="7">
        <v>546.45489999999995</v>
      </c>
      <c r="D2076">
        <v>2473033</v>
      </c>
      <c r="E2076">
        <v>3013978.75</v>
      </c>
    </row>
    <row r="2077" spans="1:5">
      <c r="A2077">
        <v>2072</v>
      </c>
      <c r="B2077" s="11">
        <v>45777.583333333336</v>
      </c>
      <c r="C2077" s="7">
        <v>547.29010000000005</v>
      </c>
      <c r="D2077">
        <v>4522191</v>
      </c>
      <c r="E2077">
        <v>3027543.5</v>
      </c>
    </row>
    <row r="2078" spans="1:5">
      <c r="A2078">
        <v>2073</v>
      </c>
      <c r="B2078" s="11">
        <v>45777.5625</v>
      </c>
      <c r="C2078" s="7">
        <v>547.40449999999998</v>
      </c>
      <c r="D2078">
        <v>1722551</v>
      </c>
      <c r="E2078">
        <v>2899493.25</v>
      </c>
    </row>
    <row r="2079" spans="1:5">
      <c r="A2079">
        <v>2074</v>
      </c>
      <c r="B2079" s="11">
        <v>45777.541666666664</v>
      </c>
      <c r="C2079" s="7">
        <v>546.81290000000001</v>
      </c>
      <c r="D2079">
        <v>1643001</v>
      </c>
      <c r="E2079">
        <v>2883066.25</v>
      </c>
    </row>
    <row r="2080" spans="1:5">
      <c r="A2080">
        <v>2075</v>
      </c>
      <c r="B2080" s="11">
        <v>45777.520833333336</v>
      </c>
      <c r="C2080" s="7">
        <v>546.41510000000005</v>
      </c>
      <c r="D2080">
        <v>1541290</v>
      </c>
      <c r="E2080">
        <v>2876983</v>
      </c>
    </row>
    <row r="2081" spans="1:5">
      <c r="A2081">
        <v>2076</v>
      </c>
      <c r="B2081" s="11">
        <v>45777.5</v>
      </c>
      <c r="C2081" s="7">
        <v>544.96339999999998</v>
      </c>
      <c r="D2081">
        <v>2122770</v>
      </c>
      <c r="E2081">
        <v>2846741.25</v>
      </c>
    </row>
    <row r="2082" spans="1:5">
      <c r="A2082">
        <v>2077</v>
      </c>
      <c r="B2082" s="11">
        <v>45777.479166666664</v>
      </c>
      <c r="C2082" s="7">
        <v>546.29579999999999</v>
      </c>
      <c r="D2082">
        <v>2065688</v>
      </c>
      <c r="E2082">
        <v>2783532.75</v>
      </c>
    </row>
    <row r="2083" spans="1:5">
      <c r="A2083">
        <v>2078</v>
      </c>
      <c r="B2083" s="11">
        <v>45777.458333333336</v>
      </c>
      <c r="C2083" s="7">
        <v>545.8732</v>
      </c>
      <c r="D2083">
        <v>2971774</v>
      </c>
      <c r="E2083">
        <v>2752861.25</v>
      </c>
    </row>
    <row r="2084" spans="1:5">
      <c r="A2084">
        <v>2079</v>
      </c>
      <c r="B2084" s="11">
        <v>45777.4375</v>
      </c>
      <c r="C2084" s="7">
        <v>543.77530000000002</v>
      </c>
      <c r="D2084">
        <v>3438472</v>
      </c>
      <c r="E2084">
        <v>2679552</v>
      </c>
    </row>
    <row r="2085" spans="1:5">
      <c r="A2085">
        <v>2080</v>
      </c>
      <c r="B2085" s="11">
        <v>45777.416666666664</v>
      </c>
      <c r="C2085" s="7">
        <v>543.19359999999995</v>
      </c>
      <c r="D2085">
        <v>4712327</v>
      </c>
      <c r="E2085">
        <v>2657212.5</v>
      </c>
    </row>
    <row r="2086" spans="1:5">
      <c r="A2086">
        <v>2081</v>
      </c>
      <c r="B2086" s="11">
        <v>45777.395833333336</v>
      </c>
      <c r="C2086" s="7">
        <v>538.63969999999995</v>
      </c>
      <c r="D2086">
        <v>7477559</v>
      </c>
      <c r="E2086">
        <v>2560655.25</v>
      </c>
    </row>
    <row r="2087" spans="1:5">
      <c r="A2087">
        <v>2082</v>
      </c>
      <c r="B2087" s="11">
        <v>45776.666666666664</v>
      </c>
      <c r="C2087" s="7">
        <v>551.15790000000004</v>
      </c>
      <c r="D2087">
        <v>0</v>
      </c>
      <c r="E2087">
        <v>2062151.25</v>
      </c>
    </row>
    <row r="2088" spans="1:5">
      <c r="A2088">
        <v>2083</v>
      </c>
      <c r="B2088" s="11">
        <v>45776.645833333336</v>
      </c>
      <c r="C2088" s="7">
        <v>551.15790000000004</v>
      </c>
      <c r="D2088">
        <v>6881307</v>
      </c>
      <c r="E2088">
        <v>2485315.25</v>
      </c>
    </row>
    <row r="2089" spans="1:5">
      <c r="A2089">
        <v>2084</v>
      </c>
      <c r="B2089" s="11">
        <v>45776.625</v>
      </c>
      <c r="C2089" s="7">
        <v>551.5059</v>
      </c>
      <c r="D2089">
        <v>2214752</v>
      </c>
      <c r="E2089">
        <v>2216209.75</v>
      </c>
    </row>
    <row r="2090" spans="1:5">
      <c r="A2090">
        <v>2085</v>
      </c>
      <c r="B2090" s="11">
        <v>45776.604166666664</v>
      </c>
      <c r="C2090" s="7">
        <v>551.17780000000005</v>
      </c>
      <c r="D2090">
        <v>1422965</v>
      </c>
      <c r="E2090">
        <v>2156985.5</v>
      </c>
    </row>
    <row r="2091" spans="1:5">
      <c r="A2091">
        <v>2086</v>
      </c>
      <c r="B2091" s="11">
        <v>45776.583333333336</v>
      </c>
      <c r="C2091" s="7">
        <v>551.7346</v>
      </c>
      <c r="D2091">
        <v>2676506</v>
      </c>
      <c r="E2091">
        <v>2176600.25</v>
      </c>
    </row>
    <row r="2092" spans="1:5">
      <c r="A2092">
        <v>2087</v>
      </c>
      <c r="B2092" s="11">
        <v>45776.5625</v>
      </c>
      <c r="C2092" s="7">
        <v>551.63509999999997</v>
      </c>
      <c r="D2092">
        <v>2601438</v>
      </c>
      <c r="E2092">
        <v>2095155.38</v>
      </c>
    </row>
    <row r="2093" spans="1:5">
      <c r="A2093">
        <v>2088</v>
      </c>
      <c r="B2093" s="11">
        <v>45776.541666666664</v>
      </c>
      <c r="C2093" s="7">
        <v>549.49329999999998</v>
      </c>
      <c r="D2093">
        <v>1476144</v>
      </c>
      <c r="E2093">
        <v>2018385.38</v>
      </c>
    </row>
    <row r="2094" spans="1:5">
      <c r="A2094">
        <v>2089</v>
      </c>
      <c r="B2094" s="11">
        <v>45776.520833333336</v>
      </c>
      <c r="C2094" s="7">
        <v>547.90660000000003</v>
      </c>
      <c r="D2094">
        <v>1551752</v>
      </c>
      <c r="E2094">
        <v>2026257.25</v>
      </c>
    </row>
    <row r="2095" spans="1:5">
      <c r="A2095">
        <v>2090</v>
      </c>
      <c r="B2095" s="11">
        <v>45776.5</v>
      </c>
      <c r="C2095" s="7">
        <v>549.73609999999996</v>
      </c>
      <c r="D2095">
        <v>1087665</v>
      </c>
      <c r="E2095">
        <v>2053784.12</v>
      </c>
    </row>
    <row r="2096" spans="1:5">
      <c r="A2096">
        <v>2091</v>
      </c>
      <c r="B2096" s="11">
        <v>45776.479166666664</v>
      </c>
      <c r="C2096" s="7">
        <v>548.58259999999996</v>
      </c>
      <c r="D2096">
        <v>1174641</v>
      </c>
      <c r="E2096">
        <v>2116966.5</v>
      </c>
    </row>
    <row r="2097" spans="1:5">
      <c r="A2097">
        <v>2092</v>
      </c>
      <c r="B2097" s="11">
        <v>45776.458333333336</v>
      </c>
      <c r="C2097" s="7">
        <v>549.06979999999999</v>
      </c>
      <c r="D2097">
        <v>1605616</v>
      </c>
      <c r="E2097">
        <v>2217248</v>
      </c>
    </row>
    <row r="2098" spans="1:5">
      <c r="A2098">
        <v>2093</v>
      </c>
      <c r="B2098" s="11">
        <v>45776.4375</v>
      </c>
      <c r="C2098" s="7">
        <v>549.82550000000003</v>
      </c>
      <c r="D2098">
        <v>1872135</v>
      </c>
      <c r="E2098">
        <v>2230460.25</v>
      </c>
    </row>
    <row r="2099" spans="1:5">
      <c r="A2099">
        <v>2094</v>
      </c>
      <c r="B2099" s="11">
        <v>45776.416666666664</v>
      </c>
      <c r="C2099" s="7">
        <v>546.77300000000002</v>
      </c>
      <c r="D2099">
        <v>3103380</v>
      </c>
      <c r="E2099">
        <v>2269154.75</v>
      </c>
    </row>
    <row r="2100" spans="1:5">
      <c r="A2100">
        <v>2095</v>
      </c>
      <c r="B2100" s="11">
        <v>45776.395833333336</v>
      </c>
      <c r="C2100" s="7">
        <v>547.4393</v>
      </c>
      <c r="D2100">
        <v>3263968</v>
      </c>
      <c r="E2100">
        <v>2388645</v>
      </c>
    </row>
    <row r="2101" spans="1:5">
      <c r="A2101">
        <v>2096</v>
      </c>
      <c r="B2101" s="11">
        <v>45775.666666666664</v>
      </c>
      <c r="C2101" s="7">
        <v>547.70770000000005</v>
      </c>
      <c r="D2101">
        <v>0</v>
      </c>
      <c r="E2101">
        <v>2171067.25</v>
      </c>
    </row>
    <row r="2102" spans="1:5">
      <c r="A2102">
        <v>2097</v>
      </c>
      <c r="B2102" s="11">
        <v>45775.645833333336</v>
      </c>
      <c r="C2102" s="7">
        <v>547.75739999999996</v>
      </c>
      <c r="D2102">
        <v>6347460</v>
      </c>
      <c r="E2102">
        <v>2660897.5</v>
      </c>
    </row>
    <row r="2103" spans="1:5">
      <c r="A2103">
        <v>2098</v>
      </c>
      <c r="B2103" s="11">
        <v>45775.625</v>
      </c>
      <c r="C2103" s="7">
        <v>547.31859999999995</v>
      </c>
      <c r="D2103">
        <v>2844726</v>
      </c>
      <c r="E2103">
        <v>2354278</v>
      </c>
    </row>
    <row r="2104" spans="1:5">
      <c r="A2104">
        <v>2099</v>
      </c>
      <c r="B2104" s="11">
        <v>45775.604166666664</v>
      </c>
      <c r="C2104" s="7">
        <v>545.51030000000003</v>
      </c>
      <c r="D2104">
        <v>1326386</v>
      </c>
      <c r="E2104">
        <v>2306197.25</v>
      </c>
    </row>
    <row r="2105" spans="1:5">
      <c r="A2105">
        <v>2100</v>
      </c>
      <c r="B2105" s="11">
        <v>45775.583333333336</v>
      </c>
      <c r="C2105" s="7">
        <v>545.4606</v>
      </c>
      <c r="D2105">
        <v>1717186</v>
      </c>
      <c r="E2105">
        <v>2390380.75</v>
      </c>
    </row>
    <row r="2106" spans="1:5">
      <c r="A2106">
        <v>2101</v>
      </c>
      <c r="B2106" s="11">
        <v>45775.5625</v>
      </c>
      <c r="C2106" s="7">
        <v>544.60550000000001</v>
      </c>
      <c r="D2106">
        <v>1454833</v>
      </c>
      <c r="E2106">
        <v>2564243.5</v>
      </c>
    </row>
    <row r="2107" spans="1:5">
      <c r="A2107">
        <v>2102</v>
      </c>
      <c r="B2107" s="11">
        <v>45775.541666666664</v>
      </c>
      <c r="C2107" s="7">
        <v>542.28869999999995</v>
      </c>
      <c r="D2107">
        <v>1449889</v>
      </c>
      <c r="E2107">
        <v>2616727.25</v>
      </c>
    </row>
    <row r="2108" spans="1:5">
      <c r="A2108">
        <v>2103</v>
      </c>
      <c r="B2108" s="11">
        <v>45775.520833333336</v>
      </c>
      <c r="C2108" s="7">
        <v>543.303</v>
      </c>
      <c r="D2108">
        <v>1594221</v>
      </c>
      <c r="E2108">
        <v>2622253.75</v>
      </c>
    </row>
    <row r="2109" spans="1:5">
      <c r="A2109">
        <v>2104</v>
      </c>
      <c r="B2109" s="11">
        <v>45775.5</v>
      </c>
      <c r="C2109" s="7">
        <v>542.94500000000005</v>
      </c>
      <c r="D2109">
        <v>1964656</v>
      </c>
      <c r="E2109">
        <v>2611674.25</v>
      </c>
    </row>
    <row r="2110" spans="1:5">
      <c r="A2110">
        <v>2105</v>
      </c>
      <c r="B2110" s="11">
        <v>45775.479166666664</v>
      </c>
      <c r="C2110" s="7">
        <v>544.29719999999998</v>
      </c>
      <c r="D2110">
        <v>2035400</v>
      </c>
      <c r="E2110">
        <v>2565548</v>
      </c>
    </row>
    <row r="2111" spans="1:5">
      <c r="A2111">
        <v>2106</v>
      </c>
      <c r="B2111" s="11">
        <v>45775.458333333336</v>
      </c>
      <c r="C2111" s="7">
        <v>544.06859999999995</v>
      </c>
      <c r="D2111">
        <v>2678865</v>
      </c>
      <c r="E2111">
        <v>2530544.25</v>
      </c>
    </row>
    <row r="2112" spans="1:5">
      <c r="A2112">
        <v>2107</v>
      </c>
      <c r="B2112" s="11">
        <v>45775.4375</v>
      </c>
      <c r="C2112" s="7">
        <v>547.46410000000003</v>
      </c>
      <c r="D2112">
        <v>1803798</v>
      </c>
      <c r="E2112">
        <v>2508707.5</v>
      </c>
    </row>
    <row r="2113" spans="1:5">
      <c r="A2113">
        <v>2108</v>
      </c>
      <c r="B2113" s="11">
        <v>45775.416666666664</v>
      </c>
      <c r="C2113" s="7">
        <v>547.83690000000001</v>
      </c>
      <c r="D2113">
        <v>2452554</v>
      </c>
      <c r="E2113">
        <v>2703615.25</v>
      </c>
    </row>
    <row r="2114" spans="1:5">
      <c r="A2114">
        <v>2109</v>
      </c>
      <c r="B2114" s="11">
        <v>45775.395833333336</v>
      </c>
      <c r="C2114" s="7">
        <v>547.11109999999996</v>
      </c>
      <c r="D2114">
        <v>4895734</v>
      </c>
      <c r="E2114">
        <v>2823389.25</v>
      </c>
    </row>
    <row r="2115" spans="1:5">
      <c r="A2115">
        <v>2110</v>
      </c>
      <c r="B2115" s="11">
        <v>45772.666666666664</v>
      </c>
      <c r="C2115" s="7">
        <v>547.49890000000005</v>
      </c>
      <c r="D2115">
        <v>301</v>
      </c>
      <c r="E2115">
        <v>2497006.75</v>
      </c>
    </row>
    <row r="2116" spans="1:5">
      <c r="A2116">
        <v>2111</v>
      </c>
      <c r="B2116" s="11">
        <v>45772.645833333336</v>
      </c>
      <c r="C2116" s="7">
        <v>547.49890000000005</v>
      </c>
      <c r="D2116">
        <v>7347453</v>
      </c>
      <c r="E2116">
        <v>3185773.5</v>
      </c>
    </row>
    <row r="2117" spans="1:5">
      <c r="A2117">
        <v>2112</v>
      </c>
      <c r="B2117" s="11">
        <v>45772.625</v>
      </c>
      <c r="C2117" s="7">
        <v>546.41510000000005</v>
      </c>
      <c r="D2117">
        <v>1748168</v>
      </c>
      <c r="E2117">
        <v>2920684.25</v>
      </c>
    </row>
    <row r="2118" spans="1:5">
      <c r="A2118">
        <v>2113</v>
      </c>
      <c r="B2118" s="11">
        <v>45772.604166666664</v>
      </c>
      <c r="C2118" s="7">
        <v>546.7432</v>
      </c>
      <c r="D2118">
        <v>2123516</v>
      </c>
      <c r="E2118">
        <v>2949241.25</v>
      </c>
    </row>
    <row r="2119" spans="1:5">
      <c r="A2119">
        <v>2114</v>
      </c>
      <c r="B2119" s="11">
        <v>45772.583333333336</v>
      </c>
      <c r="C2119" s="7">
        <v>546.62289999999996</v>
      </c>
      <c r="D2119">
        <v>2589138</v>
      </c>
      <c r="E2119">
        <v>2986472.75</v>
      </c>
    </row>
    <row r="2120" spans="1:5">
      <c r="A2120">
        <v>2115</v>
      </c>
      <c r="B2120" s="11">
        <v>45772.5625</v>
      </c>
      <c r="C2120" s="7">
        <v>544.80430000000001</v>
      </c>
      <c r="D2120">
        <v>4325125</v>
      </c>
      <c r="E2120">
        <v>2907792.5</v>
      </c>
    </row>
    <row r="2121" spans="1:5">
      <c r="A2121">
        <v>2116</v>
      </c>
      <c r="B2121" s="11">
        <v>45772.541666666664</v>
      </c>
      <c r="C2121" s="7">
        <v>547.84690000000001</v>
      </c>
      <c r="D2121">
        <v>2242089</v>
      </c>
      <c r="E2121">
        <v>2736885.25</v>
      </c>
    </row>
    <row r="2122" spans="1:5">
      <c r="A2122">
        <v>2117</v>
      </c>
      <c r="B2122" s="11">
        <v>45772.520833333336</v>
      </c>
      <c r="C2122" s="7">
        <v>545.93790000000001</v>
      </c>
      <c r="D2122">
        <v>1532787</v>
      </c>
      <c r="E2122">
        <v>2749999.25</v>
      </c>
    </row>
    <row r="2123" spans="1:5">
      <c r="A2123">
        <v>2118</v>
      </c>
      <c r="B2123" s="11">
        <v>45772.5</v>
      </c>
      <c r="C2123" s="7">
        <v>545.2269</v>
      </c>
      <c r="D2123">
        <v>1435529</v>
      </c>
      <c r="E2123">
        <v>2795181.25</v>
      </c>
    </row>
    <row r="2124" spans="1:5">
      <c r="A2124">
        <v>2119</v>
      </c>
      <c r="B2124" s="11">
        <v>45772.479166666664</v>
      </c>
      <c r="C2124" s="7">
        <v>543.94929999999999</v>
      </c>
      <c r="D2124">
        <v>1272763</v>
      </c>
      <c r="E2124">
        <v>2837025.5</v>
      </c>
    </row>
    <row r="2125" spans="1:5">
      <c r="A2125">
        <v>2120</v>
      </c>
      <c r="B2125" s="11">
        <v>45772.458333333336</v>
      </c>
      <c r="C2125" s="7">
        <v>543.38250000000005</v>
      </c>
      <c r="D2125">
        <v>1510342</v>
      </c>
      <c r="E2125">
        <v>2930108.25</v>
      </c>
    </row>
    <row r="2126" spans="1:5">
      <c r="A2126">
        <v>2121</v>
      </c>
      <c r="B2126" s="11">
        <v>45772.4375</v>
      </c>
      <c r="C2126" s="7">
        <v>543.42219999999998</v>
      </c>
      <c r="D2126">
        <v>2351316</v>
      </c>
      <c r="E2126">
        <v>3090013.25</v>
      </c>
    </row>
    <row r="2127" spans="1:5">
      <c r="A2127">
        <v>2122</v>
      </c>
      <c r="B2127" s="11">
        <v>45772.416666666664</v>
      </c>
      <c r="C2127" s="7">
        <v>541.5616</v>
      </c>
      <c r="D2127">
        <v>4727415</v>
      </c>
      <c r="E2127">
        <v>3193756.25</v>
      </c>
    </row>
    <row r="2128" spans="1:5">
      <c r="A2128">
        <v>2123</v>
      </c>
      <c r="B2128" s="11">
        <v>45772.395833333336</v>
      </c>
      <c r="C2128" s="7">
        <v>542.45780000000002</v>
      </c>
      <c r="D2128">
        <v>4249161</v>
      </c>
      <c r="E2128">
        <v>3132880.5</v>
      </c>
    </row>
    <row r="2129" spans="1:5">
      <c r="A2129">
        <v>2124</v>
      </c>
      <c r="B2129" s="11">
        <v>45771.666666666664</v>
      </c>
      <c r="C2129" s="7">
        <v>543.57140000000004</v>
      </c>
      <c r="D2129">
        <v>0</v>
      </c>
      <c r="E2129">
        <v>2850221.75</v>
      </c>
    </row>
    <row r="2130" spans="1:5">
      <c r="A2130">
        <v>2125</v>
      </c>
      <c r="B2130" s="11">
        <v>45771.645833333336</v>
      </c>
      <c r="C2130" s="7">
        <v>543.52170000000001</v>
      </c>
      <c r="D2130">
        <v>10331799</v>
      </c>
      <c r="E2130">
        <v>3575912.75</v>
      </c>
    </row>
    <row r="2131" spans="1:5">
      <c r="A2131">
        <v>2126</v>
      </c>
      <c r="B2131" s="11">
        <v>45771.625</v>
      </c>
      <c r="C2131" s="7">
        <v>541.80160000000001</v>
      </c>
      <c r="D2131">
        <v>3371116</v>
      </c>
      <c r="E2131">
        <v>3089649.5</v>
      </c>
    </row>
    <row r="2132" spans="1:5">
      <c r="A2132">
        <v>2127</v>
      </c>
      <c r="B2132" s="11">
        <v>45771.604166666664</v>
      </c>
      <c r="C2132" s="7">
        <v>542.96489999999994</v>
      </c>
      <c r="D2132">
        <v>2176523</v>
      </c>
      <c r="E2132">
        <v>3010824</v>
      </c>
    </row>
    <row r="2133" spans="1:5">
      <c r="A2133">
        <v>2128</v>
      </c>
      <c r="B2133" s="11">
        <v>45771.583333333336</v>
      </c>
      <c r="C2133" s="7">
        <v>542.36829999999998</v>
      </c>
      <c r="D2133">
        <v>2681987</v>
      </c>
      <c r="E2133">
        <v>3052060.75</v>
      </c>
    </row>
    <row r="2134" spans="1:5">
      <c r="A2134">
        <v>2129</v>
      </c>
      <c r="B2134" s="11">
        <v>45771.5625</v>
      </c>
      <c r="C2134" s="7">
        <v>542.14959999999996</v>
      </c>
      <c r="D2134">
        <v>1408937</v>
      </c>
      <c r="E2134">
        <v>3020225.5</v>
      </c>
    </row>
    <row r="2135" spans="1:5">
      <c r="A2135">
        <v>2130</v>
      </c>
      <c r="B2135" s="11">
        <v>45771.541666666664</v>
      </c>
      <c r="C2135" s="7">
        <v>541.86320000000001</v>
      </c>
      <c r="D2135">
        <v>1761516</v>
      </c>
      <c r="E2135">
        <v>3072931</v>
      </c>
    </row>
    <row r="2136" spans="1:5">
      <c r="A2136">
        <v>2131</v>
      </c>
      <c r="B2136" s="11">
        <v>45771.520833333336</v>
      </c>
      <c r="C2136" s="7">
        <v>542.33849999999995</v>
      </c>
      <c r="D2136">
        <v>2438796</v>
      </c>
      <c r="E2136">
        <v>3148935.5</v>
      </c>
    </row>
    <row r="2137" spans="1:5">
      <c r="A2137">
        <v>2132</v>
      </c>
      <c r="B2137" s="11">
        <v>45771.5</v>
      </c>
      <c r="C2137" s="7">
        <v>541.3442</v>
      </c>
      <c r="D2137">
        <v>2210519</v>
      </c>
      <c r="E2137">
        <v>3216298.25</v>
      </c>
    </row>
    <row r="2138" spans="1:5">
      <c r="A2138">
        <v>2133</v>
      </c>
      <c r="B2138" s="11">
        <v>45771.479166666664</v>
      </c>
      <c r="C2138" s="7">
        <v>539.73350000000005</v>
      </c>
      <c r="D2138">
        <v>2063194</v>
      </c>
      <c r="E2138">
        <v>3358411.5</v>
      </c>
    </row>
    <row r="2139" spans="1:5">
      <c r="A2139">
        <v>2134</v>
      </c>
      <c r="B2139" s="11">
        <v>45771.458333333336</v>
      </c>
      <c r="C2139" s="7">
        <v>539.33600000000001</v>
      </c>
      <c r="D2139">
        <v>2669002</v>
      </c>
      <c r="E2139">
        <v>3569614.75</v>
      </c>
    </row>
    <row r="2140" spans="1:5">
      <c r="A2140">
        <v>2135</v>
      </c>
      <c r="B2140" s="11">
        <v>45771.4375</v>
      </c>
      <c r="C2140" s="7">
        <v>539.3954</v>
      </c>
      <c r="D2140">
        <v>3908917</v>
      </c>
      <c r="E2140">
        <v>3572024</v>
      </c>
    </row>
    <row r="2141" spans="1:5">
      <c r="A2141">
        <v>2136</v>
      </c>
      <c r="B2141" s="11">
        <v>45771.416666666664</v>
      </c>
      <c r="C2141" s="7">
        <v>539.03880000000004</v>
      </c>
      <c r="D2141">
        <v>3907461</v>
      </c>
      <c r="E2141">
        <v>3689772.25</v>
      </c>
    </row>
    <row r="2142" spans="1:5">
      <c r="A2142">
        <v>2137</v>
      </c>
      <c r="B2142" s="11">
        <v>45771.395833333336</v>
      </c>
      <c r="C2142" s="7">
        <v>536.40120000000002</v>
      </c>
      <c r="D2142">
        <v>3814279</v>
      </c>
      <c r="E2142">
        <v>4341809.5</v>
      </c>
    </row>
    <row r="2143" spans="1:5">
      <c r="A2143">
        <v>2138</v>
      </c>
      <c r="B2143" s="11">
        <v>45770.666666666664</v>
      </c>
      <c r="C2143" s="7">
        <v>532.36569999999995</v>
      </c>
      <c r="D2143">
        <v>9280</v>
      </c>
      <c r="E2143">
        <v>4087524.25</v>
      </c>
    </row>
    <row r="2144" spans="1:5">
      <c r="A2144">
        <v>2139</v>
      </c>
      <c r="B2144" s="11">
        <v>45770.645833333336</v>
      </c>
      <c r="C2144" s="7">
        <v>532.66399999999999</v>
      </c>
      <c r="D2144">
        <v>10885367</v>
      </c>
      <c r="E2144">
        <v>4659332.5</v>
      </c>
    </row>
    <row r="2145" spans="1:5">
      <c r="A2145">
        <v>2140</v>
      </c>
      <c r="B2145" s="11">
        <v>45770.625</v>
      </c>
      <c r="C2145" s="7">
        <v>531.57029999999997</v>
      </c>
      <c r="D2145">
        <v>3037850</v>
      </c>
      <c r="E2145">
        <v>4158544</v>
      </c>
    </row>
    <row r="2146" spans="1:5">
      <c r="A2146">
        <v>2141</v>
      </c>
      <c r="B2146" s="11">
        <v>45770.604166666664</v>
      </c>
      <c r="C2146" s="7">
        <v>533.25059999999996</v>
      </c>
      <c r="D2146">
        <v>2188733</v>
      </c>
      <c r="E2146">
        <v>4101992</v>
      </c>
    </row>
    <row r="2147" spans="1:5">
      <c r="A2147">
        <v>2142</v>
      </c>
      <c r="B2147" s="11">
        <v>45770.583333333336</v>
      </c>
      <c r="C2147" s="7">
        <v>533.59860000000003</v>
      </c>
      <c r="D2147">
        <v>2795074</v>
      </c>
      <c r="E2147">
        <v>4154146</v>
      </c>
    </row>
    <row r="2148" spans="1:5">
      <c r="A2148">
        <v>2143</v>
      </c>
      <c r="B2148" s="11">
        <v>45770.5625</v>
      </c>
      <c r="C2148" s="7">
        <v>535.21929999999998</v>
      </c>
      <c r="D2148">
        <v>2204456</v>
      </c>
      <c r="E2148">
        <v>4178841</v>
      </c>
    </row>
    <row r="2149" spans="1:5">
      <c r="A2149">
        <v>2144</v>
      </c>
      <c r="B2149" s="11">
        <v>45770.541666666664</v>
      </c>
      <c r="C2149" s="7">
        <v>535.36850000000004</v>
      </c>
      <c r="D2149">
        <v>2199521</v>
      </c>
      <c r="E2149">
        <v>4462389</v>
      </c>
    </row>
    <row r="2150" spans="1:5">
      <c r="A2150">
        <v>2145</v>
      </c>
      <c r="B2150" s="11">
        <v>45770.520833333336</v>
      </c>
      <c r="C2150" s="7">
        <v>535.2989</v>
      </c>
      <c r="D2150">
        <v>2901583</v>
      </c>
      <c r="E2150">
        <v>4498422</v>
      </c>
    </row>
    <row r="2151" spans="1:5">
      <c r="A2151">
        <v>2146</v>
      </c>
      <c r="B2151" s="11">
        <v>45770.5</v>
      </c>
      <c r="C2151" s="7">
        <v>533.25059999999996</v>
      </c>
      <c r="D2151">
        <v>3449236</v>
      </c>
      <c r="E2151">
        <v>4674156</v>
      </c>
    </row>
    <row r="2152" spans="1:5">
      <c r="A2152">
        <v>2147</v>
      </c>
      <c r="B2152" s="11">
        <v>45770.479166666664</v>
      </c>
      <c r="C2152" s="7">
        <v>534.33939999999996</v>
      </c>
      <c r="D2152">
        <v>4342218</v>
      </c>
      <c r="E2152">
        <v>4670419</v>
      </c>
    </row>
    <row r="2153" spans="1:5">
      <c r="A2153">
        <v>2148</v>
      </c>
      <c r="B2153" s="11">
        <v>45770.458333333336</v>
      </c>
      <c r="C2153" s="7">
        <v>535.51760000000002</v>
      </c>
      <c r="D2153">
        <v>5231245</v>
      </c>
      <c r="E2153">
        <v>4578913.5</v>
      </c>
    </row>
    <row r="2154" spans="1:5">
      <c r="A2154">
        <v>2149</v>
      </c>
      <c r="B2154" s="11">
        <v>45770.4375</v>
      </c>
      <c r="C2154" s="7">
        <v>539.55449999999996</v>
      </c>
      <c r="D2154">
        <v>2705141</v>
      </c>
      <c r="E2154">
        <v>4413788.5</v>
      </c>
    </row>
    <row r="2155" spans="1:5">
      <c r="A2155">
        <v>2150</v>
      </c>
      <c r="B2155" s="11">
        <v>45770.416666666664</v>
      </c>
      <c r="C2155" s="7">
        <v>540.61829999999998</v>
      </c>
      <c r="D2155">
        <v>5675139</v>
      </c>
      <c r="E2155">
        <v>4444463</v>
      </c>
    </row>
    <row r="2156" spans="1:5">
      <c r="A2156">
        <v>2151</v>
      </c>
      <c r="B2156" s="11">
        <v>45770.395833333336</v>
      </c>
      <c r="C2156" s="7">
        <v>541.03599999999994</v>
      </c>
      <c r="D2156">
        <v>13688021</v>
      </c>
      <c r="E2156">
        <v>4344883</v>
      </c>
    </row>
    <row r="2157" spans="1:5">
      <c r="A2157">
        <v>2152</v>
      </c>
      <c r="B2157" s="11">
        <v>45769.666666666664</v>
      </c>
      <c r="C2157" s="7">
        <v>524.2423</v>
      </c>
      <c r="D2157">
        <v>0</v>
      </c>
      <c r="E2157">
        <v>3432348.25</v>
      </c>
    </row>
    <row r="2158" spans="1:5">
      <c r="A2158">
        <v>2153</v>
      </c>
      <c r="B2158" s="11">
        <v>45769.645833333336</v>
      </c>
      <c r="C2158" s="7">
        <v>524.2423</v>
      </c>
      <c r="D2158">
        <v>8586406</v>
      </c>
      <c r="E2158">
        <v>4239732.5</v>
      </c>
    </row>
    <row r="2159" spans="1:5">
      <c r="A2159">
        <v>2154</v>
      </c>
      <c r="B2159" s="11">
        <v>45769.625</v>
      </c>
      <c r="C2159" s="7">
        <v>521.65219999999999</v>
      </c>
      <c r="D2159">
        <v>3373536</v>
      </c>
      <c r="E2159">
        <v>3904175</v>
      </c>
    </row>
    <row r="2160" spans="1:5">
      <c r="A2160">
        <v>2155</v>
      </c>
      <c r="B2160" s="11">
        <v>45769.604166666664</v>
      </c>
      <c r="C2160" s="7">
        <v>523.85209999999995</v>
      </c>
      <c r="D2160">
        <v>2189571</v>
      </c>
      <c r="E2160">
        <v>3861505.75</v>
      </c>
    </row>
    <row r="2161" spans="1:5">
      <c r="A2161">
        <v>2156</v>
      </c>
      <c r="B2161" s="11">
        <v>45769.583333333336</v>
      </c>
      <c r="C2161" s="7">
        <v>522.38300000000004</v>
      </c>
      <c r="D2161">
        <v>2971042</v>
      </c>
      <c r="E2161">
        <v>3895937.75</v>
      </c>
    </row>
    <row r="2162" spans="1:5">
      <c r="A2162">
        <v>2157</v>
      </c>
      <c r="B2162" s="11">
        <v>45769.5625</v>
      </c>
      <c r="C2162" s="7">
        <v>518.85820000000001</v>
      </c>
      <c r="D2162">
        <v>3165499</v>
      </c>
      <c r="E2162">
        <v>3825531.5</v>
      </c>
    </row>
    <row r="2163" spans="1:5">
      <c r="A2163">
        <v>2158</v>
      </c>
      <c r="B2163" s="11">
        <v>45769.541666666664</v>
      </c>
      <c r="C2163" s="7">
        <v>519.60389999999995</v>
      </c>
      <c r="D2163">
        <v>6457677</v>
      </c>
      <c r="E2163">
        <v>3845412.25</v>
      </c>
    </row>
    <row r="2164" spans="1:5">
      <c r="A2164">
        <v>2159</v>
      </c>
      <c r="B2164" s="11">
        <v>45769.520833333336</v>
      </c>
      <c r="C2164" s="7">
        <v>524.59029999999996</v>
      </c>
      <c r="D2164">
        <v>2740017</v>
      </c>
      <c r="E2164">
        <v>3603599.5</v>
      </c>
    </row>
    <row r="2165" spans="1:5">
      <c r="A2165">
        <v>2160</v>
      </c>
      <c r="B2165" s="11">
        <v>45769.5</v>
      </c>
      <c r="C2165" s="7">
        <v>525.84810000000004</v>
      </c>
      <c r="D2165">
        <v>5537595</v>
      </c>
      <c r="E2165">
        <v>3589735</v>
      </c>
    </row>
    <row r="2166" spans="1:5">
      <c r="A2166">
        <v>2161</v>
      </c>
      <c r="B2166" s="11">
        <v>45769.479166666664</v>
      </c>
      <c r="C2166" s="7">
        <v>523.20830000000001</v>
      </c>
      <c r="D2166">
        <v>3393178</v>
      </c>
      <c r="E2166">
        <v>3442087.75</v>
      </c>
    </row>
    <row r="2167" spans="1:5">
      <c r="A2167">
        <v>2162</v>
      </c>
      <c r="B2167" s="11">
        <v>45769.458333333336</v>
      </c>
      <c r="C2167" s="7">
        <v>521.95540000000005</v>
      </c>
      <c r="D2167">
        <v>2969637</v>
      </c>
      <c r="E2167">
        <v>3390548.75</v>
      </c>
    </row>
    <row r="2168" spans="1:5">
      <c r="A2168">
        <v>2163</v>
      </c>
      <c r="B2168" s="11">
        <v>45769.4375</v>
      </c>
      <c r="C2168" s="7">
        <v>521.68700000000001</v>
      </c>
      <c r="D2168">
        <v>2754368</v>
      </c>
      <c r="E2168">
        <v>3414412</v>
      </c>
    </row>
    <row r="2169" spans="1:5">
      <c r="A2169">
        <v>2164</v>
      </c>
      <c r="B2169" s="11">
        <v>45769.416666666664</v>
      </c>
      <c r="C2169" s="7">
        <v>520.07619999999997</v>
      </c>
      <c r="D2169">
        <v>3165256</v>
      </c>
      <c r="E2169">
        <v>3453900.25</v>
      </c>
    </row>
    <row r="2170" spans="1:5">
      <c r="A2170">
        <v>2165</v>
      </c>
      <c r="B2170" s="11">
        <v>45769.395833333336</v>
      </c>
      <c r="C2170" s="7">
        <v>518.94269999999995</v>
      </c>
      <c r="D2170">
        <v>4181443</v>
      </c>
      <c r="E2170">
        <v>3506745.75</v>
      </c>
    </row>
    <row r="2171" spans="1:5">
      <c r="A2171">
        <v>2166</v>
      </c>
      <c r="B2171" s="11">
        <v>45768.666666666664</v>
      </c>
      <c r="C2171" s="7">
        <v>510.9486</v>
      </c>
      <c r="D2171">
        <v>0</v>
      </c>
      <c r="E2171">
        <v>3228512.5</v>
      </c>
    </row>
    <row r="2172" spans="1:5">
      <c r="A2172">
        <v>2167</v>
      </c>
      <c r="B2172" s="11">
        <v>45768.645833333336</v>
      </c>
      <c r="C2172" s="7">
        <v>510.9486</v>
      </c>
      <c r="D2172">
        <v>12110765</v>
      </c>
      <c r="E2172">
        <v>3788460.5</v>
      </c>
    </row>
    <row r="2173" spans="1:5">
      <c r="A2173">
        <v>2168</v>
      </c>
      <c r="B2173" s="11">
        <v>45768.625</v>
      </c>
      <c r="C2173" s="7">
        <v>507.50830000000002</v>
      </c>
      <c r="D2173">
        <v>3553041</v>
      </c>
      <c r="E2173">
        <v>3179864</v>
      </c>
    </row>
    <row r="2174" spans="1:5">
      <c r="A2174">
        <v>2169</v>
      </c>
      <c r="B2174" s="11">
        <v>45768.604166666664</v>
      </c>
      <c r="C2174" s="7">
        <v>505.86770000000001</v>
      </c>
      <c r="D2174">
        <v>2733497</v>
      </c>
      <c r="E2174">
        <v>3114011.25</v>
      </c>
    </row>
    <row r="2175" spans="1:5">
      <c r="A2175">
        <v>2170</v>
      </c>
      <c r="B2175" s="11">
        <v>45768.583333333336</v>
      </c>
      <c r="C2175" s="7">
        <v>507.03100000000001</v>
      </c>
      <c r="D2175">
        <v>2706051</v>
      </c>
      <c r="E2175">
        <v>3076039.5</v>
      </c>
    </row>
    <row r="2176" spans="1:5">
      <c r="A2176">
        <v>2171</v>
      </c>
      <c r="B2176" s="11">
        <v>45768.5625</v>
      </c>
      <c r="C2176" s="7">
        <v>506.09350000000001</v>
      </c>
      <c r="D2176">
        <v>1914948</v>
      </c>
      <c r="E2176">
        <v>2997292.75</v>
      </c>
    </row>
    <row r="2177" spans="1:5">
      <c r="A2177">
        <v>2172</v>
      </c>
      <c r="B2177" s="11">
        <v>45768.541666666664</v>
      </c>
      <c r="C2177" s="7">
        <v>507.00130000000001</v>
      </c>
      <c r="D2177">
        <v>3463712</v>
      </c>
      <c r="E2177">
        <v>2949725</v>
      </c>
    </row>
    <row r="2178" spans="1:5">
      <c r="A2178">
        <v>2173</v>
      </c>
      <c r="B2178" s="11">
        <v>45768.520833333336</v>
      </c>
      <c r="C2178" s="7">
        <v>508.3236</v>
      </c>
      <c r="D2178">
        <v>2830485</v>
      </c>
      <c r="E2178">
        <v>2880249.75</v>
      </c>
    </row>
    <row r="2179" spans="1:5">
      <c r="A2179">
        <v>2174</v>
      </c>
      <c r="B2179" s="11">
        <v>45768.5</v>
      </c>
      <c r="C2179" s="7">
        <v>508.71140000000003</v>
      </c>
      <c r="D2179">
        <v>2532048</v>
      </c>
      <c r="E2179">
        <v>3026322.75</v>
      </c>
    </row>
    <row r="2180" spans="1:5">
      <c r="A2180">
        <v>2175</v>
      </c>
      <c r="B2180" s="11">
        <v>45768.479166666664</v>
      </c>
      <c r="C2180" s="7">
        <v>508.1447</v>
      </c>
      <c r="D2180">
        <v>3322889</v>
      </c>
      <c r="E2180">
        <v>2961827</v>
      </c>
    </row>
    <row r="2181" spans="1:5">
      <c r="A2181">
        <v>2176</v>
      </c>
      <c r="B2181" s="11">
        <v>45768.458333333336</v>
      </c>
      <c r="C2181" s="7">
        <v>510.14319999999998</v>
      </c>
      <c r="D2181">
        <v>2620092</v>
      </c>
      <c r="E2181">
        <v>2900078.5</v>
      </c>
    </row>
    <row r="2182" spans="1:5">
      <c r="A2182">
        <v>2177</v>
      </c>
      <c r="B2182" s="11">
        <v>45768.4375</v>
      </c>
      <c r="C2182" s="7">
        <v>511.6943</v>
      </c>
      <c r="D2182">
        <v>3327585</v>
      </c>
      <c r="E2182">
        <v>2907656</v>
      </c>
    </row>
    <row r="2183" spans="1:5">
      <c r="A2183">
        <v>2178</v>
      </c>
      <c r="B2183" s="11">
        <v>45768.416666666664</v>
      </c>
      <c r="C2183" s="7">
        <v>512.61900000000003</v>
      </c>
      <c r="D2183">
        <v>3346690</v>
      </c>
      <c r="E2183">
        <v>2866887.5</v>
      </c>
    </row>
    <row r="2184" spans="1:5">
      <c r="A2184">
        <v>2179</v>
      </c>
      <c r="B2184" s="11">
        <v>45768.395833333336</v>
      </c>
      <c r="C2184" s="7">
        <v>514.43859999999995</v>
      </c>
      <c r="D2184">
        <v>3957939</v>
      </c>
      <c r="E2184">
        <v>2933512</v>
      </c>
    </row>
    <row r="2185" spans="1:5">
      <c r="A2185">
        <v>2180</v>
      </c>
      <c r="B2185" s="11">
        <v>45764.666666666664</v>
      </c>
      <c r="C2185" s="7">
        <v>523.40710000000001</v>
      </c>
      <c r="D2185">
        <v>7945</v>
      </c>
      <c r="E2185">
        <v>2669649.25</v>
      </c>
    </row>
    <row r="2186" spans="1:5">
      <c r="A2186">
        <v>2181</v>
      </c>
      <c r="B2186" s="11">
        <v>45764.645833333336</v>
      </c>
      <c r="C2186" s="7">
        <v>523.40710000000001</v>
      </c>
      <c r="D2186">
        <v>8399219</v>
      </c>
      <c r="E2186">
        <v>3526765.25</v>
      </c>
    </row>
    <row r="2187" spans="1:5">
      <c r="A2187">
        <v>2182</v>
      </c>
      <c r="B2187" s="11">
        <v>45764.625</v>
      </c>
      <c r="C2187" s="7">
        <v>524.19259999999997</v>
      </c>
      <c r="D2187">
        <v>2981820</v>
      </c>
      <c r="E2187">
        <v>3309686.25</v>
      </c>
    </row>
    <row r="2188" spans="1:5">
      <c r="A2188">
        <v>2183</v>
      </c>
      <c r="B2188" s="11">
        <v>45764.604166666664</v>
      </c>
      <c r="C2188" s="7">
        <v>525.52499999999998</v>
      </c>
      <c r="D2188">
        <v>2565250</v>
      </c>
      <c r="E2188">
        <v>3316522.25</v>
      </c>
    </row>
    <row r="2189" spans="1:5">
      <c r="A2189">
        <v>2184</v>
      </c>
      <c r="B2189" s="11">
        <v>45764.583333333336</v>
      </c>
      <c r="C2189" s="7">
        <v>527.10590000000002</v>
      </c>
      <c r="D2189">
        <v>2163921</v>
      </c>
      <c r="E2189">
        <v>3409157.25</v>
      </c>
    </row>
    <row r="2190" spans="1:5">
      <c r="A2190">
        <v>2185</v>
      </c>
      <c r="B2190" s="11">
        <v>45764.5625</v>
      </c>
      <c r="C2190" s="7">
        <v>526.55859999999996</v>
      </c>
      <c r="D2190">
        <v>1524850</v>
      </c>
      <c r="E2190">
        <v>3705999.25</v>
      </c>
    </row>
    <row r="2191" spans="1:5">
      <c r="A2191">
        <v>2186</v>
      </c>
      <c r="B2191" s="11">
        <v>45764.541666666664</v>
      </c>
      <c r="C2191" s="7">
        <v>524.73450000000003</v>
      </c>
      <c r="D2191">
        <v>1201429</v>
      </c>
      <c r="E2191">
        <v>3705066.75</v>
      </c>
    </row>
    <row r="2192" spans="1:5">
      <c r="A2192">
        <v>2187</v>
      </c>
      <c r="B2192" s="11">
        <v>45764.520833333336</v>
      </c>
      <c r="C2192" s="7">
        <v>527.00649999999996</v>
      </c>
      <c r="D2192">
        <v>2421584</v>
      </c>
      <c r="E2192">
        <v>3730100.75</v>
      </c>
    </row>
    <row r="2193" spans="1:5">
      <c r="A2193">
        <v>2188</v>
      </c>
      <c r="B2193" s="11">
        <v>45764.5</v>
      </c>
      <c r="C2193" s="7">
        <v>526.49940000000004</v>
      </c>
      <c r="D2193">
        <v>5021580</v>
      </c>
      <c r="E2193">
        <v>3677004.75</v>
      </c>
    </row>
    <row r="2194" spans="1:5">
      <c r="A2194">
        <v>2189</v>
      </c>
      <c r="B2194" s="11">
        <v>45764.479166666664</v>
      </c>
      <c r="C2194" s="7">
        <v>523.64580000000001</v>
      </c>
      <c r="D2194">
        <v>1564613</v>
      </c>
      <c r="E2194">
        <v>3466234.25</v>
      </c>
    </row>
    <row r="2195" spans="1:5">
      <c r="A2195">
        <v>2190</v>
      </c>
      <c r="B2195" s="11">
        <v>45764.458333333336</v>
      </c>
      <c r="C2195" s="7">
        <v>523.72389999999996</v>
      </c>
      <c r="D2195">
        <v>2396662</v>
      </c>
      <c r="E2195">
        <v>3521602.25</v>
      </c>
    </row>
    <row r="2196" spans="1:5">
      <c r="A2196">
        <v>2191</v>
      </c>
      <c r="B2196" s="11">
        <v>45764.4375</v>
      </c>
      <c r="C2196" s="7">
        <v>522.05489999999998</v>
      </c>
      <c r="D2196">
        <v>2733753</v>
      </c>
      <c r="E2196">
        <v>3478301.25</v>
      </c>
    </row>
    <row r="2197" spans="1:5">
      <c r="A2197">
        <v>2192</v>
      </c>
      <c r="B2197" s="11">
        <v>45764.416666666664</v>
      </c>
      <c r="C2197" s="7">
        <v>522.21400000000006</v>
      </c>
      <c r="D2197">
        <v>2716056</v>
      </c>
      <c r="E2197">
        <v>3489533.5</v>
      </c>
    </row>
    <row r="2198" spans="1:5">
      <c r="A2198">
        <v>2193</v>
      </c>
      <c r="B2198" s="11">
        <v>45764.395833333336</v>
      </c>
      <c r="C2198" s="7">
        <v>525.64419999999996</v>
      </c>
      <c r="D2198">
        <v>4346058</v>
      </c>
      <c r="E2198">
        <v>3660947.75</v>
      </c>
    </row>
    <row r="2199" spans="1:5">
      <c r="A2199">
        <v>2194</v>
      </c>
      <c r="B2199" s="11">
        <v>45763.666666666664</v>
      </c>
      <c r="C2199" s="7">
        <v>522.66139999999996</v>
      </c>
      <c r="D2199">
        <v>0</v>
      </c>
      <c r="E2199">
        <v>3371210.5</v>
      </c>
    </row>
    <row r="2200" spans="1:5">
      <c r="A2200">
        <v>2195</v>
      </c>
      <c r="B2200" s="11">
        <v>45763.645833333336</v>
      </c>
      <c r="C2200" s="7">
        <v>522.66139999999996</v>
      </c>
      <c r="D2200">
        <v>12864682</v>
      </c>
      <c r="E2200">
        <v>3852214.5</v>
      </c>
    </row>
    <row r="2201" spans="1:5">
      <c r="A2201">
        <v>2196</v>
      </c>
      <c r="B2201" s="11">
        <v>45763.625</v>
      </c>
      <c r="C2201" s="7">
        <v>517.90369999999996</v>
      </c>
      <c r="D2201">
        <v>5143037</v>
      </c>
      <c r="E2201">
        <v>3132144</v>
      </c>
    </row>
    <row r="2202" spans="1:5">
      <c r="A2202">
        <v>2197</v>
      </c>
      <c r="B2202" s="11">
        <v>45763.604166666664</v>
      </c>
      <c r="C2202" s="7">
        <v>519.9221</v>
      </c>
      <c r="D2202">
        <v>3084358</v>
      </c>
      <c r="E2202">
        <v>2919001.25</v>
      </c>
    </row>
    <row r="2203" spans="1:5">
      <c r="A2203">
        <v>2198</v>
      </c>
      <c r="B2203" s="11">
        <v>45763.583333333336</v>
      </c>
      <c r="C2203" s="7">
        <v>522.91489999999999</v>
      </c>
      <c r="D2203">
        <v>3954777</v>
      </c>
      <c r="E2203">
        <v>2843772.5</v>
      </c>
    </row>
    <row r="2204" spans="1:5">
      <c r="A2204">
        <v>2199</v>
      </c>
      <c r="B2204" s="11">
        <v>45763.5625</v>
      </c>
      <c r="C2204" s="7">
        <v>521.15499999999997</v>
      </c>
      <c r="D2204">
        <v>6616548</v>
      </c>
      <c r="E2204">
        <v>2717742.25</v>
      </c>
    </row>
    <row r="2205" spans="1:5">
      <c r="A2205">
        <v>2200</v>
      </c>
      <c r="B2205" s="11">
        <v>45763.541666666664</v>
      </c>
      <c r="C2205" s="7">
        <v>528.5874</v>
      </c>
      <c r="D2205">
        <v>1510864</v>
      </c>
      <c r="E2205">
        <v>2405143.5</v>
      </c>
    </row>
    <row r="2206" spans="1:5">
      <c r="A2206">
        <v>2201</v>
      </c>
      <c r="B2206" s="11">
        <v>45763.520833333336</v>
      </c>
      <c r="C2206" s="7">
        <v>527.73230000000001</v>
      </c>
      <c r="D2206">
        <v>1576939</v>
      </c>
      <c r="E2206">
        <v>2404448</v>
      </c>
    </row>
    <row r="2207" spans="1:5">
      <c r="A2207">
        <v>2202</v>
      </c>
      <c r="B2207" s="11">
        <v>45763.5</v>
      </c>
      <c r="C2207" s="7">
        <v>528.45809999999994</v>
      </c>
      <c r="D2207">
        <v>1625145</v>
      </c>
      <c r="E2207">
        <v>2369641.75</v>
      </c>
    </row>
    <row r="2208" spans="1:5">
      <c r="A2208">
        <v>2203</v>
      </c>
      <c r="B2208" s="11">
        <v>45763.479166666664</v>
      </c>
      <c r="C2208" s="7">
        <v>528.64700000000005</v>
      </c>
      <c r="D2208">
        <v>1860020</v>
      </c>
      <c r="E2208">
        <v>2384011.5</v>
      </c>
    </row>
    <row r="2209" spans="1:5">
      <c r="A2209">
        <v>2204</v>
      </c>
      <c r="B2209" s="11">
        <v>45763.458333333336</v>
      </c>
      <c r="C2209" s="7">
        <v>531.66970000000003</v>
      </c>
      <c r="D2209">
        <v>2395136</v>
      </c>
      <c r="E2209">
        <v>2376751</v>
      </c>
    </row>
    <row r="2210" spans="1:5">
      <c r="A2210">
        <v>2205</v>
      </c>
      <c r="B2210" s="11">
        <v>45763.4375</v>
      </c>
      <c r="C2210" s="7">
        <v>529.31320000000005</v>
      </c>
      <c r="D2210">
        <v>1747144</v>
      </c>
      <c r="E2210">
        <v>2408174.5</v>
      </c>
    </row>
    <row r="2211" spans="1:5">
      <c r="A2211">
        <v>2206</v>
      </c>
      <c r="B2211" s="11">
        <v>45763.416666666664</v>
      </c>
      <c r="C2211" s="7">
        <v>528.86580000000004</v>
      </c>
      <c r="D2211">
        <v>2902240</v>
      </c>
      <c r="E2211">
        <v>2612536.75</v>
      </c>
    </row>
    <row r="2212" spans="1:5">
      <c r="A2212">
        <v>2207</v>
      </c>
      <c r="B2212" s="11">
        <v>45763.395833333336</v>
      </c>
      <c r="C2212" s="7">
        <v>526.68830000000003</v>
      </c>
      <c r="D2212">
        <v>5287267</v>
      </c>
      <c r="E2212">
        <v>2704121.25</v>
      </c>
    </row>
    <row r="2213" spans="1:5">
      <c r="A2213">
        <v>2208</v>
      </c>
      <c r="B2213" s="11">
        <v>45762.666666666664</v>
      </c>
      <c r="C2213" s="7">
        <v>534.54319999999996</v>
      </c>
      <c r="D2213">
        <v>0</v>
      </c>
      <c r="E2213">
        <v>2351636.75</v>
      </c>
    </row>
    <row r="2214" spans="1:5">
      <c r="A2214">
        <v>2209</v>
      </c>
      <c r="B2214" s="11">
        <v>45762.645833333336</v>
      </c>
      <c r="C2214" s="7">
        <v>534.54319999999996</v>
      </c>
      <c r="D2214">
        <v>7215059</v>
      </c>
      <c r="E2214">
        <v>2953317.5</v>
      </c>
    </row>
    <row r="2215" spans="1:5">
      <c r="A2215">
        <v>2210</v>
      </c>
      <c r="B2215" s="11">
        <v>45762.625</v>
      </c>
      <c r="C2215" s="7">
        <v>535.38840000000005</v>
      </c>
      <c r="D2215">
        <v>2063626</v>
      </c>
      <c r="E2215">
        <v>2683219.5</v>
      </c>
    </row>
    <row r="2216" spans="1:5">
      <c r="A2216">
        <v>2211</v>
      </c>
      <c r="B2216" s="11">
        <v>45762.604166666664</v>
      </c>
      <c r="C2216" s="7">
        <v>535.4778</v>
      </c>
      <c r="D2216">
        <v>1945897</v>
      </c>
      <c r="E2216">
        <v>2695882.25</v>
      </c>
    </row>
    <row r="2217" spans="1:5">
      <c r="A2217">
        <v>2212</v>
      </c>
      <c r="B2217" s="11">
        <v>45762.583333333336</v>
      </c>
      <c r="C2217" s="7">
        <v>534.38419999999996</v>
      </c>
      <c r="D2217">
        <v>1955925</v>
      </c>
      <c r="E2217">
        <v>2697857.5</v>
      </c>
    </row>
    <row r="2218" spans="1:5">
      <c r="A2218">
        <v>2213</v>
      </c>
      <c r="B2218" s="11">
        <v>45762.5625</v>
      </c>
      <c r="C2218" s="7">
        <v>535.19150000000002</v>
      </c>
      <c r="D2218">
        <v>2064324</v>
      </c>
      <c r="E2218">
        <v>2694513.5</v>
      </c>
    </row>
    <row r="2219" spans="1:5">
      <c r="A2219">
        <v>2214</v>
      </c>
      <c r="B2219" s="11">
        <v>45762.541666666664</v>
      </c>
      <c r="C2219" s="7">
        <v>534.66250000000002</v>
      </c>
      <c r="D2219">
        <v>1927565</v>
      </c>
      <c r="E2219">
        <v>2736318.75</v>
      </c>
    </row>
    <row r="2220" spans="1:5">
      <c r="A2220">
        <v>2215</v>
      </c>
      <c r="B2220" s="11">
        <v>45762.520833333336</v>
      </c>
      <c r="C2220" s="7">
        <v>535.98490000000004</v>
      </c>
      <c r="D2220">
        <v>1500432</v>
      </c>
      <c r="E2220">
        <v>2755943.5</v>
      </c>
    </row>
    <row r="2221" spans="1:5">
      <c r="A2221">
        <v>2216</v>
      </c>
      <c r="B2221" s="11">
        <v>45762.5</v>
      </c>
      <c r="C2221" s="7">
        <v>537.8741</v>
      </c>
      <c r="D2221">
        <v>1054846</v>
      </c>
      <c r="E2221">
        <v>2962647.25</v>
      </c>
    </row>
    <row r="2222" spans="1:5">
      <c r="A2222">
        <v>2217</v>
      </c>
      <c r="B2222" s="11">
        <v>45762.479166666664</v>
      </c>
      <c r="C2222" s="7">
        <v>537.91390000000001</v>
      </c>
      <c r="D2222">
        <v>1840692</v>
      </c>
      <c r="E2222">
        <v>3186884.25</v>
      </c>
    </row>
    <row r="2223" spans="1:5">
      <c r="A2223">
        <v>2218</v>
      </c>
      <c r="B2223" s="11">
        <v>45762.458333333336</v>
      </c>
      <c r="C2223" s="7">
        <v>537.19799999999998</v>
      </c>
      <c r="D2223">
        <v>1751112</v>
      </c>
      <c r="E2223">
        <v>3279680</v>
      </c>
    </row>
    <row r="2224" spans="1:5">
      <c r="A2224">
        <v>2219</v>
      </c>
      <c r="B2224" s="11">
        <v>45762.4375</v>
      </c>
      <c r="C2224" s="7">
        <v>537.52110000000005</v>
      </c>
      <c r="D2224">
        <v>2866489</v>
      </c>
      <c r="E2224">
        <v>3332592.5</v>
      </c>
    </row>
    <row r="2225" spans="1:5">
      <c r="A2225">
        <v>2220</v>
      </c>
      <c r="B2225" s="11">
        <v>45762.416666666664</v>
      </c>
      <c r="C2225" s="7">
        <v>536.42840000000001</v>
      </c>
      <c r="D2225">
        <v>4812578</v>
      </c>
      <c r="E2225">
        <v>3387000.5</v>
      </c>
    </row>
    <row r="2226" spans="1:5">
      <c r="A2226">
        <v>2221</v>
      </c>
      <c r="B2226" s="11">
        <v>45762.395833333336</v>
      </c>
      <c r="C2226" s="7">
        <v>538.34140000000002</v>
      </c>
      <c r="D2226">
        <v>4276006</v>
      </c>
      <c r="E2226">
        <v>3528459.25</v>
      </c>
    </row>
    <row r="2227" spans="1:5">
      <c r="A2227">
        <v>2222</v>
      </c>
      <c r="B2227" s="11">
        <v>45761.666666666664</v>
      </c>
      <c r="C2227" s="7">
        <v>536.04459999999995</v>
      </c>
      <c r="D2227">
        <v>0</v>
      </c>
      <c r="E2227">
        <v>3243392.25</v>
      </c>
    </row>
    <row r="2228" spans="1:5">
      <c r="A2228">
        <v>2223</v>
      </c>
      <c r="B2228" s="11">
        <v>45761.645833333336</v>
      </c>
      <c r="C2228" s="7">
        <v>536.04459999999995</v>
      </c>
      <c r="D2228">
        <v>9025212</v>
      </c>
      <c r="E2228">
        <v>4005355.25</v>
      </c>
    </row>
    <row r="2229" spans="1:5">
      <c r="A2229">
        <v>2224</v>
      </c>
      <c r="B2229" s="11">
        <v>45761.625</v>
      </c>
      <c r="C2229" s="7">
        <v>538.13760000000002</v>
      </c>
      <c r="D2229">
        <v>3163589</v>
      </c>
      <c r="E2229">
        <v>3659625.75</v>
      </c>
    </row>
    <row r="2230" spans="1:5">
      <c r="A2230">
        <v>2225</v>
      </c>
      <c r="B2230" s="11">
        <v>45761.604166666664</v>
      </c>
      <c r="C2230" s="7">
        <v>537.67529999999999</v>
      </c>
      <c r="D2230">
        <v>2253568</v>
      </c>
      <c r="E2230">
        <v>3627704.25</v>
      </c>
    </row>
    <row r="2231" spans="1:5">
      <c r="A2231">
        <v>2226</v>
      </c>
      <c r="B2231" s="11">
        <v>45761.583333333336</v>
      </c>
      <c r="C2231" s="7">
        <v>537.2577</v>
      </c>
      <c r="D2231">
        <v>1975525</v>
      </c>
      <c r="E2231">
        <v>3692257.75</v>
      </c>
    </row>
    <row r="2232" spans="1:5">
      <c r="A2232">
        <v>2227</v>
      </c>
      <c r="B2232" s="11">
        <v>45761.5625</v>
      </c>
      <c r="C2232" s="7">
        <v>535.96500000000003</v>
      </c>
      <c r="D2232">
        <v>1905763</v>
      </c>
      <c r="E2232">
        <v>3916840.25</v>
      </c>
    </row>
    <row r="2233" spans="1:5">
      <c r="A2233">
        <v>2228</v>
      </c>
      <c r="B2233" s="11">
        <v>45761.541666666664</v>
      </c>
      <c r="C2233" s="7">
        <v>534.404</v>
      </c>
      <c r="D2233">
        <v>2691405</v>
      </c>
      <c r="E2233">
        <v>3983995.5</v>
      </c>
    </row>
    <row r="2234" spans="1:5">
      <c r="A2234">
        <v>2229</v>
      </c>
      <c r="B2234" s="11">
        <v>45761.520833333336</v>
      </c>
      <c r="C2234" s="7">
        <v>532.30709999999999</v>
      </c>
      <c r="D2234">
        <v>2221936</v>
      </c>
      <c r="E2234">
        <v>4084582.25</v>
      </c>
    </row>
    <row r="2235" spans="1:5">
      <c r="A2235">
        <v>2230</v>
      </c>
      <c r="B2235" s="11">
        <v>45761.5</v>
      </c>
      <c r="C2235" s="7">
        <v>532.82309999999995</v>
      </c>
      <c r="D2235">
        <v>4600987</v>
      </c>
      <c r="E2235">
        <v>4108013.25</v>
      </c>
    </row>
    <row r="2236" spans="1:5">
      <c r="A2236">
        <v>2231</v>
      </c>
      <c r="B2236" s="11">
        <v>45761.479166666664</v>
      </c>
      <c r="C2236" s="7">
        <v>532.60429999999997</v>
      </c>
      <c r="D2236">
        <v>4418402</v>
      </c>
      <c r="E2236">
        <v>3968800.25</v>
      </c>
    </row>
    <row r="2237" spans="1:5">
      <c r="A2237">
        <v>2232</v>
      </c>
      <c r="B2237" s="11">
        <v>45761.458333333336</v>
      </c>
      <c r="C2237" s="7">
        <v>535.4778</v>
      </c>
      <c r="D2237">
        <v>3232628</v>
      </c>
      <c r="E2237">
        <v>3947890.75</v>
      </c>
    </row>
    <row r="2238" spans="1:5">
      <c r="A2238">
        <v>2233</v>
      </c>
      <c r="B2238" s="11">
        <v>45761.4375</v>
      </c>
      <c r="C2238" s="7">
        <v>539.44510000000002</v>
      </c>
      <c r="D2238">
        <v>2544799</v>
      </c>
      <c r="E2238">
        <v>4013276.75</v>
      </c>
    </row>
    <row r="2239" spans="1:5">
      <c r="A2239">
        <v>2234</v>
      </c>
      <c r="B2239" s="11">
        <v>45761.416666666664</v>
      </c>
      <c r="C2239" s="7">
        <v>539.08720000000005</v>
      </c>
      <c r="D2239">
        <v>3682609</v>
      </c>
      <c r="E2239">
        <v>4305683</v>
      </c>
    </row>
    <row r="2240" spans="1:5">
      <c r="A2240">
        <v>2235</v>
      </c>
      <c r="B2240" s="11">
        <v>45761.395833333336</v>
      </c>
      <c r="C2240" s="7">
        <v>537.58579999999995</v>
      </c>
      <c r="D2240">
        <v>6934459</v>
      </c>
      <c r="E2240">
        <v>4582932</v>
      </c>
    </row>
    <row r="2241" spans="1:5">
      <c r="A2241">
        <v>2236</v>
      </c>
      <c r="B2241" s="11">
        <v>45758.666666666664</v>
      </c>
      <c r="C2241" s="7">
        <v>530.89419999999996</v>
      </c>
      <c r="D2241">
        <v>0</v>
      </c>
      <c r="E2241">
        <v>4120634.75</v>
      </c>
    </row>
    <row r="2242" spans="1:5">
      <c r="A2242">
        <v>2237</v>
      </c>
      <c r="B2242" s="11">
        <v>45758.645833333336</v>
      </c>
      <c r="C2242" s="7">
        <v>530.89419999999996</v>
      </c>
      <c r="D2242">
        <v>11429445</v>
      </c>
      <c r="E2242">
        <v>5458204.5</v>
      </c>
    </row>
    <row r="2243" spans="1:5">
      <c r="A2243">
        <v>2238</v>
      </c>
      <c r="B2243" s="11">
        <v>45758.625</v>
      </c>
      <c r="C2243" s="7">
        <v>531.44100000000003</v>
      </c>
      <c r="D2243">
        <v>3839271</v>
      </c>
      <c r="E2243">
        <v>5101870.5</v>
      </c>
    </row>
    <row r="2244" spans="1:5">
      <c r="A2244">
        <v>2239</v>
      </c>
      <c r="B2244" s="11">
        <v>45758.604166666664</v>
      </c>
      <c r="C2244" s="7">
        <v>529.13419999999996</v>
      </c>
      <c r="D2244">
        <v>2684767</v>
      </c>
      <c r="E2244">
        <v>5240930</v>
      </c>
    </row>
    <row r="2245" spans="1:5">
      <c r="A2245">
        <v>2240</v>
      </c>
      <c r="B2245" s="11">
        <v>45758.583333333336</v>
      </c>
      <c r="C2245" s="7">
        <v>530.15840000000003</v>
      </c>
      <c r="D2245">
        <v>3221870</v>
      </c>
      <c r="E2245">
        <v>5542009</v>
      </c>
    </row>
    <row r="2246" spans="1:5">
      <c r="A2246">
        <v>2241</v>
      </c>
      <c r="B2246" s="11">
        <v>45758.5625</v>
      </c>
      <c r="C2246" s="7">
        <v>531.66970000000003</v>
      </c>
      <c r="D2246">
        <v>5344262</v>
      </c>
      <c r="E2246">
        <v>5780384.5</v>
      </c>
    </row>
    <row r="2247" spans="1:5">
      <c r="A2247">
        <v>2242</v>
      </c>
      <c r="B2247" s="11">
        <v>45758.541666666664</v>
      </c>
      <c r="C2247" s="7">
        <v>526.80269999999996</v>
      </c>
      <c r="D2247">
        <v>2913093</v>
      </c>
      <c r="E2247">
        <v>6019423.5</v>
      </c>
    </row>
    <row r="2248" spans="1:5">
      <c r="A2248">
        <v>2243</v>
      </c>
      <c r="B2248" s="11">
        <v>45758.520833333336</v>
      </c>
      <c r="C2248" s="7">
        <v>528.78629999999998</v>
      </c>
      <c r="D2248">
        <v>4200206</v>
      </c>
      <c r="E2248">
        <v>6503198.5</v>
      </c>
    </row>
    <row r="2249" spans="1:5">
      <c r="A2249">
        <v>2244</v>
      </c>
      <c r="B2249" s="11">
        <v>45758.5</v>
      </c>
      <c r="C2249" s="7">
        <v>524.5009</v>
      </c>
      <c r="D2249">
        <v>2573402</v>
      </c>
      <c r="E2249">
        <v>7075959.5</v>
      </c>
    </row>
    <row r="2250" spans="1:5">
      <c r="A2250">
        <v>2245</v>
      </c>
      <c r="B2250" s="11">
        <v>45758.479166666664</v>
      </c>
      <c r="C2250" s="7">
        <v>523.94399999999996</v>
      </c>
      <c r="D2250">
        <v>2512790</v>
      </c>
      <c r="E2250">
        <v>7371736.5</v>
      </c>
    </row>
    <row r="2251" spans="1:5">
      <c r="A2251">
        <v>2246</v>
      </c>
      <c r="B2251" s="11">
        <v>45758.458333333336</v>
      </c>
      <c r="C2251" s="7">
        <v>519.97680000000003</v>
      </c>
      <c r="D2251">
        <v>4104761</v>
      </c>
      <c r="E2251">
        <v>7534596</v>
      </c>
    </row>
    <row r="2252" spans="1:5">
      <c r="A2252">
        <v>2247</v>
      </c>
      <c r="B2252" s="11">
        <v>45758.4375</v>
      </c>
      <c r="C2252" s="7">
        <v>519.93700000000001</v>
      </c>
      <c r="D2252">
        <v>4213418</v>
      </c>
      <c r="E2252">
        <v>7611250</v>
      </c>
    </row>
    <row r="2253" spans="1:5">
      <c r="A2253">
        <v>2248</v>
      </c>
      <c r="B2253" s="11">
        <v>45758.416666666664</v>
      </c>
      <c r="C2253" s="7">
        <v>517.5607</v>
      </c>
      <c r="D2253">
        <v>6930889</v>
      </c>
      <c r="E2253">
        <v>7739276.5</v>
      </c>
    </row>
    <row r="2254" spans="1:5">
      <c r="A2254">
        <v>2249</v>
      </c>
      <c r="B2254" s="11">
        <v>45758.395833333336</v>
      </c>
      <c r="C2254" s="7">
        <v>522.14639999999997</v>
      </c>
      <c r="D2254">
        <v>7841349</v>
      </c>
      <c r="E2254">
        <v>7982083.5</v>
      </c>
    </row>
    <row r="2255" spans="1:5">
      <c r="A2255">
        <v>2250</v>
      </c>
      <c r="B2255" s="11">
        <v>45757.666666666664</v>
      </c>
      <c r="C2255" s="7">
        <v>521.58759999999995</v>
      </c>
      <c r="D2255">
        <v>0</v>
      </c>
      <c r="E2255">
        <v>7459327</v>
      </c>
    </row>
    <row r="2256" spans="1:5">
      <c r="A2256">
        <v>2251</v>
      </c>
      <c r="B2256" s="11">
        <v>45757.645833333336</v>
      </c>
      <c r="C2256" s="7">
        <v>521.58759999999995</v>
      </c>
      <c r="D2256">
        <v>20063544</v>
      </c>
      <c r="E2256">
        <v>9577113</v>
      </c>
    </row>
    <row r="2257" spans="1:5">
      <c r="A2257">
        <v>2252</v>
      </c>
      <c r="B2257" s="11">
        <v>45757.625</v>
      </c>
      <c r="C2257" s="7">
        <v>519.40009999999995</v>
      </c>
      <c r="D2257">
        <v>6084434</v>
      </c>
      <c r="E2257">
        <v>8985619</v>
      </c>
    </row>
    <row r="2258" spans="1:5">
      <c r="A2258">
        <v>2253</v>
      </c>
      <c r="B2258" s="11">
        <v>45757.604166666664</v>
      </c>
      <c r="C2258" s="7">
        <v>522.36310000000003</v>
      </c>
      <c r="D2258">
        <v>5925166</v>
      </c>
      <c r="E2258">
        <v>9279405</v>
      </c>
    </row>
    <row r="2259" spans="1:5">
      <c r="A2259">
        <v>2254</v>
      </c>
      <c r="B2259" s="11">
        <v>45757.583333333336</v>
      </c>
      <c r="C2259" s="7">
        <v>525.52499999999998</v>
      </c>
      <c r="D2259">
        <v>7200949</v>
      </c>
      <c r="E2259">
        <v>9789781</v>
      </c>
    </row>
    <row r="2260" spans="1:5">
      <c r="A2260">
        <v>2255</v>
      </c>
      <c r="B2260" s="11">
        <v>45757.5625</v>
      </c>
      <c r="C2260" s="7">
        <v>521.19979999999998</v>
      </c>
      <c r="D2260">
        <v>6797502</v>
      </c>
      <c r="E2260">
        <v>10800063</v>
      </c>
    </row>
    <row r="2261" spans="1:5">
      <c r="A2261">
        <v>2256</v>
      </c>
      <c r="B2261" s="11">
        <v>45757.541666666664</v>
      </c>
      <c r="C2261" s="7">
        <v>515.99959999999999</v>
      </c>
      <c r="D2261">
        <v>8929851</v>
      </c>
      <c r="E2261">
        <v>12327186</v>
      </c>
    </row>
    <row r="2262" spans="1:5">
      <c r="A2262">
        <v>2257</v>
      </c>
      <c r="B2262" s="11">
        <v>45757.520833333336</v>
      </c>
      <c r="C2262" s="7">
        <v>516.72550000000001</v>
      </c>
      <c r="D2262">
        <v>10169717</v>
      </c>
      <c r="E2262">
        <v>11948624</v>
      </c>
    </row>
    <row r="2263" spans="1:5">
      <c r="A2263">
        <v>2258</v>
      </c>
      <c r="B2263" s="11">
        <v>45757.5</v>
      </c>
      <c r="C2263" s="7">
        <v>508.75619999999998</v>
      </c>
      <c r="D2263">
        <v>12791618</v>
      </c>
      <c r="E2263">
        <v>11454203</v>
      </c>
    </row>
    <row r="2264" spans="1:5">
      <c r="A2264">
        <v>2259</v>
      </c>
      <c r="B2264" s="11">
        <v>45757.479166666664</v>
      </c>
      <c r="C2264" s="7">
        <v>515.36329999999998</v>
      </c>
      <c r="D2264">
        <v>7010063</v>
      </c>
      <c r="E2264">
        <v>10863135</v>
      </c>
    </row>
    <row r="2265" spans="1:5">
      <c r="A2265">
        <v>2260</v>
      </c>
      <c r="B2265" s="11">
        <v>45757.458333333336</v>
      </c>
      <c r="C2265" s="7">
        <v>520.81200000000001</v>
      </c>
      <c r="D2265">
        <v>4955679</v>
      </c>
      <c r="E2265">
        <v>10700753</v>
      </c>
    </row>
    <row r="2266" spans="1:5">
      <c r="A2266">
        <v>2261</v>
      </c>
      <c r="B2266" s="11">
        <v>45757.4375</v>
      </c>
      <c r="C2266" s="7">
        <v>523.37729999999999</v>
      </c>
      <c r="D2266">
        <v>5254570</v>
      </c>
      <c r="E2266">
        <v>10800180</v>
      </c>
    </row>
    <row r="2267" spans="1:5">
      <c r="A2267">
        <v>2262</v>
      </c>
      <c r="B2267" s="11">
        <v>45757.416666666664</v>
      </c>
      <c r="C2267" s="7">
        <v>525.26649999999995</v>
      </c>
      <c r="D2267">
        <v>6133817</v>
      </c>
      <c r="E2267">
        <v>10944135</v>
      </c>
    </row>
    <row r="2268" spans="1:5">
      <c r="A2268">
        <v>2263</v>
      </c>
      <c r="B2268" s="11">
        <v>45757.395833333336</v>
      </c>
      <c r="C2268" s="7">
        <v>525.88639999999998</v>
      </c>
      <c r="D2268">
        <v>10572992</v>
      </c>
      <c r="E2268">
        <v>11381693</v>
      </c>
    </row>
    <row r="2269" spans="1:5">
      <c r="A2269">
        <v>2264</v>
      </c>
      <c r="B2269" s="11">
        <v>45756.666666666664</v>
      </c>
      <c r="C2269" s="7">
        <v>545.49040000000002</v>
      </c>
      <c r="D2269">
        <v>0</v>
      </c>
      <c r="E2269">
        <v>10676827</v>
      </c>
    </row>
    <row r="2270" spans="1:5">
      <c r="A2270">
        <v>2265</v>
      </c>
      <c r="B2270" s="11">
        <v>45756.645833333336</v>
      </c>
      <c r="C2270" s="7">
        <v>545.49040000000002</v>
      </c>
      <c r="D2270">
        <v>31766790</v>
      </c>
      <c r="E2270">
        <v>12490496</v>
      </c>
    </row>
    <row r="2271" spans="1:5">
      <c r="A2271">
        <v>2266</v>
      </c>
      <c r="B2271" s="11">
        <v>45756.625</v>
      </c>
      <c r="C2271" s="7">
        <v>537.55600000000004</v>
      </c>
      <c r="D2271">
        <v>11191133</v>
      </c>
      <c r="E2271">
        <v>11067761</v>
      </c>
    </row>
    <row r="2272" spans="1:5">
      <c r="A2272">
        <v>2267</v>
      </c>
      <c r="B2272" s="11">
        <v>45756.604166666664</v>
      </c>
      <c r="C2272" s="7">
        <v>528.14</v>
      </c>
      <c r="D2272">
        <v>10491229</v>
      </c>
      <c r="E2272">
        <v>10779869</v>
      </c>
    </row>
    <row r="2273" spans="1:5">
      <c r="A2273">
        <v>2268</v>
      </c>
      <c r="B2273" s="11">
        <v>45756.583333333336</v>
      </c>
      <c r="C2273" s="7">
        <v>535.23929999999996</v>
      </c>
      <c r="D2273">
        <v>13580804</v>
      </c>
      <c r="E2273">
        <v>10384146</v>
      </c>
    </row>
    <row r="2274" spans="1:5">
      <c r="A2274">
        <v>2269</v>
      </c>
      <c r="B2274" s="11">
        <v>45756.5625</v>
      </c>
      <c r="C2274" s="7">
        <v>532.51980000000003</v>
      </c>
      <c r="D2274">
        <v>22355174</v>
      </c>
      <c r="E2274">
        <v>9986488</v>
      </c>
    </row>
    <row r="2275" spans="1:5">
      <c r="A2275">
        <v>2270</v>
      </c>
      <c r="B2275" s="11">
        <v>45756.541666666664</v>
      </c>
      <c r="C2275" s="7">
        <v>521.77650000000006</v>
      </c>
      <c r="D2275">
        <v>29704354</v>
      </c>
      <c r="E2275">
        <v>9149312</v>
      </c>
    </row>
    <row r="2276" spans="1:5">
      <c r="A2276">
        <v>2271</v>
      </c>
      <c r="B2276" s="11">
        <v>45756.520833333336</v>
      </c>
      <c r="C2276" s="7">
        <v>498.48009999999999</v>
      </c>
      <c r="D2276">
        <v>3251422</v>
      </c>
      <c r="E2276">
        <v>7941362.5</v>
      </c>
    </row>
    <row r="2277" spans="1:5">
      <c r="A2277">
        <v>2272</v>
      </c>
      <c r="B2277" s="11">
        <v>45756.5</v>
      </c>
      <c r="C2277" s="7">
        <v>496.233</v>
      </c>
      <c r="D2277">
        <v>2753400</v>
      </c>
      <c r="E2277">
        <v>8006533</v>
      </c>
    </row>
    <row r="2278" spans="1:5">
      <c r="A2278">
        <v>2273</v>
      </c>
      <c r="B2278" s="11">
        <v>45756.479166666664</v>
      </c>
      <c r="C2278" s="7">
        <v>493.08109999999999</v>
      </c>
      <c r="D2278">
        <v>3925598</v>
      </c>
      <c r="E2278">
        <v>8170005.5</v>
      </c>
    </row>
    <row r="2279" spans="1:5">
      <c r="A2279">
        <v>2274</v>
      </c>
      <c r="B2279" s="11">
        <v>45756.458333333336</v>
      </c>
      <c r="C2279" s="7">
        <v>495.35809999999998</v>
      </c>
      <c r="D2279">
        <v>4574340</v>
      </c>
      <c r="E2279">
        <v>8359220.5</v>
      </c>
    </row>
    <row r="2280" spans="1:5">
      <c r="A2280">
        <v>2275</v>
      </c>
      <c r="B2280" s="11">
        <v>45756.4375</v>
      </c>
      <c r="C2280" s="7">
        <v>490.31700000000001</v>
      </c>
      <c r="D2280">
        <v>6447077</v>
      </c>
      <c r="E2280">
        <v>8422386</v>
      </c>
    </row>
    <row r="2281" spans="1:5">
      <c r="A2281">
        <v>2276</v>
      </c>
      <c r="B2281" s="11">
        <v>45756.416666666664</v>
      </c>
      <c r="C2281" s="7">
        <v>496.15350000000001</v>
      </c>
      <c r="D2281">
        <v>7413897</v>
      </c>
      <c r="E2281">
        <v>8456675</v>
      </c>
    </row>
    <row r="2282" spans="1:5">
      <c r="A2282">
        <v>2277</v>
      </c>
      <c r="B2282" s="11">
        <v>45756.395833333336</v>
      </c>
      <c r="C2282" s="7">
        <v>497.34660000000002</v>
      </c>
      <c r="D2282">
        <v>12697187</v>
      </c>
      <c r="E2282">
        <v>8834760</v>
      </c>
    </row>
    <row r="2283" spans="1:5">
      <c r="A2283">
        <v>2278</v>
      </c>
      <c r="B2283" s="11">
        <v>45755.666666666664</v>
      </c>
      <c r="C2283" s="7">
        <v>493.64789999999999</v>
      </c>
      <c r="D2283">
        <v>0</v>
      </c>
      <c r="E2283">
        <v>7988281</v>
      </c>
    </row>
    <row r="2284" spans="1:5">
      <c r="A2284">
        <v>2279</v>
      </c>
      <c r="B2284" s="11">
        <v>45755.645833333336</v>
      </c>
      <c r="C2284" s="7">
        <v>493.64789999999999</v>
      </c>
      <c r="D2284">
        <v>27205038</v>
      </c>
      <c r="E2284">
        <v>9177420</v>
      </c>
    </row>
    <row r="2285" spans="1:5">
      <c r="A2285">
        <v>2280</v>
      </c>
      <c r="B2285" s="11">
        <v>45755.625</v>
      </c>
      <c r="C2285" s="7">
        <v>494.4271</v>
      </c>
      <c r="D2285">
        <v>10425768</v>
      </c>
      <c r="E2285">
        <v>7922048.5</v>
      </c>
    </row>
    <row r="2286" spans="1:5">
      <c r="A2286">
        <v>2281</v>
      </c>
      <c r="B2286" s="11">
        <v>45755.604166666664</v>
      </c>
      <c r="C2286" s="7">
        <v>499.04689999999999</v>
      </c>
      <c r="D2286">
        <v>6872751</v>
      </c>
      <c r="E2286">
        <v>7582284</v>
      </c>
    </row>
    <row r="2287" spans="1:5">
      <c r="A2287">
        <v>2282</v>
      </c>
      <c r="B2287" s="11">
        <v>45755.583333333336</v>
      </c>
      <c r="C2287" s="7">
        <v>499.70310000000001</v>
      </c>
      <c r="D2287">
        <v>4555373</v>
      </c>
      <c r="E2287">
        <v>7569187.5</v>
      </c>
    </row>
    <row r="2288" spans="1:5">
      <c r="A2288">
        <v>2283</v>
      </c>
      <c r="B2288" s="11">
        <v>45755.5625</v>
      </c>
      <c r="C2288" s="7">
        <v>503.65050000000002</v>
      </c>
      <c r="D2288">
        <v>7615935</v>
      </c>
      <c r="E2288">
        <v>7796793</v>
      </c>
    </row>
    <row r="2289" spans="1:5">
      <c r="A2289">
        <v>2284</v>
      </c>
      <c r="B2289" s="11">
        <v>45755.541666666664</v>
      </c>
      <c r="C2289" s="7">
        <v>499.4744</v>
      </c>
      <c r="D2289">
        <v>9797536</v>
      </c>
      <c r="E2289">
        <v>7887763.5</v>
      </c>
    </row>
    <row r="2290" spans="1:5">
      <c r="A2290">
        <v>2285</v>
      </c>
      <c r="B2290" s="11">
        <v>45755.520833333336</v>
      </c>
      <c r="C2290" s="7">
        <v>504.3365</v>
      </c>
      <c r="D2290">
        <v>11585117</v>
      </c>
      <c r="E2290">
        <v>7583579</v>
      </c>
    </row>
    <row r="2291" spans="1:5">
      <c r="A2291">
        <v>2286</v>
      </c>
      <c r="B2291" s="11">
        <v>45755.5</v>
      </c>
      <c r="C2291" s="7">
        <v>510.98829999999998</v>
      </c>
      <c r="D2291">
        <v>4228981</v>
      </c>
      <c r="E2291">
        <v>7191712</v>
      </c>
    </row>
    <row r="2292" spans="1:5">
      <c r="A2292">
        <v>2287</v>
      </c>
      <c r="B2292" s="11">
        <v>45755.479166666664</v>
      </c>
      <c r="C2292" s="7">
        <v>513.40449999999998</v>
      </c>
      <c r="D2292">
        <v>5205488</v>
      </c>
      <c r="E2292">
        <v>7574778.5</v>
      </c>
    </row>
    <row r="2293" spans="1:5">
      <c r="A2293">
        <v>2288</v>
      </c>
      <c r="B2293" s="11">
        <v>45755.458333333336</v>
      </c>
      <c r="C2293" s="7">
        <v>511.2817</v>
      </c>
      <c r="D2293">
        <v>6763821</v>
      </c>
      <c r="E2293">
        <v>8574724</v>
      </c>
    </row>
    <row r="2294" spans="1:5">
      <c r="A2294">
        <v>2289</v>
      </c>
      <c r="B2294" s="11">
        <v>45755.4375</v>
      </c>
      <c r="C2294" s="7">
        <v>514.83619999999996</v>
      </c>
      <c r="D2294">
        <v>5521821</v>
      </c>
      <c r="E2294">
        <v>9480139</v>
      </c>
    </row>
    <row r="2295" spans="1:5">
      <c r="A2295">
        <v>2290</v>
      </c>
      <c r="B2295" s="11">
        <v>45755.416666666664</v>
      </c>
      <c r="C2295" s="7">
        <v>520.30489999999998</v>
      </c>
      <c r="D2295">
        <v>6961406</v>
      </c>
      <c r="E2295">
        <v>11908187</v>
      </c>
    </row>
    <row r="2296" spans="1:5">
      <c r="A2296">
        <v>2291</v>
      </c>
      <c r="B2296" s="11">
        <v>45755.395833333336</v>
      </c>
      <c r="C2296" s="7">
        <v>520.05629999999996</v>
      </c>
      <c r="D2296">
        <v>13085183</v>
      </c>
      <c r="E2296">
        <v>12975223</v>
      </c>
    </row>
    <row r="2297" spans="1:5">
      <c r="A2297">
        <v>2292</v>
      </c>
      <c r="B2297" s="11">
        <v>45754.666666666664</v>
      </c>
      <c r="C2297" s="7">
        <v>501.50279999999998</v>
      </c>
      <c r="D2297">
        <v>0</v>
      </c>
      <c r="E2297">
        <v>12102878</v>
      </c>
    </row>
    <row r="2298" spans="1:5">
      <c r="A2298">
        <v>2293</v>
      </c>
      <c r="B2298" s="11">
        <v>45754.645833333336</v>
      </c>
      <c r="C2298" s="7">
        <v>501.50279999999998</v>
      </c>
      <c r="D2298">
        <v>17837078</v>
      </c>
      <c r="E2298">
        <v>14164568</v>
      </c>
    </row>
    <row r="2299" spans="1:5">
      <c r="A2299">
        <v>2294</v>
      </c>
      <c r="B2299" s="11">
        <v>45754.625</v>
      </c>
      <c r="C2299" s="7">
        <v>497.78910000000002</v>
      </c>
      <c r="D2299">
        <v>8374469</v>
      </c>
      <c r="E2299">
        <v>13571334</v>
      </c>
    </row>
    <row r="2300" spans="1:5">
      <c r="A2300">
        <v>2295</v>
      </c>
      <c r="B2300" s="11">
        <v>45754.604166666664</v>
      </c>
      <c r="C2300" s="7">
        <v>500.23009999999999</v>
      </c>
      <c r="D2300">
        <v>5329304</v>
      </c>
      <c r="E2300">
        <v>13543121</v>
      </c>
    </row>
    <row r="2301" spans="1:5">
      <c r="A2301">
        <v>2296</v>
      </c>
      <c r="B2301" s="11">
        <v>45754.583333333336</v>
      </c>
      <c r="C2301" s="7">
        <v>502.28829999999999</v>
      </c>
      <c r="D2301">
        <v>6676304</v>
      </c>
      <c r="E2301">
        <v>13654188</v>
      </c>
    </row>
    <row r="2302" spans="1:5">
      <c r="A2302">
        <v>2297</v>
      </c>
      <c r="B2302" s="11">
        <v>45754.5625</v>
      </c>
      <c r="C2302" s="7">
        <v>506.30520000000001</v>
      </c>
      <c r="D2302">
        <v>7969450</v>
      </c>
      <c r="E2302">
        <v>13634580</v>
      </c>
    </row>
    <row r="2303" spans="1:5">
      <c r="A2303">
        <v>2298</v>
      </c>
      <c r="B2303" s="11">
        <v>45754.541666666664</v>
      </c>
      <c r="C2303" s="7">
        <v>502.7457</v>
      </c>
      <c r="D2303">
        <v>8980496</v>
      </c>
      <c r="E2303">
        <v>13569276</v>
      </c>
    </row>
    <row r="2304" spans="1:5">
      <c r="A2304">
        <v>2299</v>
      </c>
      <c r="B2304" s="11">
        <v>45754.520833333336</v>
      </c>
      <c r="C2304" s="7">
        <v>493.03140000000002</v>
      </c>
      <c r="D2304">
        <v>5234767</v>
      </c>
      <c r="E2304">
        <v>13340923</v>
      </c>
    </row>
    <row r="2305" spans="1:5">
      <c r="A2305">
        <v>2300</v>
      </c>
      <c r="B2305" s="11">
        <v>45754.5</v>
      </c>
      <c r="C2305" s="7">
        <v>496.39210000000003</v>
      </c>
      <c r="D2305">
        <v>5707112</v>
      </c>
      <c r="E2305">
        <v>13311295</v>
      </c>
    </row>
    <row r="2306" spans="1:5">
      <c r="A2306">
        <v>2301</v>
      </c>
      <c r="B2306" s="11">
        <v>45754.479166666664</v>
      </c>
      <c r="C2306" s="7">
        <v>496.66059999999999</v>
      </c>
      <c r="D2306">
        <v>9974981</v>
      </c>
      <c r="E2306">
        <v>13405526</v>
      </c>
    </row>
    <row r="2307" spans="1:5">
      <c r="A2307">
        <v>2302</v>
      </c>
      <c r="B2307" s="11">
        <v>45754.458333333336</v>
      </c>
      <c r="C2307" s="7">
        <v>491.15219999999999</v>
      </c>
      <c r="D2307">
        <v>20204668</v>
      </c>
      <c r="E2307">
        <v>13742305</v>
      </c>
    </row>
    <row r="2308" spans="1:5">
      <c r="A2308">
        <v>2303</v>
      </c>
      <c r="B2308" s="11">
        <v>45754.4375</v>
      </c>
      <c r="C2308" s="7">
        <v>502.72570000000002</v>
      </c>
      <c r="D2308">
        <v>20345046</v>
      </c>
      <c r="E2308">
        <v>13229047</v>
      </c>
    </row>
    <row r="2309" spans="1:5">
      <c r="A2309">
        <v>2304</v>
      </c>
      <c r="B2309" s="11">
        <v>45754.416666666664</v>
      </c>
      <c r="C2309" s="7">
        <v>495.71600000000001</v>
      </c>
      <c r="D2309">
        <v>41942540</v>
      </c>
      <c r="E2309">
        <v>12433784</v>
      </c>
    </row>
    <row r="2310" spans="1:5">
      <c r="A2310">
        <v>2305</v>
      </c>
      <c r="B2310" s="11">
        <v>45754.395833333336</v>
      </c>
      <c r="C2310" s="7">
        <v>492.61880000000002</v>
      </c>
      <c r="D2310">
        <v>22966950</v>
      </c>
      <c r="E2310">
        <v>10617054</v>
      </c>
    </row>
    <row r="2311" spans="1:5">
      <c r="A2311">
        <v>2306</v>
      </c>
      <c r="B2311" s="11">
        <v>45751.666666666664</v>
      </c>
      <c r="C2311" s="7">
        <v>502.39760000000001</v>
      </c>
      <c r="D2311">
        <v>0</v>
      </c>
      <c r="E2311">
        <v>9085924</v>
      </c>
    </row>
    <row r="2312" spans="1:5">
      <c r="A2312">
        <v>2307</v>
      </c>
      <c r="B2312" s="11">
        <v>45751.645833333336</v>
      </c>
      <c r="C2312" s="7">
        <v>502.65620000000001</v>
      </c>
      <c r="D2312">
        <v>30925352</v>
      </c>
      <c r="E2312">
        <v>10487449</v>
      </c>
    </row>
    <row r="2313" spans="1:5">
      <c r="A2313">
        <v>2308</v>
      </c>
      <c r="B2313" s="11">
        <v>45751.625</v>
      </c>
      <c r="C2313" s="7">
        <v>507.33929999999998</v>
      </c>
      <c r="D2313">
        <v>8938571</v>
      </c>
      <c r="E2313">
        <v>8779994</v>
      </c>
    </row>
    <row r="2314" spans="1:5">
      <c r="A2314">
        <v>2309</v>
      </c>
      <c r="B2314" s="11">
        <v>45751.604166666664</v>
      </c>
      <c r="C2314" s="7">
        <v>505.09219999999999</v>
      </c>
      <c r="D2314">
        <v>7951279</v>
      </c>
      <c r="E2314">
        <v>8439160</v>
      </c>
    </row>
    <row r="2315" spans="1:5">
      <c r="A2315">
        <v>2310</v>
      </c>
      <c r="B2315" s="11">
        <v>45751.583333333336</v>
      </c>
      <c r="C2315" s="7">
        <v>505.97210000000001</v>
      </c>
      <c r="D2315">
        <v>6995307</v>
      </c>
      <c r="E2315">
        <v>8109032.5</v>
      </c>
    </row>
    <row r="2316" spans="1:5">
      <c r="A2316">
        <v>2311</v>
      </c>
      <c r="B2316" s="11">
        <v>45751.5625</v>
      </c>
      <c r="C2316" s="7">
        <v>511.81360000000001</v>
      </c>
      <c r="D2316">
        <v>6382187</v>
      </c>
      <c r="E2316">
        <v>7807352.5</v>
      </c>
    </row>
    <row r="2317" spans="1:5">
      <c r="A2317">
        <v>2312</v>
      </c>
      <c r="B2317" s="11">
        <v>45751.541666666664</v>
      </c>
      <c r="C2317" s="7">
        <v>507.9658</v>
      </c>
      <c r="D2317">
        <v>6989887</v>
      </c>
      <c r="E2317">
        <v>7543592.5</v>
      </c>
    </row>
    <row r="2318" spans="1:5">
      <c r="A2318">
        <v>2313</v>
      </c>
      <c r="B2318" s="11">
        <v>45751.520833333336</v>
      </c>
      <c r="C2318" s="7">
        <v>509.04950000000002</v>
      </c>
      <c r="D2318">
        <v>5555196</v>
      </c>
      <c r="E2318">
        <v>7291850</v>
      </c>
    </row>
    <row r="2319" spans="1:5">
      <c r="A2319">
        <v>2314</v>
      </c>
      <c r="B2319" s="11">
        <v>45751.5</v>
      </c>
      <c r="C2319" s="7">
        <v>509.36750000000001</v>
      </c>
      <c r="D2319">
        <v>4790347</v>
      </c>
      <c r="E2319">
        <v>7172869</v>
      </c>
    </row>
    <row r="2320" spans="1:5">
      <c r="A2320">
        <v>2315</v>
      </c>
      <c r="B2320" s="11">
        <v>45751.479166666664</v>
      </c>
      <c r="C2320" s="7">
        <v>512.15170000000001</v>
      </c>
      <c r="D2320">
        <v>7120579</v>
      </c>
      <c r="E2320">
        <v>7152732.5</v>
      </c>
    </row>
    <row r="2321" spans="1:5">
      <c r="A2321">
        <v>2316</v>
      </c>
      <c r="B2321" s="11">
        <v>45751.458333333336</v>
      </c>
      <c r="C2321" s="7">
        <v>513.39459999999997</v>
      </c>
      <c r="D2321">
        <v>15026664</v>
      </c>
      <c r="E2321">
        <v>7032186</v>
      </c>
    </row>
    <row r="2322" spans="1:5">
      <c r="A2322">
        <v>2317</v>
      </c>
      <c r="B2322" s="11">
        <v>45751.4375</v>
      </c>
      <c r="C2322" s="7">
        <v>512.28089999999997</v>
      </c>
      <c r="D2322">
        <v>12505804</v>
      </c>
      <c r="E2322">
        <v>6405024</v>
      </c>
    </row>
    <row r="2323" spans="1:5">
      <c r="A2323">
        <v>2318</v>
      </c>
      <c r="B2323" s="11">
        <v>45751.416666666664</v>
      </c>
      <c r="C2323" s="7">
        <v>513.20069999999998</v>
      </c>
      <c r="D2323">
        <v>8416104</v>
      </c>
      <c r="E2323">
        <v>6095052.5</v>
      </c>
    </row>
    <row r="2324" spans="1:5">
      <c r="A2324">
        <v>2319</v>
      </c>
      <c r="B2324" s="11">
        <v>45751.395833333336</v>
      </c>
      <c r="C2324" s="7">
        <v>519.97680000000003</v>
      </c>
      <c r="D2324">
        <v>14691585</v>
      </c>
      <c r="E2324">
        <v>6314252</v>
      </c>
    </row>
    <row r="2325" spans="1:5">
      <c r="A2325">
        <v>2320</v>
      </c>
      <c r="B2325" s="11">
        <v>45750.666666666664</v>
      </c>
      <c r="C2325" s="7">
        <v>533.63840000000005</v>
      </c>
      <c r="D2325">
        <v>0</v>
      </c>
      <c r="E2325">
        <v>5334813</v>
      </c>
    </row>
    <row r="2326" spans="1:5">
      <c r="A2326">
        <v>2321</v>
      </c>
      <c r="B2326" s="11">
        <v>45750.645833333336</v>
      </c>
      <c r="C2326" s="7">
        <v>533.63840000000005</v>
      </c>
      <c r="D2326">
        <v>21022868</v>
      </c>
      <c r="E2326">
        <v>5883870.5</v>
      </c>
    </row>
    <row r="2327" spans="1:5">
      <c r="A2327">
        <v>2322</v>
      </c>
      <c r="B2327" s="11">
        <v>45750.625</v>
      </c>
      <c r="C2327" s="7">
        <v>536.11419999999998</v>
      </c>
      <c r="D2327">
        <v>5313539</v>
      </c>
      <c r="E2327">
        <v>4607004</v>
      </c>
    </row>
    <row r="2328" spans="1:5">
      <c r="A2328">
        <v>2323</v>
      </c>
      <c r="B2328" s="11">
        <v>45750.604166666664</v>
      </c>
      <c r="C2328" s="7">
        <v>538.70929999999998</v>
      </c>
      <c r="D2328">
        <v>3826061</v>
      </c>
      <c r="E2328">
        <v>4411976</v>
      </c>
    </row>
    <row r="2329" spans="1:5">
      <c r="A2329">
        <v>2324</v>
      </c>
      <c r="B2329" s="11">
        <v>45750.583333333336</v>
      </c>
      <c r="C2329" s="7">
        <v>537.66030000000001</v>
      </c>
      <c r="D2329">
        <v>2999358</v>
      </c>
      <c r="E2329">
        <v>4305135.5</v>
      </c>
    </row>
    <row r="2330" spans="1:5">
      <c r="A2330">
        <v>2325</v>
      </c>
      <c r="B2330" s="11">
        <v>45750.5625</v>
      </c>
      <c r="C2330" s="7">
        <v>538.78890000000001</v>
      </c>
      <c r="D2330">
        <v>2470112</v>
      </c>
      <c r="E2330">
        <v>4283024</v>
      </c>
    </row>
    <row r="2331" spans="1:5">
      <c r="A2331">
        <v>2326</v>
      </c>
      <c r="B2331" s="11">
        <v>45750.541666666664</v>
      </c>
      <c r="C2331" s="7">
        <v>539.02250000000004</v>
      </c>
      <c r="D2331">
        <v>2425787</v>
      </c>
      <c r="E2331">
        <v>4291255.5</v>
      </c>
    </row>
    <row r="2332" spans="1:5">
      <c r="A2332">
        <v>2327</v>
      </c>
      <c r="B2332" s="11">
        <v>45750.520833333336</v>
      </c>
      <c r="C2332" s="7">
        <v>540.33000000000004</v>
      </c>
      <c r="D2332">
        <v>3213746</v>
      </c>
      <c r="E2332">
        <v>4299370.5</v>
      </c>
    </row>
    <row r="2333" spans="1:5">
      <c r="A2333">
        <v>2328</v>
      </c>
      <c r="B2333" s="11">
        <v>45750.5</v>
      </c>
      <c r="C2333" s="7">
        <v>542.84559999999999</v>
      </c>
      <c r="D2333">
        <v>3770479</v>
      </c>
      <c r="E2333">
        <v>4191444</v>
      </c>
    </row>
    <row r="2334" spans="1:5">
      <c r="A2334">
        <v>2329</v>
      </c>
      <c r="B2334" s="11">
        <v>45750.479166666664</v>
      </c>
      <c r="C2334" s="7">
        <v>540.49900000000002</v>
      </c>
      <c r="D2334">
        <v>4488301</v>
      </c>
      <c r="E2334">
        <v>4089128.25</v>
      </c>
    </row>
    <row r="2335" spans="1:5">
      <c r="A2335">
        <v>2330</v>
      </c>
      <c r="B2335" s="11">
        <v>45750.458333333336</v>
      </c>
      <c r="C2335" s="7">
        <v>538.57010000000002</v>
      </c>
      <c r="D2335">
        <v>5312381</v>
      </c>
      <c r="E2335">
        <v>3930820.25</v>
      </c>
    </row>
    <row r="2336" spans="1:5">
      <c r="A2336">
        <v>2331</v>
      </c>
      <c r="B2336" s="11">
        <v>45750.4375</v>
      </c>
      <c r="C2336" s="7">
        <v>537.05880000000002</v>
      </c>
      <c r="D2336">
        <v>5619232</v>
      </c>
      <c r="E2336">
        <v>3701462.5</v>
      </c>
    </row>
    <row r="2337" spans="1:5">
      <c r="A2337">
        <v>2332</v>
      </c>
      <c r="B2337" s="11">
        <v>45750.416666666664</v>
      </c>
      <c r="C2337" s="7">
        <v>539.87260000000003</v>
      </c>
      <c r="D2337">
        <v>7856231</v>
      </c>
      <c r="E2337">
        <v>3474321.75</v>
      </c>
    </row>
    <row r="2338" spans="1:5">
      <c r="A2338">
        <v>2333</v>
      </c>
      <c r="B2338" s="11">
        <v>45750.395833333336</v>
      </c>
      <c r="C2338" s="7">
        <v>541.04100000000005</v>
      </c>
      <c r="D2338">
        <v>11704102</v>
      </c>
      <c r="E2338">
        <v>3234293.5</v>
      </c>
    </row>
    <row r="2339" spans="1:5">
      <c r="A2339">
        <v>2334</v>
      </c>
      <c r="B2339" s="11">
        <v>45749.666666666664</v>
      </c>
      <c r="C2339" s="7">
        <v>561.29970000000003</v>
      </c>
      <c r="D2339">
        <v>0</v>
      </c>
      <c r="E2339">
        <v>2454020</v>
      </c>
    </row>
    <row r="2340" spans="1:5">
      <c r="A2340">
        <v>2335</v>
      </c>
      <c r="B2340" s="11">
        <v>45749.645833333336</v>
      </c>
      <c r="C2340" s="7">
        <v>561.29970000000003</v>
      </c>
      <c r="D2340">
        <v>8235863</v>
      </c>
      <c r="E2340">
        <v>2913634.75</v>
      </c>
    </row>
    <row r="2341" spans="1:5">
      <c r="A2341">
        <v>2336</v>
      </c>
      <c r="B2341" s="11">
        <v>45749.625</v>
      </c>
      <c r="C2341" s="7">
        <v>559.68899999999996</v>
      </c>
      <c r="D2341">
        <v>1869869</v>
      </c>
      <c r="E2341">
        <v>2505285.5</v>
      </c>
    </row>
    <row r="2342" spans="1:5">
      <c r="A2342">
        <v>2337</v>
      </c>
      <c r="B2342" s="11">
        <v>45749.604166666664</v>
      </c>
      <c r="C2342" s="7">
        <v>558.11800000000005</v>
      </c>
      <c r="D2342">
        <v>2388119</v>
      </c>
      <c r="E2342">
        <v>2498784.5</v>
      </c>
    </row>
    <row r="2343" spans="1:5">
      <c r="A2343">
        <v>2338</v>
      </c>
      <c r="B2343" s="11">
        <v>45749.583333333336</v>
      </c>
      <c r="C2343" s="7">
        <v>557.7998</v>
      </c>
      <c r="D2343">
        <v>2223449</v>
      </c>
      <c r="E2343">
        <v>2514391.25</v>
      </c>
    </row>
    <row r="2344" spans="1:5">
      <c r="A2344">
        <v>2339</v>
      </c>
      <c r="B2344" s="11">
        <v>45749.5625</v>
      </c>
      <c r="C2344" s="7">
        <v>560.64350000000002</v>
      </c>
      <c r="D2344">
        <v>2667686</v>
      </c>
      <c r="E2344">
        <v>2466414.75</v>
      </c>
    </row>
    <row r="2345" spans="1:5">
      <c r="A2345">
        <v>2340</v>
      </c>
      <c r="B2345" s="11">
        <v>45749.541666666664</v>
      </c>
      <c r="C2345" s="7">
        <v>562.7912</v>
      </c>
      <c r="D2345">
        <v>2593586</v>
      </c>
      <c r="E2345">
        <v>2374887.25</v>
      </c>
    </row>
    <row r="2346" spans="1:5">
      <c r="A2346">
        <v>2341</v>
      </c>
      <c r="B2346" s="11">
        <v>45749.520833333336</v>
      </c>
      <c r="C2346" s="7">
        <v>562.45809999999994</v>
      </c>
      <c r="D2346">
        <v>2547514</v>
      </c>
      <c r="E2346">
        <v>2371670.25</v>
      </c>
    </row>
    <row r="2347" spans="1:5">
      <c r="A2347">
        <v>2342</v>
      </c>
      <c r="B2347" s="11">
        <v>45749.5</v>
      </c>
      <c r="C2347" s="7">
        <v>561.10090000000002</v>
      </c>
      <c r="D2347">
        <v>1594847</v>
      </c>
      <c r="E2347">
        <v>2329193.75</v>
      </c>
    </row>
    <row r="2348" spans="1:5">
      <c r="A2348">
        <v>2343</v>
      </c>
      <c r="B2348" s="11">
        <v>45749.479166666664</v>
      </c>
      <c r="C2348" s="7">
        <v>559.13220000000001</v>
      </c>
      <c r="D2348">
        <v>2235742</v>
      </c>
      <c r="E2348">
        <v>2345551.25</v>
      </c>
    </row>
    <row r="2349" spans="1:5">
      <c r="A2349">
        <v>2344</v>
      </c>
      <c r="B2349" s="11">
        <v>45749.458333333336</v>
      </c>
      <c r="C2349" s="7">
        <v>560.08669999999995</v>
      </c>
      <c r="D2349">
        <v>2113683</v>
      </c>
      <c r="E2349">
        <v>2434680.25</v>
      </c>
    </row>
    <row r="2350" spans="1:5">
      <c r="A2350">
        <v>2345</v>
      </c>
      <c r="B2350" s="11">
        <v>45749.4375</v>
      </c>
      <c r="C2350" s="7">
        <v>558.83389999999997</v>
      </c>
      <c r="D2350">
        <v>1872016</v>
      </c>
      <c r="E2350">
        <v>2503128.5</v>
      </c>
    </row>
    <row r="2351" spans="1:5">
      <c r="A2351">
        <v>2346</v>
      </c>
      <c r="B2351" s="11">
        <v>45749.416666666664</v>
      </c>
      <c r="C2351" s="7">
        <v>557.64070000000004</v>
      </c>
      <c r="D2351">
        <v>2212118</v>
      </c>
      <c r="E2351">
        <v>2622757.75</v>
      </c>
    </row>
    <row r="2352" spans="1:5">
      <c r="A2352">
        <v>2347</v>
      </c>
      <c r="B2352" s="11">
        <v>45749.395833333336</v>
      </c>
      <c r="C2352" s="7">
        <v>555.38369999999998</v>
      </c>
      <c r="D2352">
        <v>4255808</v>
      </c>
      <c r="E2352">
        <v>2708242</v>
      </c>
    </row>
    <row r="2353" spans="1:5">
      <c r="A2353">
        <v>2348</v>
      </c>
      <c r="B2353" s="11">
        <v>45748.666666666664</v>
      </c>
      <c r="C2353" s="7">
        <v>557.77</v>
      </c>
      <c r="D2353">
        <v>0</v>
      </c>
      <c r="E2353">
        <v>2424521.5</v>
      </c>
    </row>
    <row r="2354" spans="1:5">
      <c r="A2354">
        <v>2349</v>
      </c>
      <c r="B2354" s="11">
        <v>45748.645833333336</v>
      </c>
      <c r="C2354" s="7">
        <v>557.77</v>
      </c>
      <c r="D2354">
        <v>6894220</v>
      </c>
      <c r="E2354">
        <v>3606735.5</v>
      </c>
    </row>
    <row r="2355" spans="1:5">
      <c r="A2355">
        <v>2350</v>
      </c>
      <c r="B2355" s="11">
        <v>45748.625</v>
      </c>
      <c r="C2355" s="7">
        <v>555.1848</v>
      </c>
      <c r="D2355">
        <v>2110627</v>
      </c>
      <c r="E2355">
        <v>3519296</v>
      </c>
    </row>
    <row r="2356" spans="1:5">
      <c r="A2356">
        <v>2351</v>
      </c>
      <c r="B2356" s="11">
        <v>45748.604166666664</v>
      </c>
      <c r="C2356" s="7">
        <v>554.29989999999998</v>
      </c>
      <c r="D2356">
        <v>1772352</v>
      </c>
      <c r="E2356">
        <v>3635702.75</v>
      </c>
    </row>
    <row r="2357" spans="1:5">
      <c r="A2357">
        <v>2352</v>
      </c>
      <c r="B2357" s="11">
        <v>45748.583333333336</v>
      </c>
      <c r="C2357" s="7">
        <v>553.54420000000005</v>
      </c>
      <c r="D2357">
        <v>2622219</v>
      </c>
      <c r="E2357">
        <v>3839125</v>
      </c>
    </row>
    <row r="2358" spans="1:5">
      <c r="A2358">
        <v>2353</v>
      </c>
      <c r="B2358" s="11">
        <v>45748.5625</v>
      </c>
      <c r="C2358" s="7">
        <v>555.8809</v>
      </c>
      <c r="D2358">
        <v>1503802</v>
      </c>
      <c r="E2358">
        <v>3745441</v>
      </c>
    </row>
    <row r="2359" spans="1:5">
      <c r="A2359">
        <v>2354</v>
      </c>
      <c r="B2359" s="11">
        <v>45748.541666666664</v>
      </c>
      <c r="C2359" s="7">
        <v>556.17899999999997</v>
      </c>
      <c r="D2359">
        <v>1294773</v>
      </c>
      <c r="E2359">
        <v>3778608.25</v>
      </c>
    </row>
    <row r="2360" spans="1:5">
      <c r="A2360">
        <v>2355</v>
      </c>
      <c r="B2360" s="11">
        <v>45748.520833333336</v>
      </c>
      <c r="C2360" s="7">
        <v>557.42190000000005</v>
      </c>
      <c r="D2360">
        <v>2545334</v>
      </c>
      <c r="E2360">
        <v>3778560</v>
      </c>
    </row>
    <row r="2361" spans="1:5">
      <c r="A2361">
        <v>2356</v>
      </c>
      <c r="B2361" s="11">
        <v>45748.5</v>
      </c>
      <c r="C2361" s="7">
        <v>557.58109999999999</v>
      </c>
      <c r="D2361">
        <v>1910367</v>
      </c>
      <c r="E2361">
        <v>3705586.25</v>
      </c>
    </row>
    <row r="2362" spans="1:5">
      <c r="A2362">
        <v>2357</v>
      </c>
      <c r="B2362" s="11">
        <v>45748.479166666664</v>
      </c>
      <c r="C2362" s="7">
        <v>558.39639999999997</v>
      </c>
      <c r="D2362">
        <v>1840208</v>
      </c>
      <c r="E2362">
        <v>3698487</v>
      </c>
    </row>
    <row r="2363" spans="1:5">
      <c r="A2363">
        <v>2358</v>
      </c>
      <c r="B2363" s="11">
        <v>45748.458333333336</v>
      </c>
      <c r="C2363" s="7">
        <v>557.58109999999999</v>
      </c>
      <c r="D2363">
        <v>3572675</v>
      </c>
      <c r="E2363">
        <v>3737599.75</v>
      </c>
    </row>
    <row r="2364" spans="1:5">
      <c r="A2364">
        <v>2359</v>
      </c>
      <c r="B2364" s="11">
        <v>45748.4375</v>
      </c>
      <c r="C2364" s="7">
        <v>556.42269999999996</v>
      </c>
      <c r="D2364">
        <v>3140408</v>
      </c>
      <c r="E2364">
        <v>3664975.75</v>
      </c>
    </row>
    <row r="2365" spans="1:5">
      <c r="A2365">
        <v>2360</v>
      </c>
      <c r="B2365" s="11">
        <v>45748.416666666664</v>
      </c>
      <c r="C2365" s="7">
        <v>551.91359999999997</v>
      </c>
      <c r="D2365">
        <v>3666455</v>
      </c>
      <c r="E2365">
        <v>3670058</v>
      </c>
    </row>
    <row r="2366" spans="1:5">
      <c r="A2366">
        <v>2361</v>
      </c>
      <c r="B2366" s="11">
        <v>45748.395833333336</v>
      </c>
      <c r="C2366" s="7">
        <v>554.02149999999995</v>
      </c>
      <c r="D2366">
        <v>3494382</v>
      </c>
      <c r="E2366">
        <v>3877214.75</v>
      </c>
    </row>
    <row r="2367" spans="1:5">
      <c r="A2367">
        <v>2362</v>
      </c>
      <c r="B2367" s="11">
        <v>45747.666666666664</v>
      </c>
      <c r="C2367" s="7">
        <v>556.19899999999996</v>
      </c>
      <c r="D2367">
        <v>0</v>
      </c>
      <c r="E2367">
        <v>3644256</v>
      </c>
    </row>
    <row r="2368" spans="1:5">
      <c r="A2368">
        <v>2363</v>
      </c>
      <c r="B2368" s="11">
        <v>45747.645833333336</v>
      </c>
      <c r="C2368" s="7">
        <v>556.19899999999996</v>
      </c>
      <c r="D2368">
        <v>17733212</v>
      </c>
      <c r="E2368">
        <v>4525199</v>
      </c>
    </row>
    <row r="2369" spans="1:5">
      <c r="A2369">
        <v>2364</v>
      </c>
      <c r="B2369" s="11">
        <v>45747.625</v>
      </c>
      <c r="C2369" s="7">
        <v>554.21040000000005</v>
      </c>
      <c r="D2369">
        <v>5582626</v>
      </c>
      <c r="E2369">
        <v>3495773.75</v>
      </c>
    </row>
    <row r="2370" spans="1:5">
      <c r="A2370">
        <v>2365</v>
      </c>
      <c r="B2370" s="11">
        <v>45747.604166666664</v>
      </c>
      <c r="C2370" s="7">
        <v>553.19870000000003</v>
      </c>
      <c r="D2370">
        <v>3856728</v>
      </c>
      <c r="E2370">
        <v>3243214.75</v>
      </c>
    </row>
    <row r="2371" spans="1:5">
      <c r="A2371">
        <v>2366</v>
      </c>
      <c r="B2371" s="11">
        <v>45747.583333333336</v>
      </c>
      <c r="C2371" s="7">
        <v>553.6934</v>
      </c>
      <c r="D2371">
        <v>4823685</v>
      </c>
      <c r="E2371">
        <v>3125126.75</v>
      </c>
    </row>
    <row r="2372" spans="1:5">
      <c r="A2372">
        <v>2367</v>
      </c>
      <c r="B2372" s="11">
        <v>45747.5625</v>
      </c>
      <c r="C2372" s="7">
        <v>549.94479999999999</v>
      </c>
      <c r="D2372">
        <v>1216959</v>
      </c>
      <c r="E2372">
        <v>2937198</v>
      </c>
    </row>
    <row r="2373" spans="1:5">
      <c r="A2373">
        <v>2368</v>
      </c>
      <c r="B2373" s="11">
        <v>45747.541666666664</v>
      </c>
      <c r="C2373" s="7">
        <v>550.50049999999999</v>
      </c>
      <c r="D2373">
        <v>2001312</v>
      </c>
      <c r="E2373">
        <v>3026310</v>
      </c>
    </row>
    <row r="2374" spans="1:5">
      <c r="A2374">
        <v>2369</v>
      </c>
      <c r="B2374" s="11">
        <v>45747.520833333336</v>
      </c>
      <c r="C2374" s="7">
        <v>550.10389999999995</v>
      </c>
      <c r="D2374">
        <v>1294049</v>
      </c>
      <c r="E2374">
        <v>3027896.75</v>
      </c>
    </row>
    <row r="2375" spans="1:5">
      <c r="A2375">
        <v>2370</v>
      </c>
      <c r="B2375" s="11">
        <v>45747.5</v>
      </c>
      <c r="C2375" s="7">
        <v>551.25869999999998</v>
      </c>
      <c r="D2375">
        <v>1450728</v>
      </c>
      <c r="E2375">
        <v>3081248.5</v>
      </c>
    </row>
    <row r="2376" spans="1:5">
      <c r="A2376">
        <v>2371</v>
      </c>
      <c r="B2376" s="11">
        <v>45747.479166666664</v>
      </c>
      <c r="C2376" s="7">
        <v>550.18349999999998</v>
      </c>
      <c r="D2376">
        <v>1803877</v>
      </c>
      <c r="E2376">
        <v>3130191.5</v>
      </c>
    </row>
    <row r="2377" spans="1:5">
      <c r="A2377">
        <v>2372</v>
      </c>
      <c r="B2377" s="11">
        <v>45747.458333333336</v>
      </c>
      <c r="C2377" s="7">
        <v>549.3184</v>
      </c>
      <c r="D2377">
        <v>2426899</v>
      </c>
      <c r="E2377">
        <v>3246555.5</v>
      </c>
    </row>
    <row r="2378" spans="1:5">
      <c r="A2378">
        <v>2373</v>
      </c>
      <c r="B2378" s="11">
        <v>45747.4375</v>
      </c>
      <c r="C2378" s="7">
        <v>548.56280000000004</v>
      </c>
      <c r="D2378">
        <v>2483318</v>
      </c>
      <c r="E2378">
        <v>3367279.5</v>
      </c>
    </row>
    <row r="2379" spans="1:5">
      <c r="A2379">
        <v>2374</v>
      </c>
      <c r="B2379" s="11">
        <v>45747.416666666664</v>
      </c>
      <c r="C2379" s="7">
        <v>546.37540000000001</v>
      </c>
      <c r="D2379">
        <v>3216641</v>
      </c>
      <c r="E2379">
        <v>3574760.5</v>
      </c>
    </row>
    <row r="2380" spans="1:5">
      <c r="A2380">
        <v>2375</v>
      </c>
      <c r="B2380" s="11">
        <v>45747.395833333336</v>
      </c>
      <c r="C2380" s="7">
        <v>546.58910000000003</v>
      </c>
      <c r="D2380">
        <v>6773807</v>
      </c>
      <c r="E2380">
        <v>3589453.25</v>
      </c>
    </row>
    <row r="2381" spans="1:5">
      <c r="A2381">
        <v>2376</v>
      </c>
      <c r="B2381" s="11">
        <v>45744.666666666664</v>
      </c>
      <c r="C2381" s="7">
        <v>552.49019999999996</v>
      </c>
      <c r="D2381">
        <v>0</v>
      </c>
      <c r="E2381">
        <v>3137866</v>
      </c>
    </row>
    <row r="2382" spans="1:5">
      <c r="A2382">
        <v>2377</v>
      </c>
      <c r="B2382" s="11">
        <v>45744.645833333336</v>
      </c>
      <c r="C2382" s="7">
        <v>552.5598</v>
      </c>
      <c r="D2382">
        <v>13214142</v>
      </c>
      <c r="E2382">
        <v>3627343.75</v>
      </c>
    </row>
    <row r="2383" spans="1:5">
      <c r="A2383">
        <v>2378</v>
      </c>
      <c r="B2383" s="11">
        <v>45744.625</v>
      </c>
      <c r="C2383" s="7">
        <v>552.62950000000001</v>
      </c>
      <c r="D2383">
        <v>2291837</v>
      </c>
      <c r="E2383">
        <v>2903829.25</v>
      </c>
    </row>
    <row r="2384" spans="1:5">
      <c r="A2384">
        <v>2379</v>
      </c>
      <c r="B2384" s="11">
        <v>45744.604166666664</v>
      </c>
      <c r="C2384" s="7">
        <v>552.96749999999997</v>
      </c>
      <c r="D2384">
        <v>1794238</v>
      </c>
      <c r="E2384">
        <v>2837908.5</v>
      </c>
    </row>
    <row r="2385" spans="1:5">
      <c r="A2385">
        <v>2380</v>
      </c>
      <c r="B2385" s="11">
        <v>45744.583333333336</v>
      </c>
      <c r="C2385" s="7">
        <v>552.78859999999997</v>
      </c>
      <c r="D2385">
        <v>2085411</v>
      </c>
      <c r="E2385">
        <v>2810422.5</v>
      </c>
    </row>
    <row r="2386" spans="1:5">
      <c r="A2386">
        <v>2381</v>
      </c>
      <c r="B2386" s="11">
        <v>45744.5625</v>
      </c>
      <c r="C2386" s="7">
        <v>553.20619999999997</v>
      </c>
      <c r="D2386">
        <v>2004751</v>
      </c>
      <c r="E2386">
        <v>2747810.5</v>
      </c>
    </row>
    <row r="2387" spans="1:5">
      <c r="A2387">
        <v>2382</v>
      </c>
      <c r="B2387" s="11">
        <v>45744.541666666664</v>
      </c>
      <c r="C2387" s="7">
        <v>552.23180000000002</v>
      </c>
      <c r="D2387">
        <v>2553641</v>
      </c>
      <c r="E2387">
        <v>2720348</v>
      </c>
    </row>
    <row r="2388" spans="1:5">
      <c r="A2388">
        <v>2383</v>
      </c>
      <c r="B2388" s="11">
        <v>45744.520833333336</v>
      </c>
      <c r="C2388" s="7">
        <v>553.34540000000004</v>
      </c>
      <c r="D2388">
        <v>2025112</v>
      </c>
      <c r="E2388">
        <v>2639436.5</v>
      </c>
    </row>
    <row r="2389" spans="1:5">
      <c r="A2389">
        <v>2384</v>
      </c>
      <c r="B2389" s="11">
        <v>45744.5</v>
      </c>
      <c r="C2389" s="7">
        <v>553.67349999999999</v>
      </c>
      <c r="D2389">
        <v>2094324</v>
      </c>
      <c r="E2389">
        <v>2591824.75</v>
      </c>
    </row>
    <row r="2390" spans="1:5">
      <c r="A2390">
        <v>2385</v>
      </c>
      <c r="B2390" s="11">
        <v>45744.479166666664</v>
      </c>
      <c r="C2390" s="7">
        <v>554.75729999999999</v>
      </c>
      <c r="D2390">
        <v>2184875</v>
      </c>
      <c r="E2390">
        <v>2581127.75</v>
      </c>
    </row>
    <row r="2391" spans="1:5">
      <c r="A2391">
        <v>2386</v>
      </c>
      <c r="B2391" s="11">
        <v>45744.458333333336</v>
      </c>
      <c r="C2391" s="7">
        <v>555.70180000000005</v>
      </c>
      <c r="D2391">
        <v>3549337</v>
      </c>
      <c r="E2391">
        <v>2525084.5</v>
      </c>
    </row>
    <row r="2392" spans="1:5">
      <c r="A2392">
        <v>2387</v>
      </c>
      <c r="B2392" s="11">
        <v>45744.4375</v>
      </c>
      <c r="C2392" s="7">
        <v>555.59249999999997</v>
      </c>
      <c r="D2392">
        <v>4237760</v>
      </c>
      <c r="E2392">
        <v>2446672</v>
      </c>
    </row>
    <row r="2393" spans="1:5">
      <c r="A2393">
        <v>2388</v>
      </c>
      <c r="B2393" s="11">
        <v>45744.416666666664</v>
      </c>
      <c r="C2393" s="7">
        <v>556.42269999999996</v>
      </c>
      <c r="D2393">
        <v>5595531</v>
      </c>
      <c r="E2393">
        <v>2324551.75</v>
      </c>
    </row>
    <row r="2394" spans="1:5">
      <c r="A2394">
        <v>2389</v>
      </c>
      <c r="B2394" s="11">
        <v>45744.395833333336</v>
      </c>
      <c r="C2394" s="7">
        <v>559.87789999999995</v>
      </c>
      <c r="D2394">
        <v>3437031</v>
      </c>
      <c r="E2394">
        <v>2266257</v>
      </c>
    </row>
    <row r="2395" spans="1:5">
      <c r="A2395">
        <v>2390</v>
      </c>
      <c r="B2395" s="11">
        <v>45743.666666666664</v>
      </c>
      <c r="C2395" s="7">
        <v>563.84519999999998</v>
      </c>
      <c r="D2395">
        <v>0</v>
      </c>
      <c r="E2395">
        <v>2037121.5</v>
      </c>
    </row>
    <row r="2396" spans="1:5">
      <c r="A2396">
        <v>2391</v>
      </c>
      <c r="B2396" s="11">
        <v>45743.645833333336</v>
      </c>
      <c r="C2396" s="7">
        <v>563.84519999999998</v>
      </c>
      <c r="D2396">
        <v>7342168</v>
      </c>
      <c r="E2396">
        <v>2615010.25</v>
      </c>
    </row>
    <row r="2397" spans="1:5">
      <c r="A2397">
        <v>2392</v>
      </c>
      <c r="B2397" s="11">
        <v>45743.625</v>
      </c>
      <c r="C2397" s="7">
        <v>566.50980000000004</v>
      </c>
      <c r="D2397">
        <v>2361421</v>
      </c>
      <c r="E2397">
        <v>2286954.5</v>
      </c>
    </row>
    <row r="2398" spans="1:5">
      <c r="A2398">
        <v>2393</v>
      </c>
      <c r="B2398" s="11">
        <v>45743.604166666664</v>
      </c>
      <c r="C2398" s="7">
        <v>564.30740000000003</v>
      </c>
      <c r="D2398">
        <v>1303029</v>
      </c>
      <c r="E2398">
        <v>2238327.5</v>
      </c>
    </row>
    <row r="2399" spans="1:5">
      <c r="A2399">
        <v>2394</v>
      </c>
      <c r="B2399" s="11">
        <v>45743.583333333336</v>
      </c>
      <c r="C2399" s="7">
        <v>564.66049999999996</v>
      </c>
      <c r="D2399">
        <v>1381948</v>
      </c>
      <c r="E2399">
        <v>2259663.5</v>
      </c>
    </row>
    <row r="2400" spans="1:5">
      <c r="A2400">
        <v>2395</v>
      </c>
      <c r="B2400" s="11">
        <v>45743.5625</v>
      </c>
      <c r="C2400" s="7">
        <v>563.35789999999997</v>
      </c>
      <c r="D2400">
        <v>1146229</v>
      </c>
      <c r="E2400">
        <v>2293753.5</v>
      </c>
    </row>
    <row r="2401" spans="1:5">
      <c r="A2401">
        <v>2396</v>
      </c>
      <c r="B2401" s="11">
        <v>45743.541666666664</v>
      </c>
      <c r="C2401" s="7">
        <v>563.50699999999995</v>
      </c>
      <c r="D2401">
        <v>1592813</v>
      </c>
      <c r="E2401">
        <v>2330041.75</v>
      </c>
    </row>
    <row r="2402" spans="1:5">
      <c r="A2402">
        <v>2397</v>
      </c>
      <c r="B2402" s="11">
        <v>45743.520833333336</v>
      </c>
      <c r="C2402" s="7">
        <v>563.54690000000005</v>
      </c>
      <c r="D2402">
        <v>1339971</v>
      </c>
      <c r="E2402">
        <v>2332666</v>
      </c>
    </row>
    <row r="2403" spans="1:5">
      <c r="A2403">
        <v>2398</v>
      </c>
      <c r="B2403" s="11">
        <v>45743.5</v>
      </c>
      <c r="C2403" s="7">
        <v>565.44590000000005</v>
      </c>
      <c r="D2403">
        <v>1310934</v>
      </c>
      <c r="E2403">
        <v>2365852.25</v>
      </c>
    </row>
    <row r="2404" spans="1:5">
      <c r="A2404">
        <v>2399</v>
      </c>
      <c r="B2404" s="11">
        <v>45743.479166666664</v>
      </c>
      <c r="C2404" s="7">
        <v>564.74</v>
      </c>
      <c r="D2404">
        <v>1933868</v>
      </c>
      <c r="E2404">
        <v>2419138.25</v>
      </c>
    </row>
    <row r="2405" spans="1:5">
      <c r="A2405">
        <v>2400</v>
      </c>
      <c r="B2405" s="11">
        <v>45743.458333333336</v>
      </c>
      <c r="C2405" s="7">
        <v>566.61919999999998</v>
      </c>
      <c r="D2405">
        <v>1344228</v>
      </c>
      <c r="E2405">
        <v>2370360</v>
      </c>
    </row>
    <row r="2406" spans="1:5">
      <c r="A2406">
        <v>2401</v>
      </c>
      <c r="B2406" s="11">
        <v>45743.4375</v>
      </c>
      <c r="C2406" s="7">
        <v>567.59360000000004</v>
      </c>
      <c r="D2406">
        <v>2373150</v>
      </c>
      <c r="E2406">
        <v>2410366.25</v>
      </c>
    </row>
    <row r="2407" spans="1:5">
      <c r="A2407">
        <v>2402</v>
      </c>
      <c r="B2407" s="11">
        <v>45743.416666666664</v>
      </c>
      <c r="C2407" s="7">
        <v>566.35069999999996</v>
      </c>
      <c r="D2407">
        <v>2405957</v>
      </c>
      <c r="E2407">
        <v>2435740.25</v>
      </c>
    </row>
    <row r="2408" spans="1:5">
      <c r="A2408">
        <v>2403</v>
      </c>
      <c r="B2408" s="11">
        <v>45743.395833333336</v>
      </c>
      <c r="C2408" s="7">
        <v>565.09299999999996</v>
      </c>
      <c r="D2408">
        <v>4721107</v>
      </c>
      <c r="E2408">
        <v>2487076</v>
      </c>
    </row>
    <row r="2409" spans="1:5">
      <c r="A2409">
        <v>2404</v>
      </c>
      <c r="B2409" s="11">
        <v>45742.666666666664</v>
      </c>
      <c r="C2409" s="7">
        <v>565.34649999999999</v>
      </c>
      <c r="D2409">
        <v>0</v>
      </c>
      <c r="E2409">
        <v>2172335.5</v>
      </c>
    </row>
    <row r="2410" spans="1:5">
      <c r="A2410">
        <v>2405</v>
      </c>
      <c r="B2410" s="11">
        <v>45742.645833333336</v>
      </c>
      <c r="C2410" s="7">
        <v>565.34649999999999</v>
      </c>
      <c r="D2410">
        <v>8668332</v>
      </c>
      <c r="E2410">
        <v>2617477.75</v>
      </c>
    </row>
    <row r="2411" spans="1:5">
      <c r="A2411">
        <v>2406</v>
      </c>
      <c r="B2411" s="11">
        <v>45742.625</v>
      </c>
      <c r="C2411" s="7">
        <v>564.51130000000001</v>
      </c>
      <c r="D2411">
        <v>2421332</v>
      </c>
      <c r="E2411">
        <v>2151955.75</v>
      </c>
    </row>
    <row r="2412" spans="1:5">
      <c r="A2412">
        <v>2407</v>
      </c>
      <c r="B2412" s="11">
        <v>45742.604166666664</v>
      </c>
      <c r="C2412" s="7">
        <v>564.19309999999996</v>
      </c>
      <c r="D2412">
        <v>1632013</v>
      </c>
      <c r="E2412">
        <v>2086425.5</v>
      </c>
    </row>
    <row r="2413" spans="1:5">
      <c r="A2413">
        <v>2408</v>
      </c>
      <c r="B2413" s="11">
        <v>45742.583333333336</v>
      </c>
      <c r="C2413" s="7">
        <v>565.91319999999996</v>
      </c>
      <c r="D2413">
        <v>1623070</v>
      </c>
      <c r="E2413">
        <v>2074066.12</v>
      </c>
    </row>
    <row r="2414" spans="1:5">
      <c r="A2414">
        <v>2409</v>
      </c>
      <c r="B2414" s="11">
        <v>45742.5625</v>
      </c>
      <c r="C2414" s="7">
        <v>564.82899999999995</v>
      </c>
      <c r="D2414">
        <v>1893300</v>
      </c>
      <c r="E2414">
        <v>2038759.62</v>
      </c>
    </row>
    <row r="2415" spans="1:5">
      <c r="A2415">
        <v>2410</v>
      </c>
      <c r="B2415" s="11">
        <v>45742.541666666664</v>
      </c>
      <c r="C2415" s="7">
        <v>565.65970000000004</v>
      </c>
      <c r="D2415">
        <v>1690551</v>
      </c>
      <c r="E2415">
        <v>1995714.38</v>
      </c>
    </row>
    <row r="2416" spans="1:5">
      <c r="A2416">
        <v>2411</v>
      </c>
      <c r="B2416" s="11">
        <v>45742.520833333336</v>
      </c>
      <c r="C2416" s="7">
        <v>566.14200000000005</v>
      </c>
      <c r="D2416">
        <v>1632177</v>
      </c>
      <c r="E2416">
        <v>1946033.38</v>
      </c>
    </row>
    <row r="2417" spans="1:5">
      <c r="A2417">
        <v>2412</v>
      </c>
      <c r="B2417" s="11">
        <v>45742.5</v>
      </c>
      <c r="C2417" s="7">
        <v>567.80240000000003</v>
      </c>
      <c r="D2417">
        <v>1837764</v>
      </c>
      <c r="E2417">
        <v>1903606.75</v>
      </c>
    </row>
    <row r="2418" spans="1:5">
      <c r="A2418">
        <v>2413</v>
      </c>
      <c r="B2418" s="11">
        <v>45742.479166666664</v>
      </c>
      <c r="C2418" s="7">
        <v>567.34500000000003</v>
      </c>
      <c r="D2418">
        <v>2110224</v>
      </c>
      <c r="E2418">
        <v>1863188.12</v>
      </c>
    </row>
    <row r="2419" spans="1:5">
      <c r="A2419">
        <v>2414</v>
      </c>
      <c r="B2419" s="11">
        <v>45742.458333333336</v>
      </c>
      <c r="C2419" s="7">
        <v>569.0453</v>
      </c>
      <c r="D2419">
        <v>1202195</v>
      </c>
      <c r="E2419">
        <v>1795648.5</v>
      </c>
    </row>
    <row r="2420" spans="1:5">
      <c r="A2420">
        <v>2415</v>
      </c>
      <c r="B2420" s="11">
        <v>45742.4375</v>
      </c>
      <c r="C2420" s="7">
        <v>570.16340000000002</v>
      </c>
      <c r="D2420">
        <v>1944320</v>
      </c>
      <c r="E2420">
        <v>1845048.38</v>
      </c>
    </row>
    <row r="2421" spans="1:5">
      <c r="A2421">
        <v>2416</v>
      </c>
      <c r="B2421" s="11">
        <v>45742.416666666664</v>
      </c>
      <c r="C2421" s="7">
        <v>570.05449999999996</v>
      </c>
      <c r="D2421">
        <v>2753762</v>
      </c>
      <c r="E2421">
        <v>1877582.25</v>
      </c>
    </row>
    <row r="2422" spans="1:5">
      <c r="A2422">
        <v>2417</v>
      </c>
      <c r="B2422" s="11">
        <v>45742.395833333336</v>
      </c>
      <c r="C2422" s="7">
        <v>570.25130000000001</v>
      </c>
      <c r="D2422">
        <v>3175994</v>
      </c>
      <c r="E2422">
        <v>1897352.75</v>
      </c>
    </row>
    <row r="2423" spans="1:5">
      <c r="A2423">
        <v>2418</v>
      </c>
      <c r="B2423" s="11">
        <v>45741.666666666664</v>
      </c>
      <c r="C2423" s="7">
        <v>572.17729999999995</v>
      </c>
      <c r="D2423">
        <v>0</v>
      </c>
      <c r="E2423">
        <v>1685619.75</v>
      </c>
    </row>
    <row r="2424" spans="1:5">
      <c r="A2424">
        <v>2419</v>
      </c>
      <c r="B2424" s="11">
        <v>45741.645833333336</v>
      </c>
      <c r="C2424" s="7">
        <v>572.17729999999995</v>
      </c>
      <c r="D2424">
        <v>6677132</v>
      </c>
      <c r="E2424">
        <v>2343535.5</v>
      </c>
    </row>
    <row r="2425" spans="1:5">
      <c r="A2425">
        <v>2420</v>
      </c>
      <c r="B2425" s="11">
        <v>45741.625</v>
      </c>
      <c r="C2425" s="7">
        <v>570.91459999999995</v>
      </c>
      <c r="D2425">
        <v>1685503</v>
      </c>
      <c r="E2425">
        <v>2038330.12</v>
      </c>
    </row>
    <row r="2426" spans="1:5">
      <c r="A2426">
        <v>2421</v>
      </c>
      <c r="B2426" s="11">
        <v>45741.604166666664</v>
      </c>
      <c r="C2426" s="7">
        <v>570.65599999999995</v>
      </c>
      <c r="D2426">
        <v>1438377</v>
      </c>
      <c r="E2426">
        <v>2124552.5</v>
      </c>
    </row>
    <row r="2427" spans="1:5">
      <c r="A2427">
        <v>2422</v>
      </c>
      <c r="B2427" s="11">
        <v>45741.583333333336</v>
      </c>
      <c r="C2427" s="7">
        <v>571.18799999999999</v>
      </c>
      <c r="D2427">
        <v>1446623</v>
      </c>
      <c r="E2427">
        <v>2128186.25</v>
      </c>
    </row>
    <row r="2428" spans="1:5">
      <c r="A2428">
        <v>2423</v>
      </c>
      <c r="B2428" s="11">
        <v>45741.5625</v>
      </c>
      <c r="C2428" s="7">
        <v>570.81510000000003</v>
      </c>
      <c r="D2428">
        <v>1093473</v>
      </c>
      <c r="E2428">
        <v>2119560.75</v>
      </c>
    </row>
    <row r="2429" spans="1:5">
      <c r="A2429">
        <v>2424</v>
      </c>
      <c r="B2429" s="11">
        <v>45741.541666666664</v>
      </c>
      <c r="C2429" s="7">
        <v>570.92449999999997</v>
      </c>
      <c r="D2429">
        <v>1247621</v>
      </c>
      <c r="E2429">
        <v>2147119.75</v>
      </c>
    </row>
    <row r="2430" spans="1:5">
      <c r="A2430">
        <v>2425</v>
      </c>
      <c r="B2430" s="11">
        <v>45741.520833333336</v>
      </c>
      <c r="C2430" s="7">
        <v>571.68020000000001</v>
      </c>
      <c r="D2430">
        <v>945336</v>
      </c>
      <c r="E2430">
        <v>2171331</v>
      </c>
    </row>
    <row r="2431" spans="1:5">
      <c r="A2431">
        <v>2426</v>
      </c>
      <c r="B2431" s="11">
        <v>45741.5</v>
      </c>
      <c r="C2431" s="7">
        <v>571.25260000000003</v>
      </c>
      <c r="D2431">
        <v>995777</v>
      </c>
      <c r="E2431">
        <v>2236109.75</v>
      </c>
    </row>
    <row r="2432" spans="1:5">
      <c r="A2432">
        <v>2427</v>
      </c>
      <c r="B2432" s="11">
        <v>45741.479166666664</v>
      </c>
      <c r="C2432" s="7">
        <v>571.49130000000002</v>
      </c>
      <c r="D2432">
        <v>1231484</v>
      </c>
      <c r="E2432">
        <v>2259145.25</v>
      </c>
    </row>
    <row r="2433" spans="1:5">
      <c r="A2433">
        <v>2428</v>
      </c>
      <c r="B2433" s="11">
        <v>45741.458333333336</v>
      </c>
      <c r="C2433" s="7">
        <v>572.41600000000005</v>
      </c>
      <c r="D2433">
        <v>1097131</v>
      </c>
      <c r="E2433">
        <v>2281181</v>
      </c>
    </row>
    <row r="2434" spans="1:5">
      <c r="A2434">
        <v>2429</v>
      </c>
      <c r="B2434" s="11">
        <v>45741.4375</v>
      </c>
      <c r="C2434" s="7">
        <v>572.6943</v>
      </c>
      <c r="D2434">
        <v>1943192</v>
      </c>
      <c r="E2434">
        <v>2365212</v>
      </c>
    </row>
    <row r="2435" spans="1:5">
      <c r="A2435">
        <v>2430</v>
      </c>
      <c r="B2435" s="11">
        <v>45741.416666666664</v>
      </c>
      <c r="C2435" s="7">
        <v>572.52530000000002</v>
      </c>
      <c r="D2435">
        <v>2432328</v>
      </c>
      <c r="E2435">
        <v>2398839.75</v>
      </c>
    </row>
    <row r="2436" spans="1:5">
      <c r="A2436">
        <v>2431</v>
      </c>
      <c r="B2436" s="11">
        <v>45741.395833333336</v>
      </c>
      <c r="C2436" s="7">
        <v>571.42660000000001</v>
      </c>
      <c r="D2436">
        <v>3050320</v>
      </c>
      <c r="E2436">
        <v>2558670.25</v>
      </c>
    </row>
    <row r="2437" spans="1:5">
      <c r="A2437">
        <v>2432</v>
      </c>
      <c r="B2437" s="11">
        <v>45740.666666666664</v>
      </c>
      <c r="C2437" s="7">
        <v>570.80520000000001</v>
      </c>
      <c r="D2437">
        <v>0</v>
      </c>
      <c r="E2437">
        <v>2355315.5</v>
      </c>
    </row>
    <row r="2438" spans="1:5">
      <c r="A2438">
        <v>2433</v>
      </c>
      <c r="B2438" s="11">
        <v>45740.645833333336</v>
      </c>
      <c r="C2438" s="7">
        <v>570.80520000000001</v>
      </c>
      <c r="D2438">
        <v>9868734</v>
      </c>
      <c r="E2438">
        <v>3271273.5</v>
      </c>
    </row>
    <row r="2439" spans="1:5">
      <c r="A2439">
        <v>2434</v>
      </c>
      <c r="B2439" s="11">
        <v>45740.625</v>
      </c>
      <c r="C2439" s="7">
        <v>570.71569999999997</v>
      </c>
      <c r="D2439">
        <v>2099052</v>
      </c>
      <c r="E2439">
        <v>2754145.75</v>
      </c>
    </row>
    <row r="2440" spans="1:5">
      <c r="A2440">
        <v>2435</v>
      </c>
      <c r="B2440" s="11">
        <v>45740.604166666664</v>
      </c>
      <c r="C2440" s="7">
        <v>570.36770000000001</v>
      </c>
      <c r="D2440">
        <v>2978839</v>
      </c>
      <c r="E2440">
        <v>2720497</v>
      </c>
    </row>
    <row r="2441" spans="1:5">
      <c r="A2441">
        <v>2436</v>
      </c>
      <c r="B2441" s="11">
        <v>45740.583333333336</v>
      </c>
      <c r="C2441" s="7">
        <v>569.13980000000004</v>
      </c>
      <c r="D2441">
        <v>1492882</v>
      </c>
      <c r="E2441">
        <v>2634147.5</v>
      </c>
    </row>
    <row r="2442" spans="1:5">
      <c r="A2442">
        <v>2437</v>
      </c>
      <c r="B2442" s="11">
        <v>45740.5625</v>
      </c>
      <c r="C2442" s="7">
        <v>569.82569999999998</v>
      </c>
      <c r="D2442">
        <v>1317241</v>
      </c>
      <c r="E2442">
        <v>2644199</v>
      </c>
    </row>
    <row r="2443" spans="1:5">
      <c r="A2443">
        <v>2438</v>
      </c>
      <c r="B2443" s="11">
        <v>45740.541666666664</v>
      </c>
      <c r="C2443" s="7">
        <v>569.81089999999995</v>
      </c>
      <c r="D2443">
        <v>1506861</v>
      </c>
      <c r="E2443">
        <v>2646715.75</v>
      </c>
    </row>
    <row r="2444" spans="1:5">
      <c r="A2444">
        <v>2439</v>
      </c>
      <c r="B2444" s="11">
        <v>45740.520833333336</v>
      </c>
      <c r="C2444" s="7">
        <v>569.87049999999999</v>
      </c>
      <c r="D2444">
        <v>1610787</v>
      </c>
      <c r="E2444">
        <v>2670717.75</v>
      </c>
    </row>
    <row r="2445" spans="1:5">
      <c r="A2445">
        <v>2440</v>
      </c>
      <c r="B2445" s="11">
        <v>45740.5</v>
      </c>
      <c r="C2445" s="7">
        <v>570.03959999999995</v>
      </c>
      <c r="D2445">
        <v>1917020</v>
      </c>
      <c r="E2445">
        <v>2755898</v>
      </c>
    </row>
    <row r="2446" spans="1:5">
      <c r="A2446">
        <v>2441</v>
      </c>
      <c r="B2446" s="11">
        <v>45740.479166666664</v>
      </c>
      <c r="C2446" s="7">
        <v>570.63610000000006</v>
      </c>
      <c r="D2446">
        <v>1341308</v>
      </c>
      <c r="E2446">
        <v>2713996</v>
      </c>
    </row>
    <row r="2447" spans="1:5">
      <c r="A2447">
        <v>2442</v>
      </c>
      <c r="B2447" s="11">
        <v>45740.458333333336</v>
      </c>
      <c r="C2447" s="7">
        <v>570.46709999999996</v>
      </c>
      <c r="D2447">
        <v>1562019</v>
      </c>
      <c r="E2447">
        <v>2736055.75</v>
      </c>
    </row>
    <row r="2448" spans="1:5">
      <c r="A2448">
        <v>2443</v>
      </c>
      <c r="B2448" s="11">
        <v>45740.4375</v>
      </c>
      <c r="C2448" s="7">
        <v>570.31799999999998</v>
      </c>
      <c r="D2448">
        <v>2357597</v>
      </c>
      <c r="E2448">
        <v>2756365.5</v>
      </c>
    </row>
    <row r="2449" spans="1:5">
      <c r="A2449">
        <v>2444</v>
      </c>
      <c r="B2449" s="11">
        <v>45740.416666666664</v>
      </c>
      <c r="C2449" s="7">
        <v>569.88049999999998</v>
      </c>
      <c r="D2449">
        <v>2447610</v>
      </c>
      <c r="E2449">
        <v>2748255.75</v>
      </c>
    </row>
    <row r="2450" spans="1:5">
      <c r="A2450">
        <v>2445</v>
      </c>
      <c r="B2450" s="11">
        <v>45740.395833333336</v>
      </c>
      <c r="C2450" s="7">
        <v>569.52750000000003</v>
      </c>
      <c r="D2450">
        <v>4829783</v>
      </c>
      <c r="E2450">
        <v>2940765.25</v>
      </c>
    </row>
    <row r="2451" spans="1:5">
      <c r="A2451">
        <v>2446</v>
      </c>
      <c r="B2451" s="11">
        <v>45737.666666666664</v>
      </c>
      <c r="C2451" s="7">
        <v>560.76279999999997</v>
      </c>
      <c r="D2451">
        <v>0</v>
      </c>
      <c r="E2451">
        <v>2618779.5</v>
      </c>
    </row>
    <row r="2452" spans="1:5">
      <c r="A2452">
        <v>2447</v>
      </c>
      <c r="B2452" s="11">
        <v>45737.645833333336</v>
      </c>
      <c r="C2452" s="7">
        <v>560.74289999999996</v>
      </c>
      <c r="D2452">
        <v>13739369</v>
      </c>
      <c r="E2452">
        <v>3253426.25</v>
      </c>
    </row>
    <row r="2453" spans="1:5">
      <c r="A2453">
        <v>2448</v>
      </c>
      <c r="B2453" s="11">
        <v>45737.625</v>
      </c>
      <c r="C2453" s="7">
        <v>558.81399999999996</v>
      </c>
      <c r="D2453">
        <v>2111819</v>
      </c>
      <c r="E2453">
        <v>2519937.5</v>
      </c>
    </row>
    <row r="2454" spans="1:5">
      <c r="A2454">
        <v>2449</v>
      </c>
      <c r="B2454" s="11">
        <v>45737.604166666664</v>
      </c>
      <c r="C2454" s="7">
        <v>559.34090000000003</v>
      </c>
      <c r="D2454">
        <v>1594319</v>
      </c>
      <c r="E2454">
        <v>2563440.75</v>
      </c>
    </row>
    <row r="2455" spans="1:5">
      <c r="A2455">
        <v>2450</v>
      </c>
      <c r="B2455" s="11">
        <v>45737.583333333336</v>
      </c>
      <c r="C2455" s="7">
        <v>558.91340000000002</v>
      </c>
      <c r="D2455">
        <v>1683597</v>
      </c>
      <c r="E2455">
        <v>2571354.5</v>
      </c>
    </row>
    <row r="2456" spans="1:5">
      <c r="A2456">
        <v>2451</v>
      </c>
      <c r="B2456" s="11">
        <v>45737.5625</v>
      </c>
      <c r="C2456" s="7">
        <v>559.68399999999997</v>
      </c>
      <c r="D2456">
        <v>1643655</v>
      </c>
      <c r="E2456">
        <v>2568635</v>
      </c>
    </row>
    <row r="2457" spans="1:5">
      <c r="A2457">
        <v>2452</v>
      </c>
      <c r="B2457" s="11">
        <v>45737.541666666664</v>
      </c>
      <c r="C2457" s="7">
        <v>558.89350000000002</v>
      </c>
      <c r="D2457">
        <v>1354991</v>
      </c>
      <c r="E2457">
        <v>2567120.5</v>
      </c>
    </row>
    <row r="2458" spans="1:5">
      <c r="A2458">
        <v>2453</v>
      </c>
      <c r="B2458" s="11">
        <v>45737.520833333336</v>
      </c>
      <c r="C2458" s="7">
        <v>560.40480000000002</v>
      </c>
      <c r="D2458">
        <v>1866892</v>
      </c>
      <c r="E2458">
        <v>2599562.25</v>
      </c>
    </row>
    <row r="2459" spans="1:5">
      <c r="A2459">
        <v>2454</v>
      </c>
      <c r="B2459" s="11">
        <v>45737.5</v>
      </c>
      <c r="C2459" s="7">
        <v>559.15200000000004</v>
      </c>
      <c r="D2459">
        <v>2888490</v>
      </c>
      <c r="E2459">
        <v>2621672.25</v>
      </c>
    </row>
    <row r="2460" spans="1:5">
      <c r="A2460">
        <v>2455</v>
      </c>
      <c r="B2460" s="11">
        <v>45737.479166666664</v>
      </c>
      <c r="C2460" s="7">
        <v>556.12940000000003</v>
      </c>
      <c r="D2460">
        <v>1288490</v>
      </c>
      <c r="E2460">
        <v>2561640.5</v>
      </c>
    </row>
    <row r="2461" spans="1:5">
      <c r="A2461">
        <v>2456</v>
      </c>
      <c r="B2461" s="11">
        <v>45737.458333333336</v>
      </c>
      <c r="C2461" s="7">
        <v>556.61659999999995</v>
      </c>
      <c r="D2461">
        <v>1672206</v>
      </c>
      <c r="E2461">
        <v>2587964.5</v>
      </c>
    </row>
    <row r="2462" spans="1:5">
      <c r="A2462">
        <v>2457</v>
      </c>
      <c r="B2462" s="11">
        <v>45737.4375</v>
      </c>
      <c r="C2462" s="7">
        <v>558.33569999999997</v>
      </c>
      <c r="D2462">
        <v>1866666</v>
      </c>
      <c r="E2462">
        <v>2611101.5</v>
      </c>
    </row>
    <row r="2463" spans="1:5">
      <c r="A2463">
        <v>2458</v>
      </c>
      <c r="B2463" s="11">
        <v>45737.416666666664</v>
      </c>
      <c r="C2463" s="7">
        <v>556.59670000000006</v>
      </c>
      <c r="D2463">
        <v>2235949</v>
      </c>
      <c r="E2463">
        <v>2719624.25</v>
      </c>
    </row>
    <row r="2464" spans="1:5">
      <c r="A2464">
        <v>2459</v>
      </c>
      <c r="B2464" s="11">
        <v>45737.395833333336</v>
      </c>
      <c r="C2464" s="7">
        <v>556.73649999999998</v>
      </c>
      <c r="D2464">
        <v>5335251</v>
      </c>
      <c r="E2464">
        <v>2813241.75</v>
      </c>
    </row>
    <row r="2465" spans="1:5">
      <c r="A2465">
        <v>2460</v>
      </c>
      <c r="B2465" s="11">
        <v>45736.666666666664</v>
      </c>
      <c r="C2465" s="7">
        <v>560.57820000000004</v>
      </c>
      <c r="D2465">
        <v>0</v>
      </c>
      <c r="E2465">
        <v>2457558.25</v>
      </c>
    </row>
    <row r="2466" spans="1:5">
      <c r="A2466">
        <v>2461</v>
      </c>
      <c r="B2466" s="11">
        <v>45736.645833333336</v>
      </c>
      <c r="C2466" s="7">
        <v>560.79639999999995</v>
      </c>
      <c r="D2466">
        <v>9519700</v>
      </c>
      <c r="E2466">
        <v>3172860</v>
      </c>
    </row>
    <row r="2467" spans="1:5">
      <c r="A2467">
        <v>2462</v>
      </c>
      <c r="B2467" s="11">
        <v>45736.625</v>
      </c>
      <c r="C2467" s="7">
        <v>559.89919999999995</v>
      </c>
      <c r="D2467">
        <v>2737038</v>
      </c>
      <c r="E2467">
        <v>2977644.75</v>
      </c>
    </row>
    <row r="2468" spans="1:5">
      <c r="A2468">
        <v>2463</v>
      </c>
      <c r="B2468" s="11">
        <v>45736.604166666664</v>
      </c>
      <c r="C2468" s="7">
        <v>559.47789999999998</v>
      </c>
      <c r="D2468">
        <v>2764366</v>
      </c>
      <c r="E2468">
        <v>3060966.75</v>
      </c>
    </row>
    <row r="2469" spans="1:5">
      <c r="A2469">
        <v>2464</v>
      </c>
      <c r="B2469" s="11">
        <v>45736.583333333336</v>
      </c>
      <c r="C2469" s="7">
        <v>559.23009999999999</v>
      </c>
      <c r="D2469">
        <v>1713027</v>
      </c>
      <c r="E2469">
        <v>3116155.25</v>
      </c>
    </row>
    <row r="2470" spans="1:5">
      <c r="A2470">
        <v>2465</v>
      </c>
      <c r="B2470" s="11">
        <v>45736.5625</v>
      </c>
      <c r="C2470" s="7">
        <v>560.28009999999995</v>
      </c>
      <c r="D2470">
        <v>1642805</v>
      </c>
      <c r="E2470">
        <v>3086078.5</v>
      </c>
    </row>
    <row r="2471" spans="1:5">
      <c r="A2471">
        <v>2466</v>
      </c>
      <c r="B2471" s="11">
        <v>45736.541666666664</v>
      </c>
      <c r="C2471" s="7">
        <v>559.8741</v>
      </c>
      <c r="D2471">
        <v>1620936</v>
      </c>
      <c r="E2471">
        <v>3060332</v>
      </c>
    </row>
    <row r="2472" spans="1:5">
      <c r="A2472">
        <v>2467</v>
      </c>
      <c r="B2472" s="11">
        <v>45736.520833333336</v>
      </c>
      <c r="C2472" s="7">
        <v>560.90549999999996</v>
      </c>
      <c r="D2472">
        <v>1841618</v>
      </c>
      <c r="E2472">
        <v>3014469.75</v>
      </c>
    </row>
    <row r="2473" spans="1:5">
      <c r="A2473">
        <v>2468</v>
      </c>
      <c r="B2473" s="11">
        <v>45736.5</v>
      </c>
      <c r="C2473" s="7">
        <v>561.24239999999998</v>
      </c>
      <c r="D2473">
        <v>2198540</v>
      </c>
      <c r="E2473">
        <v>2969689</v>
      </c>
    </row>
    <row r="2474" spans="1:5">
      <c r="A2474">
        <v>2469</v>
      </c>
      <c r="B2474" s="11">
        <v>45736.479166666664</v>
      </c>
      <c r="C2474" s="7">
        <v>563.10630000000003</v>
      </c>
      <c r="D2474">
        <v>1988015</v>
      </c>
      <c r="E2474">
        <v>2928330.75</v>
      </c>
    </row>
    <row r="2475" spans="1:5">
      <c r="A2475">
        <v>2470</v>
      </c>
      <c r="B2475" s="11">
        <v>45736.458333333336</v>
      </c>
      <c r="C2475" s="7">
        <v>563.96860000000004</v>
      </c>
      <c r="D2475">
        <v>1683351</v>
      </c>
      <c r="E2475">
        <v>2879075.75</v>
      </c>
    </row>
    <row r="2476" spans="1:5">
      <c r="A2476">
        <v>2471</v>
      </c>
      <c r="B2476" s="11">
        <v>45736.4375</v>
      </c>
      <c r="C2476" s="7">
        <v>564.55349999999999</v>
      </c>
      <c r="D2476">
        <v>2019260</v>
      </c>
      <c r="E2476">
        <v>2869379</v>
      </c>
    </row>
    <row r="2477" spans="1:5">
      <c r="A2477">
        <v>2472</v>
      </c>
      <c r="B2477" s="11">
        <v>45736.416666666664</v>
      </c>
      <c r="C2477" s="7">
        <v>564.54349999999999</v>
      </c>
      <c r="D2477">
        <v>3494509</v>
      </c>
      <c r="E2477">
        <v>2875098.25</v>
      </c>
    </row>
    <row r="2478" spans="1:5">
      <c r="A2478">
        <v>2473</v>
      </c>
      <c r="B2478" s="11">
        <v>45736.395833333336</v>
      </c>
      <c r="C2478" s="7">
        <v>561.68849999999998</v>
      </c>
      <c r="D2478">
        <v>3640210</v>
      </c>
      <c r="E2478">
        <v>2832954.5</v>
      </c>
    </row>
    <row r="2479" spans="1:5">
      <c r="A2479">
        <v>2474</v>
      </c>
      <c r="B2479" s="11">
        <v>45735.666666666664</v>
      </c>
      <c r="C2479" s="7">
        <v>562.20399999999995</v>
      </c>
      <c r="D2479">
        <v>0</v>
      </c>
      <c r="E2479">
        <v>2590274</v>
      </c>
    </row>
    <row r="2480" spans="1:5">
      <c r="A2480">
        <v>2475</v>
      </c>
      <c r="B2480" s="11">
        <v>45735.645833333336</v>
      </c>
      <c r="C2480" s="7">
        <v>562.23379999999997</v>
      </c>
      <c r="D2480">
        <v>10729524</v>
      </c>
      <c r="E2480">
        <v>3136137</v>
      </c>
    </row>
    <row r="2481" spans="1:5">
      <c r="A2481">
        <v>2476</v>
      </c>
      <c r="B2481" s="11">
        <v>45735.625</v>
      </c>
      <c r="C2481" s="7">
        <v>562.15940000000001</v>
      </c>
      <c r="D2481">
        <v>6591472</v>
      </c>
      <c r="E2481">
        <v>2519109.75</v>
      </c>
    </row>
    <row r="2482" spans="1:5">
      <c r="A2482">
        <v>2477</v>
      </c>
      <c r="B2482" s="11">
        <v>45735.604166666664</v>
      </c>
      <c r="C2482" s="7">
        <v>563.30439999999999</v>
      </c>
      <c r="D2482">
        <v>3986869</v>
      </c>
      <c r="E2482">
        <v>2176804.75</v>
      </c>
    </row>
    <row r="2483" spans="1:5">
      <c r="A2483">
        <v>2478</v>
      </c>
      <c r="B2483" s="11">
        <v>45735.583333333336</v>
      </c>
      <c r="C2483" s="7">
        <v>559.83479999999997</v>
      </c>
      <c r="D2483">
        <v>3592192</v>
      </c>
      <c r="E2483">
        <v>1990000.12</v>
      </c>
    </row>
    <row r="2484" spans="1:5">
      <c r="A2484">
        <v>2479</v>
      </c>
      <c r="B2484" s="11">
        <v>45735.5625</v>
      </c>
      <c r="C2484" s="7">
        <v>557.87199999999996</v>
      </c>
      <c r="D2484">
        <v>1261876</v>
      </c>
      <c r="E2484">
        <v>1837282.25</v>
      </c>
    </row>
    <row r="2485" spans="1:5">
      <c r="A2485">
        <v>2480</v>
      </c>
      <c r="B2485" s="11">
        <v>45735.541666666664</v>
      </c>
      <c r="C2485" s="7">
        <v>558.48789999999997</v>
      </c>
      <c r="D2485">
        <v>1256609</v>
      </c>
      <c r="E2485">
        <v>1868549.5</v>
      </c>
    </row>
    <row r="2486" spans="1:5">
      <c r="A2486">
        <v>2481</v>
      </c>
      <c r="B2486" s="11">
        <v>45735.520833333336</v>
      </c>
      <c r="C2486" s="7">
        <v>559.97360000000003</v>
      </c>
      <c r="D2486">
        <v>933003</v>
      </c>
      <c r="E2486">
        <v>1889841.25</v>
      </c>
    </row>
    <row r="2487" spans="1:5">
      <c r="A2487">
        <v>2482</v>
      </c>
      <c r="B2487" s="11">
        <v>45735.5</v>
      </c>
      <c r="C2487" s="7">
        <v>560.62789999999995</v>
      </c>
      <c r="D2487">
        <v>1169906</v>
      </c>
      <c r="E2487">
        <v>1949318.88</v>
      </c>
    </row>
    <row r="2488" spans="1:5">
      <c r="A2488">
        <v>2483</v>
      </c>
      <c r="B2488" s="11">
        <v>45735.479166666664</v>
      </c>
      <c r="C2488" s="7">
        <v>560.84590000000003</v>
      </c>
      <c r="D2488">
        <v>1578164</v>
      </c>
      <c r="E2488">
        <v>1978078.88</v>
      </c>
    </row>
    <row r="2489" spans="1:5">
      <c r="A2489">
        <v>2484</v>
      </c>
      <c r="B2489" s="11">
        <v>45735.458333333336</v>
      </c>
      <c r="C2489" s="7">
        <v>559.69600000000003</v>
      </c>
      <c r="D2489">
        <v>1249190</v>
      </c>
      <c r="E2489">
        <v>2017251.75</v>
      </c>
    </row>
    <row r="2490" spans="1:5">
      <c r="A2490">
        <v>2485</v>
      </c>
      <c r="B2490" s="11">
        <v>45735.4375</v>
      </c>
      <c r="C2490" s="7">
        <v>558.45680000000004</v>
      </c>
      <c r="D2490">
        <v>1537902</v>
      </c>
      <c r="E2490">
        <v>2082524.12</v>
      </c>
    </row>
    <row r="2491" spans="1:5">
      <c r="A2491">
        <v>2486</v>
      </c>
      <c r="B2491" s="11">
        <v>45735.416666666664</v>
      </c>
      <c r="C2491" s="7">
        <v>559.60820000000001</v>
      </c>
      <c r="D2491">
        <v>2105049</v>
      </c>
      <c r="E2491">
        <v>2185110</v>
      </c>
    </row>
    <row r="2492" spans="1:5">
      <c r="A2492">
        <v>2487</v>
      </c>
      <c r="B2492" s="11">
        <v>45735.395833333336</v>
      </c>
      <c r="C2492" s="7">
        <v>559.21029999999996</v>
      </c>
      <c r="D2492">
        <v>2862353</v>
      </c>
      <c r="E2492">
        <v>2369465</v>
      </c>
    </row>
    <row r="2493" spans="1:5">
      <c r="A2493">
        <v>2488</v>
      </c>
      <c r="B2493" s="11">
        <v>45734.666666666664</v>
      </c>
      <c r="C2493" s="7">
        <v>556.1472</v>
      </c>
      <c r="D2493">
        <v>0</v>
      </c>
      <c r="E2493">
        <v>2178641.5</v>
      </c>
    </row>
    <row r="2494" spans="1:5">
      <c r="A2494">
        <v>2489</v>
      </c>
      <c r="B2494" s="11">
        <v>45734.645833333336</v>
      </c>
      <c r="C2494" s="7">
        <v>556.1472</v>
      </c>
      <c r="D2494">
        <v>8187947</v>
      </c>
      <c r="E2494">
        <v>2710703.5</v>
      </c>
    </row>
    <row r="2495" spans="1:5">
      <c r="A2495">
        <v>2490</v>
      </c>
      <c r="B2495" s="11">
        <v>45734.625</v>
      </c>
      <c r="C2495" s="7">
        <v>556.4049</v>
      </c>
      <c r="D2495">
        <v>1474113</v>
      </c>
      <c r="E2495">
        <v>2315971.5</v>
      </c>
    </row>
    <row r="2496" spans="1:5">
      <c r="A2496">
        <v>2491</v>
      </c>
      <c r="B2496" s="11">
        <v>45734.604166666664</v>
      </c>
      <c r="C2496" s="7">
        <v>556.48299999999995</v>
      </c>
      <c r="D2496">
        <v>1456900</v>
      </c>
      <c r="E2496">
        <v>2366945.75</v>
      </c>
    </row>
    <row r="2497" spans="1:5">
      <c r="A2497">
        <v>2492</v>
      </c>
      <c r="B2497" s="11">
        <v>45734.583333333336</v>
      </c>
      <c r="C2497" s="7">
        <v>555.64149999999995</v>
      </c>
      <c r="D2497">
        <v>1184798</v>
      </c>
      <c r="E2497">
        <v>2453091.75</v>
      </c>
    </row>
    <row r="2498" spans="1:5">
      <c r="A2498">
        <v>2493</v>
      </c>
      <c r="B2498" s="11">
        <v>45734.5625</v>
      </c>
      <c r="C2498" s="7">
        <v>555.94889999999998</v>
      </c>
      <c r="D2498">
        <v>1301424</v>
      </c>
      <c r="E2498">
        <v>2484004.25</v>
      </c>
    </row>
    <row r="2499" spans="1:5">
      <c r="A2499">
        <v>2494</v>
      </c>
      <c r="B2499" s="11">
        <v>45734.541666666664</v>
      </c>
      <c r="C2499" s="7">
        <v>555.69110000000001</v>
      </c>
      <c r="D2499">
        <v>1730884</v>
      </c>
      <c r="E2499">
        <v>2478090.25</v>
      </c>
    </row>
    <row r="2500" spans="1:5">
      <c r="A2500">
        <v>2495</v>
      </c>
      <c r="B2500" s="11">
        <v>45734.520833333336</v>
      </c>
      <c r="C2500" s="7">
        <v>555.96370000000002</v>
      </c>
      <c r="D2500">
        <v>1575985</v>
      </c>
      <c r="E2500">
        <v>2440929.75</v>
      </c>
    </row>
    <row r="2501" spans="1:5">
      <c r="A2501">
        <v>2496</v>
      </c>
      <c r="B2501" s="11">
        <v>45734.5</v>
      </c>
      <c r="C2501" s="7">
        <v>556.82119999999998</v>
      </c>
      <c r="D2501">
        <v>1825169</v>
      </c>
      <c r="E2501">
        <v>2408385</v>
      </c>
    </row>
    <row r="2502" spans="1:5">
      <c r="A2502">
        <v>2497</v>
      </c>
      <c r="B2502" s="11">
        <v>45734.479166666664</v>
      </c>
      <c r="C2502" s="7">
        <v>554.78909999999996</v>
      </c>
      <c r="D2502">
        <v>1601306</v>
      </c>
      <c r="E2502">
        <v>2388422.5</v>
      </c>
    </row>
    <row r="2503" spans="1:5">
      <c r="A2503">
        <v>2498</v>
      </c>
      <c r="B2503" s="11">
        <v>45734.458333333336</v>
      </c>
      <c r="C2503" s="7">
        <v>554.99720000000002</v>
      </c>
      <c r="D2503">
        <v>2165756</v>
      </c>
      <c r="E2503">
        <v>2390308.25</v>
      </c>
    </row>
    <row r="2504" spans="1:5">
      <c r="A2504">
        <v>2499</v>
      </c>
      <c r="B2504" s="11">
        <v>45734.4375</v>
      </c>
      <c r="C2504" s="7">
        <v>555.97860000000003</v>
      </c>
      <c r="D2504">
        <v>2228276</v>
      </c>
      <c r="E2504">
        <v>2374469.5</v>
      </c>
    </row>
    <row r="2505" spans="1:5">
      <c r="A2505">
        <v>2500</v>
      </c>
      <c r="B2505" s="11">
        <v>45734.416666666664</v>
      </c>
      <c r="C2505" s="7">
        <v>556.31560000000002</v>
      </c>
      <c r="D2505">
        <v>3076691</v>
      </c>
      <c r="E2505">
        <v>2376481</v>
      </c>
    </row>
    <row r="2506" spans="1:5">
      <c r="A2506">
        <v>2501</v>
      </c>
      <c r="B2506" s="11">
        <v>45734.395833333336</v>
      </c>
      <c r="C2506" s="7">
        <v>555.88310000000001</v>
      </c>
      <c r="D2506">
        <v>4870372</v>
      </c>
      <c r="E2506">
        <v>2481452.75</v>
      </c>
    </row>
    <row r="2507" spans="1:5">
      <c r="A2507">
        <v>2502</v>
      </c>
      <c r="B2507" s="11">
        <v>45733.666666666664</v>
      </c>
      <c r="C2507" s="7">
        <v>562.22389999999996</v>
      </c>
      <c r="D2507">
        <v>0</v>
      </c>
      <c r="E2507">
        <v>2156761.25</v>
      </c>
    </row>
    <row r="2508" spans="1:5">
      <c r="A2508">
        <v>2503</v>
      </c>
      <c r="B2508" s="11">
        <v>45733.645833333336</v>
      </c>
      <c r="C2508" s="7">
        <v>562.22389999999996</v>
      </c>
      <c r="D2508">
        <v>7980933</v>
      </c>
      <c r="E2508">
        <v>2855764.75</v>
      </c>
    </row>
    <row r="2509" spans="1:5">
      <c r="A2509">
        <v>2504</v>
      </c>
      <c r="B2509" s="11">
        <v>45733.625</v>
      </c>
      <c r="C2509" s="7">
        <v>563.95870000000002</v>
      </c>
      <c r="D2509">
        <v>2266966</v>
      </c>
      <c r="E2509">
        <v>2460694.75</v>
      </c>
    </row>
    <row r="2510" spans="1:5">
      <c r="A2510">
        <v>2505</v>
      </c>
      <c r="B2510" s="11">
        <v>45733.604166666664</v>
      </c>
      <c r="C2510" s="7">
        <v>564.2604</v>
      </c>
      <c r="D2510">
        <v>2238727</v>
      </c>
      <c r="E2510">
        <v>2429789.5</v>
      </c>
    </row>
    <row r="2511" spans="1:5">
      <c r="A2511">
        <v>2506</v>
      </c>
      <c r="B2511" s="11">
        <v>45733.583333333336</v>
      </c>
      <c r="C2511" s="7">
        <v>563.69100000000003</v>
      </c>
      <c r="D2511">
        <v>2749091</v>
      </c>
      <c r="E2511">
        <v>2399967.25</v>
      </c>
    </row>
    <row r="2512" spans="1:5">
      <c r="A2512">
        <v>2507</v>
      </c>
      <c r="B2512" s="11">
        <v>45733.5625</v>
      </c>
      <c r="C2512" s="7">
        <v>562.18420000000003</v>
      </c>
      <c r="D2512">
        <v>1648483</v>
      </c>
      <c r="E2512">
        <v>2346632</v>
      </c>
    </row>
    <row r="2513" spans="1:5">
      <c r="A2513">
        <v>2508</v>
      </c>
      <c r="B2513" s="11">
        <v>45733.541666666664</v>
      </c>
      <c r="C2513" s="7">
        <v>560.92499999999995</v>
      </c>
      <c r="D2513">
        <v>1212716</v>
      </c>
      <c r="E2513">
        <v>2370923.5</v>
      </c>
    </row>
    <row r="2514" spans="1:5">
      <c r="A2514">
        <v>2509</v>
      </c>
      <c r="B2514" s="11">
        <v>45733.520833333336</v>
      </c>
      <c r="C2514" s="7">
        <v>559.62660000000005</v>
      </c>
      <c r="D2514">
        <v>1173476</v>
      </c>
      <c r="E2514">
        <v>2418881</v>
      </c>
    </row>
    <row r="2515" spans="1:5">
      <c r="A2515">
        <v>2510</v>
      </c>
      <c r="B2515" s="11">
        <v>45733.5</v>
      </c>
      <c r="C2515" s="7">
        <v>558.97239999999999</v>
      </c>
      <c r="D2515">
        <v>1087812</v>
      </c>
      <c r="E2515">
        <v>2443760</v>
      </c>
    </row>
    <row r="2516" spans="1:5">
      <c r="A2516">
        <v>2511</v>
      </c>
      <c r="B2516" s="11">
        <v>45733.479166666664</v>
      </c>
      <c r="C2516" s="7">
        <v>558.90300000000002</v>
      </c>
      <c r="D2516">
        <v>1525734</v>
      </c>
      <c r="E2516">
        <v>2499398.5</v>
      </c>
    </row>
    <row r="2517" spans="1:5">
      <c r="A2517">
        <v>2512</v>
      </c>
      <c r="B2517" s="11">
        <v>45733.458333333336</v>
      </c>
      <c r="C2517" s="7">
        <v>559.1558</v>
      </c>
      <c r="D2517">
        <v>1629590</v>
      </c>
      <c r="E2517">
        <v>2551491.75</v>
      </c>
    </row>
    <row r="2518" spans="1:5">
      <c r="A2518">
        <v>2513</v>
      </c>
      <c r="B2518" s="11">
        <v>45733.4375</v>
      </c>
      <c r="C2518" s="7">
        <v>559.13099999999997</v>
      </c>
      <c r="D2518">
        <v>1928177</v>
      </c>
      <c r="E2518">
        <v>2581112.25</v>
      </c>
    </row>
    <row r="2519" spans="1:5">
      <c r="A2519">
        <v>2514</v>
      </c>
      <c r="B2519" s="11">
        <v>45733.416666666664</v>
      </c>
      <c r="C2519" s="7">
        <v>559.577</v>
      </c>
      <c r="D2519">
        <v>2258448</v>
      </c>
      <c r="E2519">
        <v>2754379.75</v>
      </c>
    </row>
    <row r="2520" spans="1:5">
      <c r="A2520">
        <v>2515</v>
      </c>
      <c r="B2520" s="11">
        <v>45733.395833333336</v>
      </c>
      <c r="C2520" s="7">
        <v>560.50390000000004</v>
      </c>
      <c r="D2520">
        <v>4651265</v>
      </c>
      <c r="E2520">
        <v>2935965.5</v>
      </c>
    </row>
    <row r="2521" spans="1:5">
      <c r="A2521">
        <v>2516</v>
      </c>
      <c r="B2521" s="11">
        <v>45730.666666666664</v>
      </c>
      <c r="C2521" s="7">
        <v>557.92160000000001</v>
      </c>
      <c r="D2521">
        <v>0</v>
      </c>
      <c r="E2521">
        <v>2625881.25</v>
      </c>
    </row>
    <row r="2522" spans="1:5">
      <c r="A2522">
        <v>2517</v>
      </c>
      <c r="B2522" s="11">
        <v>45730.645833333336</v>
      </c>
      <c r="C2522" s="7">
        <v>557.84220000000005</v>
      </c>
      <c r="D2522">
        <v>10485052</v>
      </c>
      <c r="E2522">
        <v>3359299.5</v>
      </c>
    </row>
    <row r="2523" spans="1:5">
      <c r="A2523">
        <v>2518</v>
      </c>
      <c r="B2523" s="11">
        <v>45730.625</v>
      </c>
      <c r="C2523" s="7">
        <v>556.95010000000002</v>
      </c>
      <c r="D2523">
        <v>2054884</v>
      </c>
      <c r="E2523">
        <v>2854274.5</v>
      </c>
    </row>
    <row r="2524" spans="1:5">
      <c r="A2524">
        <v>2519</v>
      </c>
      <c r="B2524" s="11">
        <v>45730.604166666664</v>
      </c>
      <c r="C2524" s="7">
        <v>556.85599999999999</v>
      </c>
      <c r="D2524">
        <v>1803387</v>
      </c>
      <c r="E2524">
        <v>2904091.5</v>
      </c>
    </row>
    <row r="2525" spans="1:5">
      <c r="A2525">
        <v>2520</v>
      </c>
      <c r="B2525" s="11">
        <v>45730.583333333336</v>
      </c>
      <c r="C2525" s="7">
        <v>555.83979999999997</v>
      </c>
      <c r="D2525">
        <v>1791395</v>
      </c>
      <c r="E2525">
        <v>2976008.25</v>
      </c>
    </row>
    <row r="2526" spans="1:5">
      <c r="A2526">
        <v>2521</v>
      </c>
      <c r="B2526" s="11">
        <v>45730.5625</v>
      </c>
      <c r="C2526" s="7">
        <v>555.80010000000004</v>
      </c>
      <c r="D2526">
        <v>1949061</v>
      </c>
      <c r="E2526">
        <v>3044024.75</v>
      </c>
    </row>
    <row r="2527" spans="1:5">
      <c r="A2527">
        <v>2522</v>
      </c>
      <c r="B2527" s="11">
        <v>45730.541666666664</v>
      </c>
      <c r="C2527" s="7">
        <v>556.55340000000001</v>
      </c>
      <c r="D2527">
        <v>2012855</v>
      </c>
      <c r="E2527">
        <v>3083562</v>
      </c>
    </row>
    <row r="2528" spans="1:5">
      <c r="A2528">
        <v>2523</v>
      </c>
      <c r="B2528" s="11">
        <v>45730.520833333336</v>
      </c>
      <c r="C2528" s="7">
        <v>557.04920000000004</v>
      </c>
      <c r="D2528">
        <v>1932079</v>
      </c>
      <c r="E2528">
        <v>3160261</v>
      </c>
    </row>
    <row r="2529" spans="1:5">
      <c r="A2529">
        <v>2524</v>
      </c>
      <c r="B2529" s="11">
        <v>45730.5</v>
      </c>
      <c r="C2529" s="7">
        <v>555.32929999999999</v>
      </c>
      <c r="D2529">
        <v>1546660</v>
      </c>
      <c r="E2529">
        <v>3167877.25</v>
      </c>
    </row>
    <row r="2530" spans="1:5">
      <c r="A2530">
        <v>2525</v>
      </c>
      <c r="B2530" s="11">
        <v>45730.479166666664</v>
      </c>
      <c r="C2530" s="7">
        <v>557.22760000000005</v>
      </c>
      <c r="D2530">
        <v>1922389</v>
      </c>
      <c r="E2530">
        <v>3290377.75</v>
      </c>
    </row>
    <row r="2531" spans="1:5">
      <c r="A2531">
        <v>2526</v>
      </c>
      <c r="B2531" s="11">
        <v>45730.458333333336</v>
      </c>
      <c r="C2531" s="7">
        <v>556.20680000000004</v>
      </c>
      <c r="D2531">
        <v>2307136</v>
      </c>
      <c r="E2531">
        <v>3294609.25</v>
      </c>
    </row>
    <row r="2532" spans="1:5">
      <c r="A2532">
        <v>2527</v>
      </c>
      <c r="B2532" s="11">
        <v>45730.4375</v>
      </c>
      <c r="C2532" s="7">
        <v>555.52260000000001</v>
      </c>
      <c r="D2532">
        <v>2073895</v>
      </c>
      <c r="E2532">
        <v>3281686.75</v>
      </c>
    </row>
    <row r="2533" spans="1:5">
      <c r="A2533">
        <v>2528</v>
      </c>
      <c r="B2533" s="11">
        <v>45730.416666666664</v>
      </c>
      <c r="C2533" s="7">
        <v>552.07899999999995</v>
      </c>
      <c r="D2533">
        <v>4527192</v>
      </c>
      <c r="E2533">
        <v>3350398.5</v>
      </c>
    </row>
    <row r="2534" spans="1:5">
      <c r="A2534">
        <v>2529</v>
      </c>
      <c r="B2534" s="11">
        <v>45730.395833333336</v>
      </c>
      <c r="C2534" s="7">
        <v>552.07280000000003</v>
      </c>
      <c r="D2534">
        <v>4982233</v>
      </c>
      <c r="E2534">
        <v>3273701.25</v>
      </c>
    </row>
    <row r="2535" spans="1:5">
      <c r="A2535">
        <v>2530</v>
      </c>
      <c r="B2535" s="11">
        <v>45729.666666666664</v>
      </c>
      <c r="C2535" s="7">
        <v>546.63049999999998</v>
      </c>
      <c r="D2535">
        <v>0</v>
      </c>
    </row>
    <row r="2536" spans="1:5">
      <c r="A2536">
        <v>2531</v>
      </c>
      <c r="B2536" s="11">
        <v>45729.645833333336</v>
      </c>
      <c r="C2536" s="7">
        <v>546.63049999999998</v>
      </c>
      <c r="D2536">
        <v>11001275</v>
      </c>
    </row>
    <row r="2537" spans="1:5">
      <c r="A2537">
        <v>2532</v>
      </c>
      <c r="B2537" s="11">
        <v>45729.625</v>
      </c>
      <c r="C2537" s="7">
        <v>546.68989999999997</v>
      </c>
      <c r="D2537">
        <v>2909677</v>
      </c>
    </row>
    <row r="2538" spans="1:5">
      <c r="A2538">
        <v>2533</v>
      </c>
      <c r="B2538" s="11">
        <v>45729.604166666664</v>
      </c>
      <c r="C2538" s="7">
        <v>548.98979999999995</v>
      </c>
      <c r="D2538">
        <v>2802139</v>
      </c>
    </row>
    <row r="2539" spans="1:5">
      <c r="A2539">
        <v>2534</v>
      </c>
      <c r="B2539" s="11">
        <v>45729.583333333336</v>
      </c>
      <c r="C2539" s="7">
        <v>548.28570000000002</v>
      </c>
      <c r="D2539">
        <v>2882136</v>
      </c>
    </row>
    <row r="2540" spans="1:5">
      <c r="A2540">
        <v>2535</v>
      </c>
      <c r="B2540" s="11">
        <v>45729.5625</v>
      </c>
      <c r="C2540" s="7">
        <v>545.22280000000001</v>
      </c>
      <c r="D2540">
        <v>2811644</v>
      </c>
    </row>
    <row r="2541" spans="1:5">
      <c r="A2541">
        <v>2536</v>
      </c>
      <c r="B2541" s="11">
        <v>45729.541666666664</v>
      </c>
      <c r="C2541" s="7">
        <v>546.22410000000002</v>
      </c>
      <c r="D2541">
        <v>2542120</v>
      </c>
    </row>
    <row r="2542" spans="1:5">
      <c r="A2542">
        <v>2537</v>
      </c>
      <c r="B2542" s="11">
        <v>45729.520833333336</v>
      </c>
      <c r="C2542" s="7">
        <v>547.7903</v>
      </c>
      <c r="D2542">
        <v>3163341</v>
      </c>
    </row>
    <row r="2543" spans="1:5">
      <c r="A2543">
        <v>2538</v>
      </c>
      <c r="B2543" s="11">
        <v>45729.5</v>
      </c>
      <c r="C2543" s="7">
        <v>547.74069999999995</v>
      </c>
      <c r="D2543">
        <v>2046320</v>
      </c>
    </row>
    <row r="2544" spans="1:5">
      <c r="A2544">
        <v>2539</v>
      </c>
      <c r="B2544" s="11">
        <v>45729.479166666664</v>
      </c>
      <c r="C2544" s="7">
        <v>547.76059999999995</v>
      </c>
      <c r="D2544">
        <v>3384171</v>
      </c>
    </row>
    <row r="2545" spans="1:4">
      <c r="A2545">
        <v>2540</v>
      </c>
      <c r="B2545" s="11">
        <v>45729.458333333336</v>
      </c>
      <c r="C2545" s="7">
        <v>549.42589999999996</v>
      </c>
      <c r="D2545">
        <v>1985860</v>
      </c>
    </row>
    <row r="2546" spans="1:4">
      <c r="A2546">
        <v>2541</v>
      </c>
      <c r="B2546" s="11">
        <v>45729.4375</v>
      </c>
      <c r="C2546" s="7">
        <v>551.25009999999997</v>
      </c>
      <c r="D2546">
        <v>2113298</v>
      </c>
    </row>
    <row r="2547" spans="1:4">
      <c r="A2547">
        <v>2542</v>
      </c>
      <c r="B2547" s="11">
        <v>45729.416666666664</v>
      </c>
      <c r="C2547" s="7">
        <v>552.32060000000001</v>
      </c>
      <c r="D2547">
        <v>3104572</v>
      </c>
    </row>
    <row r="2548" spans="1:4">
      <c r="A2548">
        <v>2543</v>
      </c>
      <c r="B2548" s="11">
        <v>45729.395833333336</v>
      </c>
      <c r="C2548" s="7">
        <v>549.94529999999997</v>
      </c>
      <c r="D2548">
        <v>3376733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31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4"/>
  <cols>
    <col min="1" max="1" width="37" customWidth="1"/>
    <col min="2" max="2" width="90" customWidth="1"/>
  </cols>
  <sheetData>
    <row r="1" spans="1:22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" customHeight="1">
      <c r="A2" s="2" t="s">
        <v>247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2" customHeight="1">
      <c r="A3" s="3" t="s">
        <v>248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2" customHeight="1">
      <c r="A4" s="1"/>
      <c r="B4" s="1"/>
      <c r="C4" s="1"/>
      <c r="D4" s="1" t="s">
        <v>249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2" customHeight="1">
      <c r="A5" s="1" t="s">
        <v>250</v>
      </c>
      <c r="B5" s="14">
        <v>100000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>
      <c r="A6" t="s">
        <v>251</v>
      </c>
      <c r="B6" s="7">
        <v>0.02</v>
      </c>
    </row>
    <row r="7" spans="1:22">
      <c r="A7" t="s">
        <v>197</v>
      </c>
      <c r="B7" s="7">
        <v>4</v>
      </c>
    </row>
    <row r="8" spans="1:22">
      <c r="A8" t="s">
        <v>252</v>
      </c>
      <c r="B8" s="7">
        <v>3.5000000000000001E-3</v>
      </c>
    </row>
    <row r="9" spans="1:22">
      <c r="A9" t="s">
        <v>253</v>
      </c>
      <c r="B9" s="7">
        <v>1E-3</v>
      </c>
    </row>
    <row r="11" spans="1:22" ht="28" customHeight="1">
      <c r="A11" s="4" t="s">
        <v>254</v>
      </c>
      <c r="B11" s="4" t="s">
        <v>255</v>
      </c>
    </row>
    <row r="12" spans="1:22">
      <c r="A12" t="s">
        <v>256</v>
      </c>
      <c r="B12">
        <v>14</v>
      </c>
    </row>
    <row r="13" spans="1:22">
      <c r="A13" t="s">
        <v>257</v>
      </c>
      <c r="B13">
        <v>3.5000000000000001E-3</v>
      </c>
    </row>
    <row r="14" spans="1:22">
      <c r="A14" t="s">
        <v>258</v>
      </c>
      <c r="B14">
        <v>1E-3</v>
      </c>
    </row>
    <row r="15" spans="1:22">
      <c r="A15" t="s">
        <v>259</v>
      </c>
      <c r="B15">
        <v>252</v>
      </c>
    </row>
    <row r="16" spans="1:22">
      <c r="A16" t="s">
        <v>260</v>
      </c>
      <c r="B16" t="s">
        <v>261</v>
      </c>
    </row>
    <row r="17" spans="1:2">
      <c r="A17" t="s">
        <v>262</v>
      </c>
      <c r="B17" t="s">
        <v>263</v>
      </c>
    </row>
    <row r="18" spans="1:2">
      <c r="A18" t="s">
        <v>264</v>
      </c>
      <c r="B18" t="s">
        <v>265</v>
      </c>
    </row>
    <row r="19" spans="1:2">
      <c r="A19" t="s">
        <v>266</v>
      </c>
      <c r="B19" t="s">
        <v>267</v>
      </c>
    </row>
    <row r="20" spans="1:2">
      <c r="A20" t="s">
        <v>268</v>
      </c>
      <c r="B20" t="s">
        <v>269</v>
      </c>
    </row>
    <row r="21" spans="1:2">
      <c r="A21" t="s">
        <v>270</v>
      </c>
      <c r="B21" t="s">
        <v>271</v>
      </c>
    </row>
    <row r="22" spans="1:2">
      <c r="A22" t="s">
        <v>272</v>
      </c>
      <c r="B22" t="s">
        <v>273</v>
      </c>
    </row>
    <row r="23" spans="1:2">
      <c r="A23" t="s">
        <v>274</v>
      </c>
      <c r="B23" t="s">
        <v>275</v>
      </c>
    </row>
    <row r="24" spans="1:2">
      <c r="A24" t="s">
        <v>276</v>
      </c>
      <c r="B24" t="s">
        <v>277</v>
      </c>
    </row>
    <row r="25" spans="1:2">
      <c r="A25" t="s">
        <v>278</v>
      </c>
      <c r="B25" t="s">
        <v>279</v>
      </c>
    </row>
    <row r="26" spans="1:2">
      <c r="A26" t="s">
        <v>280</v>
      </c>
      <c r="B26" t="s">
        <v>281</v>
      </c>
    </row>
    <row r="27" spans="1:2">
      <c r="A27" t="s">
        <v>282</v>
      </c>
      <c r="B27" t="s">
        <v>283</v>
      </c>
    </row>
    <row r="28" spans="1:2">
      <c r="A28" t="s">
        <v>284</v>
      </c>
      <c r="B28" t="s">
        <v>285</v>
      </c>
    </row>
    <row r="29" spans="1:2">
      <c r="A29" t="s">
        <v>286</v>
      </c>
      <c r="B29" t="s">
        <v>287</v>
      </c>
    </row>
    <row r="30" spans="1:2">
      <c r="A30" t="s">
        <v>288</v>
      </c>
      <c r="B30" t="s">
        <v>289</v>
      </c>
    </row>
    <row r="31" spans="1:2">
      <c r="A31" t="s">
        <v>290</v>
      </c>
      <c r="B31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Daily Results</vt:lpstr>
      <vt:lpstr>Trade Log</vt:lpstr>
      <vt:lpstr>Execution Log</vt:lpstr>
      <vt:lpstr>Signal Inputs</vt:lpstr>
      <vt:lpstr>April Noise</vt:lpstr>
      <vt:lpstr>April Volatility</vt:lpstr>
      <vt:lpstr>Sensitivity</vt:lpstr>
      <vt:lpstr>Concentration</vt:lpstr>
      <vt:lpstr>Source AV Clean</vt:lpstr>
      <vt:lpstr>Source BBRG Daily</vt:lpstr>
      <vt:lpstr>Source BBRG Intraday</vt:lpstr>
      <vt:lpstr>Method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Hanyu Zhang</cp:lastModifiedBy>
  <dcterms:modified xsi:type="dcterms:W3CDTF">2026-09-24T15:47:02Z</dcterms:modified>
</cp:coreProperties>
</file>